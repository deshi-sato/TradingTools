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Documents\desshi_signal_viewer\"/>
    </mc:Choice>
  </mc:AlternateContent>
  <xr:revisionPtr revIDLastSave="0" documentId="13_ncr:1_{31644758-363A-4907-B1A9-B56D29F45B3E}" xr6:coauthVersionLast="47" xr6:coauthVersionMax="47" xr10:uidLastSave="{00000000-0000-0000-0000-000000000000}"/>
  <bookViews>
    <workbookView xWindow="6975" yWindow="6975" windowWidth="22995" windowHeight="15600" xr2:uid="{00000000-000D-0000-FFFF-FFFF00000000}"/>
  </bookViews>
  <sheets>
    <sheet name="フジクラ" sheetId="4" r:id="rId1"/>
    <sheet name="三菱ＵＦＪフィナンシャル・グループ" sheetId="5" r:id="rId2"/>
    <sheet name="サンリオ" sheetId="8" r:id="rId3"/>
    <sheet name="みずほフィナンシャルグループ" sheetId="9" r:id="rId4"/>
    <sheet name="三井Ｅ＆Ｓ" sheetId="12" r:id="rId5"/>
    <sheet name="日立製作所" sheetId="20" r:id="rId6"/>
    <sheet name="オムロン" sheetId="27" r:id="rId7"/>
    <sheet name="ローツェ" sheetId="41" r:id="rId8"/>
    <sheet name="ＫＯＫＵＳＡＩ　ＥＬＥＣＴＲＩＣ" sheetId="43" r:id="rId9"/>
    <sheet name="三菱商事" sheetId="48" r:id="rId10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8" l="1"/>
  <c r="A1" i="27"/>
  <c r="A1" i="9"/>
  <c r="A1" i="41"/>
  <c r="A1" i="4"/>
  <c r="A1" i="12"/>
  <c r="A1" i="43"/>
  <c r="A1" i="5"/>
  <c r="A1" i="20"/>
  <c r="A1" i="48"/>
  <c r="V7" i="5"/>
  <c r="N18" i="48"/>
  <c r="U9" i="48"/>
  <c r="J11" i="12"/>
  <c r="L15" i="43"/>
  <c r="Y7" i="27"/>
  <c r="J14" i="9"/>
  <c r="L8" i="48"/>
  <c r="K14" i="41"/>
  <c r="L9" i="27"/>
  <c r="N21" i="5"/>
  <c r="N21" i="41"/>
  <c r="R9" i="41"/>
  <c r="J4" i="43"/>
  <c r="J6" i="20"/>
  <c r="Y2" i="8"/>
  <c r="J5" i="48"/>
  <c r="N3" i="41"/>
  <c r="J13" i="41"/>
  <c r="U6" i="12"/>
  <c r="N16" i="20"/>
  <c r="J6" i="27"/>
  <c r="N19" i="41"/>
  <c r="Y6" i="27"/>
  <c r="M15" i="27"/>
  <c r="R12" i="12"/>
  <c r="J12" i="12"/>
  <c r="L24" i="9"/>
  <c r="J12" i="4"/>
  <c r="V7" i="12"/>
  <c r="Y7" i="8"/>
  <c r="L19" i="27"/>
  <c r="Q6" i="9"/>
  <c r="L18" i="12"/>
  <c r="N25" i="27"/>
  <c r="Y6" i="20"/>
  <c r="J6" i="43"/>
  <c r="R10" i="9"/>
  <c r="V9" i="9"/>
  <c r="V8" i="8"/>
  <c r="R3" i="8"/>
  <c r="R10" i="12"/>
  <c r="L11" i="48"/>
  <c r="N20" i="5"/>
  <c r="L12" i="8"/>
  <c r="L17" i="4"/>
  <c r="Q4" i="48"/>
  <c r="R2" i="43"/>
  <c r="N17" i="41"/>
  <c r="L5" i="27"/>
  <c r="L23" i="8"/>
  <c r="M15" i="8"/>
  <c r="L7" i="5"/>
  <c r="Y7" i="41"/>
  <c r="R10" i="48"/>
  <c r="Q2" i="12"/>
  <c r="Q7" i="41"/>
  <c r="Y2" i="4"/>
  <c r="L6" i="43"/>
  <c r="L21" i="41"/>
  <c r="N23" i="9"/>
  <c r="N25" i="12"/>
  <c r="Y4" i="43"/>
  <c r="R3" i="27"/>
  <c r="Y2" i="48"/>
  <c r="U3" i="8"/>
  <c r="J3" i="5"/>
  <c r="L12" i="9"/>
  <c r="L22" i="9"/>
  <c r="V8" i="41"/>
  <c r="J9" i="43"/>
  <c r="N20" i="8"/>
  <c r="R11" i="41"/>
  <c r="N25" i="8"/>
  <c r="L9" i="43"/>
  <c r="L24" i="8"/>
  <c r="V7" i="9"/>
  <c r="U2" i="12"/>
  <c r="J3" i="20"/>
  <c r="Q8" i="4"/>
  <c r="U2" i="48"/>
  <c r="N24" i="8"/>
  <c r="L18" i="20"/>
  <c r="Y6" i="4"/>
  <c r="Q10" i="9"/>
  <c r="L13" i="43"/>
  <c r="U7" i="8"/>
  <c r="J6" i="12"/>
  <c r="R3" i="4"/>
  <c r="Y4" i="12"/>
  <c r="U2" i="20"/>
  <c r="N18" i="5"/>
  <c r="Q2" i="48"/>
  <c r="L23" i="27"/>
  <c r="J13" i="12"/>
  <c r="K14" i="20"/>
  <c r="J8" i="27"/>
  <c r="Q2" i="27"/>
  <c r="L18" i="8"/>
  <c r="J4" i="12"/>
  <c r="L23" i="5"/>
  <c r="L15" i="4"/>
  <c r="L5" i="8"/>
  <c r="N3" i="12"/>
  <c r="V9" i="41"/>
  <c r="L21" i="9"/>
  <c r="V8" i="20"/>
  <c r="U7" i="9"/>
  <c r="J10" i="41"/>
  <c r="R3" i="20"/>
  <c r="N20" i="4"/>
  <c r="J4" i="41"/>
  <c r="L6" i="48"/>
  <c r="Q6" i="20"/>
  <c r="Q12" i="48"/>
  <c r="J10" i="43"/>
  <c r="L22" i="4"/>
  <c r="U4" i="5"/>
  <c r="Q9" i="8"/>
  <c r="U8" i="5"/>
  <c r="L19" i="5"/>
  <c r="U7" i="20"/>
  <c r="R2" i="4"/>
  <c r="R11" i="12"/>
  <c r="N23" i="27"/>
  <c r="L18" i="41"/>
  <c r="L12" i="12"/>
  <c r="L22" i="12"/>
  <c r="Q11" i="43"/>
  <c r="R9" i="27"/>
  <c r="Q11" i="20"/>
  <c r="R9" i="20"/>
  <c r="J5" i="4"/>
  <c r="Q10" i="41"/>
  <c r="N25" i="48"/>
  <c r="L23" i="9"/>
  <c r="N20" i="41"/>
  <c r="M15" i="43"/>
  <c r="U3" i="12"/>
  <c r="Q11" i="41"/>
  <c r="J10" i="20"/>
  <c r="U4" i="41"/>
  <c r="K14" i="8"/>
  <c r="V6" i="20"/>
  <c r="Q5" i="12"/>
  <c r="K14" i="12"/>
  <c r="V9" i="20"/>
  <c r="Y2" i="5"/>
  <c r="Q5" i="20"/>
  <c r="Y4" i="8"/>
  <c r="V7" i="27"/>
  <c r="N3" i="43"/>
  <c r="J7" i="20"/>
  <c r="N15" i="12"/>
  <c r="N16" i="5"/>
  <c r="L9" i="48"/>
  <c r="L21" i="8"/>
  <c r="J8" i="43"/>
  <c r="Y2" i="9"/>
  <c r="Q9" i="9"/>
  <c r="L13" i="27"/>
  <c r="V6" i="4"/>
  <c r="V9" i="43"/>
  <c r="R2" i="5"/>
  <c r="Q8" i="12"/>
  <c r="U8" i="20"/>
  <c r="V6" i="12"/>
  <c r="N20" i="9"/>
  <c r="U8" i="43"/>
  <c r="R10" i="20"/>
  <c r="Y2" i="43"/>
  <c r="N22" i="4"/>
  <c r="J11" i="5"/>
  <c r="N16" i="48"/>
  <c r="Q3" i="41"/>
  <c r="Q10" i="27"/>
  <c r="N23" i="48"/>
  <c r="L9" i="8"/>
  <c r="L17" i="48"/>
  <c r="Q9" i="41"/>
  <c r="U4" i="43"/>
  <c r="N18" i="4"/>
  <c r="J13" i="5"/>
  <c r="L7" i="9"/>
  <c r="Q7" i="5"/>
  <c r="J11" i="27"/>
  <c r="L16" i="43"/>
  <c r="R11" i="4"/>
  <c r="N19" i="48"/>
  <c r="L18" i="5"/>
  <c r="N18" i="27"/>
  <c r="K14" i="27"/>
  <c r="V6" i="27"/>
  <c r="Q9" i="27"/>
  <c r="Q3" i="20"/>
  <c r="Y6" i="9"/>
  <c r="L23" i="12"/>
  <c r="J14" i="27"/>
  <c r="L5" i="48"/>
  <c r="J12" i="8"/>
  <c r="Q4" i="41"/>
  <c r="L11" i="4"/>
  <c r="Q2" i="4"/>
  <c r="J8" i="48"/>
  <c r="L14" i="48"/>
  <c r="L7" i="43"/>
  <c r="L20" i="8"/>
  <c r="J8" i="8"/>
  <c r="N21" i="8"/>
  <c r="R12" i="4"/>
  <c r="Y4" i="9"/>
  <c r="R9" i="43"/>
  <c r="J11" i="41"/>
  <c r="N19" i="12"/>
  <c r="U8" i="48"/>
  <c r="V7" i="4"/>
  <c r="L15" i="48"/>
  <c r="L12" i="4"/>
  <c r="L13" i="4"/>
  <c r="N23" i="4"/>
  <c r="Y3" i="9"/>
  <c r="R11" i="20"/>
  <c r="L21" i="5"/>
  <c r="R10" i="4"/>
  <c r="R9" i="5"/>
  <c r="Q7" i="20"/>
  <c r="L18" i="27"/>
  <c r="L7" i="27"/>
  <c r="Q7" i="4"/>
  <c r="L17" i="8"/>
  <c r="N24" i="48"/>
  <c r="N20" i="43"/>
  <c r="Q11" i="48"/>
  <c r="Q3" i="12"/>
  <c r="Q10" i="4"/>
  <c r="Q10" i="43"/>
  <c r="Q8" i="27"/>
  <c r="K14" i="5"/>
  <c r="L18" i="4"/>
  <c r="L24" i="27"/>
  <c r="R12" i="27"/>
  <c r="L23" i="48"/>
  <c r="J6" i="5"/>
  <c r="L23" i="41"/>
  <c r="V8" i="9"/>
  <c r="N3" i="27"/>
  <c r="Q6" i="5"/>
  <c r="J5" i="12"/>
  <c r="L22" i="41"/>
  <c r="V7" i="20"/>
  <c r="N21" i="4"/>
  <c r="Y6" i="48"/>
  <c r="N25" i="20"/>
  <c r="Q8" i="43"/>
  <c r="L14" i="27"/>
  <c r="L10" i="4"/>
  <c r="U4" i="48"/>
  <c r="N22" i="48"/>
  <c r="L20" i="9"/>
  <c r="N19" i="8"/>
  <c r="Q10" i="20"/>
  <c r="Q6" i="48"/>
  <c r="Q12" i="43"/>
  <c r="L15" i="12"/>
  <c r="K14" i="48"/>
  <c r="J10" i="12"/>
  <c r="L14" i="41"/>
  <c r="U2" i="9"/>
  <c r="Q7" i="48"/>
  <c r="J4" i="48"/>
  <c r="L5" i="4"/>
  <c r="L9" i="20"/>
  <c r="N15" i="48"/>
  <c r="N17" i="8"/>
  <c r="L10" i="27"/>
  <c r="N21" i="48"/>
  <c r="Q4" i="9"/>
  <c r="N3" i="8"/>
  <c r="N25" i="41"/>
  <c r="M15" i="12"/>
  <c r="N24" i="9"/>
  <c r="N16" i="4"/>
  <c r="L17" i="9"/>
  <c r="N16" i="8"/>
  <c r="J9" i="41"/>
  <c r="U6" i="48"/>
  <c r="R10" i="43"/>
  <c r="Y3" i="43"/>
  <c r="U7" i="41"/>
  <c r="J4" i="20"/>
  <c r="J12" i="9"/>
  <c r="Q6" i="4"/>
  <c r="N16" i="41"/>
  <c r="R11" i="8"/>
  <c r="Q8" i="41"/>
  <c r="L11" i="41"/>
  <c r="U3" i="5"/>
  <c r="M15" i="20"/>
  <c r="L19" i="20"/>
  <c r="U3" i="20"/>
  <c r="Q3" i="8"/>
  <c r="U4" i="9"/>
  <c r="J5" i="5"/>
  <c r="N23" i="5"/>
  <c r="Q4" i="5"/>
  <c r="J14" i="5"/>
  <c r="L19" i="48"/>
  <c r="J9" i="12"/>
  <c r="Q9" i="20"/>
  <c r="Q9" i="5"/>
  <c r="J13" i="27"/>
  <c r="V9" i="5"/>
  <c r="L15" i="8"/>
  <c r="M15" i="4"/>
  <c r="N3" i="48"/>
  <c r="L20" i="41"/>
  <c r="Q4" i="12"/>
  <c r="L8" i="5"/>
  <c r="Q7" i="8"/>
  <c r="R2" i="9"/>
  <c r="L5" i="20"/>
  <c r="N21" i="12"/>
  <c r="Q12" i="27"/>
  <c r="J9" i="20"/>
  <c r="Y2" i="12"/>
  <c r="J14" i="43"/>
  <c r="R2" i="8"/>
  <c r="U8" i="4"/>
  <c r="U4" i="8"/>
  <c r="U6" i="27"/>
  <c r="Q3" i="5"/>
  <c r="L24" i="41"/>
  <c r="J9" i="48"/>
  <c r="L7" i="48"/>
  <c r="R12" i="5"/>
  <c r="M15" i="48"/>
  <c r="U4" i="12"/>
  <c r="N15" i="4"/>
  <c r="N18" i="8"/>
  <c r="L14" i="9"/>
  <c r="L22" i="27"/>
  <c r="Q6" i="8"/>
  <c r="Q4" i="27"/>
  <c r="L8" i="9"/>
  <c r="L9" i="12"/>
  <c r="L17" i="43"/>
  <c r="Y7" i="5"/>
  <c r="N21" i="20"/>
  <c r="Y2" i="20"/>
  <c r="N16" i="12"/>
  <c r="J8" i="5"/>
  <c r="L7" i="12"/>
  <c r="R3" i="41"/>
  <c r="L14" i="12"/>
  <c r="J12" i="5"/>
  <c r="L13" i="41"/>
  <c r="Y4" i="5"/>
  <c r="L24" i="4"/>
  <c r="J5" i="41"/>
  <c r="Q10" i="8"/>
  <c r="J13" i="20"/>
  <c r="K14" i="9"/>
  <c r="L22" i="8"/>
  <c r="L14" i="5"/>
  <c r="V8" i="43"/>
  <c r="M15" i="9"/>
  <c r="L8" i="27"/>
  <c r="L8" i="4"/>
  <c r="L17" i="27"/>
  <c r="Q11" i="8"/>
  <c r="N16" i="43"/>
  <c r="K14" i="43"/>
  <c r="R9" i="48"/>
  <c r="M15" i="5"/>
  <c r="R12" i="48"/>
  <c r="L13" i="48"/>
  <c r="N22" i="41"/>
  <c r="Y6" i="5"/>
  <c r="J13" i="4"/>
  <c r="U9" i="41"/>
  <c r="R2" i="20"/>
  <c r="L6" i="41"/>
  <c r="Q8" i="8"/>
  <c r="N25" i="43"/>
  <c r="L20" i="43"/>
  <c r="Q3" i="4"/>
  <c r="J12" i="48"/>
  <c r="J7" i="48"/>
  <c r="L18" i="48"/>
  <c r="J11" i="8"/>
  <c r="J7" i="4"/>
  <c r="N21" i="43"/>
  <c r="J12" i="41"/>
  <c r="L21" i="20"/>
  <c r="Y7" i="48"/>
  <c r="N18" i="43"/>
  <c r="Y4" i="41"/>
  <c r="V6" i="9"/>
  <c r="L22" i="48"/>
  <c r="N24" i="4"/>
  <c r="J6" i="4"/>
  <c r="N24" i="20"/>
  <c r="N24" i="12"/>
  <c r="L12" i="5"/>
  <c r="L21" i="27"/>
  <c r="R2" i="27"/>
  <c r="J3" i="4"/>
  <c r="Q12" i="8"/>
  <c r="R11" i="43"/>
  <c r="N20" i="12"/>
  <c r="J10" i="48"/>
  <c r="J11" i="20"/>
  <c r="Y6" i="43"/>
  <c r="Q3" i="9"/>
  <c r="L8" i="8"/>
  <c r="Q12" i="4"/>
  <c r="J7" i="9"/>
  <c r="L13" i="12"/>
  <c r="N23" i="43"/>
  <c r="L16" i="5"/>
  <c r="N17" i="48"/>
  <c r="L21" i="48"/>
  <c r="Q5" i="4"/>
  <c r="L12" i="43"/>
  <c r="L11" i="20"/>
  <c r="L23" i="43"/>
  <c r="Q6" i="41"/>
  <c r="Y4" i="20"/>
  <c r="N22" i="5"/>
  <c r="R11" i="27"/>
  <c r="U7" i="43"/>
  <c r="U9" i="27"/>
  <c r="L5" i="43"/>
  <c r="V8" i="27"/>
  <c r="Q4" i="43"/>
  <c r="V8" i="48"/>
  <c r="U2" i="4"/>
  <c r="L14" i="20"/>
  <c r="L24" i="5"/>
  <c r="Q5" i="48"/>
  <c r="V6" i="5"/>
  <c r="J8" i="9"/>
  <c r="V6" i="48"/>
  <c r="L5" i="5"/>
  <c r="L20" i="12"/>
  <c r="Q5" i="5"/>
  <c r="J10" i="27"/>
  <c r="N19" i="4"/>
  <c r="Q12" i="9"/>
  <c r="L22" i="20"/>
  <c r="R12" i="43"/>
  <c r="J4" i="8"/>
  <c r="L20" i="20"/>
  <c r="N17" i="27"/>
  <c r="L5" i="41"/>
  <c r="L21" i="43"/>
  <c r="N23" i="41"/>
  <c r="Q12" i="20"/>
  <c r="Y6" i="41"/>
  <c r="L5" i="9"/>
  <c r="L14" i="4"/>
  <c r="U8" i="8"/>
  <c r="Q6" i="43"/>
  <c r="L15" i="41"/>
  <c r="L14" i="8"/>
  <c r="J9" i="9"/>
  <c r="L17" i="5"/>
  <c r="N23" i="8"/>
  <c r="N16" i="27"/>
  <c r="Y3" i="4"/>
  <c r="J6" i="48"/>
  <c r="R12" i="9"/>
  <c r="N23" i="20"/>
  <c r="J14" i="4"/>
  <c r="N20" i="48"/>
  <c r="J7" i="43"/>
  <c r="Q3" i="43"/>
  <c r="N17" i="20"/>
  <c r="N17" i="5"/>
  <c r="L11" i="12"/>
  <c r="L16" i="8"/>
  <c r="Y6" i="12"/>
  <c r="R3" i="43"/>
  <c r="N15" i="8"/>
  <c r="L5" i="12"/>
  <c r="R3" i="9"/>
  <c r="J3" i="41"/>
  <c r="L24" i="48"/>
  <c r="V6" i="8"/>
  <c r="L10" i="20"/>
  <c r="Q5" i="8"/>
  <c r="Q2" i="5"/>
  <c r="J3" i="12"/>
  <c r="Q9" i="4"/>
  <c r="Q9" i="43"/>
  <c r="J9" i="5"/>
  <c r="L6" i="5"/>
  <c r="M15" i="41"/>
  <c r="J3" i="43"/>
  <c r="Q10" i="5"/>
  <c r="R11" i="48"/>
  <c r="Q5" i="43"/>
  <c r="L8" i="43"/>
  <c r="L13" i="20"/>
  <c r="L19" i="4"/>
  <c r="N17" i="12"/>
  <c r="Q12" i="12"/>
  <c r="Q10" i="48"/>
  <c r="R12" i="41"/>
  <c r="Y2" i="41"/>
  <c r="N19" i="43"/>
  <c r="L7" i="41"/>
  <c r="N25" i="4"/>
  <c r="L13" i="5"/>
  <c r="N20" i="20"/>
  <c r="N3" i="4"/>
  <c r="Q11" i="12"/>
  <c r="L16" i="20"/>
  <c r="Y6" i="8"/>
  <c r="L15" i="9"/>
  <c r="J14" i="20"/>
  <c r="L6" i="8"/>
  <c r="L19" i="43"/>
  <c r="L21" i="4"/>
  <c r="J7" i="5"/>
  <c r="J7" i="27"/>
  <c r="R9" i="4"/>
  <c r="J10" i="5"/>
  <c r="U9" i="9"/>
  <c r="L10" i="43"/>
  <c r="N22" i="9"/>
  <c r="L12" i="27"/>
  <c r="L10" i="8"/>
  <c r="K14" i="4"/>
  <c r="J8" i="12"/>
  <c r="L8" i="12"/>
  <c r="L9" i="9"/>
  <c r="U6" i="4"/>
  <c r="V9" i="27"/>
  <c r="L11" i="5"/>
  <c r="J10" i="4"/>
  <c r="N15" i="9"/>
  <c r="U8" i="12"/>
  <c r="U7" i="5"/>
  <c r="Q12" i="5"/>
  <c r="R10" i="41"/>
  <c r="L10" i="12"/>
  <c r="L10" i="9"/>
  <c r="L11" i="8"/>
  <c r="Q11" i="5"/>
  <c r="Q2" i="9"/>
  <c r="J12" i="27"/>
  <c r="V6" i="41"/>
  <c r="J3" i="27"/>
  <c r="U3" i="4"/>
  <c r="U3" i="27"/>
  <c r="U3" i="48"/>
  <c r="N22" i="12"/>
  <c r="J5" i="20"/>
  <c r="U2" i="5"/>
  <c r="Q11" i="27"/>
  <c r="N24" i="27"/>
  <c r="L17" i="12"/>
  <c r="V7" i="43"/>
  <c r="L6" i="4"/>
  <c r="Q6" i="27"/>
  <c r="L15" i="20"/>
  <c r="L19" i="9"/>
  <c r="Q9" i="48"/>
  <c r="J4" i="27"/>
  <c r="N3" i="9"/>
  <c r="V9" i="12"/>
  <c r="L11" i="27"/>
  <c r="R9" i="12"/>
  <c r="R3" i="48"/>
  <c r="V8" i="5"/>
  <c r="Y4" i="27"/>
  <c r="U4" i="4"/>
  <c r="L22" i="43"/>
  <c r="Q8" i="20"/>
  <c r="R9" i="9"/>
  <c r="L13" i="9"/>
  <c r="Q5" i="27"/>
  <c r="Q7" i="9"/>
  <c r="U9" i="5"/>
  <c r="Q2" i="8"/>
  <c r="U9" i="8"/>
  <c r="L18" i="43"/>
  <c r="R10" i="27"/>
  <c r="V8" i="12"/>
  <c r="N21" i="27"/>
  <c r="N15" i="5"/>
  <c r="N21" i="9"/>
  <c r="J11" i="9"/>
  <c r="L23" i="4"/>
  <c r="U3" i="9"/>
  <c r="R9" i="8"/>
  <c r="N20" i="27"/>
  <c r="N19" i="9"/>
  <c r="L23" i="20"/>
  <c r="L9" i="5"/>
  <c r="U6" i="8"/>
  <c r="N15" i="41"/>
  <c r="L10" i="41"/>
  <c r="N19" i="27"/>
  <c r="N17" i="43"/>
  <c r="J6" i="41"/>
  <c r="J12" i="20"/>
  <c r="U7" i="12"/>
  <c r="L16" i="4"/>
  <c r="L15" i="5"/>
  <c r="J9" i="27"/>
  <c r="Q12" i="41"/>
  <c r="L20" i="27"/>
  <c r="Q4" i="20"/>
  <c r="N18" i="41"/>
  <c r="N19" i="5"/>
  <c r="L7" i="8"/>
  <c r="U8" i="9"/>
  <c r="L6" i="27"/>
  <c r="J5" i="27"/>
  <c r="Y3" i="12"/>
  <c r="R2" i="12"/>
  <c r="J10" i="8"/>
  <c r="R10" i="5"/>
  <c r="L12" i="20"/>
  <c r="N22" i="8"/>
  <c r="J4" i="4"/>
  <c r="U6" i="5"/>
  <c r="U4" i="20"/>
  <c r="Q8" i="9"/>
  <c r="V7" i="48"/>
  <c r="L11" i="9"/>
  <c r="J8" i="20"/>
  <c r="U8" i="41"/>
  <c r="U6" i="43"/>
  <c r="J7" i="8"/>
  <c r="Q8" i="5"/>
  <c r="N22" i="27"/>
  <c r="Y4" i="48"/>
  <c r="J6" i="9"/>
  <c r="Y3" i="20"/>
  <c r="Y3" i="5"/>
  <c r="V7" i="41"/>
  <c r="Q7" i="27"/>
  <c r="N15" i="20"/>
  <c r="U7" i="4"/>
  <c r="J12" i="43"/>
  <c r="J4" i="9"/>
  <c r="Y7" i="4"/>
  <c r="L7" i="20"/>
  <c r="J14" i="12"/>
  <c r="N3" i="5"/>
  <c r="L16" i="41"/>
  <c r="Y3" i="27"/>
  <c r="N17" i="4"/>
  <c r="R3" i="12"/>
  <c r="J13" i="43"/>
  <c r="L9" i="4"/>
  <c r="N17" i="9"/>
  <c r="L12" i="41"/>
  <c r="L17" i="20"/>
  <c r="J11" i="43"/>
  <c r="N23" i="12"/>
  <c r="V9" i="4"/>
  <c r="J5" i="43"/>
  <c r="R12" i="8"/>
  <c r="N25" i="5"/>
  <c r="L20" i="5"/>
  <c r="V7" i="8"/>
  <c r="N25" i="9"/>
  <c r="Q11" i="4"/>
  <c r="R2" i="48"/>
  <c r="R11" i="5"/>
  <c r="U6" i="9"/>
  <c r="U2" i="43"/>
  <c r="L12" i="48"/>
  <c r="J4" i="5"/>
  <c r="Y7" i="20"/>
  <c r="R10" i="8"/>
  <c r="N16" i="9"/>
  <c r="V9" i="8"/>
  <c r="Q11" i="9"/>
  <c r="U2" i="41"/>
  <c r="J6" i="8"/>
  <c r="R12" i="20"/>
  <c r="L20" i="48"/>
  <c r="N22" i="43"/>
  <c r="Y3" i="8"/>
  <c r="V9" i="48"/>
  <c r="U6" i="20"/>
  <c r="Q5" i="9"/>
  <c r="L10" i="48"/>
  <c r="L10" i="5"/>
  <c r="Q5" i="41"/>
  <c r="L7" i="4"/>
  <c r="L8" i="20"/>
  <c r="Q2" i="20"/>
  <c r="U9" i="4"/>
  <c r="L13" i="8"/>
  <c r="U4" i="27"/>
  <c r="N19" i="20"/>
  <c r="U3" i="41"/>
  <c r="L16" i="27"/>
  <c r="J14" i="8"/>
  <c r="J3" i="9"/>
  <c r="R3" i="5"/>
  <c r="J3" i="48"/>
  <c r="Q2" i="41"/>
  <c r="Q8" i="48"/>
  <c r="Q7" i="43"/>
  <c r="Y3" i="41"/>
  <c r="J8" i="4"/>
  <c r="L19" i="8"/>
  <c r="J13" i="48"/>
  <c r="Y7" i="9"/>
  <c r="Y2" i="27"/>
  <c r="J11" i="48"/>
  <c r="L6" i="12"/>
  <c r="Y7" i="43"/>
  <c r="N24" i="43"/>
  <c r="J8" i="41"/>
  <c r="N22" i="20"/>
  <c r="Q9" i="12"/>
  <c r="L24" i="20"/>
  <c r="N18" i="20"/>
  <c r="U9" i="43"/>
  <c r="U2" i="27"/>
  <c r="L21" i="12"/>
  <c r="J9" i="8"/>
  <c r="R11" i="9"/>
  <c r="L6" i="9"/>
  <c r="V6" i="43"/>
  <c r="N18" i="9"/>
  <c r="J7" i="12"/>
  <c r="R2" i="41"/>
  <c r="Y7" i="12"/>
  <c r="Q4" i="8"/>
  <c r="Q3" i="27"/>
  <c r="N15" i="27"/>
  <c r="L18" i="9"/>
  <c r="U6" i="41"/>
  <c r="J5" i="9"/>
  <c r="L17" i="41"/>
  <c r="Q2" i="43"/>
  <c r="J5" i="8"/>
  <c r="N24" i="41"/>
  <c r="J7" i="41"/>
  <c r="L16" i="48"/>
  <c r="L24" i="12"/>
  <c r="Q6" i="12"/>
  <c r="N15" i="43"/>
  <c r="L15" i="27"/>
  <c r="J11" i="4"/>
  <c r="U7" i="48"/>
  <c r="L11" i="43"/>
  <c r="L24" i="43"/>
  <c r="J13" i="8"/>
  <c r="L6" i="20"/>
  <c r="J9" i="4"/>
  <c r="J10" i="9"/>
  <c r="L22" i="5"/>
  <c r="Y4" i="4"/>
  <c r="U2" i="8"/>
  <c r="J14" i="41"/>
  <c r="L16" i="9"/>
  <c r="U9" i="20"/>
  <c r="U9" i="12"/>
  <c r="U3" i="43"/>
  <c r="L14" i="43"/>
  <c r="J3" i="8"/>
  <c r="Q7" i="12"/>
  <c r="N3" i="20"/>
  <c r="L20" i="4"/>
  <c r="Q3" i="48"/>
  <c r="Q10" i="12"/>
  <c r="Q4" i="4"/>
  <c r="J13" i="9"/>
  <c r="L16" i="12"/>
  <c r="L19" i="41"/>
  <c r="N24" i="5"/>
  <c r="J14" i="48"/>
  <c r="Y3" i="48"/>
  <c r="U8" i="27"/>
  <c r="U7" i="27"/>
  <c r="V8" i="4"/>
  <c r="L9" i="41"/>
  <c r="N18" i="12"/>
  <c r="L8" i="41"/>
  <c r="L19" i="12"/>
</calcChain>
</file>

<file path=xl/sharedStrings.xml><?xml version="1.0" encoding="utf-8"?>
<sst xmlns="http://schemas.openxmlformats.org/spreadsheetml/2006/main" count="40282" uniqueCount="589">
  <si>
    <t>銘柄名称</t>
  </si>
  <si>
    <t>日付</t>
  </si>
  <si>
    <t>時刻</t>
  </si>
  <si>
    <t>始値</t>
  </si>
  <si>
    <t>高値</t>
  </si>
  <si>
    <t>安値</t>
  </si>
  <si>
    <t>終値</t>
  </si>
  <si>
    <t>出来高</t>
  </si>
  <si>
    <t/>
  </si>
  <si>
    <t>14:25</t>
    <phoneticPr fontId="1"/>
  </si>
  <si>
    <t>14:26</t>
    <phoneticPr fontId="1"/>
  </si>
  <si>
    <t>14:27</t>
    <phoneticPr fontId="1"/>
  </si>
  <si>
    <t>14:28</t>
    <phoneticPr fontId="1"/>
  </si>
  <si>
    <t>14:29</t>
    <phoneticPr fontId="1"/>
  </si>
  <si>
    <t>14:30</t>
    <phoneticPr fontId="1"/>
  </si>
  <si>
    <t>14:31</t>
    <phoneticPr fontId="1"/>
  </si>
  <si>
    <t>14:32</t>
    <phoneticPr fontId="1"/>
  </si>
  <si>
    <t>14:33</t>
    <phoneticPr fontId="1"/>
  </si>
  <si>
    <t>14:34</t>
    <phoneticPr fontId="1"/>
  </si>
  <si>
    <t>14:35</t>
    <phoneticPr fontId="1"/>
  </si>
  <si>
    <t>14:36</t>
    <phoneticPr fontId="1"/>
  </si>
  <si>
    <t>14:37</t>
    <phoneticPr fontId="1"/>
  </si>
  <si>
    <t>14:38</t>
    <phoneticPr fontId="1"/>
  </si>
  <si>
    <t>14:39</t>
    <phoneticPr fontId="1"/>
  </si>
  <si>
    <t>14:40</t>
    <phoneticPr fontId="1"/>
  </si>
  <si>
    <t>14:41</t>
    <phoneticPr fontId="1"/>
  </si>
  <si>
    <t>14:42</t>
    <phoneticPr fontId="1"/>
  </si>
  <si>
    <t>14:43</t>
    <phoneticPr fontId="1"/>
  </si>
  <si>
    <t>14:44</t>
    <phoneticPr fontId="1"/>
  </si>
  <si>
    <t>14:45</t>
    <phoneticPr fontId="1"/>
  </si>
  <si>
    <t>14:46</t>
    <phoneticPr fontId="1"/>
  </si>
  <si>
    <t>14:47</t>
    <phoneticPr fontId="1"/>
  </si>
  <si>
    <t>14:48</t>
    <phoneticPr fontId="1"/>
  </si>
  <si>
    <t>14:49</t>
    <phoneticPr fontId="1"/>
  </si>
  <si>
    <t>14:50</t>
    <phoneticPr fontId="1"/>
  </si>
  <si>
    <t>14:51</t>
    <phoneticPr fontId="1"/>
  </si>
  <si>
    <t>14:52</t>
    <phoneticPr fontId="1"/>
  </si>
  <si>
    <t>14:53</t>
    <phoneticPr fontId="1"/>
  </si>
  <si>
    <t>14:54</t>
    <phoneticPr fontId="1"/>
  </si>
  <si>
    <t>14:55</t>
    <phoneticPr fontId="1"/>
  </si>
  <si>
    <t>14:56</t>
    <phoneticPr fontId="1"/>
  </si>
  <si>
    <t>14:57</t>
    <phoneticPr fontId="1"/>
  </si>
  <si>
    <t>14:58</t>
    <phoneticPr fontId="1"/>
  </si>
  <si>
    <t>14:59</t>
    <phoneticPr fontId="1"/>
  </si>
  <si>
    <t>15:00</t>
    <phoneticPr fontId="1"/>
  </si>
  <si>
    <t>15:01</t>
    <phoneticPr fontId="1"/>
  </si>
  <si>
    <t>15:02</t>
    <phoneticPr fontId="1"/>
  </si>
  <si>
    <t>15:03</t>
    <phoneticPr fontId="1"/>
  </si>
  <si>
    <t>15:04</t>
    <phoneticPr fontId="1"/>
  </si>
  <si>
    <t>15:05</t>
    <phoneticPr fontId="1"/>
  </si>
  <si>
    <t>15:06</t>
    <phoneticPr fontId="1"/>
  </si>
  <si>
    <t>15:07</t>
    <phoneticPr fontId="1"/>
  </si>
  <si>
    <t>15:08</t>
    <phoneticPr fontId="1"/>
  </si>
  <si>
    <t>15:09</t>
    <phoneticPr fontId="1"/>
  </si>
  <si>
    <t>15:10</t>
    <phoneticPr fontId="1"/>
  </si>
  <si>
    <t>15:11</t>
    <phoneticPr fontId="1"/>
  </si>
  <si>
    <t>15:12</t>
    <phoneticPr fontId="1"/>
  </si>
  <si>
    <t>15:13</t>
    <phoneticPr fontId="1"/>
  </si>
  <si>
    <t>15:14</t>
    <phoneticPr fontId="1"/>
  </si>
  <si>
    <t>15:15</t>
    <phoneticPr fontId="1"/>
  </si>
  <si>
    <t>15:16</t>
    <phoneticPr fontId="1"/>
  </si>
  <si>
    <t>15:17</t>
    <phoneticPr fontId="1"/>
  </si>
  <si>
    <t>15:18</t>
    <phoneticPr fontId="1"/>
  </si>
  <si>
    <t>15:19</t>
    <phoneticPr fontId="1"/>
  </si>
  <si>
    <t>15:20</t>
    <phoneticPr fontId="1"/>
  </si>
  <si>
    <t>15:21</t>
    <phoneticPr fontId="1"/>
  </si>
  <si>
    <t>15:22</t>
    <phoneticPr fontId="1"/>
  </si>
  <si>
    <t>15:25</t>
    <phoneticPr fontId="1"/>
  </si>
  <si>
    <t>15:26</t>
    <phoneticPr fontId="1"/>
  </si>
  <si>
    <t>15:27</t>
    <phoneticPr fontId="1"/>
  </si>
  <si>
    <t>15:28</t>
    <phoneticPr fontId="1"/>
  </si>
  <si>
    <t>15:29</t>
    <phoneticPr fontId="1"/>
  </si>
  <si>
    <t>15:30</t>
    <phoneticPr fontId="1"/>
  </si>
  <si>
    <t>売数量</t>
    <rPh sb="0" eb="1">
      <t>ウ</t>
    </rPh>
    <rPh sb="1" eb="3">
      <t>スウリョウ</t>
    </rPh>
    <phoneticPr fontId="1"/>
  </si>
  <si>
    <t>値段</t>
    <rPh sb="0" eb="2">
      <t>ネダン</t>
    </rPh>
    <phoneticPr fontId="1"/>
  </si>
  <si>
    <t>買数量</t>
    <rPh sb="0" eb="1">
      <t>カ</t>
    </rPh>
    <rPh sb="1" eb="3">
      <t>スウリョウ</t>
    </rPh>
    <phoneticPr fontId="1"/>
  </si>
  <si>
    <t>成行</t>
    <rPh sb="0" eb="2">
      <t>ナリユキ</t>
    </rPh>
    <phoneticPr fontId="1"/>
  </si>
  <si>
    <t>OVER</t>
    <phoneticPr fontId="1"/>
  </si>
  <si>
    <t>2025/07/18</t>
  </si>
  <si>
    <t>--------</t>
  </si>
  <si>
    <t>UNDER</t>
    <phoneticPr fontId="1"/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</si>
  <si>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</si>
  <si>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</si>
  <si>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</si>
  <si>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</si>
  <si>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</si>
  <si>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</si>
  <si>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</si>
  <si>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</si>
  <si>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</si>
  <si>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</si>
  <si>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</si>
  <si>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</si>
  <si>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</si>
  <si>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</si>
  <si>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</si>
  <si>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</si>
  <si>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</si>
  <si>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</si>
  <si>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</si>
  <si>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</si>
  <si>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</si>
  <si>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</si>
  <si>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</si>
  <si>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</si>
  <si>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</si>
  <si>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</si>
  <si>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</si>
  <si>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</si>
  <si>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</si>
  <si>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</si>
  <si>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</si>
  <si>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</si>
  <si>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</si>
  <si>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</si>
  <si>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</si>
  <si>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</si>
  <si>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</si>
  <si>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</si>
  <si>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現在地</t>
    <rPh sb="0" eb="3">
      <t>ゲンザイチ</t>
    </rPh>
    <phoneticPr fontId="1"/>
  </si>
  <si>
    <t>前日終値</t>
    <rPh sb="0" eb="4">
      <t>ゼンジツオワリネ</t>
    </rPh>
    <phoneticPr fontId="1"/>
  </si>
  <si>
    <t>前日比</t>
    <rPh sb="0" eb="3">
      <t>ゼンジツヒ</t>
    </rPh>
    <phoneticPr fontId="1"/>
  </si>
  <si>
    <t>％</t>
    <phoneticPr fontId="1"/>
  </si>
  <si>
    <t>高値</t>
    <rPh sb="0" eb="2">
      <t>タカネ</t>
    </rPh>
    <phoneticPr fontId="1"/>
  </si>
  <si>
    <t>安値</t>
    <rPh sb="0" eb="2">
      <t>ヤスネ</t>
    </rPh>
    <phoneticPr fontId="1"/>
  </si>
  <si>
    <t>始値</t>
    <rPh sb="0" eb="2">
      <t>ハジメネ</t>
    </rPh>
    <phoneticPr fontId="1"/>
  </si>
  <si>
    <t>出来高加重平均</t>
    <phoneticPr fontId="1"/>
  </si>
  <si>
    <t>年初来高値</t>
    <phoneticPr fontId="1"/>
  </si>
  <si>
    <t>年初来安値</t>
    <phoneticPr fontId="1"/>
  </si>
  <si>
    <t>上場来高値</t>
    <phoneticPr fontId="1"/>
  </si>
  <si>
    <t>上場来安値</t>
    <rPh sb="3" eb="5">
      <t>ヤスネ</t>
    </rPh>
    <phoneticPr fontId="1"/>
  </si>
  <si>
    <t>出来高</t>
    <phoneticPr fontId="1"/>
  </si>
  <si>
    <t>売買代金</t>
    <phoneticPr fontId="1"/>
  </si>
  <si>
    <t>歩み値1</t>
    <phoneticPr fontId="1"/>
  </si>
  <si>
    <t>歩み値2</t>
  </si>
  <si>
    <t>歩み値3</t>
  </si>
  <si>
    <t>歩み値4</t>
  </si>
  <si>
    <t>前場出来高</t>
    <phoneticPr fontId="1"/>
  </si>
  <si>
    <t>信用売残</t>
    <phoneticPr fontId="1"/>
  </si>
  <si>
    <t>信用買残</t>
    <phoneticPr fontId="1"/>
  </si>
  <si>
    <t>信用倍率</t>
    <phoneticPr fontId="1"/>
  </si>
  <si>
    <t>逆日歩</t>
    <phoneticPr fontId="1"/>
  </si>
  <si>
    <t>貸借倍率</t>
    <phoneticPr fontId="1"/>
  </si>
  <si>
    <t>2025/07/25</t>
  </si>
  <si>
    <t>2025/07/25</t>
    <phoneticPr fontId="1"/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</si>
  <si>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</si>
  <si>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</si>
  <si>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</si>
  <si>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</si>
  <si>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</si>
  <si>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</si>
  <si>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</si>
  <si>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</si>
  <si>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</si>
  <si>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</si>
  <si>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</si>
  <si>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</si>
  <si>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</si>
  <si>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</si>
  <si>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</si>
  <si>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</si>
  <si>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</si>
  <si>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</si>
  <si>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</si>
  <si>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15:23</t>
    <phoneticPr fontId="1"/>
  </si>
  <si>
    <t>15:24</t>
    <phoneticPr fontId="1"/>
  </si>
  <si>
    <t>09:00</t>
    <phoneticPr fontId="1"/>
  </si>
  <si>
    <t>09:01</t>
    <phoneticPr fontId="1"/>
  </si>
  <si>
    <t>09:02</t>
    <phoneticPr fontId="1"/>
  </si>
  <si>
    <t>09:03</t>
    <phoneticPr fontId="1"/>
  </si>
  <si>
    <t>09:04</t>
    <phoneticPr fontId="1"/>
  </si>
  <si>
    <t>09:05</t>
    <phoneticPr fontId="1"/>
  </si>
  <si>
    <t>09:06</t>
    <phoneticPr fontId="1"/>
  </si>
  <si>
    <t>09:07</t>
    <phoneticPr fontId="1"/>
  </si>
  <si>
    <t>09:08</t>
    <phoneticPr fontId="1"/>
  </si>
  <si>
    <t>09:09</t>
    <phoneticPr fontId="1"/>
  </si>
  <si>
    <t>09:10</t>
    <phoneticPr fontId="1"/>
  </si>
  <si>
    <t>09:11</t>
    <phoneticPr fontId="1"/>
  </si>
  <si>
    <t>09:12</t>
    <phoneticPr fontId="1"/>
  </si>
  <si>
    <t>09:13</t>
    <phoneticPr fontId="1"/>
  </si>
  <si>
    <t>09:14</t>
    <phoneticPr fontId="1"/>
  </si>
  <si>
    <t>09:15</t>
    <phoneticPr fontId="1"/>
  </si>
  <si>
    <t>09:16</t>
    <phoneticPr fontId="1"/>
  </si>
  <si>
    <t>09:17</t>
    <phoneticPr fontId="1"/>
  </si>
  <si>
    <t>09:18</t>
    <phoneticPr fontId="1"/>
  </si>
  <si>
    <t>09:19</t>
    <phoneticPr fontId="1"/>
  </si>
  <si>
    <t>09:20</t>
    <phoneticPr fontId="1"/>
  </si>
  <si>
    <t>09:21</t>
    <phoneticPr fontId="1"/>
  </si>
  <si>
    <t>09:22</t>
    <phoneticPr fontId="1"/>
  </si>
  <si>
    <t>09:23</t>
    <phoneticPr fontId="1"/>
  </si>
  <si>
    <t>09:24</t>
    <phoneticPr fontId="1"/>
  </si>
  <si>
    <t>09:25</t>
    <phoneticPr fontId="1"/>
  </si>
  <si>
    <t>09:26</t>
    <phoneticPr fontId="1"/>
  </si>
  <si>
    <t>09:27</t>
    <phoneticPr fontId="1"/>
  </si>
  <si>
    <t>09:28</t>
    <phoneticPr fontId="1"/>
  </si>
  <si>
    <t>09:29</t>
    <phoneticPr fontId="1"/>
  </si>
  <si>
    <t>09:30</t>
    <phoneticPr fontId="1"/>
  </si>
  <si>
    <t>09:31</t>
    <phoneticPr fontId="1"/>
  </si>
  <si>
    <t>09:32</t>
    <phoneticPr fontId="1"/>
  </si>
  <si>
    <t>09:33</t>
    <phoneticPr fontId="1"/>
  </si>
  <si>
    <t>09:34</t>
    <phoneticPr fontId="1"/>
  </si>
  <si>
    <t>09:35</t>
    <phoneticPr fontId="1"/>
  </si>
  <si>
    <t>09:36</t>
    <phoneticPr fontId="1"/>
  </si>
  <si>
    <t>09:37</t>
    <phoneticPr fontId="1"/>
  </si>
  <si>
    <t>09:38</t>
    <phoneticPr fontId="1"/>
  </si>
  <si>
    <t>09:39</t>
    <phoneticPr fontId="1"/>
  </si>
  <si>
    <t>09:40</t>
    <phoneticPr fontId="1"/>
  </si>
  <si>
    <t>09:41</t>
    <phoneticPr fontId="1"/>
  </si>
  <si>
    <t>09:42</t>
    <phoneticPr fontId="1"/>
  </si>
  <si>
    <t>09:43</t>
    <phoneticPr fontId="1"/>
  </si>
  <si>
    <t>09:44</t>
    <phoneticPr fontId="1"/>
  </si>
  <si>
    <t>09:45</t>
    <phoneticPr fontId="1"/>
  </si>
  <si>
    <t>09:46</t>
    <phoneticPr fontId="1"/>
  </si>
  <si>
    <t>09:47</t>
    <phoneticPr fontId="1"/>
  </si>
  <si>
    <t>09:48</t>
    <phoneticPr fontId="1"/>
  </si>
  <si>
    <t>09:49</t>
    <phoneticPr fontId="1"/>
  </si>
  <si>
    <t>09:50</t>
    <phoneticPr fontId="1"/>
  </si>
  <si>
    <t>09:51</t>
    <phoneticPr fontId="1"/>
  </si>
  <si>
    <t>09:52</t>
    <phoneticPr fontId="1"/>
  </si>
  <si>
    <t>09:53</t>
    <phoneticPr fontId="1"/>
  </si>
  <si>
    <t>09:54</t>
    <phoneticPr fontId="1"/>
  </si>
  <si>
    <t>09:55</t>
    <phoneticPr fontId="1"/>
  </si>
  <si>
    <t>09:56</t>
    <phoneticPr fontId="1"/>
  </si>
  <si>
    <t>09:57</t>
    <phoneticPr fontId="1"/>
  </si>
  <si>
    <t>09:58</t>
    <phoneticPr fontId="1"/>
  </si>
  <si>
    <t>09:59</t>
    <phoneticPr fontId="1"/>
  </si>
  <si>
    <t>10:00</t>
    <phoneticPr fontId="1"/>
  </si>
  <si>
    <t>10:01</t>
    <phoneticPr fontId="1"/>
  </si>
  <si>
    <t>10:02</t>
    <phoneticPr fontId="1"/>
  </si>
  <si>
    <t>10:03</t>
    <phoneticPr fontId="1"/>
  </si>
  <si>
    <t>10:04</t>
    <phoneticPr fontId="1"/>
  </si>
  <si>
    <t>10:05</t>
    <phoneticPr fontId="1"/>
  </si>
  <si>
    <t>10:06</t>
    <phoneticPr fontId="1"/>
  </si>
  <si>
    <t>10:07</t>
    <phoneticPr fontId="1"/>
  </si>
  <si>
    <t>10:08</t>
    <phoneticPr fontId="1"/>
  </si>
  <si>
    <t>10:09</t>
    <phoneticPr fontId="1"/>
  </si>
  <si>
    <t>10:10</t>
    <phoneticPr fontId="1"/>
  </si>
  <si>
    <t>10:11</t>
    <phoneticPr fontId="1"/>
  </si>
  <si>
    <t>10:12</t>
    <phoneticPr fontId="1"/>
  </si>
  <si>
    <t>10:13</t>
    <phoneticPr fontId="1"/>
  </si>
  <si>
    <t>10:14</t>
    <phoneticPr fontId="1"/>
  </si>
  <si>
    <t>10:15</t>
    <phoneticPr fontId="1"/>
  </si>
  <si>
    <t>10:16</t>
    <phoneticPr fontId="1"/>
  </si>
  <si>
    <t>10:17</t>
    <phoneticPr fontId="1"/>
  </si>
  <si>
    <t>10:18</t>
    <phoneticPr fontId="1"/>
  </si>
  <si>
    <t>10:19</t>
    <phoneticPr fontId="1"/>
  </si>
  <si>
    <t>10:20</t>
    <phoneticPr fontId="1"/>
  </si>
  <si>
    <t>10:21</t>
    <phoneticPr fontId="1"/>
  </si>
  <si>
    <t>10:22</t>
    <phoneticPr fontId="1"/>
  </si>
  <si>
    <t>10:23</t>
    <phoneticPr fontId="1"/>
  </si>
  <si>
    <t>10:24</t>
    <phoneticPr fontId="1"/>
  </si>
  <si>
    <t>10:25</t>
    <phoneticPr fontId="1"/>
  </si>
  <si>
    <t>10:26</t>
    <phoneticPr fontId="1"/>
  </si>
  <si>
    <t>10:27</t>
    <phoneticPr fontId="1"/>
  </si>
  <si>
    <t>10:28</t>
    <phoneticPr fontId="1"/>
  </si>
  <si>
    <t>10:29</t>
    <phoneticPr fontId="1"/>
  </si>
  <si>
    <t>10:30</t>
    <phoneticPr fontId="1"/>
  </si>
  <si>
    <t>10:31</t>
    <phoneticPr fontId="1"/>
  </si>
  <si>
    <t>10:32</t>
    <phoneticPr fontId="1"/>
  </si>
  <si>
    <t>10:33</t>
    <phoneticPr fontId="1"/>
  </si>
  <si>
    <t>10:34</t>
    <phoneticPr fontId="1"/>
  </si>
  <si>
    <t>10:35</t>
    <phoneticPr fontId="1"/>
  </si>
  <si>
    <t>10:36</t>
    <phoneticPr fontId="1"/>
  </si>
  <si>
    <t>10:37</t>
    <phoneticPr fontId="1"/>
  </si>
  <si>
    <t>10:38</t>
    <phoneticPr fontId="1"/>
  </si>
  <si>
    <t>10:39</t>
    <phoneticPr fontId="1"/>
  </si>
  <si>
    <t>10:40</t>
    <phoneticPr fontId="1"/>
  </si>
  <si>
    <t>10:41</t>
    <phoneticPr fontId="1"/>
  </si>
  <si>
    <t>10:42</t>
    <phoneticPr fontId="1"/>
  </si>
  <si>
    <t>10:43</t>
    <phoneticPr fontId="1"/>
  </si>
  <si>
    <t>10:44</t>
    <phoneticPr fontId="1"/>
  </si>
  <si>
    <t>10:45</t>
    <phoneticPr fontId="1"/>
  </si>
  <si>
    <t>10:46</t>
    <phoneticPr fontId="1"/>
  </si>
  <si>
    <t>10:47</t>
    <phoneticPr fontId="1"/>
  </si>
  <si>
    <t>10:48</t>
    <phoneticPr fontId="1"/>
  </si>
  <si>
    <t>10:49</t>
    <phoneticPr fontId="1"/>
  </si>
  <si>
    <t>10:50</t>
    <phoneticPr fontId="1"/>
  </si>
  <si>
    <t>10:51</t>
    <phoneticPr fontId="1"/>
  </si>
  <si>
    <t>10:52</t>
    <phoneticPr fontId="1"/>
  </si>
  <si>
    <t>10:53</t>
    <phoneticPr fontId="1"/>
  </si>
  <si>
    <t>10:54</t>
    <phoneticPr fontId="1"/>
  </si>
  <si>
    <t>10:55</t>
    <phoneticPr fontId="1"/>
  </si>
  <si>
    <t>10:56</t>
    <phoneticPr fontId="1"/>
  </si>
  <si>
    <t>10:57</t>
    <phoneticPr fontId="1"/>
  </si>
  <si>
    <t>10:58</t>
    <phoneticPr fontId="1"/>
  </si>
  <si>
    <t>10:59</t>
    <phoneticPr fontId="1"/>
  </si>
  <si>
    <t>11:00</t>
    <phoneticPr fontId="1"/>
  </si>
  <si>
    <t>11:01</t>
    <phoneticPr fontId="1"/>
  </si>
  <si>
    <t>11:02</t>
    <phoneticPr fontId="1"/>
  </si>
  <si>
    <t>11:03</t>
    <phoneticPr fontId="1"/>
  </si>
  <si>
    <t>11:04</t>
    <phoneticPr fontId="1"/>
  </si>
  <si>
    <t>11:05</t>
    <phoneticPr fontId="1"/>
  </si>
  <si>
    <t>11:06</t>
    <phoneticPr fontId="1"/>
  </si>
  <si>
    <t>11:07</t>
    <phoneticPr fontId="1"/>
  </si>
  <si>
    <t>11:08</t>
    <phoneticPr fontId="1"/>
  </si>
  <si>
    <t>11:09</t>
    <phoneticPr fontId="1"/>
  </si>
  <si>
    <t>11:10</t>
    <phoneticPr fontId="1"/>
  </si>
  <si>
    <t>11:11</t>
    <phoneticPr fontId="1"/>
  </si>
  <si>
    <t>11:12</t>
    <phoneticPr fontId="1"/>
  </si>
  <si>
    <t>11:13</t>
    <phoneticPr fontId="1"/>
  </si>
  <si>
    <t>11:14</t>
    <phoneticPr fontId="1"/>
  </si>
  <si>
    <t>11:15</t>
    <phoneticPr fontId="1"/>
  </si>
  <si>
    <t>11:16</t>
    <phoneticPr fontId="1"/>
  </si>
  <si>
    <t>11:17</t>
    <phoneticPr fontId="1"/>
  </si>
  <si>
    <t>11:18</t>
    <phoneticPr fontId="1"/>
  </si>
  <si>
    <t>11:19</t>
    <phoneticPr fontId="1"/>
  </si>
  <si>
    <t>11:20</t>
    <phoneticPr fontId="1"/>
  </si>
  <si>
    <t>11:21</t>
    <phoneticPr fontId="1"/>
  </si>
  <si>
    <t>11:22</t>
    <phoneticPr fontId="1"/>
  </si>
  <si>
    <t>11:23</t>
    <phoneticPr fontId="1"/>
  </si>
  <si>
    <t>11:24</t>
    <phoneticPr fontId="1"/>
  </si>
  <si>
    <t>11:25</t>
    <phoneticPr fontId="1"/>
  </si>
  <si>
    <t>11:26</t>
    <phoneticPr fontId="1"/>
  </si>
  <si>
    <t>11:27</t>
    <phoneticPr fontId="1"/>
  </si>
  <si>
    <t>11:28</t>
    <phoneticPr fontId="1"/>
  </si>
  <si>
    <t>11:29</t>
    <phoneticPr fontId="1"/>
  </si>
  <si>
    <t>11:30</t>
    <phoneticPr fontId="1"/>
  </si>
  <si>
    <t>12:30</t>
    <phoneticPr fontId="1"/>
  </si>
  <si>
    <t>12:31</t>
    <phoneticPr fontId="1"/>
  </si>
  <si>
    <t>12:32</t>
    <phoneticPr fontId="1"/>
  </si>
  <si>
    <t>12:33</t>
    <phoneticPr fontId="1"/>
  </si>
  <si>
    <t>12:34</t>
    <phoneticPr fontId="1"/>
  </si>
  <si>
    <t>12:35</t>
    <phoneticPr fontId="1"/>
  </si>
  <si>
    <t>12:36</t>
    <phoneticPr fontId="1"/>
  </si>
  <si>
    <t>12:37</t>
    <phoneticPr fontId="1"/>
  </si>
  <si>
    <t>12:38</t>
    <phoneticPr fontId="1"/>
  </si>
  <si>
    <t>12:39</t>
    <phoneticPr fontId="1"/>
  </si>
  <si>
    <t>12:40</t>
    <phoneticPr fontId="1"/>
  </si>
  <si>
    <t>12:41</t>
    <phoneticPr fontId="1"/>
  </si>
  <si>
    <t>12:42</t>
    <phoneticPr fontId="1"/>
  </si>
  <si>
    <t>12:43</t>
    <phoneticPr fontId="1"/>
  </si>
  <si>
    <t>12:44</t>
    <phoneticPr fontId="1"/>
  </si>
  <si>
    <t>12:45</t>
    <phoneticPr fontId="1"/>
  </si>
  <si>
    <t>12:46</t>
    <phoneticPr fontId="1"/>
  </si>
  <si>
    <t>12:47</t>
    <phoneticPr fontId="1"/>
  </si>
  <si>
    <t>12:48</t>
    <phoneticPr fontId="1"/>
  </si>
  <si>
    <t>12:49</t>
    <phoneticPr fontId="1"/>
  </si>
  <si>
    <t>12:50</t>
    <phoneticPr fontId="1"/>
  </si>
  <si>
    <t>12:51</t>
    <phoneticPr fontId="1"/>
  </si>
  <si>
    <t>12:52</t>
    <phoneticPr fontId="1"/>
  </si>
  <si>
    <t>12:53</t>
    <phoneticPr fontId="1"/>
  </si>
  <si>
    <t>12:54</t>
    <phoneticPr fontId="1"/>
  </si>
  <si>
    <t>12:55</t>
    <phoneticPr fontId="1"/>
  </si>
  <si>
    <t>12:56</t>
    <phoneticPr fontId="1"/>
  </si>
  <si>
    <t>12:57</t>
    <phoneticPr fontId="1"/>
  </si>
  <si>
    <t>12:58</t>
    <phoneticPr fontId="1"/>
  </si>
  <si>
    <t>12:59</t>
    <phoneticPr fontId="1"/>
  </si>
  <si>
    <t>13:00</t>
    <phoneticPr fontId="1"/>
  </si>
  <si>
    <t>13:01</t>
    <phoneticPr fontId="1"/>
  </si>
  <si>
    <t>13:02</t>
    <phoneticPr fontId="1"/>
  </si>
  <si>
    <t>13:03</t>
    <phoneticPr fontId="1"/>
  </si>
  <si>
    <t>13:04</t>
    <phoneticPr fontId="1"/>
  </si>
  <si>
    <t>13:05</t>
    <phoneticPr fontId="1"/>
  </si>
  <si>
    <t>13:06</t>
    <phoneticPr fontId="1"/>
  </si>
  <si>
    <t>13:07</t>
    <phoneticPr fontId="1"/>
  </si>
  <si>
    <t>13:08</t>
    <phoneticPr fontId="1"/>
  </si>
  <si>
    <t>13:09</t>
    <phoneticPr fontId="1"/>
  </si>
  <si>
    <t>13:10</t>
    <phoneticPr fontId="1"/>
  </si>
  <si>
    <t>13:11</t>
    <phoneticPr fontId="1"/>
  </si>
  <si>
    <t>13:12</t>
    <phoneticPr fontId="1"/>
  </si>
  <si>
    <t>13:13</t>
    <phoneticPr fontId="1"/>
  </si>
  <si>
    <t>13:14</t>
    <phoneticPr fontId="1"/>
  </si>
  <si>
    <t>13:15</t>
    <phoneticPr fontId="1"/>
  </si>
  <si>
    <t>13:16</t>
    <phoneticPr fontId="1"/>
  </si>
  <si>
    <t>13:17</t>
    <phoneticPr fontId="1"/>
  </si>
  <si>
    <t>13:18</t>
    <phoneticPr fontId="1"/>
  </si>
  <si>
    <t>13:19</t>
    <phoneticPr fontId="1"/>
  </si>
  <si>
    <t>13:20</t>
    <phoneticPr fontId="1"/>
  </si>
  <si>
    <t>13:21</t>
    <phoneticPr fontId="1"/>
  </si>
  <si>
    <t>13:22</t>
    <phoneticPr fontId="1"/>
  </si>
  <si>
    <t>13:23</t>
    <phoneticPr fontId="1"/>
  </si>
  <si>
    <t>13:24</t>
    <phoneticPr fontId="1"/>
  </si>
  <si>
    <t>13:25</t>
    <phoneticPr fontId="1"/>
  </si>
  <si>
    <t>13:26</t>
    <phoneticPr fontId="1"/>
  </si>
  <si>
    <t>13:27</t>
    <phoneticPr fontId="1"/>
  </si>
  <si>
    <t>13:28</t>
    <phoneticPr fontId="1"/>
  </si>
  <si>
    <t>13:29</t>
    <phoneticPr fontId="1"/>
  </si>
  <si>
    <t>13:30</t>
    <phoneticPr fontId="1"/>
  </si>
  <si>
    <t>13:31</t>
    <phoneticPr fontId="1"/>
  </si>
  <si>
    <t>13:32</t>
    <phoneticPr fontId="1"/>
  </si>
  <si>
    <t>13:33</t>
    <phoneticPr fontId="1"/>
  </si>
  <si>
    <t>13:34</t>
    <phoneticPr fontId="1"/>
  </si>
  <si>
    <t>13:35</t>
    <phoneticPr fontId="1"/>
  </si>
  <si>
    <t>13:36</t>
    <phoneticPr fontId="1"/>
  </si>
  <si>
    <t>13:37</t>
    <phoneticPr fontId="1"/>
  </si>
  <si>
    <t>13:38</t>
    <phoneticPr fontId="1"/>
  </si>
  <si>
    <t>13:39</t>
    <phoneticPr fontId="1"/>
  </si>
  <si>
    <t>13:40</t>
    <phoneticPr fontId="1"/>
  </si>
  <si>
    <t>13:41</t>
    <phoneticPr fontId="1"/>
  </si>
  <si>
    <t>13:42</t>
    <phoneticPr fontId="1"/>
  </si>
  <si>
    <t>13:43</t>
    <phoneticPr fontId="1"/>
  </si>
  <si>
    <t>13:44</t>
    <phoneticPr fontId="1"/>
  </si>
  <si>
    <t>13:45</t>
    <phoneticPr fontId="1"/>
  </si>
  <si>
    <t>13:46</t>
    <phoneticPr fontId="1"/>
  </si>
  <si>
    <t>13:47</t>
    <phoneticPr fontId="1"/>
  </si>
  <si>
    <t>13:48</t>
    <phoneticPr fontId="1"/>
  </si>
  <si>
    <t>13:49</t>
    <phoneticPr fontId="1"/>
  </si>
  <si>
    <t>13:50</t>
    <phoneticPr fontId="1"/>
  </si>
  <si>
    <t>13:51</t>
    <phoneticPr fontId="1"/>
  </si>
  <si>
    <t>13:52</t>
    <phoneticPr fontId="1"/>
  </si>
  <si>
    <t>13:53</t>
    <phoneticPr fontId="1"/>
  </si>
  <si>
    <t>13:54</t>
    <phoneticPr fontId="1"/>
  </si>
  <si>
    <t>13:55</t>
    <phoneticPr fontId="1"/>
  </si>
  <si>
    <t>13:56</t>
    <phoneticPr fontId="1"/>
  </si>
  <si>
    <t>13:57</t>
    <phoneticPr fontId="1"/>
  </si>
  <si>
    <t>13:58</t>
    <phoneticPr fontId="1"/>
  </si>
  <si>
    <t>13:59</t>
    <phoneticPr fontId="1"/>
  </si>
  <si>
    <t>14:00</t>
    <phoneticPr fontId="1"/>
  </si>
  <si>
    <t>14:01</t>
    <phoneticPr fontId="1"/>
  </si>
  <si>
    <t>14:02</t>
    <phoneticPr fontId="1"/>
  </si>
  <si>
    <t>14:03</t>
    <phoneticPr fontId="1"/>
  </si>
  <si>
    <t>14:04</t>
    <phoneticPr fontId="1"/>
  </si>
  <si>
    <t>14:05</t>
    <phoneticPr fontId="1"/>
  </si>
  <si>
    <t>14:06</t>
    <phoneticPr fontId="1"/>
  </si>
  <si>
    <t>14:07</t>
    <phoneticPr fontId="1"/>
  </si>
  <si>
    <t>14:08</t>
    <phoneticPr fontId="1"/>
  </si>
  <si>
    <t>14:09</t>
    <phoneticPr fontId="1"/>
  </si>
  <si>
    <t>14:10</t>
    <phoneticPr fontId="1"/>
  </si>
  <si>
    <t>14:11</t>
    <phoneticPr fontId="1"/>
  </si>
  <si>
    <t>14:12</t>
    <phoneticPr fontId="1"/>
  </si>
  <si>
    <t>14:13</t>
    <phoneticPr fontId="1"/>
  </si>
  <si>
    <t>14:14</t>
    <phoneticPr fontId="1"/>
  </si>
  <si>
    <t>14:15</t>
    <phoneticPr fontId="1"/>
  </si>
  <si>
    <t>14:16</t>
    <phoneticPr fontId="1"/>
  </si>
  <si>
    <t>14:17</t>
    <phoneticPr fontId="1"/>
  </si>
  <si>
    <t>14:18</t>
    <phoneticPr fontId="1"/>
  </si>
  <si>
    <t>14:19</t>
    <phoneticPr fontId="1"/>
  </si>
  <si>
    <t>14:20</t>
    <phoneticPr fontId="1"/>
  </si>
  <si>
    <t>14:21</t>
    <phoneticPr fontId="1"/>
  </si>
  <si>
    <t>14:22</t>
    <phoneticPr fontId="1"/>
  </si>
  <si>
    <t>14:23</t>
    <phoneticPr fontId="1"/>
  </si>
  <si>
    <t>14:24</t>
    <phoneticPr fontId="1"/>
  </si>
  <si>
    <t>日立</t>
    <phoneticPr fontId="1"/>
  </si>
  <si>
    <t>ＫＯＫＵＳＡＩＥＬＥＣＴＲＩＣ</t>
    <phoneticPr fontId="1"/>
  </si>
  <si>
    <t>ローツェ</t>
    <phoneticPr fontId="1"/>
  </si>
  <si>
    <t>みずほフィナンシャルＧ</t>
    <phoneticPr fontId="1"/>
  </si>
  <si>
    <t>フジクラ</t>
    <phoneticPr fontId="1"/>
  </si>
  <si>
    <t>三菱商事</t>
    <phoneticPr fontId="1"/>
  </si>
  <si>
    <t>サンリオ</t>
    <phoneticPr fontId="1"/>
  </si>
  <si>
    <t>三菱ＵＦＪフィナンシャルＧ</t>
    <phoneticPr fontId="1"/>
  </si>
  <si>
    <t>オムロン</t>
    <phoneticPr fontId="1"/>
  </si>
  <si>
    <t>三井Ｅ＆Ｓ</t>
    <phoneticPr fontId="1"/>
  </si>
  <si>
    <t>2025/07/29</t>
    <phoneticPr fontId="1"/>
  </si>
  <si>
    <t>2025/07/30</t>
    <phoneticPr fontId="1"/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</si>
  <si>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</si>
  <si>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</si>
  <si>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</si>
  <si>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</si>
  <si>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</si>
  <si>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</si>
  <si>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</si>
  <si>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</si>
  <si>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</si>
  <si>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</si>
  <si>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</si>
  <si>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</si>
  <si>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</si>
  <si>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</si>
  <si>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</si>
  <si>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</si>
  <si>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</si>
  <si>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</si>
  <si>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09:27</t>
  </si>
  <si>
    <t>2025/07/31</t>
    <phoneticPr fontId="1"/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</si>
  <si>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</si>
  <si>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</si>
  <si>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</si>
  <si>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</si>
  <si>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</si>
  <si>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</si>
  <si>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</si>
  <si>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</si>
  <si>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</si>
  <si>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</si>
  <si>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</si>
  <si>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</si>
  <si>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</si>
  <si>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</si>
  <si>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</si>
  <si>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</si>
  <si>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</si>
  <si>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</si>
  <si>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</si>
  <si>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</si>
  <si>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</si>
  <si>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</si>
  <si>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</si>
  <si>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</si>
  <si>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</si>
  <si>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</si>
  <si>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</si>
  <si>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</si>
  <si>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</si>
  <si>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</si>
  <si>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</si>
  <si>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</si>
  <si>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</si>
  <si>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</si>
  <si>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</si>
  <si>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</si>
  <si>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</si>
  <si>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</si>
  <si>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</si>
  <si>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</si>
  <si>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</si>
  <si>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</si>
  <si>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</si>
  <si>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</si>
  <si>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</si>
  <si>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</si>
  <si>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</si>
  <si>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</si>
  <si>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</si>
  <si>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</si>
  <si>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</si>
  <si>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</si>
  <si>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</si>
  <si>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</si>
  <si>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</si>
  <si>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</si>
  <si>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</si>
  <si>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</si>
  <si>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</si>
  <si>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</si>
  <si>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</si>
  <si>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</si>
  <si>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</si>
  <si>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</si>
  <si>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</si>
  <si>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</si>
  <si>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</si>
  <si>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</si>
  <si>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</si>
  <si>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</si>
  <si>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</si>
  <si>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</si>
  <si>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</si>
  <si>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</si>
  <si>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</si>
  <si>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</si>
  <si>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</si>
  <si>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</si>
  <si>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</si>
  <si>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</si>
  <si>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</si>
  <si>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</si>
  <si>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</si>
  <si>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</si>
  <si>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</si>
  <si>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</si>
  <si>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</si>
  <si>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</si>
  <si>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</si>
  <si>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</si>
  <si>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</si>
  <si>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</si>
  <si>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</si>
  <si>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</si>
  <si>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</si>
  <si>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</si>
  <si>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</si>
  <si>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</si>
  <si>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</si>
  <si>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</si>
  <si>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</si>
  <si>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</si>
  <si>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</si>
  <si>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</si>
  <si>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</si>
  <si>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</si>
  <si>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</si>
  <si>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</si>
  <si>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</si>
  <si>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</si>
  <si>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</si>
  <si>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</si>
  <si>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</si>
  <si>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</si>
  <si>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</si>
  <si>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</si>
  <si>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</si>
  <si>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</si>
  <si>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</si>
  <si>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</si>
  <si>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</si>
  <si>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</si>
  <si>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2025/08/01</t>
  </si>
  <si>
    <t>2025/08/01</t>
    <phoneticPr fontId="1"/>
  </si>
  <si>
    <t>--------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</si>
</sst>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4818782133094cecbfb354c1885dc670">
      <tp>
        <v>87500</v>
        <stp/>
        <stp>Market</stp>
        <stp>STOCK</stp>
        <stp>66450.T</stp>
        <stp>信用売残</stp>
        <tr r="Y2" s="27"/>
      </tp>
      <tp t="s">
        <v>2021/12/16</v>
        <stp/>
        <stp>Market</stp>
        <stp>STOCK</stp>
        <stp>66450.T</stp>
        <stp>上場来高値日付</stp>
        <tr r="R11" s="27"/>
      </tp>
      <tp t="s">
        <v/>
        <stp/>
        <stp>Market</stp>
        <stp>STOCK</stp>
        <stp>66450.T</stp>
        <stp>上場来安値日付</stp>
        <tr r="R12" s="27"/>
      </tp>
      <tp t="s">
        <v>2024/07/17</v>
        <stp/>
        <stp>Market</stp>
        <stp>STOCK</stp>
        <stp>65250.T</stp>
        <stp>上場来高値日付</stp>
        <tr r="R11" s="43"/>
      </tp>
      <tp t="s">
        <v>2024/06/26</v>
        <stp/>
        <stp>Market</stp>
        <stp>STOCK</stp>
        <stp>65010.T</stp>
        <stp>上場来高値日付</stp>
        <tr r="R11" s="20"/>
      </tp>
      <tp t="s">
        <v>2025/04/09</v>
        <stp/>
        <stp>Market</stp>
        <stp>STOCK</stp>
        <stp>65250.T</stp>
        <stp>上場来安値日付</stp>
        <tr r="R12" s="43"/>
      </tp>
      <tp t="s">
        <v/>
        <stp/>
        <stp>Market</stp>
        <stp>STOCK</stp>
        <stp>65010.T</stp>
        <stp>上場来安値日付</stp>
        <tr r="R12" s="20"/>
      </tp>
      <tp t="s">
        <v>2024/07/09</v>
        <stp/>
        <stp>Market</stp>
        <stp>STOCK</stp>
        <stp>63230.T</stp>
        <stp>上場来高値日付</stp>
        <tr r="R11" s="41"/>
      </tp>
      <tp t="s">
        <v>2008/12/25</v>
        <stp/>
        <stp>Market</stp>
        <stp>STOCK</stp>
        <stp>63230.T</stp>
        <stp>上場来安値日付</stp>
        <tr r="R12" s="41"/>
      </tp>
      <tp>
        <v>588600</v>
        <stp/>
        <stp>Market</stp>
        <stp>STOCK</stp>
        <stp>58030.T</stp>
        <stp>OVER気配数量</stp>
        <tr r="J4" s="4"/>
      </tp>
      <tp t="s">
        <v>2025/07/31</v>
        <stp/>
        <stp>Market</stp>
        <stp>STOCK</stp>
        <stp>70030.T</stp>
        <stp>上場来高値日付</stp>
        <tr r="R11" s="12"/>
      </tp>
      <tp t="s">
        <v>2000/03/02</v>
        <stp/>
        <stp>Market</stp>
        <stp>STOCK</stp>
        <stp>70030.T</stp>
        <stp>上場来安値日付</stp>
        <tr r="R12" s="12"/>
      </tp>
      <tp>
        <v>2228700</v>
        <stp/>
        <stp>Market</stp>
        <stp>STOCK</stp>
        <stp>84110.T</stp>
        <stp>信用売残</stp>
        <tr r="Y2" s="9"/>
      </tp>
      <tp>
        <v>1825300</v>
        <stp/>
        <stp>Market</stp>
        <stp>STOCK</stp>
        <stp>65010.T</stp>
        <stp>信用売残</stp>
        <tr r="Y2" s="20"/>
      </tp>
      <tp t="s">
        <v>2025/07/31</v>
        <stp/>
        <stp>Market</stp>
        <stp>STOCK</stp>
        <stp>58030.T</stp>
        <stp>上場来高値日付</stp>
        <tr r="R11" s="4"/>
      </tp>
      <tp>
        <v>413700</v>
        <stp/>
        <stp>Market</stp>
        <stp>STOCK</stp>
        <stp>65250.T</stp>
        <stp>信用売残</stp>
        <tr r="Y2" s="43"/>
      </tp>
      <tp t="s">
        <v/>
        <stp/>
        <stp>Market</stp>
        <stp>STOCK</stp>
        <stp>58030.T</stp>
        <stp>上場来安値日付</stp>
        <tr r="R12" s="4"/>
      </tp>
      <tp>
        <v>7644300</v>
        <stp/>
        <stp>Market</stp>
        <stp>STOCK</stp>
        <stp>83060.T</stp>
        <stp>信用売残</stp>
        <tr r="Y2" s="5"/>
      </tp>
      <tp>
        <v>323900</v>
        <stp/>
        <stp>Market</stp>
        <stp>STOCK</stp>
        <stp>63230.T</stp>
        <stp>信用売残</stp>
        <tr r="Y2" s="41"/>
      </tp>
      <tp>
        <v>0.84</v>
        <stp/>
        <stp>Market</stp>
        <stp>STOCK</stp>
        <stp>58030.T</stp>
        <stp>信用倍率</stp>
        <tr r="Y4" s="4"/>
      </tp>
      <tp>
        <v>879200</v>
        <stp/>
        <stp>Market</stp>
        <stp>STOCK</stp>
        <stp>80580.T</stp>
        <stp>信用売残</stp>
        <tr r="Y2" s="48"/>
      </tp>
      <tp>
        <v>1946700</v>
        <stp/>
        <stp>Market</stp>
        <stp>STOCK</stp>
        <stp>70030.T</stp>
        <stp>信用売残</stp>
        <tr r="Y2" s="12"/>
      </tp>
      <tp>
        <v>1192400</v>
        <stp/>
        <stp>Market</stp>
        <stp>STOCK</stp>
        <stp>81360.T</stp>
        <stp>信用売残</stp>
        <tr r="Y2" s="8"/>
      </tp>
      <tp>
        <v>12.6</v>
        <stp/>
        <stp>Market</stp>
        <stp>STOCK</stp>
        <stp>66450.T</stp>
        <stp>信用倍率</stp>
        <tr r="Y4" s="27"/>
      </tp>
      <tp>
        <v>383000</v>
        <stp/>
        <stp>Market</stp>
        <stp>STOCK</stp>
        <stp>70030.T</stp>
        <stp>OVER気配数量</stp>
        <tr r="J4" s="12"/>
      </tp>
      <tp>
        <v>1983800</v>
        <stp/>
        <stp>Market</stp>
        <stp>STOCK</stp>
        <stp>80580.T</stp>
        <stp>OVER気配数量</stp>
        <tr r="J4" s="48"/>
      </tp>
      <tp>
        <v>7900</v>
        <stp/>
        <stp>Market</stp>
        <stp>STOCK</stp>
        <stp>84110.T</stp>
        <stp>最良買気配数量10</stp>
        <tr r="N24" s="9"/>
      </tp>
      <tp>
        <v>1188400</v>
        <stp/>
        <stp>Market</stp>
        <stp>STOCK</stp>
        <stp>81360.T</stp>
        <stp>OVER気配数量</stp>
        <tr r="J4" s="8"/>
      </tp>
      <tp>
        <v>130400</v>
        <stp/>
        <stp>Market</stp>
        <stp>STOCK</stp>
        <stp>83060.T</stp>
        <stp>最良買気配数量10</stp>
        <tr r="N24" s="5"/>
      </tp>
      <tp>
        <v>4900</v>
        <stp/>
        <stp>Market</stp>
        <stp>STOCK</stp>
        <stp>65010.T</stp>
        <stp>最良買気配数量10</stp>
        <tr r="N24" s="20"/>
      </tp>
      <tp>
        <v>20100</v>
        <stp/>
        <stp>Market</stp>
        <stp>STOCK</stp>
        <stp>70030.T</stp>
        <stp>最良買気配数量10</stp>
        <tr r="N24" s="12"/>
      </tp>
      <tp>
        <v>2600</v>
        <stp/>
        <stp>Market</stp>
        <stp>STOCK</stp>
        <stp>58030.T</stp>
        <stp>最良買気配数量10</stp>
        <tr r="N24" s="4"/>
      </tp>
      <tp>
        <v>2.58</v>
        <stp/>
        <stp>Market</stp>
        <stp>STOCK</stp>
        <stp>84110.T</stp>
        <stp>信用倍率</stp>
        <tr r="Y4" s="9"/>
      </tp>
      <tp>
        <v>300</v>
        <stp/>
        <stp>Market</stp>
        <stp>STOCK</stp>
        <stp>81360.T</stp>
        <stp>最良買気配数量10</stp>
        <tr r="N24" s="8"/>
      </tp>
      <tp>
        <v>3.24</v>
        <stp/>
        <stp>Market</stp>
        <stp>STOCK</stp>
        <stp>65250.T</stp>
        <stp>信用倍率</stp>
        <tr r="Y4" s="43"/>
      </tp>
      <tp>
        <v>1.61</v>
        <stp/>
        <stp>Market</stp>
        <stp>STOCK</stp>
        <stp>65010.T</stp>
        <stp>信用倍率</stp>
        <tr r="Y4" s="20"/>
      </tp>
      <tp>
        <v>10616500</v>
        <stp/>
        <stp>Market</stp>
        <stp>STOCK</stp>
        <stp>83060.T</stp>
        <stp>OVER気配数量</stp>
        <tr r="J4" s="5"/>
      </tp>
      <tp>
        <v>348800</v>
        <stp/>
        <stp>Market</stp>
        <stp>STOCK</stp>
        <stp>63230.T</stp>
        <stp>OVER気配数量</stp>
        <tr r="J4" s="41"/>
      </tp>
      <tp>
        <v>500</v>
        <stp/>
        <stp>Market</stp>
        <stp>STOCK</stp>
        <stp>65250.T</stp>
        <stp>最良買気配数量10</stp>
        <tr r="N24" s="43"/>
      </tp>
      <tp>
        <v>100</v>
        <stp/>
        <stp>Market</stp>
        <stp>STOCK</stp>
        <stp>63230.T</stp>
        <stp>最良買気配数量10</stp>
        <tr r="N24" s="41"/>
      </tp>
      <tp>
        <v>1938900</v>
        <stp/>
        <stp>Market</stp>
        <stp>STOCK</stp>
        <stp>84110.T</stp>
        <stp>OVER気配数量</stp>
        <tr r="J4" s="9"/>
      </tp>
      <tp>
        <v>6700</v>
        <stp/>
        <stp>Market</stp>
        <stp>STOCK</stp>
        <stp>80580.T</stp>
        <stp>最良買気配数量10</stp>
        <tr r="N24" s="48"/>
      </tp>
      <tp>
        <v>12.44</v>
        <stp/>
        <stp>Market</stp>
        <stp>STOCK</stp>
        <stp>63230.T</stp>
        <stp>信用倍率</stp>
        <tr r="Y4" s="41"/>
      </tp>
      <tp>
        <v>3.86</v>
        <stp/>
        <stp>Market</stp>
        <stp>STOCK</stp>
        <stp>83060.T</stp>
        <stp>信用倍率</stp>
        <tr r="Y4" s="5"/>
      </tp>
      <tp>
        <v>2427900</v>
        <stp/>
        <stp>Market</stp>
        <stp>STOCK</stp>
        <stp>65010.T</stp>
        <stp>OVER気配数量</stp>
        <tr r="J4" s="20"/>
      </tp>
      <tp>
        <v>558700</v>
        <stp/>
        <stp>Market</stp>
        <stp>STOCK</stp>
        <stp>65250.T</stp>
        <stp>OVER気配数量</stp>
        <tr r="J4" s="43"/>
      </tp>
      <tp>
        <v>7200</v>
        <stp/>
        <stp>Market</stp>
        <stp>STOCK</stp>
        <stp>66450.T</stp>
        <stp>最良買気配数量10</stp>
        <tr r="N24" s="27"/>
      </tp>
      <tp>
        <v>2.65</v>
        <stp/>
        <stp>Market</stp>
        <stp>STOCK</stp>
        <stp>70030.T</stp>
        <stp>信用倍率</stp>
        <tr r="Y4" s="12"/>
      </tp>
      <tp>
        <v>6.73</v>
        <stp/>
        <stp>Market</stp>
        <stp>STOCK</stp>
        <stp>80580.T</stp>
        <stp>信用倍率</stp>
        <tr r="Y4" s="48"/>
      </tp>
      <tp>
        <v>3247900</v>
        <stp/>
        <stp>Market</stp>
        <stp>STOCK</stp>
        <stp>58030.T</stp>
        <stp>信用売残</stp>
        <tr r="Y2" s="4"/>
      </tp>
      <tp t="s">
        <v>2006/04/19</v>
        <stp/>
        <stp>Market</stp>
        <stp>STOCK</stp>
        <stp>84110.T</stp>
        <stp>上場来高値日付</stp>
        <tr r="R11" s="9"/>
      </tp>
      <tp t="s">
        <v>2011/11/21</v>
        <stp/>
        <stp>Market</stp>
        <stp>STOCK</stp>
        <stp>84110.T</stp>
        <stp>上場来安値日付</stp>
        <tr r="R12" s="9"/>
      </tp>
      <tp t="s">
        <v>2006/04/07</v>
        <stp/>
        <stp>Market</stp>
        <stp>STOCK</stp>
        <stp>83060.T</stp>
        <stp>上場来高値日付</stp>
        <tr r="R11" s="5"/>
      </tp>
      <tp t="s">
        <v>2011/11/25</v>
        <stp/>
        <stp>Market</stp>
        <stp>STOCK</stp>
        <stp>83060.T</stp>
        <stp>上場来安値日付</stp>
        <tr r="R12" s="5"/>
      </tp>
      <tp t="s">
        <v>2023/09/07</v>
        <stp/>
        <stp>Market</stp>
        <stp>STOCK</stp>
        <stp>80580.T</stp>
        <stp>上場来高値日付</stp>
        <tr r="R11" s="48"/>
      </tp>
      <tp t="s">
        <v/>
        <stp/>
        <stp>Market</stp>
        <stp>STOCK</stp>
        <stp>80580.T</stp>
        <stp>上場来安値日付</stp>
        <tr r="R12" s="48"/>
      </tp>
      <tp t="s">
        <v>2024/03/27</v>
        <stp/>
        <stp>Market</stp>
        <stp>STOCK</stp>
        <stp>81360.T</stp>
        <stp>上場来高値日付</stp>
        <tr r="R11" s="8"/>
      </tp>
      <tp t="s">
        <v>2003/05/28</v>
        <stp/>
        <stp>Market</stp>
        <stp>STOCK</stp>
        <stp>81360.T</stp>
        <stp>上場来安値日付</stp>
        <tr r="R12" s="8"/>
      </tp>
      <tp>
        <v>297900</v>
        <stp/>
        <stp>Market</stp>
        <stp>STOCK</stp>
        <stp>66450.T</stp>
        <stp>OVER気配数量</stp>
        <tr r="J4" s="27"/>
      </tp>
      <tp>
        <v>7.51</v>
        <stp/>
        <stp>Market</stp>
        <stp>STOCK</stp>
        <stp>81360.T</stp>
        <stp>信用倍率</stp>
        <tr r="Y4" s="8"/>
      </tp>
      <tp t="s">
        <v>15:24:57</v>
        <stp/>
        <stp>Market</stp>
        <stp>STOCK</stp>
        <stp>81360.T</stp>
        <stp>歩み4詳細時刻</stp>
        <tr r="V9" s="8"/>
      </tp>
      <tp t="s">
        <v>15:24:58</v>
        <stp/>
        <stp>Market</stp>
        <stp>STOCK</stp>
        <stp>81360.T</stp>
        <stp>歩み3詳細時刻</stp>
        <tr r="V8" s="8"/>
      </tp>
      <tp t="s">
        <v>15:24:58</v>
        <stp/>
        <stp>Market</stp>
        <stp>STOCK</stp>
        <stp>81360.T</stp>
        <stp>歩み2詳細時刻</stp>
        <tr r="V7" s="8"/>
      </tp>
      <tp t="s">
        <v>15:24:59</v>
        <stp/>
        <stp>Market</stp>
        <stp>STOCK</stp>
        <stp>81360.T</stp>
        <stp>歩み1詳細時刻</stp>
        <tr r="V6" s="8"/>
      </tp>
      <tp t="s">
        <v>15:24:59</v>
        <stp/>
        <stp>Market</stp>
        <stp>STOCK</stp>
        <stp>80580.T</stp>
        <stp>歩み1詳細時刻</stp>
        <tr r="V6" s="48"/>
      </tp>
      <tp t="s">
        <v>15:24:58</v>
        <stp/>
        <stp>Market</stp>
        <stp>STOCK</stp>
        <stp>80580.T</stp>
        <stp>歩み3詳細時刻</stp>
        <tr r="V8" s="48"/>
      </tp>
      <tp t="s">
        <v>15:24:59</v>
        <stp/>
        <stp>Market</stp>
        <stp>STOCK</stp>
        <stp>80580.T</stp>
        <stp>歩み2詳細時刻</stp>
        <tr r="V7" s="48"/>
      </tp>
      <tp t="s">
        <v>15:24:58</v>
        <stp/>
        <stp>Market</stp>
        <stp>STOCK</stp>
        <stp>80580.T</stp>
        <stp>歩み4詳細時刻</stp>
        <tr r="V9" s="48"/>
      </tp>
      <tp t="s">
        <v>15:24:56</v>
        <stp/>
        <stp>Market</stp>
        <stp>STOCK</stp>
        <stp>83060.T</stp>
        <stp>歩み4詳細時刻</stp>
        <tr r="V9" s="5"/>
      </tp>
      <tp t="s">
        <v>15:24:59</v>
        <stp/>
        <stp>Market</stp>
        <stp>STOCK</stp>
        <stp>83060.T</stp>
        <stp>歩み1詳細時刻</stp>
        <tr r="V6" s="5"/>
      </tp>
      <tp t="s">
        <v>15:24:59</v>
        <stp/>
        <stp>Market</stp>
        <stp>STOCK</stp>
        <stp>83060.T</stp>
        <stp>歩み2詳細時刻</stp>
        <tr r="V7" s="5"/>
      </tp>
      <tp t="s">
        <v>15:24:57</v>
        <stp/>
        <stp>Market</stp>
        <stp>STOCK</stp>
        <stp>83060.T</stp>
        <stp>歩み3詳細時刻</stp>
        <tr r="V8" s="5"/>
      </tp>
      <tp t="s">
        <v>15:24:55</v>
        <stp/>
        <stp>Market</stp>
        <stp>STOCK</stp>
        <stp>84110.T</stp>
        <stp>歩み4詳細時刻</stp>
        <tr r="V9" s="9"/>
      </tp>
      <tp t="s">
        <v>15:24:58</v>
        <stp/>
        <stp>Market</stp>
        <stp>STOCK</stp>
        <stp>84110.T</stp>
        <stp>歩み1詳細時刻</stp>
        <tr r="V6" s="9"/>
      </tp>
      <tp t="s">
        <v>15:24:56</v>
        <stp/>
        <stp>Market</stp>
        <stp>STOCK</stp>
        <stp>84110.T</stp>
        <stp>歩み3詳細時刻</stp>
        <tr r="V8" s="9"/>
      </tp>
      <tp t="s">
        <v>15:24:57</v>
        <stp/>
        <stp>Market</stp>
        <stp>STOCK</stp>
        <stp>84110.T</stp>
        <stp>歩み2詳細時刻</stp>
        <tr r="V7" s="9"/>
      </tp>
      <tp>
        <v>4417.3041000000003</v>
        <stp/>
        <stp>Market</stp>
        <stp>STOCK</stp>
        <stp>84110.T</stp>
        <stp>出来高加重平均</stp>
        <tr r="Q8" s="9"/>
      </tp>
      <tp>
        <v>6234.3963000000003</v>
        <stp/>
        <stp>Market</stp>
        <stp>STOCK</stp>
        <stp>81360.T</stp>
        <stp>出来高加重平均</stp>
        <tr r="Q8" s="8"/>
      </tp>
      <tp>
        <v>3022.1956</v>
        <stp/>
        <stp>Market</stp>
        <stp>STOCK</stp>
        <stp>80580.T</stp>
        <stp>出来高加重平均</stp>
        <tr r="Q8" s="48"/>
      </tp>
      <tp>
        <v>2114.6116999999999</v>
        <stp/>
        <stp>Market</stp>
        <stp>STOCK</stp>
        <stp>83060.T</stp>
        <stp>出来高加重平均</stp>
        <tr r="Q8" s="5"/>
      </tp>
      <tp t="s">
        <v>15:24:52</v>
        <stp/>
        <stp>Market</stp>
        <stp>STOCK</stp>
        <stp>63230.T</stp>
        <stp>歩み4詳細時刻</stp>
        <tr r="V9" s="41"/>
      </tp>
      <tp t="s">
        <v>15:24:57</v>
        <stp/>
        <stp>Market</stp>
        <stp>STOCK</stp>
        <stp>63230.T</stp>
        <stp>歩み2詳細時刻</stp>
        <tr r="V7" s="41"/>
      </tp>
      <tp t="s">
        <v>15:24:56</v>
        <stp/>
        <stp>Market</stp>
        <stp>STOCK</stp>
        <stp>63230.T</stp>
        <stp>歩み3詳細時刻</stp>
        <tr r="V8" s="41"/>
      </tp>
      <tp t="s">
        <v>15:24:59</v>
        <stp/>
        <stp>Market</stp>
        <stp>STOCK</stp>
        <stp>63230.T</stp>
        <stp>歩み1詳細時刻</stp>
        <tr r="V6" s="41"/>
      </tp>
      <tp t="s">
        <v>15:24:55</v>
        <stp/>
        <stp>Market</stp>
        <stp>STOCK</stp>
        <stp>65010.T</stp>
        <stp>歩み4詳細時刻</stp>
        <tr r="V9" s="20"/>
      </tp>
      <tp t="s">
        <v>15:24:52</v>
        <stp/>
        <stp>Market</stp>
        <stp>STOCK</stp>
        <stp>65250.T</stp>
        <stp>歩み4詳細時刻</stp>
        <tr r="V9" s="43"/>
      </tp>
      <tp t="s">
        <v>15:24:55</v>
        <stp/>
        <stp>Market</stp>
        <stp>STOCK</stp>
        <stp>65250.T</stp>
        <stp>歩み2詳細時刻</stp>
        <tr r="V7" s="43"/>
      </tp>
      <tp t="s">
        <v>15:24:55</v>
        <stp/>
        <stp>Market</stp>
        <stp>STOCK</stp>
        <stp>65250.T</stp>
        <stp>歩み3詳細時刻</stp>
        <tr r="V8" s="43"/>
      </tp>
      <tp t="s">
        <v>15:24:59</v>
        <stp/>
        <stp>Market</stp>
        <stp>STOCK</stp>
        <stp>65010.T</stp>
        <stp>歩み1詳細時刻</stp>
        <tr r="V6" s="20"/>
      </tp>
      <tp t="s">
        <v>15:24:58</v>
        <stp/>
        <stp>Market</stp>
        <stp>STOCK</stp>
        <stp>65010.T</stp>
        <stp>歩み2詳細時刻</stp>
        <tr r="V7" s="20"/>
      </tp>
      <tp t="s">
        <v>15:24:59</v>
        <stp/>
        <stp>Market</stp>
        <stp>STOCK</stp>
        <stp>65250.T</stp>
        <stp>歩み1詳細時刻</stp>
        <tr r="V6" s="43"/>
      </tp>
      <tp t="s">
        <v>15:24:56</v>
        <stp/>
        <stp>Market</stp>
        <stp>STOCK</stp>
        <stp>65010.T</stp>
        <stp>歩み3詳細時刻</stp>
        <tr r="V8" s="20"/>
      </tp>
      <tp t="s">
        <v>15:24:58</v>
        <stp/>
        <stp>Market</stp>
        <stp>STOCK</stp>
        <stp>66450.T</stp>
        <stp>歩み1詳細時刻</stp>
        <tr r="V6" s="27"/>
      </tp>
      <tp t="s">
        <v>15:24:56</v>
        <stp/>
        <stp>Market</stp>
        <stp>STOCK</stp>
        <stp>66450.T</stp>
        <stp>歩み2詳細時刻</stp>
        <tr r="V7" s="27"/>
      </tp>
      <tp t="s">
        <v>15:24:53</v>
        <stp/>
        <stp>Market</stp>
        <stp>STOCK</stp>
        <stp>66450.T</stp>
        <stp>歩み3詳細時刻</stp>
        <tr r="V8" s="27"/>
      </tp>
      <tp t="s">
        <v>15:24:49</v>
        <stp/>
        <stp>Market</stp>
        <stp>STOCK</stp>
        <stp>66450.T</stp>
        <stp>歩み4詳細時刻</stp>
        <tr r="V9" s="27"/>
      </tp>
      <tp>
        <v>3206.6044999999999</v>
        <stp/>
        <stp>Market</stp>
        <stp>STOCK</stp>
        <stp>70030.T</stp>
        <stp>出来高加重平均</stp>
        <tr r="Q8" s="12"/>
      </tp>
      <tp t="s">
        <v>15:24:40</v>
        <stp/>
        <stp>Market</stp>
        <stp>STOCK</stp>
        <stp>70030.T</stp>
        <stp>歩み4詳細時刻</stp>
        <tr r="V9" s="12"/>
      </tp>
      <tp t="s">
        <v>15:24:58</v>
        <stp/>
        <stp>Market</stp>
        <stp>STOCK</stp>
        <stp>70030.T</stp>
        <stp>歩み1詳細時刻</stp>
        <tr r="V6" s="12"/>
      </tp>
      <tp t="s">
        <v>15:24:50</v>
        <stp/>
        <stp>Market</stp>
        <stp>STOCK</stp>
        <stp>70030.T</stp>
        <stp>歩み2詳細時刻</stp>
        <tr r="V7" s="12"/>
      </tp>
      <tp t="s">
        <v>15:24:48</v>
        <stp/>
        <stp>Market</stp>
        <stp>STOCK</stp>
        <stp>70030.T</stp>
        <stp>歩み3詳細時刻</stp>
        <tr r="V8" s="12"/>
      </tp>
      <tp>
        <v>4312.9348</v>
        <stp/>
        <stp>Market</stp>
        <stp>STOCK</stp>
        <stp>65010.T</stp>
        <stp>出来高加重平均</stp>
        <tr r="Q8" s="20"/>
      </tp>
      <tp>
        <v>3050.6444000000001</v>
        <stp/>
        <stp>Market</stp>
        <stp>STOCK</stp>
        <stp>65250.T</stp>
        <stp>出来高加重平均</stp>
        <tr r="Q8" s="43"/>
      </tp>
      <tp>
        <v>3977.2864</v>
        <stp/>
        <stp>Market</stp>
        <stp>STOCK</stp>
        <stp>66450.T</stp>
        <stp>出来高加重平均</stp>
        <tr r="Q8" s="27"/>
      </tp>
      <tp>
        <v>1928.6025</v>
        <stp/>
        <stp>Market</stp>
        <stp>STOCK</stp>
        <stp>63230.T</stp>
        <stp>出来高加重平均</stp>
        <tr r="Q8" s="41"/>
      </tp>
      <tp>
        <v>10204.204100000001</v>
        <stp/>
        <stp>Market</stp>
        <stp>STOCK</stp>
        <stp>58030.T</stp>
        <stp>出来高加重平均</stp>
        <tr r="Q8" s="4"/>
      </tp>
      <tp t="s">
        <v>15:24:55</v>
        <stp/>
        <stp>Market</stp>
        <stp>STOCK</stp>
        <stp>58030.T</stp>
        <stp>歩み4詳細時刻</stp>
        <tr r="V9" s="4"/>
      </tp>
      <tp t="s">
        <v>15:24:59</v>
        <stp/>
        <stp>Market</stp>
        <stp>STOCK</stp>
        <stp>58030.T</stp>
        <stp>歩み1詳細時刻</stp>
        <tr r="V6" s="4"/>
      </tp>
      <tp t="s">
        <v>15:24:55</v>
        <stp/>
        <stp>Market</stp>
        <stp>STOCK</stp>
        <stp>58030.T</stp>
        <stp>歩み2詳細時刻</stp>
        <tr r="V7" s="4"/>
      </tp>
      <tp t="s">
        <v>15:24:55</v>
        <stp/>
        <stp>Market</stp>
        <stp>STOCK</stp>
        <stp>58030.T</stp>
        <stp>歩み3詳細時刻</stp>
        <tr r="V8" s="4"/>
      </tp>
      <tp>
        <v>442</v>
        <stp/>
        <stp>Market</stp>
        <stp>STOCK</stp>
        <stp>81360.T</stp>
        <stp>上場来安値</stp>
        <tr r="Q12" s="8"/>
      </tp>
      <tp>
        <v>4937</v>
        <stp/>
        <stp>Market</stp>
        <stp>STOCK</stp>
        <stp>81360.T</stp>
        <stp>年初来安値</stp>
        <tr r="Q10" s="8"/>
      </tp>
      <tp>
        <v>1666.5</v>
        <stp/>
        <stp>Market</stp>
        <stp>STOCK</stp>
        <stp>65250.T</stp>
        <stp>上場来安値</stp>
        <tr r="Q12" s="43"/>
      </tp>
      <tp>
        <v>99</v>
        <stp/>
        <stp>Market</stp>
        <stp>STOCK</stp>
        <stp>63230.T</stp>
        <stp>上場来安値</stp>
        <tr r="Q12" s="41"/>
      </tp>
      <tp>
        <v>1666.5</v>
        <stp/>
        <stp>Market</stp>
        <stp>STOCK</stp>
        <stp>65250.T</stp>
        <stp>年初来安値</stp>
        <tr r="Q10" s="43"/>
      </tp>
      <tp>
        <v>966.2</v>
        <stp/>
        <stp>Market</stp>
        <stp>STOCK</stp>
        <stp>63230.T</stp>
        <stp>年初来安値</stp>
        <tr r="Q10" s="41"/>
      </tp>
      <tp>
        <v>98</v>
        <stp/>
        <stp>Market</stp>
        <stp>STOCK</stp>
        <stp>84110.T</stp>
        <stp>上場来安値</stp>
        <tr r="Q12" s="9"/>
      </tp>
      <tp>
        <v>2688</v>
        <stp/>
        <stp>Market</stp>
        <stp>STOCK</stp>
        <stp>84110.T</stp>
        <stp>年初来安値</stp>
        <tr r="Q10" s="9"/>
      </tp>
      <tp>
        <v>318</v>
        <stp/>
        <stp>Market</stp>
        <stp>STOCK</stp>
        <stp>83060.T</stp>
        <stp>上場来安値</stp>
        <tr r="Q12" s="5"/>
      </tp>
      <tp>
        <v>56</v>
        <stp/>
        <stp>Market</stp>
        <stp>STOCK</stp>
        <stp>70030.T</stp>
        <stp>上場来安値</stp>
        <tr r="Q12" s="12"/>
      </tp>
      <tp>
        <v>46</v>
        <stp/>
        <stp>Market</stp>
        <stp>STOCK</stp>
        <stp>58030.T</stp>
        <stp>上場来安値</stp>
        <tr r="Q12" s="4"/>
      </tp>
      <tp>
        <v>23</v>
        <stp/>
        <stp>Market</stp>
        <stp>STOCK</stp>
        <stp>65010.T</stp>
        <stp>上場来安値</stp>
        <tr r="Q12" s="20"/>
      </tp>
      <tp>
        <v>1310</v>
        <stp/>
        <stp>Market</stp>
        <stp>STOCK</stp>
        <stp>83060.T</stp>
        <stp>年初来安値</stp>
        <tr r="Q10" s="5"/>
      </tp>
      <tp>
        <v>1141</v>
        <stp/>
        <stp>Market</stp>
        <stp>STOCK</stp>
        <stp>70030.T</stp>
        <stp>年初来安値</stp>
        <tr r="Q10" s="12"/>
      </tp>
      <tp>
        <v>3592</v>
        <stp/>
        <stp>Market</stp>
        <stp>STOCK</stp>
        <stp>58030.T</stp>
        <stp>年初来安値</stp>
        <tr r="Q10" s="4"/>
      </tp>
      <tp>
        <v>2590</v>
        <stp/>
        <stp>Market</stp>
        <stp>STOCK</stp>
        <stp>65010.T</stp>
        <stp>年初来安値</stp>
        <tr r="Q10" s="20"/>
      </tp>
      <tp>
        <v>64</v>
        <stp/>
        <stp>Market</stp>
        <stp>STOCK</stp>
        <stp>80580.T</stp>
        <stp>上場来安値</stp>
        <tr r="Q12" s="48"/>
      </tp>
      <tp>
        <v>2257</v>
        <stp/>
        <stp>Market</stp>
        <stp>STOCK</stp>
        <stp>80580.T</stp>
        <stp>年初来安値</stp>
        <tr r="Q10" s="48"/>
      </tp>
      <tp>
        <v>120</v>
        <stp/>
        <stp>Market</stp>
        <stp>STOCK</stp>
        <stp>66450.T</stp>
        <stp>上場来安値</stp>
        <tr r="Q12" s="27"/>
      </tp>
      <tp>
        <v>3503</v>
        <stp/>
        <stp>Market</stp>
        <stp>STOCK</stp>
        <stp>66450.T</stp>
        <stp>年初来安値</stp>
        <tr r="Q10" s="27"/>
      </tp>
      <tp>
        <v>0</v>
        <stp/>
        <stp>Market</stp>
        <stp>STOCK</stp>
        <stp>66450.T</stp>
        <stp>買成行数量</stp>
        <tr r="N3" s="27"/>
      </tp>
      <tp>
        <v>0</v>
        <stp/>
        <stp>Market</stp>
        <stp>STOCK</stp>
        <stp>66450.T</stp>
        <stp>売成行数量</stp>
        <tr r="J3" s="27"/>
      </tp>
      <tp>
        <v>0.03</v>
        <stp/>
        <stp>Market</stp>
        <stp>STOCK</stp>
        <stp>58030.T</stp>
        <stp>貸借倍率</stp>
        <tr r="Y7" s="4"/>
      </tp>
      <tp>
        <v>0</v>
        <stp/>
        <stp>Market</stp>
        <stp>STOCK</stp>
        <stp>80580.T</stp>
        <stp>買成行数量</stp>
        <tr r="N3" s="48"/>
      </tp>
      <tp t="s">
        <v/>
        <stp/>
        <stp>Chart</stp>
        <stp>2295560613408,0,0,0,0</stp>
        <stp>8136.T</stp>
        <stp>1M</stp>
        <stp>332</stp>
        <tr r="A1" s="8"/>
      </tp>
      <tp>
        <v>0</v>
        <stp/>
        <stp>Market</stp>
        <stp>STOCK</stp>
        <stp>80580.T</stp>
        <stp>売成行数量</stp>
        <tr r="J3" s="48"/>
      </tp>
      <tp t="s">
        <v xml:space="preserve"> </v>
        <stp/>
        <stp>Market</stp>
        <stp>STOCK</stp>
        <stp>58030.T</stp>
        <stp>特別買気配フラグ</stp>
        <tr r="M15" s="4"/>
      </tp>
      <tp>
        <v>0</v>
        <stp/>
        <stp>Market</stp>
        <stp>STOCK</stp>
        <stp>83060.T</stp>
        <stp>買成行数量</stp>
        <tr r="N3" s="5"/>
      </tp>
      <tp>
        <v>0</v>
        <stp/>
        <stp>Market</stp>
        <stp>STOCK</stp>
        <stp>65010.T</stp>
        <stp>買成行数量</stp>
        <tr r="N3" s="20"/>
      </tp>
      <tp>
        <v>0</v>
        <stp/>
        <stp>Market</stp>
        <stp>STOCK</stp>
        <stp>70030.T</stp>
        <stp>買成行数量</stp>
        <tr r="N3" s="12"/>
      </tp>
      <tp>
        <v>0</v>
        <stp/>
        <stp>Market</stp>
        <stp>STOCK</stp>
        <stp>58030.T</stp>
        <stp>買成行数量</stp>
        <tr r="N3" s="4"/>
      </tp>
      <tp>
        <v>0</v>
        <stp/>
        <stp>Market</stp>
        <stp>STOCK</stp>
        <stp>65010.T</stp>
        <stp>売成行数量</stp>
        <tr r="J3" s="20"/>
      </tp>
      <tp>
        <v>0</v>
        <stp/>
        <stp>Market</stp>
        <stp>STOCK</stp>
        <stp>70030.T</stp>
        <stp>売成行数量</stp>
        <tr r="J3" s="12"/>
      </tp>
      <tp>
        <v>0</v>
        <stp/>
        <stp>Market</stp>
        <stp>STOCK</stp>
        <stp>58030.T</stp>
        <stp>売成行数量</stp>
        <tr r="J3" s="4"/>
      </tp>
      <tp>
        <v>0</v>
        <stp/>
        <stp>Market</stp>
        <stp>STOCK</stp>
        <stp>83060.T</stp>
        <stp>売成行数量</stp>
        <tr r="J3" s="5"/>
      </tp>
      <tp>
        <v>0</v>
        <stp/>
        <stp>Market</stp>
        <stp>STOCK</stp>
        <stp>84110.T</stp>
        <stp>買成行数量</stp>
        <tr r="N3" s="9"/>
      </tp>
      <tp>
        <v>0</v>
        <stp/>
        <stp>Market</stp>
        <stp>STOCK</stp>
        <stp>84110.T</stp>
        <stp>売成行数量</stp>
        <tr r="J3" s="9"/>
      </tp>
      <tp>
        <v>40</v>
        <stp/>
        <stp>Market</stp>
        <stp>STOCK</stp>
        <stp>80580.T</stp>
        <stp>前日比</stp>
        <tr r="Q3" s="48"/>
      </tp>
      <tp>
        <v>65</v>
        <stp/>
        <stp>Market</stp>
        <stp>STOCK</stp>
        <stp>81360.T</stp>
        <stp>前日比</stp>
        <tr r="Q3" s="8"/>
      </tp>
      <tp>
        <v>16.5</v>
        <stp/>
        <stp>Market</stp>
        <stp>STOCK</stp>
        <stp>83060.T</stp>
        <stp>前日比</stp>
        <tr r="Q3" s="5"/>
      </tp>
      <tp>
        <v>-30</v>
        <stp/>
        <stp>Market</stp>
        <stp>STOCK</stp>
        <stp>84110.T</stp>
        <stp>前日比</stp>
        <tr r="Q3" s="9"/>
      </tp>
      <tp>
        <v>0</v>
        <stp/>
        <stp>Market</stp>
        <stp>STOCK</stp>
        <stp>65250.T</stp>
        <stp>買成行数量</stp>
        <tr r="N3" s="43"/>
      </tp>
      <tp t="s">
        <v/>
        <stp/>
        <stp>Chart</stp>
        <stp>2295561099504,0,0,0,0</stp>
        <stp>7003.T</stp>
        <stp>1M</stp>
        <stp>332</stp>
        <tr r="A1" s="12"/>
      </tp>
      <tp>
        <v>0</v>
        <stp/>
        <stp>Market</stp>
        <stp>STOCK</stp>
        <stp>63230.T</stp>
        <stp>買成行数量</stp>
        <tr r="N3" s="41"/>
      </tp>
      <tp t="s">
        <v/>
        <stp/>
        <stp>Chart</stp>
        <stp>2295560552528,0,0,0,0</stp>
        <stp>5803.T</stp>
        <stp>1M</stp>
        <stp>332</stp>
        <tr r="A1" s="4"/>
      </tp>
      <tp>
        <v>0</v>
        <stp/>
        <stp>Market</stp>
        <stp>STOCK</stp>
        <stp>63230.T</stp>
        <stp>売成行数量</stp>
        <tr r="J3" s="41"/>
      </tp>
      <tp>
        <v>0</v>
        <stp/>
        <stp>Market</stp>
        <stp>STOCK</stp>
        <stp>65250.T</stp>
        <stp>売成行数量</stp>
        <tr r="J3" s="43"/>
      </tp>
      <tp>
        <v>0</v>
        <stp/>
        <stp>Market</stp>
        <stp>STOCK</stp>
        <stp>81360.T</stp>
        <stp>買成行数量</stp>
        <tr r="N3" s="8"/>
      </tp>
      <tp>
        <v>0</v>
        <stp/>
        <stp>Market</stp>
        <stp>STOCK</stp>
        <stp>81360.T</stp>
        <stp>売成行数量</stp>
        <tr r="J3" s="8"/>
      </tp>
      <tp>
        <v>111.43</v>
        <stp/>
        <stp>Market</stp>
        <stp>STOCK</stp>
        <stp>81360.T</stp>
        <stp>貸借倍率</stp>
        <tr r="Y7" s="8"/>
      </tp>
      <tp>
        <v>-85</v>
        <stp/>
        <stp>Market</stp>
        <stp>STOCK</stp>
        <stp>58030.T</stp>
        <stp>前日比</stp>
        <tr r="Q3" s="4"/>
      </tp>
      <tp t="s">
        <v xml:space="preserve"> </v>
        <stp/>
        <stp>Market</stp>
        <stp>STOCK</stp>
        <stp>63230.T</stp>
        <stp>特別買気配フラグ</stp>
        <tr r="M15" s="41"/>
      </tp>
      <tp t="s">
        <v xml:space="preserve"> </v>
        <stp/>
        <stp>Market</stp>
        <stp>STOCK</stp>
        <stp>83060.T</stp>
        <stp>特別買気配フラグ</stp>
        <tr r="M15" s="5"/>
      </tp>
      <tp>
        <v>0.16</v>
        <stp/>
        <stp>Market</stp>
        <stp>STOCK</stp>
        <stp>70030.T</stp>
        <stp>貸借倍率</stp>
        <tr r="Y7" s="12"/>
      </tp>
      <tp>
        <v>2.11</v>
        <stp/>
        <stp>Market</stp>
        <stp>STOCK</stp>
        <stp>80580.T</stp>
        <stp>貸借倍率</stp>
        <tr r="Y7" s="48"/>
      </tp>
      <tp t="s">
        <v/>
        <stp/>
        <stp>Chart</stp>
        <stp>2295561753312,0,0,0,0</stp>
        <stp>8058.T</stp>
        <stp>1M</stp>
        <stp>332</stp>
        <tr r="A1" s="48"/>
      </tp>
      <tp t="s">
        <v/>
        <stp/>
        <stp>Chart</stp>
        <stp>2295562140272,0,0,0,0</stp>
        <stp>6645.T</stp>
        <stp>1M</stp>
        <stp>332</stp>
        <tr r="A1" s="27"/>
      </tp>
      <tp t="s">
        <v xml:space="preserve"> </v>
        <stp/>
        <stp>Market</stp>
        <stp>STOCK</stp>
        <stp>80580.T</stp>
        <stp>特別買気配フラグ</stp>
        <tr r="M15" s="48"/>
      </tp>
      <tp t="s">
        <v xml:space="preserve"> </v>
        <stp/>
        <stp>Market</stp>
        <stp>STOCK</stp>
        <stp>70030.T</stp>
        <stp>特別買気配フラグ</stp>
        <tr r="M15" s="12"/>
      </tp>
      <tp>
        <v>11.9</v>
        <stp/>
        <stp>Market</stp>
        <stp>STOCK</stp>
        <stp>63230.T</stp>
        <stp>貸借倍率</stp>
        <tr r="Y7" s="41"/>
      </tp>
      <tp>
        <v>7.54</v>
        <stp/>
        <stp>Market</stp>
        <stp>STOCK</stp>
        <stp>83060.T</stp>
        <stp>貸借倍率</stp>
        <tr r="Y7" s="5"/>
      </tp>
      <tp t="s">
        <v/>
        <stp/>
        <stp>Chart</stp>
        <stp>2295561881808,0,0,0,0</stp>
        <stp>8411.T</stp>
        <stp>1M</stp>
        <stp>332</stp>
        <tr r="A1" s="9"/>
      </tp>
      <tp>
        <v>40</v>
        <stp/>
        <stp>Market</stp>
        <stp>STOCK</stp>
        <stp>70030.T</stp>
        <stp>前日比</stp>
        <tr r="Q3" s="12"/>
      </tp>
      <tp t="s">
        <v xml:space="preserve"> </v>
        <stp/>
        <stp>Market</stp>
        <stp>STOCK</stp>
        <stp>81360.T</stp>
        <stp>特別買気配フラグ</stp>
        <tr r="M15" s="8"/>
      </tp>
      <tp>
        <v>-106.5</v>
        <stp/>
        <stp>Market</stp>
        <stp>STOCK</stp>
        <stp>63230.T</stp>
        <stp>前日比</stp>
        <tr r="Q3" s="41"/>
      </tp>
      <tp>
        <v>-414</v>
        <stp/>
        <stp>Market</stp>
        <stp>STOCK</stp>
        <stp>65010.T</stp>
        <stp>前日比</stp>
        <tr r="Q3" s="20"/>
      </tp>
      <tp>
        <v>-283</v>
        <stp/>
        <stp>Market</stp>
        <stp>STOCK</stp>
        <stp>65250.T</stp>
        <stp>前日比</stp>
        <tr r="Q3" s="43"/>
      </tp>
      <tp>
        <v>62</v>
        <stp/>
        <stp>Market</stp>
        <stp>STOCK</stp>
        <stp>66450.T</stp>
        <stp>前日比</stp>
        <tr r="Q3" s="27"/>
      </tp>
      <tp t="s">
        <v xml:space="preserve"> </v>
        <stp/>
        <stp>Market</stp>
        <stp>STOCK</stp>
        <stp>66450.T</stp>
        <stp>特別買気配フラグ</stp>
        <tr r="M15" s="27"/>
      </tp>
      <tp>
        <v>13.36</v>
        <stp/>
        <stp>Market</stp>
        <stp>STOCK</stp>
        <stp>65250.T</stp>
        <stp>貸借倍率</stp>
        <tr r="Y7" s="43"/>
      </tp>
      <tp>
        <v>17.57</v>
        <stp/>
        <stp>Market</stp>
        <stp>STOCK</stp>
        <stp>65010.T</stp>
        <stp>貸借倍率</stp>
        <tr r="Y7" s="20"/>
      </tp>
      <tp>
        <v>0.84</v>
        <stp/>
        <stp>Market</stp>
        <stp>STOCK</stp>
        <stp>84110.T</stp>
        <stp>貸借倍率</stp>
        <tr r="Y7" s="9"/>
      </tp>
      <tp t="s">
        <v xml:space="preserve"> </v>
        <stp/>
        <stp>Market</stp>
        <stp>STOCK</stp>
        <stp>84110.T</stp>
        <stp>特別買気配フラグ</stp>
        <tr r="M15" s="9"/>
      </tp>
      <tp t="s">
        <v/>
        <stp/>
        <stp>Chart</stp>
        <stp>2295561750672,0,0,0,0</stp>
        <stp>6525.T</stp>
        <stp>1M</stp>
        <stp>332</stp>
        <tr r="A1" s="43"/>
      </tp>
      <tp t="s">
        <v xml:space="preserve"> </v>
        <stp/>
        <stp>Market</stp>
        <stp>STOCK</stp>
        <stp>65250.T</stp>
        <stp>特別買気配フラグ</stp>
        <tr r="M15" s="43"/>
      </tp>
      <tp t="s">
        <v xml:space="preserve"> </v>
        <stp/>
        <stp>Market</stp>
        <stp>STOCK</stp>
        <stp>65010.T</stp>
        <stp>特別買気配フラグ</stp>
        <tr r="M15" s="20"/>
      </tp>
      <tp>
        <v>25.5</v>
        <stp/>
        <stp>Market</stp>
        <stp>STOCK</stp>
        <stp>66450.T</stp>
        <stp>貸借倍率</stp>
        <tr r="Y7" s="27"/>
      </tp>
      <tp t="s">
        <v/>
        <stp/>
        <stp>Chart</stp>
        <stp>2295561645440,0,0,0,0</stp>
        <stp>8306.T</stp>
        <stp>1M</stp>
        <stp>332</stp>
        <tr r="A1" s="5"/>
      </tp>
      <tp t="s">
        <v/>
        <stp/>
        <stp>Chart</stp>
        <stp>2295562142912,0,0,0,0</stp>
        <stp>6323.T</stp>
        <stp>1M</stp>
        <stp>332</stp>
        <tr r="A1" s="41"/>
      </tp>
      <tp t="s">
        <v/>
        <stp/>
        <stp>Chart</stp>
        <stp>2295562006544,0,0,0,0</stp>
        <stp>6501.T</stp>
        <stp>1M</stp>
        <stp>332</stp>
        <tr r="A1" s="20"/>
      </tp>
      <tp>
        <v>3919</v>
        <stp/>
        <stp>Market</stp>
        <stp>STOCK</stp>
        <stp>66450.T</stp>
        <stp>安値</stp>
        <tr r="Q5" s="27"/>
      </tp>
      <tp>
        <v>2922</v>
        <stp/>
        <stp>Market</stp>
        <stp>STOCK</stp>
        <stp>65250.T</stp>
        <stp>安値</stp>
        <tr r="Q5" s="43"/>
      </tp>
      <tp>
        <v>2080</v>
        <stp/>
        <stp>Market</stp>
        <stp>STOCK</stp>
        <stp>83060.T</stp>
        <stp>始値</stp>
        <tr r="Q6" s="5"/>
      </tp>
      <tp>
        <v>6179</v>
        <stp/>
        <stp>Market</stp>
        <stp>STOCK</stp>
        <stp>81360.T</stp>
        <stp>始値</stp>
        <tr r="Q6" s="8"/>
      </tp>
      <tp>
        <v>3933</v>
        <stp/>
        <stp>Market</stp>
        <stp>STOCK</stp>
        <stp>66450.T</stp>
        <stp>始値</stp>
        <tr r="Q6" s="27"/>
      </tp>
      <tp>
        <v>3059</v>
        <stp/>
        <stp>Market</stp>
        <stp>STOCK</stp>
        <stp>65250.T</stp>
        <stp>始値</stp>
        <tr r="Q6" s="43"/>
      </tp>
      <tp>
        <v>2071</v>
        <stp/>
        <stp>Market</stp>
        <stp>STOCK</stp>
        <stp>83060.T</stp>
        <stp>安値</stp>
        <tr r="Q5" s="5"/>
      </tp>
      <tp>
        <v>6167</v>
        <stp/>
        <stp>Market</stp>
        <stp>STOCK</stp>
        <stp>81360.T</stp>
        <stp>安値</stp>
        <tr r="Q5" s="8"/>
      </tp>
      <tp>
        <v>6285</v>
        <stp/>
        <stp>Market</stp>
        <stp>STOCK</stp>
        <stp>81360.T</stp>
        <stp>歩み4</stp>
        <tr r="U9" s="8"/>
      </tp>
      <tp>
        <v>6283</v>
        <stp/>
        <stp>Market</stp>
        <stp>STOCK</stp>
        <stp>81360.T</stp>
        <stp>歩み2</stp>
        <tr r="U7" s="8"/>
      </tp>
      <tp>
        <v>6282</v>
        <stp/>
        <stp>Market</stp>
        <stp>STOCK</stp>
        <stp>81360.T</stp>
        <stp>歩み3</stp>
        <tr r="U8" s="8"/>
      </tp>
      <tp>
        <v>6282</v>
        <stp/>
        <stp>Market</stp>
        <stp>STOCK</stp>
        <stp>81360.T</stp>
        <stp>歩み1</stp>
        <tr r="U6" s="8"/>
      </tp>
      <tp>
        <v>3023</v>
        <stp/>
        <stp>Market</stp>
        <stp>STOCK</stp>
        <stp>80580.T</stp>
        <stp>歩み1</stp>
        <tr r="U6" s="48"/>
      </tp>
      <tp>
        <v>3022</v>
        <stp/>
        <stp>Market</stp>
        <stp>STOCK</stp>
        <stp>80580.T</stp>
        <stp>歩み2</stp>
        <tr r="U7" s="48"/>
      </tp>
      <tp>
        <v>3023</v>
        <stp/>
        <stp>Market</stp>
        <stp>STOCK</stp>
        <stp>80580.T</stp>
        <stp>歩み3</stp>
        <tr r="U8" s="48"/>
      </tp>
      <tp>
        <v>3022</v>
        <stp/>
        <stp>Market</stp>
        <stp>STOCK</stp>
        <stp>80580.T</stp>
        <stp>歩み4</stp>
        <tr r="U9" s="48"/>
      </tp>
      <tp>
        <v>2128.5</v>
        <stp/>
        <stp>Market</stp>
        <stp>STOCK</stp>
        <stp>83060.T</stp>
        <stp>歩み4</stp>
        <tr r="U9" s="5"/>
      </tp>
      <tp>
        <v>2129.5</v>
        <stp/>
        <stp>Market</stp>
        <stp>STOCK</stp>
        <stp>83060.T</stp>
        <stp>歩み1</stp>
        <tr r="U6" s="5"/>
      </tp>
      <tp>
        <v>2129</v>
        <stp/>
        <stp>Market</stp>
        <stp>STOCK</stp>
        <stp>83060.T</stp>
        <stp>歩み3</stp>
        <tr r="U8" s="5"/>
      </tp>
      <tp>
        <v>2128.5</v>
        <stp/>
        <stp>Market</stp>
        <stp>STOCK</stp>
        <stp>83060.T</stp>
        <stp>歩み2</stp>
        <tr r="U7" s="5"/>
      </tp>
      <tp>
        <v>4448</v>
        <stp/>
        <stp>Market</stp>
        <stp>STOCK</stp>
        <stp>84110.T</stp>
        <stp>歩み4</stp>
        <tr r="U9" s="9"/>
      </tp>
      <tp>
        <v>4449</v>
        <stp/>
        <stp>Market</stp>
        <stp>STOCK</stp>
        <stp>84110.T</stp>
        <stp>歩み1</stp>
        <tr r="U6" s="9"/>
      </tp>
      <tp>
        <v>4448</v>
        <stp/>
        <stp>Market</stp>
        <stp>STOCK</stp>
        <stp>84110.T</stp>
        <stp>歩み2</stp>
        <tr r="U7" s="9"/>
      </tp>
      <tp>
        <v>4449</v>
        <stp/>
        <stp>Market</stp>
        <stp>STOCK</stp>
        <stp>84110.T</stp>
        <stp>歩み3</stp>
        <tr r="U8" s="9"/>
      </tp>
      <tp>
        <v>1937</v>
        <stp/>
        <stp>Market</stp>
        <stp>STOCK</stp>
        <stp>63230.T</stp>
        <stp>始値</stp>
        <tr r="Q6" s="41"/>
      </tp>
      <tp>
        <v>3215</v>
        <stp/>
        <stp>Market</stp>
        <stp>STOCK</stp>
        <stp>70030.T</stp>
        <stp>始値</stp>
        <tr r="Q6" s="12"/>
      </tp>
      <tp>
        <v>10145</v>
        <stp/>
        <stp>Market</stp>
        <stp>STOCK</stp>
        <stp>58030.T</stp>
        <stp>始値</stp>
        <tr r="Q6" s="4"/>
      </tp>
      <tp>
        <v>4381</v>
        <stp/>
        <stp>Market</stp>
        <stp>STOCK</stp>
        <stp>84110.T</stp>
        <stp>安値</stp>
        <tr r="Q5" s="9"/>
      </tp>
      <tp>
        <v>4260</v>
        <stp/>
        <stp>Market</stp>
        <stp>STOCK</stp>
        <stp>65010.T</stp>
        <stp>安値</stp>
        <tr r="Q5" s="20"/>
      </tp>
      <tp>
        <v>4402</v>
        <stp/>
        <stp>Market</stp>
        <stp>STOCK</stp>
        <stp>84110.T</stp>
        <stp>始値</stp>
        <tr r="Q6" s="9"/>
      </tp>
      <tp>
        <v>4368</v>
        <stp/>
        <stp>Market</stp>
        <stp>STOCK</stp>
        <stp>65010.T</stp>
        <stp>始値</stp>
        <tr r="Q6" s="20"/>
      </tp>
      <tp>
        <v>9955</v>
        <stp/>
        <stp>Market</stp>
        <stp>STOCK</stp>
        <stp>58030.T</stp>
        <stp>安値</stp>
        <tr r="Q5" s="4"/>
      </tp>
      <tp>
        <v>1870</v>
        <stp/>
        <stp>Market</stp>
        <stp>STOCK</stp>
        <stp>63230.T</stp>
        <stp>安値</stp>
        <tr r="Q5" s="41"/>
      </tp>
      <tp>
        <v>3165</v>
        <stp/>
        <stp>Market</stp>
        <stp>STOCK</stp>
        <stp>70030.T</stp>
        <stp>安値</stp>
        <tr r="Q5" s="12"/>
      </tp>
      <tp>
        <v>200</v>
        <stp/>
        <stp>Market</stp>
        <stp>STOCK</stp>
        <stp>66450.T</stp>
        <stp>最良売気配数量10</stp>
        <tr r="J5" s="27"/>
      </tp>
      <tp>
        <v>10300</v>
        <stp/>
        <stp>Market</stp>
        <stp>STOCK</stp>
        <stp>58030.T</stp>
        <stp>歩み4</stp>
        <tr r="U9" s="4"/>
      </tp>
      <tp>
        <v>10295</v>
        <stp/>
        <stp>Market</stp>
        <stp>STOCK</stp>
        <stp>58030.T</stp>
        <stp>歩み1</stp>
        <tr r="U6" s="4"/>
      </tp>
      <tp>
        <v>10295</v>
        <stp/>
        <stp>Market</stp>
        <stp>STOCK</stp>
        <stp>58030.T</stp>
        <stp>歩み3</stp>
        <tr r="U8" s="4"/>
      </tp>
      <tp>
        <v>10290</v>
        <stp/>
        <stp>Market</stp>
        <stp>STOCK</stp>
        <stp>58030.T</stp>
        <stp>歩み2</stp>
        <tr r="U7" s="4"/>
      </tp>
      <tp>
        <v>24400</v>
        <stp/>
        <stp>Market</stp>
        <stp>STOCK</stp>
        <stp>80580.T</stp>
        <stp>最良売気配数量10</stp>
        <tr r="J5" s="48"/>
      </tp>
      <tp>
        <v>1954.5</v>
        <stp/>
        <stp>Market</stp>
        <stp>STOCK</stp>
        <stp>63230.T</stp>
        <stp>歩み4</stp>
        <tr r="U9" s="41"/>
      </tp>
      <tp>
        <v>1955.5</v>
        <stp/>
        <stp>Market</stp>
        <stp>STOCK</stp>
        <stp>63230.T</stp>
        <stp>歩み3</stp>
        <tr r="U8" s="41"/>
      </tp>
      <tp>
        <v>1955</v>
        <stp/>
        <stp>Market</stp>
        <stp>STOCK</stp>
        <stp>63230.T</stp>
        <stp>歩み2</stp>
        <tr r="U7" s="41"/>
      </tp>
      <tp>
        <v>1955.5</v>
        <stp/>
        <stp>Market</stp>
        <stp>STOCK</stp>
        <stp>63230.T</stp>
        <stp>歩み1</stp>
        <tr r="U6" s="41"/>
      </tp>
      <tp>
        <v>4298</v>
        <stp/>
        <stp>Market</stp>
        <stp>STOCK</stp>
        <stp>65010.T</stp>
        <stp>歩み4</stp>
        <tr r="U9" s="20"/>
      </tp>
      <tp>
        <v>3128</v>
        <stp/>
        <stp>Market</stp>
        <stp>STOCK</stp>
        <stp>65250.T</stp>
        <stp>歩み4</stp>
        <tr r="U9" s="43"/>
      </tp>
      <tp>
        <v>3125</v>
        <stp/>
        <stp>Market</stp>
        <stp>STOCK</stp>
        <stp>65250.T</stp>
        <stp>歩み3</stp>
        <tr r="U8" s="43"/>
      </tp>
      <tp>
        <v>4297</v>
        <stp/>
        <stp>Market</stp>
        <stp>STOCK</stp>
        <stp>65010.T</stp>
        <stp>歩み1</stp>
        <tr r="U6" s="20"/>
      </tp>
      <tp>
        <v>3128</v>
        <stp/>
        <stp>Market</stp>
        <stp>STOCK</stp>
        <stp>65250.T</stp>
        <stp>歩み2</stp>
        <tr r="U7" s="43"/>
      </tp>
      <tp>
        <v>3125</v>
        <stp/>
        <stp>Market</stp>
        <stp>STOCK</stp>
        <stp>65250.T</stp>
        <stp>歩み1</stp>
        <tr r="U6" s="43"/>
      </tp>
      <tp>
        <v>4297</v>
        <stp/>
        <stp>Market</stp>
        <stp>STOCK</stp>
        <stp>65010.T</stp>
        <stp>歩み3</stp>
        <tr r="U8" s="20"/>
      </tp>
      <tp>
        <v>4298</v>
        <stp/>
        <stp>Market</stp>
        <stp>STOCK</stp>
        <stp>65010.T</stp>
        <stp>歩み2</stp>
        <tr r="U7" s="20"/>
      </tp>
      <tp>
        <v>3980</v>
        <stp/>
        <stp>Market</stp>
        <stp>STOCK</stp>
        <stp>66450.T</stp>
        <stp>歩み1</stp>
        <tr r="U6" s="27"/>
      </tp>
      <tp>
        <v>3982</v>
        <stp/>
        <stp>Market</stp>
        <stp>STOCK</stp>
        <stp>66450.T</stp>
        <stp>歩み3</stp>
        <tr r="U8" s="27"/>
      </tp>
      <tp>
        <v>3981</v>
        <stp/>
        <stp>Market</stp>
        <stp>STOCK</stp>
        <stp>66450.T</stp>
        <stp>歩み2</stp>
        <tr r="U7" s="27"/>
      </tp>
      <tp>
        <v>3985</v>
        <stp/>
        <stp>Market</stp>
        <stp>STOCK</stp>
        <stp>66450.T</stp>
        <stp>歩み4</stp>
        <tr r="U9" s="27"/>
      </tp>
      <tp>
        <v>3210</v>
        <stp/>
        <stp>Market</stp>
        <stp>STOCK</stp>
        <stp>70030.T</stp>
        <stp>歩み4</stp>
        <tr r="U9" s="12"/>
      </tp>
      <tp>
        <v>3205</v>
        <stp/>
        <stp>Market</stp>
        <stp>STOCK</stp>
        <stp>70030.T</stp>
        <stp>歩み1</stp>
        <tr r="U6" s="12"/>
      </tp>
      <tp>
        <v>3205</v>
        <stp/>
        <stp>Market</stp>
        <stp>STOCK</stp>
        <stp>70030.T</stp>
        <stp>歩み3</stp>
        <tr r="U8" s="12"/>
      </tp>
      <tp>
        <v>3210</v>
        <stp/>
        <stp>Market</stp>
        <stp>STOCK</stp>
        <stp>70030.T</stp>
        <stp>歩み2</stp>
        <tr r="U7" s="12"/>
      </tp>
      <tp>
        <v>800</v>
        <stp/>
        <stp>Market</stp>
        <stp>STOCK</stp>
        <stp>83060.T</stp>
        <stp>最良売気配数量10</stp>
        <tr r="J5" s="5"/>
      </tp>
      <tp>
        <v>800</v>
        <stp/>
        <stp>Market</stp>
        <stp>STOCK</stp>
        <stp>65010.T</stp>
        <stp>最良売気配数量10</stp>
        <tr r="J5" s="20"/>
      </tp>
      <tp>
        <v>11000</v>
        <stp/>
        <stp>Market</stp>
        <stp>STOCK</stp>
        <stp>70030.T</stp>
        <stp>最良売気配数量10</stp>
        <tr r="J5" s="12"/>
      </tp>
      <tp>
        <v>3900</v>
        <stp/>
        <stp>Market</stp>
        <stp>STOCK</stp>
        <stp>58030.T</stp>
        <stp>最良売気配数量10</stp>
        <tr r="J5" s="4"/>
      </tp>
      <tp>
        <v>2999</v>
        <stp/>
        <stp>Market</stp>
        <stp>STOCK</stp>
        <stp>80580.T</stp>
        <stp>安値</stp>
        <tr r="Q5" s="48"/>
      </tp>
      <tp>
        <v>1600</v>
        <stp/>
        <stp>Market</stp>
        <stp>STOCK</stp>
        <stp>84110.T</stp>
        <stp>最良売気配数量10</stp>
        <tr r="J5" s="9"/>
      </tp>
      <tp>
        <v>900</v>
        <stp/>
        <stp>Market</stp>
        <stp>STOCK</stp>
        <stp>65250.T</stp>
        <stp>最良売気配数量10</stp>
        <tr r="J5" s="43"/>
      </tp>
      <tp>
        <v>3700</v>
        <stp/>
        <stp>Market</stp>
        <stp>STOCK</stp>
        <stp>63230.T</stp>
        <stp>最良売気配数量10</stp>
        <tr r="J5" s="41"/>
      </tp>
      <tp>
        <v>3000</v>
        <stp/>
        <stp>Market</stp>
        <stp>STOCK</stp>
        <stp>80580.T</stp>
        <stp>始値</stp>
        <tr r="Q6" s="48"/>
      </tp>
      <tp>
        <v>2200</v>
        <stp/>
        <stp>Market</stp>
        <stp>STOCK</stp>
        <stp>81360.T</stp>
        <stp>最良売気配数量10</stp>
        <tr r="J5" s="8"/>
      </tp>
      <tp t="s">
        <v>15:30</v>
        <stp/>
        <stp>Market</stp>
        <stp>STOCK</stp>
        <stp>80580.T</stp>
        <stp>現在値時刻</stp>
        <tr r="R2" s="48"/>
      </tp>
      <tp t="s">
        <v>15:30</v>
        <stp/>
        <stp>Market</stp>
        <stp>STOCK</stp>
        <stp>66450.T</stp>
        <stp>現在値時刻</stp>
        <tr r="R2" s="27"/>
      </tp>
      <tp t="s">
        <v>15:30</v>
        <stp/>
        <stp>Market</stp>
        <stp>STOCK</stp>
        <stp>81360.T</stp>
        <stp>現在値時刻</stp>
        <tr r="R2" s="8"/>
      </tp>
      <tp t="s">
        <v>15:30</v>
        <stp/>
        <stp>Market</stp>
        <stp>STOCK</stp>
        <stp>63230.T</stp>
        <stp>現在値時刻</stp>
        <tr r="R2" s="41"/>
      </tp>
      <tp t="s">
        <v>15:30</v>
        <stp/>
        <stp>Market</stp>
        <stp>STOCK</stp>
        <stp>65250.T</stp>
        <stp>現在値時刻</stp>
        <tr r="R2" s="43"/>
      </tp>
      <tp t="s">
        <v>15:30</v>
        <stp/>
        <stp>Market</stp>
        <stp>STOCK</stp>
        <stp>84110.T</stp>
        <stp>現在値時刻</stp>
        <tr r="R2" s="9"/>
      </tp>
      <tp t="s">
        <v>15:30</v>
        <stp/>
        <stp>Market</stp>
        <stp>STOCK</stp>
        <stp>70030.T</stp>
        <stp>現在値時刻</stp>
        <tr r="R2" s="12"/>
      </tp>
      <tp t="s">
        <v>15:30</v>
        <stp/>
        <stp>Market</stp>
        <stp>STOCK</stp>
        <stp>58030.T</stp>
        <stp>現在値時刻</stp>
        <tr r="R2" s="4"/>
      </tp>
      <tp t="s">
        <v>15:30</v>
        <stp/>
        <stp>Market</stp>
        <stp>STOCK</stp>
        <stp>65010.T</stp>
        <stp>現在値時刻</stp>
        <tr r="R2" s="20"/>
      </tp>
      <tp t="s">
        <v>15:30</v>
        <stp/>
        <stp>Market</stp>
        <stp>STOCK</stp>
        <stp>83060.T</stp>
        <stp>現在値時刻</stp>
        <tr r="R2" s="5"/>
      </tp>
      <tp>
        <v>3137</v>
        <stp/>
        <stp>Market</stp>
        <stp>STOCK</stp>
        <stp>65250.T</stp>
        <stp>最良売気配値10</stp>
        <tr r="L5" s="43"/>
      </tp>
      <tp>
        <v>4299</v>
        <stp/>
        <stp>Market</stp>
        <stp>STOCK</stp>
        <stp>65010.T</stp>
        <stp>最良売気配値10</stp>
        <tr r="L5" s="20"/>
      </tp>
      <tp>
        <v>4462</v>
        <stp/>
        <stp>Market</stp>
        <stp>STOCK</stp>
        <stp>84110.T</stp>
        <stp>最良売気配値10</stp>
        <tr r="L5" s="9"/>
      </tp>
      <tp>
        <v>3996</v>
        <stp/>
        <stp>Market</stp>
        <stp>STOCK</stp>
        <stp>66450.T</stp>
        <stp>最良売気配値10</stp>
        <tr r="L5" s="27"/>
      </tp>
      <tp>
        <v>6298</v>
        <stp/>
        <stp>Market</stp>
        <stp>STOCK</stp>
        <stp>81360.T</stp>
        <stp>最良売気配値10</stp>
        <tr r="L5" s="8"/>
      </tp>
      <tp>
        <v>3260</v>
        <stp/>
        <stp>Market</stp>
        <stp>STOCK</stp>
        <stp>70030.T</stp>
        <stp>最良売気配値10</stp>
        <tr r="L5" s="12"/>
      </tp>
      <tp>
        <v>3038</v>
        <stp/>
        <stp>Market</stp>
        <stp>STOCK</stp>
        <stp>80580.T</stp>
        <stp>最良売気配値10</stp>
        <tr r="L5" s="48"/>
      </tp>
      <tp>
        <v>1962</v>
        <stp/>
        <stp>Market</stp>
        <stp>STOCK</stp>
        <stp>63230.T</stp>
        <stp>最良売気配値10</stp>
        <tr r="L5" s="41"/>
      </tp>
      <tp>
        <v>2132.5</v>
        <stp/>
        <stp>Market</stp>
        <stp>STOCK</stp>
        <stp>83060.T</stp>
        <stp>最良売気配値10</stp>
        <tr r="L5" s="5"/>
      </tp>
      <tp>
        <v>10340</v>
        <stp/>
        <stp>Market</stp>
        <stp>STOCK</stp>
        <stp>58030.T</stp>
        <stp>最良売気配値10</stp>
        <tr r="L5" s="4"/>
      </tp>
      <tp>
        <v>200</v>
        <stp/>
        <stp>Market</stp>
        <stp>STOCK</stp>
        <stp>84110.T</stp>
        <stp>最良買気配数量4</stp>
        <tr r="N18" s="9"/>
      </tp>
      <tp>
        <v>1300</v>
        <stp/>
        <stp>Market</stp>
        <stp>STOCK</stp>
        <stp>84110.T</stp>
        <stp>最良買気配数量5</stp>
        <tr r="N19" s="9"/>
      </tp>
      <tp>
        <v>900</v>
        <stp/>
        <stp>Market</stp>
        <stp>STOCK</stp>
        <stp>84110.T</stp>
        <stp>最良買気配数量6</stp>
        <tr r="N20" s="9"/>
      </tp>
      <tp>
        <v>1200</v>
        <stp/>
        <stp>Market</stp>
        <stp>STOCK</stp>
        <stp>84110.T</stp>
        <stp>最良買気配数量7</stp>
        <tr r="N21" s="9"/>
      </tp>
      <tp>
        <v>700</v>
        <stp/>
        <stp>Market</stp>
        <stp>STOCK</stp>
        <stp>84110.T</stp>
        <stp>最良買気配数量1</stp>
        <tr r="N15" s="9"/>
      </tp>
      <tp>
        <v>3900</v>
        <stp/>
        <stp>Market</stp>
        <stp>STOCK</stp>
        <stp>84110.T</stp>
        <stp>最良買気配数量2</stp>
        <tr r="N16" s="9"/>
      </tp>
      <tp>
        <v>200</v>
        <stp/>
        <stp>Market</stp>
        <stp>STOCK</stp>
        <stp>84110.T</stp>
        <stp>最良買気配数量3</stp>
        <tr r="N17" s="9"/>
      </tp>
      <tp>
        <v>1200</v>
        <stp/>
        <stp>Market</stp>
        <stp>STOCK</stp>
        <stp>84110.T</stp>
        <stp>最良買気配数量8</stp>
        <tr r="N22" s="9"/>
      </tp>
      <tp>
        <v>1800</v>
        <stp/>
        <stp>Market</stp>
        <stp>STOCK</stp>
        <stp>84110.T</stp>
        <stp>最良買気配数量9</stp>
        <tr r="N23" s="9"/>
      </tp>
      <tp>
        <v>1255700</v>
        <stp/>
        <stp>Market</stp>
        <stp>STOCK</stp>
        <stp>84110.T</stp>
        <stp>UNDER気配数量</stp>
        <tr r="N25" s="9"/>
      </tp>
      <tp>
        <v>0</v>
        <stp/>
        <stp>Market</stp>
        <stp>STOCK</stp>
        <stp>63230.T</stp>
        <stp>逆日歩</stp>
        <tr r="Y6" s="41"/>
      </tp>
      <tp>
        <v>0</v>
        <stp/>
        <stp>Market</stp>
        <stp>STOCK</stp>
        <stp>65010.T</stp>
        <stp>逆日歩</stp>
        <tr r="Y6" s="20"/>
      </tp>
      <tp>
        <v>0</v>
        <stp/>
        <stp>Market</stp>
        <stp>STOCK</stp>
        <stp>65250.T</stp>
        <stp>逆日歩</stp>
        <tr r="Y6" s="43"/>
      </tp>
      <tp>
        <v>0</v>
        <stp/>
        <stp>Market</stp>
        <stp>STOCK</stp>
        <stp>66450.T</stp>
        <stp>逆日歩</stp>
        <tr r="Y6" s="27"/>
      </tp>
      <tp>
        <v>3500</v>
        <stp/>
        <stp>Market</stp>
        <stp>STOCK</stp>
        <stp>65010.T</stp>
        <stp>最良買気配数量4</stp>
        <tr r="N18" s="20"/>
      </tp>
      <tp>
        <v>7600</v>
        <stp/>
        <stp>Market</stp>
        <stp>STOCK</stp>
        <stp>65010.T</stp>
        <stp>最良買気配数量5</stp>
        <tr r="N19" s="20"/>
      </tp>
      <tp>
        <v>9900</v>
        <stp/>
        <stp>Market</stp>
        <stp>STOCK</stp>
        <stp>65010.T</stp>
        <stp>最良買気配数量6</stp>
        <tr r="N20" s="20"/>
      </tp>
      <tp>
        <v>26500</v>
        <stp/>
        <stp>Market</stp>
        <stp>STOCK</stp>
        <stp>65010.T</stp>
        <stp>最良買気配数量7</stp>
        <tr r="N21" s="20"/>
      </tp>
      <tp>
        <v>7800</v>
        <stp/>
        <stp>Market</stp>
        <stp>STOCK</stp>
        <stp>65010.T</stp>
        <stp>最良買気配数量1</stp>
        <tr r="N15" s="20"/>
      </tp>
      <tp>
        <v>17600</v>
        <stp/>
        <stp>Market</stp>
        <stp>STOCK</stp>
        <stp>65010.T</stp>
        <stp>最良買気配数量2</stp>
        <tr r="N16" s="20"/>
      </tp>
      <tp>
        <v>126600</v>
        <stp/>
        <stp>Market</stp>
        <stp>STOCK</stp>
        <stp>65010.T</stp>
        <stp>最良買気配数量3</stp>
        <tr r="N17" s="20"/>
      </tp>
      <tp>
        <v>23700</v>
        <stp/>
        <stp>Market</stp>
        <stp>STOCK</stp>
        <stp>65010.T</stp>
        <stp>最良買気配数量8</stp>
        <tr r="N22" s="20"/>
      </tp>
      <tp>
        <v>5200</v>
        <stp/>
        <stp>Market</stp>
        <stp>STOCK</stp>
        <stp>65010.T</stp>
        <stp>最良買気配数量9</stp>
        <tr r="N23" s="20"/>
      </tp>
      <tp>
        <v>5900</v>
        <stp/>
        <stp>Market</stp>
        <stp>STOCK</stp>
        <stp>65250.T</stp>
        <stp>最良買気配数量1</stp>
        <tr r="N15" s="43"/>
      </tp>
      <tp>
        <v>300</v>
        <stp/>
        <stp>Market</stp>
        <stp>STOCK</stp>
        <stp>65250.T</stp>
        <stp>最良買気配数量2</stp>
        <tr r="N16" s="43"/>
      </tp>
      <tp>
        <v>200</v>
        <stp/>
        <stp>Market</stp>
        <stp>STOCK</stp>
        <stp>65250.T</stp>
        <stp>最良買気配数量3</stp>
        <tr r="N17" s="43"/>
      </tp>
      <tp>
        <v>6200</v>
        <stp/>
        <stp>Market</stp>
        <stp>STOCK</stp>
        <stp>65250.T</stp>
        <stp>最良買気配数量4</stp>
        <tr r="N18" s="43"/>
      </tp>
      <tp>
        <v>300</v>
        <stp/>
        <stp>Market</stp>
        <stp>STOCK</stp>
        <stp>65250.T</stp>
        <stp>最良買気配数量5</stp>
        <tr r="N19" s="43"/>
      </tp>
      <tp>
        <v>900</v>
        <stp/>
        <stp>Market</stp>
        <stp>STOCK</stp>
        <stp>65250.T</stp>
        <stp>最良買気配数量6</stp>
        <tr r="N20" s="43"/>
      </tp>
      <tp>
        <v>300</v>
        <stp/>
        <stp>Market</stp>
        <stp>STOCK</stp>
        <stp>65250.T</stp>
        <stp>最良買気配数量7</stp>
        <tr r="N21" s="43"/>
      </tp>
      <tp>
        <v>100</v>
        <stp/>
        <stp>Market</stp>
        <stp>STOCK</stp>
        <stp>65250.T</stp>
        <stp>最良買気配数量8</stp>
        <tr r="N22" s="43"/>
      </tp>
      <tp>
        <v>7700</v>
        <stp/>
        <stp>Market</stp>
        <stp>STOCK</stp>
        <stp>65250.T</stp>
        <stp>最良買気配数量9</stp>
        <tr r="N23" s="43"/>
      </tp>
      <tp>
        <v>1214600</v>
        <stp/>
        <stp>Market</stp>
        <stp>STOCK</stp>
        <stp>65010.T</stp>
        <stp>UNDER気配数量</stp>
        <tr r="N25" s="20"/>
      </tp>
      <tp>
        <v>819500</v>
        <stp/>
        <stp>Market</stp>
        <stp>STOCK</stp>
        <stp>58030.T</stp>
        <stp>UNDER気配数量</stp>
        <tr r="N25" s="4"/>
      </tp>
      <tp>
        <v>431200</v>
        <stp/>
        <stp>Market</stp>
        <stp>STOCK</stp>
        <stp>70030.T</stp>
        <stp>UNDER気配数量</stp>
        <tr r="N25" s="12"/>
      </tp>
      <tp>
        <v>6901100</v>
        <stp/>
        <stp>Market</stp>
        <stp>STOCK</stp>
        <stp>83060.T</stp>
        <stp>UNDER気配数量</stp>
        <tr r="N25" s="5"/>
      </tp>
      <tp>
        <v>0</v>
        <stp/>
        <stp>Market</stp>
        <stp>STOCK</stp>
        <stp>70030.T</stp>
        <stp>逆日歩</stp>
        <tr r="Y6" s="12"/>
      </tp>
      <tp>
        <v>400</v>
        <stp/>
        <stp>Market</stp>
        <stp>STOCK</stp>
        <stp>66450.T</stp>
        <stp>最良買気配数量1</stp>
        <tr r="N15" s="27"/>
      </tp>
      <tp>
        <v>1000</v>
        <stp/>
        <stp>Market</stp>
        <stp>STOCK</stp>
        <stp>66450.T</stp>
        <stp>最良買気配数量2</stp>
        <tr r="N16" s="27"/>
      </tp>
      <tp>
        <v>4200</v>
        <stp/>
        <stp>Market</stp>
        <stp>STOCK</stp>
        <stp>66450.T</stp>
        <stp>最良買気配数量3</stp>
        <tr r="N17" s="27"/>
      </tp>
      <tp>
        <v>2000</v>
        <stp/>
        <stp>Market</stp>
        <stp>STOCK</stp>
        <stp>66450.T</stp>
        <stp>最良買気配数量4</stp>
        <tr r="N18" s="27"/>
      </tp>
      <tp>
        <v>100</v>
        <stp/>
        <stp>Market</stp>
        <stp>STOCK</stp>
        <stp>66450.T</stp>
        <stp>最良買気配数量5</stp>
        <tr r="N19" s="27"/>
      </tp>
      <tp>
        <v>6600</v>
        <stp/>
        <stp>Market</stp>
        <stp>STOCK</stp>
        <stp>66450.T</stp>
        <stp>最良買気配数量6</stp>
        <tr r="N20" s="27"/>
      </tp>
      <tp>
        <v>800</v>
        <stp/>
        <stp>Market</stp>
        <stp>STOCK</stp>
        <stp>66450.T</stp>
        <stp>最良買気配数量7</stp>
        <tr r="N21" s="27"/>
      </tp>
      <tp>
        <v>200</v>
        <stp/>
        <stp>Market</stp>
        <stp>STOCK</stp>
        <stp>66450.T</stp>
        <stp>最良買気配数量8</stp>
        <tr r="N22" s="27"/>
      </tp>
      <tp>
        <v>1200</v>
        <stp/>
        <stp>Market</stp>
        <stp>STOCK</stp>
        <stp>66450.T</stp>
        <stp>最良買気配数量9</stp>
        <tr r="N23" s="27"/>
      </tp>
      <tp>
        <v>640000</v>
        <stp/>
        <stp>Market</stp>
        <stp>STOCK</stp>
        <stp>81360.T</stp>
        <stp>UNDER気配数量</stp>
        <tr r="N25" s="8"/>
      </tp>
      <tp>
        <v>236800</v>
        <stp/>
        <stp>Market</stp>
        <stp>STOCK</stp>
        <stp>63230.T</stp>
        <stp>UNDER気配数量</stp>
        <tr r="N25" s="41"/>
      </tp>
      <tp>
        <v>493500</v>
        <stp/>
        <stp>Market</stp>
        <stp>STOCK</stp>
        <stp>65250.T</stp>
        <stp>UNDER気配数量</stp>
        <tr r="N25" s="43"/>
      </tp>
      <tp>
        <v>0.35</v>
        <stp/>
        <stp>Market</stp>
        <stp>STOCK</stp>
        <stp>58030.T</stp>
        <stp>逆日歩</stp>
        <tr r="Y6" s="4"/>
      </tp>
      <tp>
        <v>18100</v>
        <stp/>
        <stp>Market</stp>
        <stp>STOCK</stp>
        <stp>70030.T</stp>
        <stp>最良買気配数量6</stp>
        <tr r="N20" s="12"/>
      </tp>
      <tp>
        <v>10200</v>
        <stp/>
        <stp>Market</stp>
        <stp>STOCK</stp>
        <stp>70030.T</stp>
        <stp>最良買気配数量7</stp>
        <tr r="N21" s="12"/>
      </tp>
      <tp>
        <v>19100</v>
        <stp/>
        <stp>Market</stp>
        <stp>STOCK</stp>
        <stp>70030.T</stp>
        <stp>最良買気配数量4</stp>
        <tr r="N18" s="12"/>
      </tp>
      <tp>
        <v>18200</v>
        <stp/>
        <stp>Market</stp>
        <stp>STOCK</stp>
        <stp>70030.T</stp>
        <stp>最良買気配数量5</stp>
        <tr r="N19" s="12"/>
      </tp>
      <tp>
        <v>12500</v>
        <stp/>
        <stp>Market</stp>
        <stp>STOCK</stp>
        <stp>70030.T</stp>
        <stp>最良買気配数量2</stp>
        <tr r="N16" s="12"/>
      </tp>
      <tp>
        <v>39400</v>
        <stp/>
        <stp>Market</stp>
        <stp>STOCK</stp>
        <stp>70030.T</stp>
        <stp>最良買気配数量3</stp>
        <tr r="N17" s="12"/>
      </tp>
      <tp>
        <v>2400</v>
        <stp/>
        <stp>Market</stp>
        <stp>STOCK</stp>
        <stp>70030.T</stp>
        <stp>最良買気配数量1</stp>
        <tr r="N15" s="12"/>
      </tp>
      <tp>
        <v>5100</v>
        <stp/>
        <stp>Market</stp>
        <stp>STOCK</stp>
        <stp>70030.T</stp>
        <stp>最良買気配数量8</stp>
        <tr r="N22" s="12"/>
      </tp>
      <tp>
        <v>14100</v>
        <stp/>
        <stp>Market</stp>
        <stp>STOCK</stp>
        <stp>70030.T</stp>
        <stp>最良買気配数量9</stp>
        <tr r="N23" s="12"/>
      </tp>
      <tp>
        <v>1100</v>
        <stp/>
        <stp>Market</stp>
        <stp>STOCK</stp>
        <stp>80580.T</stp>
        <stp>最良買気配数量9</stp>
        <tr r="N23" s="48"/>
      </tp>
      <tp>
        <v>1100</v>
        <stp/>
        <stp>Market</stp>
        <stp>STOCK</stp>
        <stp>80580.T</stp>
        <stp>最良買気配数量8</stp>
        <tr r="N22" s="48"/>
      </tp>
      <tp>
        <v>1800</v>
        <stp/>
        <stp>Market</stp>
        <stp>STOCK</stp>
        <stp>80580.T</stp>
        <stp>最良買気配数量5</stp>
        <tr r="N19" s="48"/>
      </tp>
      <tp>
        <v>2400</v>
        <stp/>
        <stp>Market</stp>
        <stp>STOCK</stp>
        <stp>80580.T</stp>
        <stp>最良買気配数量4</stp>
        <tr r="N18" s="48"/>
      </tp>
      <tp>
        <v>300</v>
        <stp/>
        <stp>Market</stp>
        <stp>STOCK</stp>
        <stp>80580.T</stp>
        <stp>最良買気配数量7</stp>
        <tr r="N21" s="48"/>
      </tp>
      <tp>
        <v>1400</v>
        <stp/>
        <stp>Market</stp>
        <stp>STOCK</stp>
        <stp>80580.T</stp>
        <stp>最良買気配数量6</stp>
        <tr r="N20" s="48"/>
      </tp>
      <tp>
        <v>500</v>
        <stp/>
        <stp>Market</stp>
        <stp>STOCK</stp>
        <stp>80580.T</stp>
        <stp>最良買気配数量1</stp>
        <tr r="N15" s="48"/>
      </tp>
      <tp>
        <v>1800</v>
        <stp/>
        <stp>Market</stp>
        <stp>STOCK</stp>
        <stp>80580.T</stp>
        <stp>最良買気配数量3</stp>
        <tr r="N17" s="48"/>
      </tp>
      <tp>
        <v>1000</v>
        <stp/>
        <stp>Market</stp>
        <stp>STOCK</stp>
        <stp>80580.T</stp>
        <stp>最良買気配数量2</stp>
        <tr r="N16" s="48"/>
      </tp>
      <tp t="s">
        <v>2025/01/06</v>
        <stp/>
        <stp>Market</stp>
        <stp>STOCK</stp>
        <stp>66450.T</stp>
        <stp>年初来高値日付</stp>
        <tr r="R9" s="27"/>
      </tp>
      <tp t="s">
        <v>2025/07/07</v>
        <stp/>
        <stp>Market</stp>
        <stp>STOCK</stp>
        <stp>66450.T</stp>
        <stp>年初来安値日付</stp>
        <tr r="R10" s="27"/>
      </tp>
      <tp t="s">
        <v>2025/02/25</v>
        <stp/>
        <stp>Market</stp>
        <stp>STOCK</stp>
        <stp>65250.T</stp>
        <stp>年初来高値日付</stp>
        <tr r="R9" s="43"/>
      </tp>
      <tp t="s">
        <v>2025/07/31</v>
        <stp/>
        <stp>Market</stp>
        <stp>STOCK</stp>
        <stp>65010.T</stp>
        <stp>年初来高値日付</stp>
        <tr r="R9" s="20"/>
      </tp>
      <tp t="s">
        <v>2025/04/09</v>
        <stp/>
        <stp>Market</stp>
        <stp>STOCK</stp>
        <stp>65250.T</stp>
        <stp>年初来安値日付</stp>
        <tr r="R10" s="43"/>
      </tp>
      <tp t="s">
        <v>2025/04/07</v>
        <stp/>
        <stp>Market</stp>
        <stp>STOCK</stp>
        <stp>65010.T</stp>
        <stp>年初来安値日付</stp>
        <tr r="R10" s="20"/>
      </tp>
      <tp t="s">
        <v>2025/06/30</v>
        <stp/>
        <stp>Market</stp>
        <stp>STOCK</stp>
        <stp>63230.T</stp>
        <stp>年初来高値日付</stp>
        <tr r="R9" s="41"/>
      </tp>
      <tp t="s">
        <v>2025/04/07</v>
        <stp/>
        <stp>Market</stp>
        <stp>STOCK</stp>
        <stp>63230.T</stp>
        <stp>年初来安値日付</stp>
        <tr r="R10" s="41"/>
      </tp>
      <tp>
        <v>1547300</v>
        <stp/>
        <stp>Market</stp>
        <stp>STOCK</stp>
        <stp>80580.T</stp>
        <stp>UNDER気配数量</stp>
        <tr r="N25" s="48"/>
      </tp>
      <tp>
        <v>200</v>
        <stp/>
        <stp>Market</stp>
        <stp>STOCK</stp>
        <stp>81360.T</stp>
        <stp>最良買気配数量3</stp>
        <tr r="N17" s="8"/>
      </tp>
      <tp>
        <v>800</v>
        <stp/>
        <stp>Market</stp>
        <stp>STOCK</stp>
        <stp>81360.T</stp>
        <stp>最良買気配数量2</stp>
        <tr r="N16" s="8"/>
      </tp>
      <tp>
        <v>200</v>
        <stp/>
        <stp>Market</stp>
        <stp>STOCK</stp>
        <stp>81360.T</stp>
        <stp>最良買気配数量1</stp>
        <tr r="N15" s="8"/>
      </tp>
      <tp>
        <v>8600</v>
        <stp/>
        <stp>Market</stp>
        <stp>STOCK</stp>
        <stp>81360.T</stp>
        <stp>最良買気配数量7</stp>
        <tr r="N21" s="8"/>
      </tp>
      <tp>
        <v>100</v>
        <stp/>
        <stp>Market</stp>
        <stp>STOCK</stp>
        <stp>81360.T</stp>
        <stp>最良買気配数量6</stp>
        <tr r="N20" s="8"/>
      </tp>
      <tp>
        <v>1200</v>
        <stp/>
        <stp>Market</stp>
        <stp>STOCK</stp>
        <stp>81360.T</stp>
        <stp>最良買気配数量5</stp>
        <tr r="N19" s="8"/>
      </tp>
      <tp>
        <v>200</v>
        <stp/>
        <stp>Market</stp>
        <stp>STOCK</stp>
        <stp>81360.T</stp>
        <stp>最良買気配数量4</stp>
        <tr r="N18" s="8"/>
      </tp>
      <tp>
        <v>5300</v>
        <stp/>
        <stp>Market</stp>
        <stp>STOCK</stp>
        <stp>81360.T</stp>
        <stp>最良買気配数量9</stp>
        <tr r="N23" s="8"/>
      </tp>
      <tp>
        <v>100</v>
        <stp/>
        <stp>Market</stp>
        <stp>STOCK</stp>
        <stp>81360.T</stp>
        <stp>最良買気配数量8</stp>
        <tr r="N22" s="8"/>
      </tp>
      <tp t="s">
        <v>2025/07/31</v>
        <stp/>
        <stp>Market</stp>
        <stp>STOCK</stp>
        <stp>70030.T</stp>
        <stp>年初来高値日付</stp>
        <tr r="R9" s="12"/>
      </tp>
      <tp t="s">
        <v>2025/04/07</v>
        <stp/>
        <stp>Market</stp>
        <stp>STOCK</stp>
        <stp>70030.T</stp>
        <stp>年初来安値日付</stp>
        <tr r="R10" s="12"/>
      </tp>
      <tp>
        <v>242900</v>
        <stp/>
        <stp>Market</stp>
        <stp>STOCK</stp>
        <stp>66450.T</stp>
        <stp>UNDER気配数量</stp>
        <tr r="N25" s="27"/>
      </tp>
      <tp>
        <v>1400</v>
        <stp/>
        <stp>Market</stp>
        <stp>STOCK</stp>
        <stp>83060.T</stp>
        <stp>最良買気配数量3</stp>
        <tr r="N17" s="5"/>
      </tp>
      <tp>
        <v>46500</v>
        <stp/>
        <stp>Market</stp>
        <stp>STOCK</stp>
        <stp>83060.T</stp>
        <stp>最良買気配数量2</stp>
        <tr r="N16" s="5"/>
      </tp>
      <tp>
        <v>1000</v>
        <stp/>
        <stp>Market</stp>
        <stp>STOCK</stp>
        <stp>83060.T</stp>
        <stp>最良買気配数量1</stp>
        <tr r="N15" s="5"/>
      </tp>
      <tp>
        <v>83000</v>
        <stp/>
        <stp>Market</stp>
        <stp>STOCK</stp>
        <stp>83060.T</stp>
        <stp>最良買気配数量7</stp>
        <tr r="N21" s="5"/>
      </tp>
      <tp>
        <v>21000</v>
        <stp/>
        <stp>Market</stp>
        <stp>STOCK</stp>
        <stp>83060.T</stp>
        <stp>最良買気配数量6</stp>
        <tr r="N20" s="5"/>
      </tp>
      <tp>
        <v>77000</v>
        <stp/>
        <stp>Market</stp>
        <stp>STOCK</stp>
        <stp>83060.T</stp>
        <stp>最良買気配数量5</stp>
        <tr r="N19" s="5"/>
      </tp>
      <tp>
        <v>28900</v>
        <stp/>
        <stp>Market</stp>
        <stp>STOCK</stp>
        <stp>83060.T</stp>
        <stp>最良買気配数量4</stp>
        <tr r="N18" s="5"/>
      </tp>
      <tp>
        <v>11100</v>
        <stp/>
        <stp>Market</stp>
        <stp>STOCK</stp>
        <stp>83060.T</stp>
        <stp>最良買気配数量9</stp>
        <tr r="N23" s="5"/>
      </tp>
      <tp>
        <v>11100</v>
        <stp/>
        <stp>Market</stp>
        <stp>STOCK</stp>
        <stp>83060.T</stp>
        <stp>最良買気配数量8</stp>
        <tr r="N22" s="5"/>
      </tp>
      <tp>
        <v>500</v>
        <stp/>
        <stp>Market</stp>
        <stp>STOCK</stp>
        <stp>63230.T</stp>
        <stp>最良買気配数量6</stp>
        <tr r="N20" s="41"/>
      </tp>
      <tp>
        <v>700</v>
        <stp/>
        <stp>Market</stp>
        <stp>STOCK</stp>
        <stp>63230.T</stp>
        <stp>最良買気配数量7</stp>
        <tr r="N21" s="41"/>
      </tp>
      <tp>
        <v>300</v>
        <stp/>
        <stp>Market</stp>
        <stp>STOCK</stp>
        <stp>63230.T</stp>
        <stp>最良買気配数量4</stp>
        <tr r="N18" s="41"/>
      </tp>
      <tp>
        <v>6300</v>
        <stp/>
        <stp>Market</stp>
        <stp>STOCK</stp>
        <stp>63230.T</stp>
        <stp>最良買気配数量5</stp>
        <tr r="N19" s="41"/>
      </tp>
      <tp>
        <v>100</v>
        <stp/>
        <stp>Market</stp>
        <stp>STOCK</stp>
        <stp>63230.T</stp>
        <stp>最良買気配数量2</stp>
        <tr r="N16" s="41"/>
      </tp>
      <tp>
        <v>200</v>
        <stp/>
        <stp>Market</stp>
        <stp>STOCK</stp>
        <stp>63230.T</stp>
        <stp>最良買気配数量3</stp>
        <tr r="N17" s="41"/>
      </tp>
      <tp>
        <v>1100</v>
        <stp/>
        <stp>Market</stp>
        <stp>STOCK</stp>
        <stp>63230.T</stp>
        <stp>最良買気配数量1</stp>
        <tr r="N15" s="41"/>
      </tp>
      <tp>
        <v>100</v>
        <stp/>
        <stp>Market</stp>
        <stp>STOCK</stp>
        <stp>63230.T</stp>
        <stp>最良買気配数量8</stp>
        <tr r="N22" s="41"/>
      </tp>
      <tp>
        <v>1400</v>
        <stp/>
        <stp>Market</stp>
        <stp>STOCK</stp>
        <stp>63230.T</stp>
        <stp>最良買気配数量9</stp>
        <tr r="N23" s="41"/>
      </tp>
      <tp t="s">
        <v>2025/07/31</v>
        <stp/>
        <stp>Market</stp>
        <stp>STOCK</stp>
        <stp>58030.T</stp>
        <stp>年初来高値日付</stp>
        <tr r="R9" s="4"/>
      </tp>
      <tp t="s">
        <v>2025/04/07</v>
        <stp/>
        <stp>Market</stp>
        <stp>STOCK</stp>
        <stp>58030.T</stp>
        <stp>年初来安値日付</stp>
        <tr r="R10" s="4"/>
      </tp>
      <tp t="s">
        <v>2025/07/24</v>
        <stp/>
        <stp>Market</stp>
        <stp>STOCK</stp>
        <stp>84110.T</stp>
        <stp>年初来高値日付</stp>
        <tr r="R9" s="9"/>
      </tp>
      <tp t="s">
        <v>2025/04/07</v>
        <stp/>
        <stp>Market</stp>
        <stp>STOCK</stp>
        <stp>84110.T</stp>
        <stp>年初来安値日付</stp>
        <tr r="R10" s="9"/>
      </tp>
      <tp t="s">
        <v>2025/03/21</v>
        <stp/>
        <stp>Market</stp>
        <stp>STOCK</stp>
        <stp>83060.T</stp>
        <stp>年初来高値日付</stp>
        <tr r="R9" s="5"/>
      </tp>
      <tp t="s">
        <v>2025/04/07</v>
        <stp/>
        <stp>Market</stp>
        <stp>STOCK</stp>
        <stp>83060.T</stp>
        <stp>年初来安値日付</stp>
        <tr r="R10" s="5"/>
      </tp>
      <tp t="s">
        <v>2025/02/18</v>
        <stp/>
        <stp>Market</stp>
        <stp>STOCK</stp>
        <stp>81360.T</stp>
        <stp>年初来高値日付</stp>
        <tr r="R9" s="8"/>
      </tp>
      <tp t="s">
        <v>2025/01/21</v>
        <stp/>
        <stp>Market</stp>
        <stp>STOCK</stp>
        <stp>81360.T</stp>
        <stp>年初来安値日付</stp>
        <tr r="R10" s="8"/>
      </tp>
      <tp t="s">
        <v>2025/07/24</v>
        <stp/>
        <stp>Market</stp>
        <stp>STOCK</stp>
        <stp>80580.T</stp>
        <stp>年初来高値日付</stp>
        <tr r="R9" s="48"/>
      </tp>
      <tp t="s">
        <v>2025/04/07</v>
        <stp/>
        <stp>Market</stp>
        <stp>STOCK</stp>
        <stp>80580.T</stp>
        <stp>年初来安値日付</stp>
        <tr r="R10" s="48"/>
      </tp>
      <tp>
        <v>1500</v>
        <stp/>
        <stp>Market</stp>
        <stp>STOCK</stp>
        <stp>58030.T</stp>
        <stp>最良買気配数量6</stp>
        <tr r="N20" s="4"/>
      </tp>
      <tp>
        <v>6600</v>
        <stp/>
        <stp>Market</stp>
        <stp>STOCK</stp>
        <stp>58030.T</stp>
        <stp>最良買気配数量7</stp>
        <tr r="N21" s="4"/>
      </tp>
      <tp>
        <v>1200</v>
        <stp/>
        <stp>Market</stp>
        <stp>STOCK</stp>
        <stp>58030.T</stp>
        <stp>最良買気配数量4</stp>
        <tr r="N18" s="4"/>
      </tp>
      <tp>
        <v>900</v>
        <stp/>
        <stp>Market</stp>
        <stp>STOCK</stp>
        <stp>58030.T</stp>
        <stp>最良買気配数量5</stp>
        <tr r="N19" s="4"/>
      </tp>
      <tp>
        <v>500</v>
        <stp/>
        <stp>Market</stp>
        <stp>STOCK</stp>
        <stp>58030.T</stp>
        <stp>最良買気配数量2</stp>
        <tr r="N16" s="4"/>
      </tp>
      <tp>
        <v>1800</v>
        <stp/>
        <stp>Market</stp>
        <stp>STOCK</stp>
        <stp>58030.T</stp>
        <stp>最良買気配数量3</stp>
        <tr r="N17" s="4"/>
      </tp>
      <tp>
        <v>5800</v>
        <stp/>
        <stp>Market</stp>
        <stp>STOCK</stp>
        <stp>58030.T</stp>
        <stp>最良買気配数量1</stp>
        <tr r="N15" s="4"/>
      </tp>
      <tp>
        <v>3800</v>
        <stp/>
        <stp>Market</stp>
        <stp>STOCK</stp>
        <stp>58030.T</stp>
        <stp>最良買気配数量8</stp>
        <tr r="N22" s="4"/>
      </tp>
      <tp>
        <v>7800</v>
        <stp/>
        <stp>Market</stp>
        <stp>STOCK</stp>
        <stp>58030.T</stp>
        <stp>最良買気配数量9</stp>
        <tr r="N23" s="4"/>
      </tp>
      <tp>
        <v>0</v>
        <stp/>
        <stp>Market</stp>
        <stp>STOCK</stp>
        <stp>80580.T</stp>
        <stp>逆日歩</stp>
        <tr r="Y6" s="48"/>
      </tp>
      <tp>
        <v>0</v>
        <stp/>
        <stp>Market</stp>
        <stp>STOCK</stp>
        <stp>81360.T</stp>
        <stp>逆日歩</stp>
        <tr r="Y6" s="8"/>
      </tp>
      <tp>
        <v>0</v>
        <stp/>
        <stp>Market</stp>
        <stp>STOCK</stp>
        <stp>83060.T</stp>
        <stp>逆日歩</stp>
        <tr r="Y6" s="5"/>
      </tp>
      <tp>
        <v>0</v>
        <stp/>
        <stp>Market</stp>
        <stp>STOCK</stp>
        <stp>84110.T</stp>
        <stp>逆日歩</stp>
        <tr r="Y6" s="9"/>
      </tp>
      <tp>
        <v>12705400</v>
        <stp/>
        <stp>Market</stp>
        <stp>STOCK</stp>
        <stp>81360.T</stp>
        <stp>出来高</stp>
        <tr r="U2" s="8"/>
      </tp>
      <tp>
        <v>9174000</v>
        <stp/>
        <stp>Market</stp>
        <stp>STOCK</stp>
        <stp>80580.T</stp>
        <stp>出来高</stp>
        <tr r="U2" s="48"/>
      </tp>
      <tp>
        <v>43624900</v>
        <stp/>
        <stp>Market</stp>
        <stp>STOCK</stp>
        <stp>83060.T</stp>
        <stp>出来高</stp>
        <tr r="U2" s="5"/>
      </tp>
      <tp>
        <v>12042500</v>
        <stp/>
        <stp>Market</stp>
        <stp>STOCK</stp>
        <stp>84110.T</stp>
        <stp>出来高</stp>
        <tr r="U2" s="9"/>
      </tp>
      <tp>
        <v>21415000</v>
        <stp/>
        <stp>Market</stp>
        <stp>STOCK</stp>
        <stp>83060.T</stp>
        <stp>前場出来高</stp>
        <tr r="U4" s="5"/>
      </tp>
      <tp>
        <v>20594800</v>
        <stp/>
        <stp>Market</stp>
        <stp>STOCK</stp>
        <stp>65010.T</stp>
        <stp>前場出来高</stp>
        <tr r="U4" s="20"/>
      </tp>
      <tp>
        <v>8898300</v>
        <stp/>
        <stp>Market</stp>
        <stp>STOCK</stp>
        <stp>58030.T</stp>
        <stp>前場出来高</stp>
        <tr r="U4" s="4"/>
      </tp>
      <tp>
        <v>1462900</v>
        <stp/>
        <stp>Market</stp>
        <stp>STOCK</stp>
        <stp>70030.T</stp>
        <stp>前場出来高</stp>
        <tr r="U4" s="12"/>
      </tp>
      <tp>
        <v>4010</v>
        <stp/>
        <stp>Market</stp>
        <stp>STOCK</stp>
        <stp>66450.T</stp>
        <stp>高値</stp>
        <tr r="Q4" s="27"/>
      </tp>
      <tp>
        <v>3137</v>
        <stp/>
        <stp>Market</stp>
        <stp>STOCK</stp>
        <stp>65250.T</stp>
        <stp>高値</stp>
        <tr r="Q4" s="43"/>
      </tp>
      <tp>
        <v>6914400</v>
        <stp/>
        <stp>Market</stp>
        <stp>STOCK</stp>
        <stp>84110.T</stp>
        <stp>前場出来高</stp>
        <tr r="U4" s="9"/>
      </tp>
      <tp>
        <v>4454</v>
        <stp/>
        <stp>Market</stp>
        <stp>STOCK</stp>
        <stp>84110.T</stp>
        <stp>最良売気配値2</stp>
        <tr r="L13" s="9"/>
      </tp>
      <tp>
        <v>4455</v>
        <stp/>
        <stp>Market</stp>
        <stp>STOCK</stp>
        <stp>84110.T</stp>
        <stp>最良売気配値3</stp>
        <tr r="L12" s="9"/>
      </tp>
      <tp>
        <v>4453</v>
        <stp/>
        <stp>Market</stp>
        <stp>STOCK</stp>
        <stp>84110.T</stp>
        <stp>最良売気配値1</stp>
        <tr r="L14" s="9"/>
      </tp>
      <tp>
        <v>4458</v>
        <stp/>
        <stp>Market</stp>
        <stp>STOCK</stp>
        <stp>84110.T</stp>
        <stp>最良売気配値6</stp>
        <tr r="L9" s="9"/>
      </tp>
      <tp>
        <v>4459</v>
        <stp/>
        <stp>Market</stp>
        <stp>STOCK</stp>
        <stp>84110.T</stp>
        <stp>最良売気配値7</stp>
        <tr r="L8" s="9"/>
      </tp>
      <tp>
        <v>4456</v>
        <stp/>
        <stp>Market</stp>
        <stp>STOCK</stp>
        <stp>84110.T</stp>
        <stp>最良売気配値4</stp>
        <tr r="L11" s="9"/>
      </tp>
      <tp>
        <v>4457</v>
        <stp/>
        <stp>Market</stp>
        <stp>STOCK</stp>
        <stp>84110.T</stp>
        <stp>最良売気配値5</stp>
        <tr r="L10" s="9"/>
      </tp>
      <tp>
        <v>4460</v>
        <stp/>
        <stp>Market</stp>
        <stp>STOCK</stp>
        <stp>84110.T</stp>
        <stp>最良売気配値8</stp>
        <tr r="L7" s="9"/>
      </tp>
      <tp>
        <v>4461</v>
        <stp/>
        <stp>Market</stp>
        <stp>STOCK</stp>
        <stp>84110.T</stp>
        <stp>最良売気配値9</stp>
        <tr r="L6" s="9"/>
      </tp>
      <tp>
        <v>6289</v>
        <stp/>
        <stp>Market</stp>
        <stp>STOCK</stp>
        <stp>81360.T</stp>
        <stp>最良売気配値1</stp>
        <tr r="L14" s="8"/>
      </tp>
      <tp>
        <v>6290</v>
        <stp/>
        <stp>Market</stp>
        <stp>STOCK</stp>
        <stp>81360.T</stp>
        <stp>最良売気配値2</stp>
        <tr r="L13" s="8"/>
      </tp>
      <tp>
        <v>6291</v>
        <stp/>
        <stp>Market</stp>
        <stp>STOCK</stp>
        <stp>81360.T</stp>
        <stp>最良売気配値3</stp>
        <tr r="L12" s="8"/>
      </tp>
      <tp>
        <v>6292</v>
        <stp/>
        <stp>Market</stp>
        <stp>STOCK</stp>
        <stp>81360.T</stp>
        <stp>最良売気配値4</stp>
        <tr r="L11" s="8"/>
      </tp>
      <tp>
        <v>6293</v>
        <stp/>
        <stp>Market</stp>
        <stp>STOCK</stp>
        <stp>81360.T</stp>
        <stp>最良売気配値5</stp>
        <tr r="L10" s="8"/>
      </tp>
      <tp>
        <v>6294</v>
        <stp/>
        <stp>Market</stp>
        <stp>STOCK</stp>
        <stp>81360.T</stp>
        <stp>最良売気配値6</stp>
        <tr r="L9" s="8"/>
      </tp>
      <tp>
        <v>6295</v>
        <stp/>
        <stp>Market</stp>
        <stp>STOCK</stp>
        <stp>81360.T</stp>
        <stp>最良売気配値7</stp>
        <tr r="L8" s="8"/>
      </tp>
      <tp>
        <v>6296</v>
        <stp/>
        <stp>Market</stp>
        <stp>STOCK</stp>
        <stp>81360.T</stp>
        <stp>最良売気配値8</stp>
        <tr r="L7" s="8"/>
      </tp>
      <tp>
        <v>6297</v>
        <stp/>
        <stp>Market</stp>
        <stp>STOCK</stp>
        <stp>81360.T</stp>
        <stp>最良売気配値9</stp>
        <tr r="L6" s="8"/>
      </tp>
      <tp>
        <v>3034</v>
        <stp/>
        <stp>Market</stp>
        <stp>STOCK</stp>
        <stp>80580.T</stp>
        <stp>最良売気配値6</stp>
        <tr r="L9" s="48"/>
      </tp>
      <tp>
        <v>3035</v>
        <stp/>
        <stp>Market</stp>
        <stp>STOCK</stp>
        <stp>80580.T</stp>
        <stp>最良売気配値7</stp>
        <tr r="L8" s="48"/>
      </tp>
      <tp>
        <v>3032</v>
        <stp/>
        <stp>Market</stp>
        <stp>STOCK</stp>
        <stp>80580.T</stp>
        <stp>最良売気配値4</stp>
        <tr r="L11" s="48"/>
      </tp>
      <tp>
        <v>3033</v>
        <stp/>
        <stp>Market</stp>
        <stp>STOCK</stp>
        <stp>80580.T</stp>
        <stp>最良売気配値5</stp>
        <tr r="L10" s="48"/>
      </tp>
      <tp>
        <v>3030</v>
        <stp/>
        <stp>Market</stp>
        <stp>STOCK</stp>
        <stp>80580.T</stp>
        <stp>最良売気配値2</stp>
        <tr r="L13" s="48"/>
      </tp>
      <tp>
        <v>3031</v>
        <stp/>
        <stp>Market</stp>
        <stp>STOCK</stp>
        <stp>80580.T</stp>
        <stp>最良売気配値3</stp>
        <tr r="L12" s="48"/>
      </tp>
      <tp>
        <v>3029</v>
        <stp/>
        <stp>Market</stp>
        <stp>STOCK</stp>
        <stp>80580.T</stp>
        <stp>最良売気配値1</stp>
        <tr r="L14" s="48"/>
      </tp>
      <tp>
        <v>3036</v>
        <stp/>
        <stp>Market</stp>
        <stp>STOCK</stp>
        <stp>80580.T</stp>
        <stp>最良売気配値8</stp>
        <tr r="L7" s="48"/>
      </tp>
      <tp>
        <v>3037</v>
        <stp/>
        <stp>Market</stp>
        <stp>STOCK</stp>
        <stp>80580.T</stp>
        <stp>最良売気配値9</stp>
        <tr r="L6" s="48"/>
      </tp>
      <tp>
        <v>2129</v>
        <stp/>
        <stp>Market</stp>
        <stp>STOCK</stp>
        <stp>83060.T</stp>
        <stp>最良売気配値3</stp>
        <tr r="L12" s="5"/>
      </tp>
      <tp>
        <v>2128</v>
        <stp/>
        <stp>Market</stp>
        <stp>STOCK</stp>
        <stp>83060.T</stp>
        <stp>最良売気配値2</stp>
        <tr r="L13" s="5"/>
      </tp>
      <tp>
        <v>2127.5</v>
        <stp/>
        <stp>Market</stp>
        <stp>STOCK</stp>
        <stp>83060.T</stp>
        <stp>最良売気配値1</stp>
        <tr r="L14" s="5"/>
      </tp>
      <tp>
        <v>2131</v>
        <stp/>
        <stp>Market</stp>
        <stp>STOCK</stp>
        <stp>83060.T</stp>
        <stp>最良売気配値7</stp>
        <tr r="L8" s="5"/>
      </tp>
      <tp>
        <v>2130.5</v>
        <stp/>
        <stp>Market</stp>
        <stp>STOCK</stp>
        <stp>83060.T</stp>
        <stp>最良売気配値6</stp>
        <tr r="L9" s="5"/>
      </tp>
      <tp>
        <v>2130</v>
        <stp/>
        <stp>Market</stp>
        <stp>STOCK</stp>
        <stp>83060.T</stp>
        <stp>最良売気配値5</stp>
        <tr r="L10" s="5"/>
      </tp>
      <tp>
        <v>2129.5</v>
        <stp/>
        <stp>Market</stp>
        <stp>STOCK</stp>
        <stp>83060.T</stp>
        <stp>最良売気配値4</stp>
        <tr r="L11" s="5"/>
      </tp>
      <tp>
        <v>2132</v>
        <stp/>
        <stp>Market</stp>
        <stp>STOCK</stp>
        <stp>83060.T</stp>
        <stp>最良売気配値9</stp>
        <tr r="L6" s="5"/>
      </tp>
      <tp>
        <v>2131.5</v>
        <stp/>
        <stp>Market</stp>
        <stp>STOCK</stp>
        <stp>83060.T</stp>
        <stp>最良売気配値8</stp>
        <tr r="L7" s="5"/>
      </tp>
      <tp>
        <v>2139.5</v>
        <stp/>
        <stp>Market</stp>
        <stp>STOCK</stp>
        <stp>83060.T</stp>
        <stp>高値</stp>
        <tr r="Q4" s="5"/>
      </tp>
      <tp>
        <v>6302</v>
        <stp/>
        <stp>Market</stp>
        <stp>STOCK</stp>
        <stp>81360.T</stp>
        <stp>高値</stp>
        <tr r="Q4" s="8"/>
      </tp>
      <tp>
        <v>6282</v>
        <stp/>
        <stp>Market</stp>
        <stp>STOCK</stp>
        <stp>81360.T</stp>
        <stp>最良買気配値5</stp>
        <tr r="L19" s="8"/>
      </tp>
      <tp>
        <v>6283</v>
        <stp/>
        <stp>Market</stp>
        <stp>STOCK</stp>
        <stp>81360.T</stp>
        <stp>最良買気配値4</stp>
        <tr r="L18" s="8"/>
      </tp>
      <tp>
        <v>6280</v>
        <stp/>
        <stp>Market</stp>
        <stp>STOCK</stp>
        <stp>81360.T</stp>
        <stp>最良買気配値7</stp>
        <tr r="L21" s="8"/>
      </tp>
      <tp>
        <v>6281</v>
        <stp/>
        <stp>Market</stp>
        <stp>STOCK</stp>
        <stp>81360.T</stp>
        <stp>最良買気配値6</stp>
        <tr r="L20" s="8"/>
      </tp>
      <tp>
        <v>6286</v>
        <stp/>
        <stp>Market</stp>
        <stp>STOCK</stp>
        <stp>81360.T</stp>
        <stp>最良買気配値1</stp>
        <tr r="L15" s="8"/>
      </tp>
      <tp>
        <v>6284</v>
        <stp/>
        <stp>Market</stp>
        <stp>STOCK</stp>
        <stp>81360.T</stp>
        <stp>最良買気配値3</stp>
        <tr r="L17" s="8"/>
      </tp>
      <tp>
        <v>6285</v>
        <stp/>
        <stp>Market</stp>
        <stp>STOCK</stp>
        <stp>81360.T</stp>
        <stp>最良買気配値2</stp>
        <tr r="L16" s="8"/>
      </tp>
      <tp>
        <v>6277</v>
        <stp/>
        <stp>Market</stp>
        <stp>STOCK</stp>
        <stp>81360.T</stp>
        <stp>最良買気配値9</stp>
        <tr r="L23" s="8"/>
      </tp>
      <tp>
        <v>6279</v>
        <stp/>
        <stp>Market</stp>
        <stp>STOCK</stp>
        <stp>81360.T</stp>
        <stp>最良買気配値8</stp>
        <tr r="L22" s="8"/>
      </tp>
      <tp>
        <v>4633500</v>
        <stp/>
        <stp>Market</stp>
        <stp>STOCK</stp>
        <stp>65250.T</stp>
        <stp>前場出来高</stp>
        <tr r="U4" s="43"/>
      </tp>
      <tp>
        <v>3024</v>
        <stp/>
        <stp>Market</stp>
        <stp>STOCK</stp>
        <stp>80580.T</stp>
        <stp>最良買気配値3</stp>
        <tr r="L17" s="48"/>
      </tp>
      <tp>
        <v>3025</v>
        <stp/>
        <stp>Market</stp>
        <stp>STOCK</stp>
        <stp>80580.T</stp>
        <stp>最良買気配値2</stp>
        <tr r="L16" s="48"/>
      </tp>
      <tp>
        <v>3027</v>
        <stp/>
        <stp>Market</stp>
        <stp>STOCK</stp>
        <stp>80580.T</stp>
        <stp>最良買気配値1</stp>
        <tr r="L15" s="48"/>
      </tp>
      <tp>
        <v>3019</v>
        <stp/>
        <stp>Market</stp>
        <stp>STOCK</stp>
        <stp>80580.T</stp>
        <stp>最良買気配値7</stp>
        <tr r="L21" s="48"/>
      </tp>
      <tp>
        <v>3020</v>
        <stp/>
        <stp>Market</stp>
        <stp>STOCK</stp>
        <stp>80580.T</stp>
        <stp>最良買気配値6</stp>
        <tr r="L20" s="48"/>
      </tp>
      <tp>
        <v>3021</v>
        <stp/>
        <stp>Market</stp>
        <stp>STOCK</stp>
        <stp>80580.T</stp>
        <stp>最良買気配値5</stp>
        <tr r="L19" s="48"/>
      </tp>
      <tp>
        <v>3023</v>
        <stp/>
        <stp>Market</stp>
        <stp>STOCK</stp>
        <stp>80580.T</stp>
        <stp>最良買気配値4</stp>
        <tr r="L18" s="48"/>
      </tp>
      <tp>
        <v>3016</v>
        <stp/>
        <stp>Market</stp>
        <stp>STOCK</stp>
        <stp>80580.T</stp>
        <stp>最良買気配値9</stp>
        <tr r="L23" s="48"/>
      </tp>
      <tp>
        <v>3018</v>
        <stp/>
        <stp>Market</stp>
        <stp>STOCK</stp>
        <stp>80580.T</stp>
        <stp>最良買気配値8</stp>
        <tr r="L22" s="48"/>
      </tp>
      <tp>
        <v>2124</v>
        <stp/>
        <stp>Market</stp>
        <stp>STOCK</stp>
        <stp>83060.T</stp>
        <stp>最良買気配値6</stp>
        <tr r="L20" s="5"/>
      </tp>
      <tp>
        <v>2123.5</v>
        <stp/>
        <stp>Market</stp>
        <stp>STOCK</stp>
        <stp>83060.T</stp>
        <stp>最良買気配値7</stp>
        <tr r="L21" s="5"/>
      </tp>
      <tp>
        <v>2125</v>
        <stp/>
        <stp>Market</stp>
        <stp>STOCK</stp>
        <stp>83060.T</stp>
        <stp>最良買気配値4</stp>
        <tr r="L18" s="5"/>
      </tp>
      <tp>
        <v>2124.5</v>
        <stp/>
        <stp>Market</stp>
        <stp>STOCK</stp>
        <stp>83060.T</stp>
        <stp>最良買気配値5</stp>
        <tr r="L19" s="5"/>
      </tp>
      <tp>
        <v>2126</v>
        <stp/>
        <stp>Market</stp>
        <stp>STOCK</stp>
        <stp>83060.T</stp>
        <stp>最良買気配値2</stp>
        <tr r="L16" s="5"/>
      </tp>
      <tp>
        <v>2125.5</v>
        <stp/>
        <stp>Market</stp>
        <stp>STOCK</stp>
        <stp>83060.T</stp>
        <stp>最良買気配値3</stp>
        <tr r="L17" s="5"/>
      </tp>
      <tp>
        <v>2126.5</v>
        <stp/>
        <stp>Market</stp>
        <stp>STOCK</stp>
        <stp>83060.T</stp>
        <stp>最良買気配値1</stp>
        <tr r="L15" s="5"/>
      </tp>
      <tp>
        <v>2123</v>
        <stp/>
        <stp>Market</stp>
        <stp>STOCK</stp>
        <stp>83060.T</stp>
        <stp>最良買気配値8</stp>
        <tr r="L22" s="5"/>
      </tp>
      <tp>
        <v>2122.5</v>
        <stp/>
        <stp>Market</stp>
        <stp>STOCK</stp>
        <stp>83060.T</stp>
        <stp>最良買気配値9</stp>
        <tr r="L23" s="5"/>
      </tp>
      <tp>
        <v>4443</v>
        <stp/>
        <stp>Market</stp>
        <stp>STOCK</stp>
        <stp>84110.T</stp>
        <stp>最良買気配値7</stp>
        <tr r="L21" s="9"/>
      </tp>
      <tp>
        <v>4444</v>
        <stp/>
        <stp>Market</stp>
        <stp>STOCK</stp>
        <stp>84110.T</stp>
        <stp>最良買気配値6</stp>
        <tr r="L20" s="9"/>
      </tp>
      <tp>
        <v>4446</v>
        <stp/>
        <stp>Market</stp>
        <stp>STOCK</stp>
        <stp>84110.T</stp>
        <stp>最良買気配値5</stp>
        <tr r="L19" s="9"/>
      </tp>
      <tp>
        <v>4447</v>
        <stp/>
        <stp>Market</stp>
        <stp>STOCK</stp>
        <stp>84110.T</stp>
        <stp>最良買気配値4</stp>
        <tr r="L18" s="9"/>
      </tp>
      <tp>
        <v>4448</v>
        <stp/>
        <stp>Market</stp>
        <stp>STOCK</stp>
        <stp>84110.T</stp>
        <stp>最良買気配値3</stp>
        <tr r="L17" s="9"/>
      </tp>
      <tp>
        <v>4449</v>
        <stp/>
        <stp>Market</stp>
        <stp>STOCK</stp>
        <stp>84110.T</stp>
        <stp>最良買気配値2</stp>
        <tr r="L16" s="9"/>
      </tp>
      <tp>
        <v>4450</v>
        <stp/>
        <stp>Market</stp>
        <stp>STOCK</stp>
        <stp>84110.T</stp>
        <stp>最良買気配値1</stp>
        <tr r="L15" s="9"/>
      </tp>
      <tp>
        <v>4441</v>
        <stp/>
        <stp>Market</stp>
        <stp>STOCK</stp>
        <stp>84110.T</stp>
        <stp>最良買気配値9</stp>
        <tr r="L23" s="9"/>
      </tp>
      <tp>
        <v>4442</v>
        <stp/>
        <stp>Market</stp>
        <stp>STOCK</stp>
        <stp>84110.T</stp>
        <stp>最良買気配値8</stp>
        <tr r="L22" s="9"/>
      </tp>
      <tp>
        <v>1819800</v>
        <stp/>
        <stp>Market</stp>
        <stp>STOCK</stp>
        <stp>63230.T</stp>
        <stp>前場出来高</stp>
        <tr r="U4" s="41"/>
      </tp>
      <tp>
        <v>7689000</v>
        <stp/>
        <stp>Market</stp>
        <stp>STOCK</stp>
        <stp>81360.T</stp>
        <stp>前場出来高</stp>
        <tr r="U4" s="8"/>
      </tp>
      <tp>
        <v>597100</v>
        <stp/>
        <stp>Market</stp>
        <stp>STOCK</stp>
        <stp>66450.T</stp>
        <stp>前場出来高</stp>
        <tr r="U4" s="27"/>
      </tp>
      <tp>
        <v>4452</v>
        <stp/>
        <stp>Market</stp>
        <stp>STOCK</stp>
        <stp>84110.T</stp>
        <stp>高値</stp>
        <tr r="Q4" s="9"/>
      </tp>
      <tp>
        <v>4378</v>
        <stp/>
        <stp>Market</stp>
        <stp>STOCK</stp>
        <stp>65010.T</stp>
        <stp>高値</stp>
        <tr r="Q4" s="20"/>
      </tp>
      <tp>
        <v>4410700</v>
        <stp/>
        <stp>Market</stp>
        <stp>STOCK</stp>
        <stp>80580.T</stp>
        <stp>前場出来高</stp>
        <tr r="U4" s="48"/>
      </tp>
      <tp>
        <v>140699649</v>
        <stp/>
        <stp>Market</stp>
        <stp>STOCK</stp>
        <stp>58030.T</stp>
        <stp>売買代金</stp>
        <tr r="U3" s="4"/>
      </tp>
      <tp>
        <v>10380</v>
        <stp/>
        <stp>Market</stp>
        <stp>STOCK</stp>
        <stp>58030.T</stp>
        <stp>高値</stp>
        <tr r="Q4" s="4"/>
      </tp>
      <tp>
        <v>3245</v>
        <stp/>
        <stp>Market</stp>
        <stp>STOCK</stp>
        <stp>70030.T</stp>
        <stp>高値</stp>
        <tr r="Q4" s="12"/>
      </tp>
      <tp>
        <v>1973</v>
        <stp/>
        <stp>Market</stp>
        <stp>STOCK</stp>
        <stp>63230.T</stp>
        <stp>高値</stp>
        <tr r="Q4" s="41"/>
      </tp>
      <tp>
        <v>6355306</v>
        <stp/>
        <stp>Market</stp>
        <stp>STOCK</stp>
        <stp>66450.T</stp>
        <stp>売買代金</stp>
        <tr r="U3" s="27"/>
      </tp>
      <tp>
        <v>23457015</v>
        <stp/>
        <stp>Market</stp>
        <stp>STOCK</stp>
        <stp>65250.T</stp>
        <stp>売買代金</stp>
        <tr r="U3" s="43"/>
      </tp>
      <tp>
        <v>151232628</v>
        <stp/>
        <stp>Market</stp>
        <stp>STOCK</stp>
        <stp>65010.T</stp>
        <stp>売買代金</stp>
        <tr r="U3" s="20"/>
      </tp>
      <tp>
        <v>53195385</v>
        <stp/>
        <stp>Market</stp>
        <stp>STOCK</stp>
        <stp>84110.T</stp>
        <stp>売買代金</stp>
        <tr r="U3" s="9"/>
      </tp>
      <tp>
        <v>4288</v>
        <stp/>
        <stp>Market</stp>
        <stp>STOCK</stp>
        <stp>65010.T</stp>
        <stp>最良売気配値3</stp>
        <tr r="L12" s="20"/>
      </tp>
      <tp>
        <v>3128</v>
        <stp/>
        <stp>Market</stp>
        <stp>STOCK</stp>
        <stp>65250.T</stp>
        <stp>最良売気配値1</stp>
        <tr r="L14" s="43"/>
      </tp>
      <tp>
        <v>4286</v>
        <stp/>
        <stp>Market</stp>
        <stp>STOCK</stp>
        <stp>65010.T</stp>
        <stp>最良売気配値2</stp>
        <tr r="L13" s="20"/>
      </tp>
      <tp>
        <v>4285</v>
        <stp/>
        <stp>Market</stp>
        <stp>STOCK</stp>
        <stp>65010.T</stp>
        <stp>最良売気配値1</stp>
        <tr r="L14" s="20"/>
      </tp>
      <tp>
        <v>3130</v>
        <stp/>
        <stp>Market</stp>
        <stp>STOCK</stp>
        <stp>65250.T</stp>
        <stp>最良売気配値3</stp>
        <tr r="L12" s="43"/>
      </tp>
      <tp>
        <v>3129</v>
        <stp/>
        <stp>Market</stp>
        <stp>STOCK</stp>
        <stp>65250.T</stp>
        <stp>最良売気配値2</stp>
        <tr r="L13" s="43"/>
      </tp>
      <tp>
        <v>4295</v>
        <stp/>
        <stp>Market</stp>
        <stp>STOCK</stp>
        <stp>65010.T</stp>
        <stp>最良売気配値7</stp>
        <tr r="L8" s="20"/>
      </tp>
      <tp>
        <v>3132</v>
        <stp/>
        <stp>Market</stp>
        <stp>STOCK</stp>
        <stp>65250.T</stp>
        <stp>最良売気配値5</stp>
        <tr r="L10" s="43"/>
      </tp>
      <tp>
        <v>4293</v>
        <stp/>
        <stp>Market</stp>
        <stp>STOCK</stp>
        <stp>65010.T</stp>
        <stp>最良売気配値6</stp>
        <tr r="L9" s="20"/>
      </tp>
      <tp>
        <v>3131</v>
        <stp/>
        <stp>Market</stp>
        <stp>STOCK</stp>
        <stp>65250.T</stp>
        <stp>最良売気配値4</stp>
        <tr r="L11" s="43"/>
      </tp>
      <tp>
        <v>4292</v>
        <stp/>
        <stp>Market</stp>
        <stp>STOCK</stp>
        <stp>65010.T</stp>
        <stp>最良売気配値5</stp>
        <tr r="L10" s="20"/>
      </tp>
      <tp>
        <v>3134</v>
        <stp/>
        <stp>Market</stp>
        <stp>STOCK</stp>
        <stp>65250.T</stp>
        <stp>最良売気配値7</stp>
        <tr r="L8" s="43"/>
      </tp>
      <tp>
        <v>4291</v>
        <stp/>
        <stp>Market</stp>
        <stp>STOCK</stp>
        <stp>65010.T</stp>
        <stp>最良売気配値4</stp>
        <tr r="L11" s="20"/>
      </tp>
      <tp>
        <v>3133</v>
        <stp/>
        <stp>Market</stp>
        <stp>STOCK</stp>
        <stp>65250.T</stp>
        <stp>最良売気配値6</stp>
        <tr r="L9" s="43"/>
      </tp>
      <tp>
        <v>3136</v>
        <stp/>
        <stp>Market</stp>
        <stp>STOCK</stp>
        <stp>65250.T</stp>
        <stp>最良売気配値9</stp>
        <tr r="L6" s="43"/>
      </tp>
      <tp>
        <v>3135</v>
        <stp/>
        <stp>Market</stp>
        <stp>STOCK</stp>
        <stp>65250.T</stp>
        <stp>最良売気配値8</stp>
        <tr r="L7" s="43"/>
      </tp>
      <tp>
        <v>4298</v>
        <stp/>
        <stp>Market</stp>
        <stp>STOCK</stp>
        <stp>65010.T</stp>
        <stp>最良売気配値9</stp>
        <tr r="L6" s="20"/>
      </tp>
      <tp>
        <v>4297</v>
        <stp/>
        <stp>Market</stp>
        <stp>STOCK</stp>
        <stp>65010.T</stp>
        <stp>最良売気配値8</stp>
        <tr r="L7" s="20"/>
      </tp>
      <tp>
        <v>3993</v>
        <stp/>
        <stp>Market</stp>
        <stp>STOCK</stp>
        <stp>66450.T</stp>
        <stp>最良売気配値7</stp>
        <tr r="L8" s="27"/>
      </tp>
      <tp>
        <v>3992</v>
        <stp/>
        <stp>Market</stp>
        <stp>STOCK</stp>
        <stp>66450.T</stp>
        <stp>最良売気配値6</stp>
        <tr r="L9" s="27"/>
      </tp>
      <tp>
        <v>3991</v>
        <stp/>
        <stp>Market</stp>
        <stp>STOCK</stp>
        <stp>66450.T</stp>
        <stp>最良売気配値5</stp>
        <tr r="L10" s="27"/>
      </tp>
      <tp>
        <v>3990</v>
        <stp/>
        <stp>Market</stp>
        <stp>STOCK</stp>
        <stp>66450.T</stp>
        <stp>最良売気配値4</stp>
        <tr r="L11" s="27"/>
      </tp>
      <tp>
        <v>3986</v>
        <stp/>
        <stp>Market</stp>
        <stp>STOCK</stp>
        <stp>66450.T</stp>
        <stp>最良売気配値3</stp>
        <tr r="L12" s="27"/>
      </tp>
      <tp>
        <v>3985</v>
        <stp/>
        <stp>Market</stp>
        <stp>STOCK</stp>
        <stp>66450.T</stp>
        <stp>最良売気配値2</stp>
        <tr r="L13" s="27"/>
      </tp>
      <tp>
        <v>3981</v>
        <stp/>
        <stp>Market</stp>
        <stp>STOCK</stp>
        <stp>66450.T</stp>
        <stp>最良売気配値1</stp>
        <tr r="L14" s="27"/>
      </tp>
      <tp>
        <v>3995</v>
        <stp/>
        <stp>Market</stp>
        <stp>STOCK</stp>
        <stp>66450.T</stp>
        <stp>最良売気配値9</stp>
        <tr r="L6" s="27"/>
      </tp>
      <tp>
        <v>3994</v>
        <stp/>
        <stp>Market</stp>
        <stp>STOCK</stp>
        <stp>66450.T</stp>
        <stp>最良売気配値8</stp>
        <tr r="L7" s="27"/>
      </tp>
      <tp>
        <v>1957.5</v>
        <stp/>
        <stp>Market</stp>
        <stp>STOCK</stp>
        <stp>63230.T</stp>
        <stp>最良売気配値1</stp>
        <tr r="L14" s="41"/>
      </tp>
      <tp>
        <v>1958.5</v>
        <stp/>
        <stp>Market</stp>
        <stp>STOCK</stp>
        <stp>63230.T</stp>
        <stp>最良売気配値3</stp>
        <tr r="L12" s="41"/>
      </tp>
      <tp>
        <v>1958</v>
        <stp/>
        <stp>Market</stp>
        <stp>STOCK</stp>
        <stp>63230.T</stp>
        <stp>最良売気配値2</stp>
        <tr r="L13" s="41"/>
      </tp>
      <tp>
        <v>1959.5</v>
        <stp/>
        <stp>Market</stp>
        <stp>STOCK</stp>
        <stp>63230.T</stp>
        <stp>最良売気配値5</stp>
        <tr r="L10" s="41"/>
      </tp>
      <tp>
        <v>1959</v>
        <stp/>
        <stp>Market</stp>
        <stp>STOCK</stp>
        <stp>63230.T</stp>
        <stp>最良売気配値4</stp>
        <tr r="L11" s="41"/>
      </tp>
      <tp>
        <v>1960.5</v>
        <stp/>
        <stp>Market</stp>
        <stp>STOCK</stp>
        <stp>63230.T</stp>
        <stp>最良売気配値7</stp>
        <tr r="L8" s="41"/>
      </tp>
      <tp>
        <v>1960</v>
        <stp/>
        <stp>Market</stp>
        <stp>STOCK</stp>
        <stp>63230.T</stp>
        <stp>最良売気配値6</stp>
        <tr r="L9" s="41"/>
      </tp>
      <tp>
        <v>1961.5</v>
        <stp/>
        <stp>Market</stp>
        <stp>STOCK</stp>
        <stp>63230.T</stp>
        <stp>最良売気配値9</stp>
        <tr r="L6" s="41"/>
      </tp>
      <tp>
        <v>1961</v>
        <stp/>
        <stp>Market</stp>
        <stp>STOCK</stp>
        <stp>63230.T</stp>
        <stp>最良売気配値8</stp>
        <tr r="L7" s="41"/>
      </tp>
      <tp>
        <v>5259492</v>
        <stp/>
        <stp>Market</stp>
        <stp>STOCK</stp>
        <stp>63230.T</stp>
        <stp>売買代金</stp>
        <tr r="U3" s="41"/>
      </tp>
      <tp>
        <v>92249725</v>
        <stp/>
        <stp>Market</stp>
        <stp>STOCK</stp>
        <stp>83060.T</stp>
        <stp>売買代金</stp>
        <tr r="U3" s="5"/>
      </tp>
      <tp>
        <v>3036</v>
        <stp/>
        <stp>Market</stp>
        <stp>STOCK</stp>
        <stp>80580.T</stp>
        <stp>高値</stp>
        <tr r="Q4" s="48"/>
      </tp>
      <tp>
        <v>1953</v>
        <stp/>
        <stp>Market</stp>
        <stp>STOCK</stp>
        <stp>63230.T</stp>
        <stp>最良買気配値4</stp>
        <tr r="L18" s="41"/>
      </tp>
      <tp>
        <v>1952.5</v>
        <stp/>
        <stp>Market</stp>
        <stp>STOCK</stp>
        <stp>63230.T</stp>
        <stp>最良買気配値5</stp>
        <tr r="L19" s="41"/>
      </tp>
      <tp>
        <v>1952</v>
        <stp/>
        <stp>Market</stp>
        <stp>STOCK</stp>
        <stp>63230.T</stp>
        <stp>最良買気配値6</stp>
        <tr r="L20" s="41"/>
      </tp>
      <tp>
        <v>1951.5</v>
        <stp/>
        <stp>Market</stp>
        <stp>STOCK</stp>
        <stp>63230.T</stp>
        <stp>最良買気配値7</stp>
        <tr r="L21" s="41"/>
      </tp>
      <tp>
        <v>1957</v>
        <stp/>
        <stp>Market</stp>
        <stp>STOCK</stp>
        <stp>63230.T</stp>
        <stp>最良買気配値1</stp>
        <tr r="L15" s="41"/>
      </tp>
      <tp>
        <v>1955.5</v>
        <stp/>
        <stp>Market</stp>
        <stp>STOCK</stp>
        <stp>63230.T</stp>
        <stp>最良買気配値2</stp>
        <tr r="L16" s="41"/>
      </tp>
      <tp>
        <v>1955</v>
        <stp/>
        <stp>Market</stp>
        <stp>STOCK</stp>
        <stp>63230.T</stp>
        <stp>最良買気配値3</stp>
        <tr r="L17" s="41"/>
      </tp>
      <tp>
        <v>1951</v>
        <stp/>
        <stp>Market</stp>
        <stp>STOCK</stp>
        <stp>63230.T</stp>
        <stp>最良買気配値8</stp>
        <tr r="L22" s="41"/>
      </tp>
      <tp>
        <v>1950</v>
        <stp/>
        <stp>Market</stp>
        <stp>STOCK</stp>
        <stp>63230.T</stp>
        <stp>最良買気配値9</stp>
        <tr r="L23" s="41"/>
      </tp>
      <tp>
        <v>4277</v>
        <stp/>
        <stp>Market</stp>
        <stp>STOCK</stp>
        <stp>65010.T</stp>
        <stp>最良買気配値6</stp>
        <tr r="L20" s="20"/>
      </tp>
      <tp>
        <v>3122</v>
        <stp/>
        <stp>Market</stp>
        <stp>STOCK</stp>
        <stp>65250.T</stp>
        <stp>最良買気配値4</stp>
        <tr r="L18" s="43"/>
      </tp>
      <tp>
        <v>4276</v>
        <stp/>
        <stp>Market</stp>
        <stp>STOCK</stp>
        <stp>65010.T</stp>
        <stp>最良買気配値7</stp>
        <tr r="L21" s="20"/>
      </tp>
      <tp>
        <v>3121</v>
        <stp/>
        <stp>Market</stp>
        <stp>STOCK</stp>
        <stp>65250.T</stp>
        <stp>最良買気配値5</stp>
        <tr r="L19" s="43"/>
      </tp>
      <tp>
        <v>4279</v>
        <stp/>
        <stp>Market</stp>
        <stp>STOCK</stp>
        <stp>65010.T</stp>
        <stp>最良買気配値4</stp>
        <tr r="L18" s="20"/>
      </tp>
      <tp>
        <v>3120</v>
        <stp/>
        <stp>Market</stp>
        <stp>STOCK</stp>
        <stp>65250.T</stp>
        <stp>最良買気配値6</stp>
        <tr r="L20" s="43"/>
      </tp>
      <tp>
        <v>4278</v>
        <stp/>
        <stp>Market</stp>
        <stp>STOCK</stp>
        <stp>65010.T</stp>
        <stp>最良買気配値5</stp>
        <tr r="L19" s="20"/>
      </tp>
      <tp>
        <v>3118</v>
        <stp/>
        <stp>Market</stp>
        <stp>STOCK</stp>
        <stp>65250.T</stp>
        <stp>最良買気配値7</stp>
        <tr r="L21" s="43"/>
      </tp>
      <tp>
        <v>4281</v>
        <stp/>
        <stp>Market</stp>
        <stp>STOCK</stp>
        <stp>65010.T</stp>
        <stp>最良買気配値2</stp>
        <tr r="L16" s="20"/>
      </tp>
      <tp>
        <v>4280</v>
        <stp/>
        <stp>Market</stp>
        <stp>STOCK</stp>
        <stp>65010.T</stp>
        <stp>最良買気配値3</stp>
        <tr r="L17" s="20"/>
      </tp>
      <tp>
        <v>3125</v>
        <stp/>
        <stp>Market</stp>
        <stp>STOCK</stp>
        <stp>65250.T</stp>
        <stp>最良買気配値1</stp>
        <tr r="L15" s="43"/>
      </tp>
      <tp>
        <v>3124</v>
        <stp/>
        <stp>Market</stp>
        <stp>STOCK</stp>
        <stp>65250.T</stp>
        <stp>最良買気配値2</stp>
        <tr r="L16" s="43"/>
      </tp>
      <tp>
        <v>4282</v>
        <stp/>
        <stp>Market</stp>
        <stp>STOCK</stp>
        <stp>65010.T</stp>
        <stp>最良買気配値1</stp>
        <tr r="L15" s="20"/>
      </tp>
      <tp>
        <v>3123</v>
        <stp/>
        <stp>Market</stp>
        <stp>STOCK</stp>
        <stp>65250.T</stp>
        <stp>最良買気配値3</stp>
        <tr r="L17" s="43"/>
      </tp>
      <tp>
        <v>3117</v>
        <stp/>
        <stp>Market</stp>
        <stp>STOCK</stp>
        <stp>65250.T</stp>
        <stp>最良買気配値8</stp>
        <tr r="L22" s="43"/>
      </tp>
      <tp>
        <v>3116</v>
        <stp/>
        <stp>Market</stp>
        <stp>STOCK</stp>
        <stp>65250.T</stp>
        <stp>最良買気配値9</stp>
        <tr r="L23" s="43"/>
      </tp>
      <tp>
        <v>4275</v>
        <stp/>
        <stp>Market</stp>
        <stp>STOCK</stp>
        <stp>65010.T</stp>
        <stp>最良買気配値8</stp>
        <tr r="L22" s="20"/>
      </tp>
      <tp>
        <v>4274</v>
        <stp/>
        <stp>Market</stp>
        <stp>STOCK</stp>
        <stp>65010.T</stp>
        <stp>最良買気配値9</stp>
        <tr r="L23" s="20"/>
      </tp>
      <tp>
        <v>3978</v>
        <stp/>
        <stp>Market</stp>
        <stp>STOCK</stp>
        <stp>66450.T</stp>
        <stp>最良買気配値2</stp>
        <tr r="L16" s="27"/>
      </tp>
      <tp>
        <v>3976</v>
        <stp/>
        <stp>Market</stp>
        <stp>STOCK</stp>
        <stp>66450.T</stp>
        <stp>最良買気配値3</stp>
        <tr r="L17" s="27"/>
      </tp>
      <tp>
        <v>3980</v>
        <stp/>
        <stp>Market</stp>
        <stp>STOCK</stp>
        <stp>66450.T</stp>
        <stp>最良買気配値1</stp>
        <tr r="L15" s="27"/>
      </tp>
      <tp>
        <v>3971</v>
        <stp/>
        <stp>Market</stp>
        <stp>STOCK</stp>
        <stp>66450.T</stp>
        <stp>最良買気配値6</stp>
        <tr r="L20" s="27"/>
      </tp>
      <tp>
        <v>3970</v>
        <stp/>
        <stp>Market</stp>
        <stp>STOCK</stp>
        <stp>66450.T</stp>
        <stp>最良買気配値7</stp>
        <tr r="L21" s="27"/>
      </tp>
      <tp>
        <v>3975</v>
        <stp/>
        <stp>Market</stp>
        <stp>STOCK</stp>
        <stp>66450.T</stp>
        <stp>最良買気配値4</stp>
        <tr r="L18" s="27"/>
      </tp>
      <tp>
        <v>3972</v>
        <stp/>
        <stp>Market</stp>
        <stp>STOCK</stp>
        <stp>66450.T</stp>
        <stp>最良買気配値5</stp>
        <tr r="L19" s="27"/>
      </tp>
      <tp>
        <v>3969</v>
        <stp/>
        <stp>Market</stp>
        <stp>STOCK</stp>
        <stp>66450.T</stp>
        <stp>最良買気配値8</stp>
        <tr r="L22" s="27"/>
      </tp>
      <tp>
        <v>3968</v>
        <stp/>
        <stp>Market</stp>
        <stp>STOCK</stp>
        <stp>66450.T</stp>
        <stp>最良買気配値9</stp>
        <tr r="L23" s="27"/>
      </tp>
      <tp>
        <v>3225</v>
        <stp/>
        <stp>Market</stp>
        <stp>STOCK</stp>
        <stp>70030.T</stp>
        <stp>最良売気配値3</stp>
        <tr r="L12" s="12"/>
      </tp>
      <tp>
        <v>3220</v>
        <stp/>
        <stp>Market</stp>
        <stp>STOCK</stp>
        <stp>70030.T</stp>
        <stp>最良売気配値2</stp>
        <tr r="L13" s="12"/>
      </tp>
      <tp>
        <v>3215</v>
        <stp/>
        <stp>Market</stp>
        <stp>STOCK</stp>
        <stp>70030.T</stp>
        <stp>最良売気配値1</stp>
        <tr r="L14" s="12"/>
      </tp>
      <tp>
        <v>3245</v>
        <stp/>
        <stp>Market</stp>
        <stp>STOCK</stp>
        <stp>70030.T</stp>
        <stp>最良売気配値7</stp>
        <tr r="L8" s="12"/>
      </tp>
      <tp>
        <v>3240</v>
        <stp/>
        <stp>Market</stp>
        <stp>STOCK</stp>
        <stp>70030.T</stp>
        <stp>最良売気配値6</stp>
        <tr r="L9" s="12"/>
      </tp>
      <tp>
        <v>3235</v>
        <stp/>
        <stp>Market</stp>
        <stp>STOCK</stp>
        <stp>70030.T</stp>
        <stp>最良売気配値5</stp>
        <tr r="L10" s="12"/>
      </tp>
      <tp>
        <v>3230</v>
        <stp/>
        <stp>Market</stp>
        <stp>STOCK</stp>
        <stp>70030.T</stp>
        <stp>最良売気配値4</stp>
        <tr r="L11" s="12"/>
      </tp>
      <tp>
        <v>3255</v>
        <stp/>
        <stp>Market</stp>
        <stp>STOCK</stp>
        <stp>70030.T</stp>
        <stp>最良売気配値9</stp>
        <tr r="L6" s="12"/>
      </tp>
      <tp>
        <v>3250</v>
        <stp/>
        <stp>Market</stp>
        <stp>STOCK</stp>
        <stp>70030.T</stp>
        <stp>最良売気配値8</stp>
        <tr r="L7" s="12"/>
      </tp>
      <tp>
        <v>13788400</v>
        <stp/>
        <stp>Market</stp>
        <stp>STOCK</stp>
        <stp>58030.T</stp>
        <stp>出来高</stp>
        <tr r="U2" s="4"/>
      </tp>
      <tp>
        <v>3185</v>
        <stp/>
        <stp>Market</stp>
        <stp>STOCK</stp>
        <stp>70030.T</stp>
        <stp>最良買気配値6</stp>
        <tr r="L20" s="12"/>
      </tp>
      <tp>
        <v>3180</v>
        <stp/>
        <stp>Market</stp>
        <stp>STOCK</stp>
        <stp>70030.T</stp>
        <stp>最良買気配値7</stp>
        <tr r="L21" s="12"/>
      </tp>
      <tp>
        <v>3195</v>
        <stp/>
        <stp>Market</stp>
        <stp>STOCK</stp>
        <stp>70030.T</stp>
        <stp>最良買気配値4</stp>
        <tr r="L18" s="12"/>
      </tp>
      <tp>
        <v>3190</v>
        <stp/>
        <stp>Market</stp>
        <stp>STOCK</stp>
        <stp>70030.T</stp>
        <stp>最良買気配値5</stp>
        <tr r="L19" s="12"/>
      </tp>
      <tp>
        <v>3205</v>
        <stp/>
        <stp>Market</stp>
        <stp>STOCK</stp>
        <stp>70030.T</stp>
        <stp>最良買気配値2</stp>
        <tr r="L16" s="12"/>
      </tp>
      <tp>
        <v>3200</v>
        <stp/>
        <stp>Market</stp>
        <stp>STOCK</stp>
        <stp>70030.T</stp>
        <stp>最良買気配値3</stp>
        <tr r="L17" s="12"/>
      </tp>
      <tp>
        <v>3210</v>
        <stp/>
        <stp>Market</stp>
        <stp>STOCK</stp>
        <stp>70030.T</stp>
        <stp>最良買気配値1</stp>
        <tr r="L15" s="12"/>
      </tp>
      <tp>
        <v>3175</v>
        <stp/>
        <stp>Market</stp>
        <stp>STOCK</stp>
        <stp>70030.T</stp>
        <stp>最良買気配値8</stp>
        <tr r="L22" s="12"/>
      </tp>
      <tp>
        <v>3170</v>
        <stp/>
        <stp>Market</stp>
        <stp>STOCK</stp>
        <stp>70030.T</stp>
        <stp>最良買気配値9</stp>
        <tr r="L23" s="12"/>
      </tp>
      <tp>
        <v>79210499</v>
        <stp/>
        <stp>Market</stp>
        <stp>STOCK</stp>
        <stp>81360.T</stp>
        <stp>売買代金</stp>
        <tr r="U3" s="8"/>
      </tp>
      <tp>
        <v>2727100</v>
        <stp/>
        <stp>Market</stp>
        <stp>STOCK</stp>
        <stp>63230.T</stp>
        <stp>出来高</stp>
        <tr r="U2" s="41"/>
      </tp>
      <tp>
        <v>35064900</v>
        <stp/>
        <stp>Market</stp>
        <stp>STOCK</stp>
        <stp>65010.T</stp>
        <stp>出来高</stp>
        <tr r="U2" s="20"/>
      </tp>
      <tp>
        <v>7689200</v>
        <stp/>
        <stp>Market</stp>
        <stp>STOCK</stp>
        <stp>65250.T</stp>
        <stp>出来高</stp>
        <tr r="U2" s="43"/>
      </tp>
      <tp>
        <v>1597900</v>
        <stp/>
        <stp>Market</stp>
        <stp>STOCK</stp>
        <stp>66450.T</stp>
        <stp>出来高</stp>
        <tr r="U2" s="27"/>
      </tp>
      <tp>
        <v>27725623</v>
        <stp/>
        <stp>Market</stp>
        <stp>STOCK</stp>
        <stp>80580.T</stp>
        <stp>売買代金</stp>
        <tr r="U3" s="48"/>
      </tp>
      <tp>
        <v>10305</v>
        <stp/>
        <stp>Market</stp>
        <stp>STOCK</stp>
        <stp>58030.T</stp>
        <stp>最良売気配値3</stp>
        <tr r="L12" s="4"/>
      </tp>
      <tp>
        <v>10300</v>
        <stp/>
        <stp>Market</stp>
        <stp>STOCK</stp>
        <stp>58030.T</stp>
        <stp>最良売気配値2</stp>
        <tr r="L13" s="4"/>
      </tp>
      <tp>
        <v>10295</v>
        <stp/>
        <stp>Market</stp>
        <stp>STOCK</stp>
        <stp>58030.T</stp>
        <stp>最良売気配値1</stp>
        <tr r="L14" s="4"/>
      </tp>
      <tp>
        <v>10325</v>
        <stp/>
        <stp>Market</stp>
        <stp>STOCK</stp>
        <stp>58030.T</stp>
        <stp>最良売気配値7</stp>
        <tr r="L8" s="4"/>
      </tp>
      <tp>
        <v>10320</v>
        <stp/>
        <stp>Market</stp>
        <stp>STOCK</stp>
        <stp>58030.T</stp>
        <stp>最良売気配値6</stp>
        <tr r="L9" s="4"/>
      </tp>
      <tp>
        <v>10315</v>
        <stp/>
        <stp>Market</stp>
        <stp>STOCK</stp>
        <stp>58030.T</stp>
        <stp>最良売気配値5</stp>
        <tr r="L10" s="4"/>
      </tp>
      <tp>
        <v>10310</v>
        <stp/>
        <stp>Market</stp>
        <stp>STOCK</stp>
        <stp>58030.T</stp>
        <stp>最良売気配値4</stp>
        <tr r="L11" s="4"/>
      </tp>
      <tp>
        <v>10335</v>
        <stp/>
        <stp>Market</stp>
        <stp>STOCK</stp>
        <stp>58030.T</stp>
        <stp>最良売気配値9</stp>
        <tr r="L6" s="4"/>
      </tp>
      <tp>
        <v>10330</v>
        <stp/>
        <stp>Market</stp>
        <stp>STOCK</stp>
        <stp>58030.T</stp>
        <stp>最良売気配値8</stp>
        <tr r="L7" s="4"/>
      </tp>
      <tp>
        <v>9047114</v>
        <stp/>
        <stp>Market</stp>
        <stp>STOCK</stp>
        <stp>70030.T</stp>
        <stp>売買代金</stp>
        <tr r="U3" s="12"/>
      </tp>
      <tp>
        <v>2821400</v>
        <stp/>
        <stp>Market</stp>
        <stp>STOCK</stp>
        <stp>70030.T</stp>
        <stp>出来高</stp>
        <tr r="U2" s="12"/>
      </tp>
      <tp>
        <v>10265</v>
        <stp/>
        <stp>Market</stp>
        <stp>STOCK</stp>
        <stp>58030.T</stp>
        <stp>最良買気配値6</stp>
        <tr r="L20" s="4"/>
      </tp>
      <tp>
        <v>10260</v>
        <stp/>
        <stp>Market</stp>
        <stp>STOCK</stp>
        <stp>58030.T</stp>
        <stp>最良買気配値7</stp>
        <tr r="L21" s="4"/>
      </tp>
      <tp>
        <v>10275</v>
        <stp/>
        <stp>Market</stp>
        <stp>STOCK</stp>
        <stp>58030.T</stp>
        <stp>最良買気配値4</stp>
        <tr r="L18" s="4"/>
      </tp>
      <tp>
        <v>10270</v>
        <stp/>
        <stp>Market</stp>
        <stp>STOCK</stp>
        <stp>58030.T</stp>
        <stp>最良買気配値5</stp>
        <tr r="L19" s="4"/>
      </tp>
      <tp>
        <v>10285</v>
        <stp/>
        <stp>Market</stp>
        <stp>STOCK</stp>
        <stp>58030.T</stp>
        <stp>最良買気配値2</stp>
        <tr r="L16" s="4"/>
      </tp>
      <tp>
        <v>10280</v>
        <stp/>
        <stp>Market</stp>
        <stp>STOCK</stp>
        <stp>58030.T</stp>
        <stp>最良買気配値3</stp>
        <tr r="L17" s="4"/>
      </tp>
      <tp>
        <v>10290</v>
        <stp/>
        <stp>Market</stp>
        <stp>STOCK</stp>
        <stp>58030.T</stp>
        <stp>最良買気配値1</stp>
        <tr r="L15" s="4"/>
      </tp>
      <tp>
        <v>10255</v>
        <stp/>
        <stp>Market</stp>
        <stp>STOCK</stp>
        <stp>58030.T</stp>
        <stp>最良買気配値8</stp>
        <tr r="L22" s="4"/>
      </tp>
      <tp>
        <v>10250</v>
        <stp/>
        <stp>Market</stp>
        <stp>STOCK</stp>
        <stp>58030.T</stp>
        <stp>最良買気配値9</stp>
        <tr r="L23" s="4"/>
      </tp>
      <tp>
        <v>9800</v>
        <stp/>
        <stp>Market</stp>
        <stp>STOCK</stp>
        <stp>80580.T</stp>
        <stp>最良売気配数量9</stp>
        <tr r="J6" s="48"/>
      </tp>
      <tp>
        <v>22600</v>
        <stp/>
        <stp>Market</stp>
        <stp>STOCK</stp>
        <stp>80580.T</stp>
        <stp>最良売気配数量8</stp>
        <tr r="J7" s="48"/>
      </tp>
      <tp>
        <v>26000</v>
        <stp/>
        <stp>Market</stp>
        <stp>STOCK</stp>
        <stp>80580.T</stp>
        <stp>最良売気配数量5</stp>
        <tr r="J10" s="48"/>
      </tp>
      <tp>
        <v>6800</v>
        <stp/>
        <stp>Market</stp>
        <stp>STOCK</stp>
        <stp>80580.T</stp>
        <stp>最良売気配数量4</stp>
        <tr r="J11" s="48"/>
      </tp>
      <tp>
        <v>59700</v>
        <stp/>
        <stp>Market</stp>
        <stp>STOCK</stp>
        <stp>80580.T</stp>
        <stp>最良売気配数量7</stp>
        <tr r="J8" s="48"/>
      </tp>
      <tp>
        <v>2900</v>
        <stp/>
        <stp>Market</stp>
        <stp>STOCK</stp>
        <stp>80580.T</stp>
        <stp>最良売気配数量6</stp>
        <tr r="J9" s="48"/>
      </tp>
      <tp>
        <v>1800</v>
        <stp/>
        <stp>Market</stp>
        <stp>STOCK</stp>
        <stp>80580.T</stp>
        <stp>最良売気配数量1</stp>
        <tr r="J14" s="48"/>
      </tp>
      <tp>
        <v>1400</v>
        <stp/>
        <stp>Market</stp>
        <stp>STOCK</stp>
        <stp>80580.T</stp>
        <stp>最良売気配数量3</stp>
        <tr r="J12" s="48"/>
      </tp>
      <tp>
        <v>36600</v>
        <stp/>
        <stp>Market</stp>
        <stp>STOCK</stp>
        <stp>80580.T</stp>
        <stp>最良売気配数量2</stp>
        <tr r="J13" s="48"/>
      </tp>
      <tp>
        <v>24400</v>
        <stp/>
        <stp>Market</stp>
        <stp>STOCK</stp>
        <stp>70030.T</stp>
        <stp>最良売気配数量6</stp>
        <tr r="J9" s="12"/>
      </tp>
      <tp>
        <v>19200</v>
        <stp/>
        <stp>Market</stp>
        <stp>STOCK</stp>
        <stp>70030.T</stp>
        <stp>最良売気配数量7</stp>
        <tr r="J8" s="12"/>
      </tp>
      <tp>
        <v>12000</v>
        <stp/>
        <stp>Market</stp>
        <stp>STOCK</stp>
        <stp>70030.T</stp>
        <stp>最良売気配数量4</stp>
        <tr r="J11" s="12"/>
      </tp>
      <tp>
        <v>35100</v>
        <stp/>
        <stp>Market</stp>
        <stp>STOCK</stp>
        <stp>70030.T</stp>
        <stp>最良売気配数量5</stp>
        <tr r="J10" s="12"/>
      </tp>
      <tp>
        <v>6400</v>
        <stp/>
        <stp>Market</stp>
        <stp>STOCK</stp>
        <stp>70030.T</stp>
        <stp>最良売気配数量2</stp>
        <tr r="J13" s="12"/>
      </tp>
      <tp>
        <v>16900</v>
        <stp/>
        <stp>Market</stp>
        <stp>STOCK</stp>
        <stp>70030.T</stp>
        <stp>最良売気配数量3</stp>
        <tr r="J12" s="12"/>
      </tp>
      <tp>
        <v>61700</v>
        <stp/>
        <stp>Market</stp>
        <stp>STOCK</stp>
        <stp>70030.T</stp>
        <stp>最良売気配数量1</stp>
        <tr r="J14" s="12"/>
      </tp>
      <tp>
        <v>57100</v>
        <stp/>
        <stp>Market</stp>
        <stp>STOCK</stp>
        <stp>70030.T</stp>
        <stp>最良売気配数量8</stp>
        <tr r="J7" s="12"/>
      </tp>
      <tp>
        <v>9000</v>
        <stp/>
        <stp>Market</stp>
        <stp>STOCK</stp>
        <stp>70030.T</stp>
        <stp>最良売気配数量9</stp>
        <tr r="J6" s="12"/>
      </tp>
      <tp>
        <v>200</v>
        <stp/>
        <stp>Market</stp>
        <stp>STOCK</stp>
        <stp>81360.T</stp>
        <stp>最良売気配数量3</stp>
        <tr r="J12" s="8"/>
      </tp>
      <tp>
        <v>4800</v>
        <stp/>
        <stp>Market</stp>
        <stp>STOCK</stp>
        <stp>81360.T</stp>
        <stp>最良売気配数量2</stp>
        <tr r="J13" s="8"/>
      </tp>
      <tp>
        <v>1000</v>
        <stp/>
        <stp>Market</stp>
        <stp>STOCK</stp>
        <stp>81360.T</stp>
        <stp>最良売気配数量1</stp>
        <tr r="J14" s="8"/>
      </tp>
      <tp>
        <v>1000</v>
        <stp/>
        <stp>Market</stp>
        <stp>STOCK</stp>
        <stp>81360.T</stp>
        <stp>最良売気配数量7</stp>
        <tr r="J8" s="8"/>
      </tp>
      <tp>
        <v>100</v>
        <stp/>
        <stp>Market</stp>
        <stp>STOCK</stp>
        <stp>81360.T</stp>
        <stp>最良売気配数量6</stp>
        <tr r="J9" s="8"/>
      </tp>
      <tp>
        <v>100</v>
        <stp/>
        <stp>Market</stp>
        <stp>STOCK</stp>
        <stp>81360.T</stp>
        <stp>最良売気配数量5</stp>
        <tr r="J10" s="8"/>
      </tp>
      <tp>
        <v>800</v>
        <stp/>
        <stp>Market</stp>
        <stp>STOCK</stp>
        <stp>81360.T</stp>
        <stp>最良売気配数量4</stp>
        <tr r="J11" s="8"/>
      </tp>
      <tp>
        <v>100</v>
        <stp/>
        <stp>Market</stp>
        <stp>STOCK</stp>
        <stp>81360.T</stp>
        <stp>最良売気配数量9</stp>
        <tr r="J6" s="8"/>
      </tp>
      <tp>
        <v>600</v>
        <stp/>
        <stp>Market</stp>
        <stp>STOCK</stp>
        <stp>81360.T</stp>
        <stp>最良売気配数量8</stp>
        <tr r="J7" s="8"/>
      </tp>
      <tp>
        <v>3800</v>
        <stp/>
        <stp>Market</stp>
        <stp>STOCK</stp>
        <stp>83060.T</stp>
        <stp>最良売気配数量3</stp>
        <tr r="J12" s="5"/>
      </tp>
      <tp>
        <v>2100</v>
        <stp/>
        <stp>Market</stp>
        <stp>STOCK</stp>
        <stp>83060.T</stp>
        <stp>最良売気配数量2</stp>
        <tr r="J13" s="5"/>
      </tp>
      <tp>
        <v>800</v>
        <stp/>
        <stp>Market</stp>
        <stp>STOCK</stp>
        <stp>83060.T</stp>
        <stp>最良売気配数量1</stp>
        <tr r="J14" s="5"/>
      </tp>
      <tp>
        <v>77900</v>
        <stp/>
        <stp>Market</stp>
        <stp>STOCK</stp>
        <stp>83060.T</stp>
        <stp>最良売気配数量7</stp>
        <tr r="J8" s="5"/>
      </tp>
      <tp>
        <v>4200</v>
        <stp/>
        <stp>Market</stp>
        <stp>STOCK</stp>
        <stp>83060.T</stp>
        <stp>最良売気配数量6</stp>
        <tr r="J9" s="5"/>
      </tp>
      <tp>
        <v>103000</v>
        <stp/>
        <stp>Market</stp>
        <stp>STOCK</stp>
        <stp>83060.T</stp>
        <stp>最良売気配数量5</stp>
        <tr r="J10" s="5"/>
      </tp>
      <tp>
        <v>24200</v>
        <stp/>
        <stp>Market</stp>
        <stp>STOCK</stp>
        <stp>83060.T</stp>
        <stp>最良売気配数量4</stp>
        <tr r="J11" s="5"/>
      </tp>
      <tp>
        <v>21400</v>
        <stp/>
        <stp>Market</stp>
        <stp>STOCK</stp>
        <stp>83060.T</stp>
        <stp>最良売気配数量9</stp>
        <tr r="J6" s="5"/>
      </tp>
      <tp>
        <v>3200</v>
        <stp/>
        <stp>Market</stp>
        <stp>STOCK</stp>
        <stp>83060.T</stp>
        <stp>最良売気配数量8</stp>
        <tr r="J7" s="5"/>
      </tp>
      <tp>
        <v>6000</v>
        <stp/>
        <stp>Market</stp>
        <stp>STOCK</stp>
        <stp>63230.T</stp>
        <stp>最良売気配数量6</stp>
        <tr r="J9" s="41"/>
      </tp>
      <tp>
        <v>12200</v>
        <stp/>
        <stp>Market</stp>
        <stp>STOCK</stp>
        <stp>63230.T</stp>
        <stp>最良売気配数量7</stp>
        <tr r="J8" s="41"/>
      </tp>
      <tp>
        <v>200</v>
        <stp/>
        <stp>Market</stp>
        <stp>STOCK</stp>
        <stp>63230.T</stp>
        <stp>最良売気配数量4</stp>
        <tr r="J11" s="41"/>
      </tp>
      <tp>
        <v>1100</v>
        <stp/>
        <stp>Market</stp>
        <stp>STOCK</stp>
        <stp>63230.T</stp>
        <stp>最良売気配数量5</stp>
        <tr r="J10" s="41"/>
      </tp>
      <tp>
        <v>1200</v>
        <stp/>
        <stp>Market</stp>
        <stp>STOCK</stp>
        <stp>63230.T</stp>
        <stp>最良売気配数量2</stp>
        <tr r="J13" s="41"/>
      </tp>
      <tp>
        <v>100</v>
        <stp/>
        <stp>Market</stp>
        <stp>STOCK</stp>
        <stp>63230.T</stp>
        <stp>最良売気配数量3</stp>
        <tr r="J12" s="41"/>
      </tp>
      <tp>
        <v>3200</v>
        <stp/>
        <stp>Market</stp>
        <stp>STOCK</stp>
        <stp>63230.T</stp>
        <stp>最良売気配数量1</stp>
        <tr r="J14" s="41"/>
      </tp>
      <tp>
        <v>400</v>
        <stp/>
        <stp>Market</stp>
        <stp>STOCK</stp>
        <stp>63230.T</stp>
        <stp>最良売気配数量8</stp>
        <tr r="J7" s="41"/>
      </tp>
      <tp>
        <v>3700</v>
        <stp/>
        <stp>Market</stp>
        <stp>STOCK</stp>
        <stp>63230.T</stp>
        <stp>最良売気配数量9</stp>
        <tr r="J6" s="41"/>
      </tp>
      <tp>
        <v>400</v>
        <stp/>
        <stp>Market</stp>
        <stp>STOCK</stp>
        <stp>84110.T</stp>
        <stp>最良売気配数量4</stp>
        <tr r="J11" s="9"/>
      </tp>
      <tp>
        <v>1400</v>
        <stp/>
        <stp>Market</stp>
        <stp>STOCK</stp>
        <stp>84110.T</stp>
        <stp>最良売気配数量5</stp>
        <tr r="J10" s="9"/>
      </tp>
      <tp>
        <v>5600</v>
        <stp/>
        <stp>Market</stp>
        <stp>STOCK</stp>
        <stp>84110.T</stp>
        <stp>最良売気配数量6</stp>
        <tr r="J9" s="9"/>
      </tp>
      <tp>
        <v>4300</v>
        <stp/>
        <stp>Market</stp>
        <stp>STOCK</stp>
        <stp>84110.T</stp>
        <stp>最良売気配数量7</stp>
        <tr r="J8" s="9"/>
      </tp>
      <tp>
        <v>300</v>
        <stp/>
        <stp>Market</stp>
        <stp>STOCK</stp>
        <stp>84110.T</stp>
        <stp>最良売気配数量1</stp>
        <tr r="J14" s="9"/>
      </tp>
      <tp>
        <v>1700</v>
        <stp/>
        <stp>Market</stp>
        <stp>STOCK</stp>
        <stp>84110.T</stp>
        <stp>最良売気配数量2</stp>
        <tr r="J13" s="9"/>
      </tp>
      <tp>
        <v>23000</v>
        <stp/>
        <stp>Market</stp>
        <stp>STOCK</stp>
        <stp>84110.T</stp>
        <stp>最良売気配数量3</stp>
        <tr r="J12" s="9"/>
      </tp>
      <tp>
        <v>7000</v>
        <stp/>
        <stp>Market</stp>
        <stp>STOCK</stp>
        <stp>84110.T</stp>
        <stp>最良売気配数量8</stp>
        <tr r="J7" s="9"/>
      </tp>
      <tp>
        <v>300</v>
        <stp/>
        <stp>Market</stp>
        <stp>STOCK</stp>
        <stp>84110.T</stp>
        <stp>最良売気配数量9</stp>
        <tr r="J6" s="9"/>
      </tp>
      <tp>
        <v>3600</v>
        <stp/>
        <stp>Market</stp>
        <stp>STOCK</stp>
        <stp>65010.T</stp>
        <stp>最良売気配数量4</stp>
        <tr r="J11" s="20"/>
      </tp>
      <tp>
        <v>100</v>
        <stp/>
        <stp>Market</stp>
        <stp>STOCK</stp>
        <stp>65010.T</stp>
        <stp>最良売気配数量5</stp>
        <tr r="J10" s="20"/>
      </tp>
      <tp>
        <v>7600</v>
        <stp/>
        <stp>Market</stp>
        <stp>STOCK</stp>
        <stp>65010.T</stp>
        <stp>最良売気配数量6</stp>
        <tr r="J9" s="20"/>
      </tp>
      <tp>
        <v>24800</v>
        <stp/>
        <stp>Market</stp>
        <stp>STOCK</stp>
        <stp>65010.T</stp>
        <stp>最良売気配数量7</stp>
        <tr r="J8" s="20"/>
      </tp>
      <tp>
        <v>500</v>
        <stp/>
        <stp>Market</stp>
        <stp>STOCK</stp>
        <stp>65010.T</stp>
        <stp>最良売気配数量1</stp>
        <tr r="J14" s="20"/>
      </tp>
      <tp>
        <v>300</v>
        <stp/>
        <stp>Market</stp>
        <stp>STOCK</stp>
        <stp>65010.T</stp>
        <stp>最良売気配数量2</stp>
        <tr r="J13" s="20"/>
      </tp>
      <tp>
        <v>100</v>
        <stp/>
        <stp>Market</stp>
        <stp>STOCK</stp>
        <stp>65010.T</stp>
        <stp>最良売気配数量3</stp>
        <tr r="J12" s="20"/>
      </tp>
      <tp>
        <v>1500</v>
        <stp/>
        <stp>Market</stp>
        <stp>STOCK</stp>
        <stp>65010.T</stp>
        <stp>最良売気配数量8</stp>
        <tr r="J7" s="20"/>
      </tp>
      <tp>
        <v>14800</v>
        <stp/>
        <stp>Market</stp>
        <stp>STOCK</stp>
        <stp>65010.T</stp>
        <stp>最良売気配数量9</stp>
        <tr r="J6" s="20"/>
      </tp>
      <tp>
        <v>200</v>
        <stp/>
        <stp>Market</stp>
        <stp>STOCK</stp>
        <stp>65250.T</stp>
        <stp>最良売気配数量1</stp>
        <tr r="J14" s="43"/>
      </tp>
      <tp>
        <v>100</v>
        <stp/>
        <stp>Market</stp>
        <stp>STOCK</stp>
        <stp>65250.T</stp>
        <stp>最良売気配数量2</stp>
        <tr r="J13" s="43"/>
      </tp>
      <tp>
        <v>5600</v>
        <stp/>
        <stp>Market</stp>
        <stp>STOCK</stp>
        <stp>65250.T</stp>
        <stp>最良売気配数量3</stp>
        <tr r="J12" s="43"/>
      </tp>
      <tp>
        <v>11700</v>
        <stp/>
        <stp>Market</stp>
        <stp>STOCK</stp>
        <stp>65250.T</stp>
        <stp>最良売気配数量4</stp>
        <tr r="J11" s="43"/>
      </tp>
      <tp>
        <v>300</v>
        <stp/>
        <stp>Market</stp>
        <stp>STOCK</stp>
        <stp>65250.T</stp>
        <stp>最良売気配数量5</stp>
        <tr r="J10" s="43"/>
      </tp>
      <tp>
        <v>500</v>
        <stp/>
        <stp>Market</stp>
        <stp>STOCK</stp>
        <stp>65250.T</stp>
        <stp>最良売気配数量6</stp>
        <tr r="J9" s="43"/>
      </tp>
      <tp>
        <v>300</v>
        <stp/>
        <stp>Market</stp>
        <stp>STOCK</stp>
        <stp>65250.T</stp>
        <stp>最良売気配数量7</stp>
        <tr r="J8" s="43"/>
      </tp>
      <tp>
        <v>5400</v>
        <stp/>
        <stp>Market</stp>
        <stp>STOCK</stp>
        <stp>65250.T</stp>
        <stp>最良売気配数量8</stp>
        <tr r="J7" s="43"/>
      </tp>
      <tp>
        <v>4100</v>
        <stp/>
        <stp>Market</stp>
        <stp>STOCK</stp>
        <stp>65250.T</stp>
        <stp>最良売気配数量9</stp>
        <tr r="J6" s="43"/>
      </tp>
      <tp>
        <v>100</v>
        <stp/>
        <stp>Market</stp>
        <stp>STOCK</stp>
        <stp>66450.T</stp>
        <stp>最良売気配数量1</stp>
        <tr r="J14" s="27"/>
      </tp>
      <tp>
        <v>6000</v>
        <stp/>
        <stp>Market</stp>
        <stp>STOCK</stp>
        <stp>66450.T</stp>
        <stp>最良売気配数量2</stp>
        <tr r="J13" s="27"/>
      </tp>
      <tp>
        <v>100</v>
        <stp/>
        <stp>Market</stp>
        <stp>STOCK</stp>
        <stp>66450.T</stp>
        <stp>最良売気配数量3</stp>
        <tr r="J12" s="27"/>
      </tp>
      <tp>
        <v>300</v>
        <stp/>
        <stp>Market</stp>
        <stp>STOCK</stp>
        <stp>66450.T</stp>
        <stp>最良売気配数量4</stp>
        <tr r="J11" s="27"/>
      </tp>
      <tp>
        <v>600</v>
        <stp/>
        <stp>Market</stp>
        <stp>STOCK</stp>
        <stp>66450.T</stp>
        <stp>最良売気配数量5</stp>
        <tr r="J10" s="27"/>
      </tp>
      <tp>
        <v>100</v>
        <stp/>
        <stp>Market</stp>
        <stp>STOCK</stp>
        <stp>66450.T</stp>
        <stp>最良売気配数量6</stp>
        <tr r="J9" s="27"/>
      </tp>
      <tp>
        <v>2800</v>
        <stp/>
        <stp>Market</stp>
        <stp>STOCK</stp>
        <stp>66450.T</stp>
        <stp>最良売気配数量7</stp>
        <tr r="J8" s="27"/>
      </tp>
      <tp>
        <v>7900</v>
        <stp/>
        <stp>Market</stp>
        <stp>STOCK</stp>
        <stp>66450.T</stp>
        <stp>最良売気配数量8</stp>
        <tr r="J7" s="27"/>
      </tp>
      <tp>
        <v>400</v>
        <stp/>
        <stp>Market</stp>
        <stp>STOCK</stp>
        <stp>66450.T</stp>
        <stp>最良売気配数量9</stp>
        <tr r="J6" s="27"/>
      </tp>
      <tp>
        <v>4500</v>
        <stp/>
        <stp>Market</stp>
        <stp>STOCK</stp>
        <stp>58030.T</stp>
        <stp>最良売気配数量6</stp>
        <tr r="J9" s="4"/>
      </tp>
      <tp>
        <v>2700</v>
        <stp/>
        <stp>Market</stp>
        <stp>STOCK</stp>
        <stp>58030.T</stp>
        <stp>最良売気配数量7</stp>
        <tr r="J8" s="4"/>
      </tp>
      <tp>
        <v>1800</v>
        <stp/>
        <stp>Market</stp>
        <stp>STOCK</stp>
        <stp>58030.T</stp>
        <stp>最良売気配数量4</stp>
        <tr r="J11" s="4"/>
      </tp>
      <tp>
        <v>6100</v>
        <stp/>
        <stp>Market</stp>
        <stp>STOCK</stp>
        <stp>58030.T</stp>
        <stp>最良売気配数量5</stp>
        <tr r="J10" s="4"/>
      </tp>
      <tp>
        <v>11500</v>
        <stp/>
        <stp>Market</stp>
        <stp>STOCK</stp>
        <stp>58030.T</stp>
        <stp>最良売気配数量2</stp>
        <tr r="J13" s="4"/>
      </tp>
      <tp>
        <v>1700</v>
        <stp/>
        <stp>Market</stp>
        <stp>STOCK</stp>
        <stp>58030.T</stp>
        <stp>最良売気配数量3</stp>
        <tr r="J12" s="4"/>
      </tp>
      <tp>
        <v>3500</v>
        <stp/>
        <stp>Market</stp>
        <stp>STOCK</stp>
        <stp>58030.T</stp>
        <stp>最良売気配数量1</stp>
        <tr r="J14" s="4"/>
      </tp>
      <tp>
        <v>11900</v>
        <stp/>
        <stp>Market</stp>
        <stp>STOCK</stp>
        <stp>58030.T</stp>
        <stp>最良売気配数量8</stp>
        <tr r="J7" s="4"/>
      </tp>
      <tp>
        <v>5600</v>
        <stp/>
        <stp>Market</stp>
        <stp>STOCK</stp>
        <stp>58030.T</stp>
        <stp>最良売気配数量9</stp>
        <tr r="J6" s="4"/>
      </tp>
      <tp>
        <v>6276</v>
        <stp/>
        <stp>Market</stp>
        <stp>STOCK</stp>
        <stp>81360.T</stp>
        <stp>最良買気配値10</stp>
        <tr r="L24" s="8"/>
      </tp>
      <tp>
        <v>3015</v>
        <stp/>
        <stp>Market</stp>
        <stp>STOCK</stp>
        <stp>80580.T</stp>
        <stp>最良買気配値10</stp>
        <tr r="L24" s="48"/>
      </tp>
      <tp>
        <v>3165</v>
        <stp/>
        <stp>Market</stp>
        <stp>STOCK</stp>
        <stp>70030.T</stp>
        <stp>最良買気配値10</stp>
        <tr r="L24" s="12"/>
      </tp>
      <tp>
        <v>1949.5</v>
        <stp/>
        <stp>Market</stp>
        <stp>STOCK</stp>
        <stp>63230.T</stp>
        <stp>最良買気配値10</stp>
        <tr r="L24" s="41"/>
      </tp>
      <tp>
        <v>2122</v>
        <stp/>
        <stp>Market</stp>
        <stp>STOCK</stp>
        <stp>83060.T</stp>
        <stp>最良買気配値10</stp>
        <tr r="L24" s="5"/>
      </tp>
      <tp>
        <v>4452</v>
        <stp/>
        <stp>Market</stp>
        <stp>STOCK</stp>
        <stp>84110.T</stp>
        <stp>現在値</stp>
        <tr r="Q2" s="9"/>
      </tp>
      <tp>
        <v>2127</v>
        <stp/>
        <stp>Market</stp>
        <stp>STOCK</stp>
        <stp>83060.T</stp>
        <stp>現在値</stp>
        <tr r="Q2" s="5"/>
      </tp>
      <tp>
        <v>3028</v>
        <stp/>
        <stp>Market</stp>
        <stp>STOCK</stp>
        <stp>80580.T</stp>
        <stp>現在値</stp>
        <tr r="Q2" s="48"/>
      </tp>
      <tp>
        <v>6288</v>
        <stp/>
        <stp>Market</stp>
        <stp>STOCK</stp>
        <stp>81360.T</stp>
        <stp>現在値</stp>
        <tr r="Q2" s="8"/>
      </tp>
      <tp>
        <v>3115</v>
        <stp/>
        <stp>Market</stp>
        <stp>STOCK</stp>
        <stp>65250.T</stp>
        <stp>最良買気配値10</stp>
        <tr r="L24" s="43"/>
      </tp>
      <tp>
        <v>4273</v>
        <stp/>
        <stp>Market</stp>
        <stp>STOCK</stp>
        <stp>65010.T</stp>
        <stp>最良買気配値10</stp>
        <tr r="L24" s="20"/>
      </tp>
      <tp>
        <v>4440</v>
        <stp/>
        <stp>Market</stp>
        <stp>STOCK</stp>
        <stp>84110.T</stp>
        <stp>最良買気配値10</stp>
        <tr r="L24" s="9"/>
      </tp>
      <tp>
        <v>3967</v>
        <stp/>
        <stp>Market</stp>
        <stp>STOCK</stp>
        <stp>66450.T</stp>
        <stp>最良買気配値10</stp>
        <tr r="L24" s="27"/>
      </tp>
      <tp>
        <v>10290</v>
        <stp/>
        <stp>Market</stp>
        <stp>STOCK</stp>
        <stp>58030.T</stp>
        <stp>現在値</stp>
        <tr r="Q2" s="4"/>
      </tp>
      <tp>
        <v>10245</v>
        <stp/>
        <stp>Market</stp>
        <stp>STOCK</stp>
        <stp>58030.T</stp>
        <stp>最良買気配値10</stp>
        <tr r="L24" s="4"/>
      </tp>
      <tp>
        <v>3981</v>
        <stp/>
        <stp>Market</stp>
        <stp>STOCK</stp>
        <stp>66450.T</stp>
        <stp>現在値</stp>
        <tr r="Q2" s="27"/>
      </tp>
      <tp>
        <v>4283</v>
        <stp/>
        <stp>Market</stp>
        <stp>STOCK</stp>
        <stp>65010.T</stp>
        <stp>現在値</stp>
        <tr r="Q2" s="20"/>
      </tp>
      <tp>
        <v>3126</v>
        <stp/>
        <stp>Market</stp>
        <stp>STOCK</stp>
        <stp>65250.T</stp>
        <stp>現在値</stp>
        <tr r="Q2" s="43"/>
      </tp>
      <tp>
        <v>1957.5</v>
        <stp/>
        <stp>Market</stp>
        <stp>STOCK</stp>
        <stp>63230.T</stp>
        <stp>現在値</stp>
        <tr r="Q2" s="41"/>
      </tp>
      <tp>
        <v>3215</v>
        <stp/>
        <stp>Market</stp>
        <stp>STOCK</stp>
        <stp>70030.T</stp>
        <stp>現在値</stp>
        <tr r="Q2" s="12"/>
      </tp>
      <tp>
        <v>29511900</v>
        <stp/>
        <stp>Market</stp>
        <stp>STOCK</stp>
        <stp>83060.T</stp>
        <stp>信用買残</stp>
        <tr r="Y3" s="5"/>
      </tp>
      <tp>
        <v>4030500</v>
        <stp/>
        <stp>Market</stp>
        <stp>STOCK</stp>
        <stp>63230.T</stp>
        <stp>信用買残</stp>
        <tr r="Y3" s="41"/>
      </tp>
      <tp>
        <v>5165800</v>
        <stp/>
        <stp>Market</stp>
        <stp>STOCK</stp>
        <stp>70030.T</stp>
        <stp>信用買残</stp>
        <tr r="Y3" s="12"/>
      </tp>
      <tp>
        <v>5915900</v>
        <stp/>
        <stp>Market</stp>
        <stp>STOCK</stp>
        <stp>80580.T</stp>
        <stp>信用買残</stp>
        <tr r="Y3" s="48"/>
      </tp>
      <tp>
        <v>8956300</v>
        <stp/>
        <stp>Market</stp>
        <stp>STOCK</stp>
        <stp>81360.T</stp>
        <stp>信用買残</stp>
        <tr r="Y3" s="8"/>
      </tp>
      <tp>
        <v>1102800</v>
        <stp/>
        <stp>Market</stp>
        <stp>STOCK</stp>
        <stp>66450.T</stp>
        <stp>信用買残</stp>
        <tr r="Y3" s="27"/>
      </tp>
      <tp>
        <v>5750700</v>
        <stp/>
        <stp>Market</stp>
        <stp>STOCK</stp>
        <stp>84110.T</stp>
        <stp>信用買残</stp>
        <tr r="Y3" s="9"/>
      </tp>
      <tp>
        <v>2943200</v>
        <stp/>
        <stp>Market</stp>
        <stp>STOCK</stp>
        <stp>65010.T</stp>
        <stp>信用買残</stp>
        <tr r="Y3" s="20"/>
      </tp>
      <tp>
        <v>1339200</v>
        <stp/>
        <stp>Market</stp>
        <stp>STOCK</stp>
        <stp>65250.T</stp>
        <stp>信用買残</stp>
        <tr r="Y3" s="43"/>
      </tp>
      <tp>
        <v>2713100</v>
        <stp/>
        <stp>Market</stp>
        <stp>STOCK</stp>
        <stp>58030.T</stp>
        <stp>信用買残</stp>
        <tr r="Y3" s="4"/>
      </tp>
      <tp>
        <v>3730</v>
        <stp/>
        <stp>Market</stp>
        <stp>STOCK</stp>
        <stp>65250.T</stp>
        <stp>年初来高値</stp>
        <tr r="Q9" s="43"/>
      </tp>
      <tp>
        <v>2164.5</v>
        <stp/>
        <stp>Market</stp>
        <stp>STOCK</stp>
        <stp>63230.T</stp>
        <stp>年初来高値</stp>
        <tr r="Q9" s="41"/>
      </tp>
      <tp>
        <v>5940</v>
        <stp/>
        <stp>Market</stp>
        <stp>STOCK</stp>
        <stp>65250.T</stp>
        <stp>上場来高値</stp>
        <tr r="Q11" s="43"/>
      </tp>
      <tp>
        <v>35300</v>
        <stp/>
        <stp>Market</stp>
        <stp>STOCK</stp>
        <stp>63230.T</stp>
        <stp>上場来高値</stp>
        <tr r="Q11" s="41"/>
      </tp>
      <tp>
        <v>7315</v>
        <stp/>
        <stp>Market</stp>
        <stp>STOCK</stp>
        <stp>81360.T</stp>
        <stp>年初来高値</stp>
        <tr r="Q9" s="8"/>
      </tp>
      <tp>
        <v>9411</v>
        <stp/>
        <stp>Market</stp>
        <stp>STOCK</stp>
        <stp>81360.T</stp>
        <stp>上場来高値</stp>
        <tr r="Q11" s="8"/>
      </tp>
      <tp>
        <v>2239.5</v>
        <stp/>
        <stp>Market</stp>
        <stp>STOCK</stp>
        <stp>83060.T</stp>
        <stp>年初来高値</stp>
        <tr r="Q9" s="5"/>
      </tp>
      <tp>
        <v>3275</v>
        <stp/>
        <stp>Market</stp>
        <stp>STOCK</stp>
        <stp>70030.T</stp>
        <stp>年初来高値</stp>
        <tr r="Q9" s="12"/>
      </tp>
      <tp>
        <v>10400</v>
        <stp/>
        <stp>Market</stp>
        <stp>STOCK</stp>
        <stp>58030.T</stp>
        <stp>年初来高値</stp>
        <tr r="Q9" s="4"/>
      </tp>
      <tp>
        <v>4697</v>
        <stp/>
        <stp>Market</stp>
        <stp>STOCK</stp>
        <stp>65010.T</stp>
        <stp>年初来高値</stp>
        <tr r="Q9" s="20"/>
      </tp>
      <tp>
        <v>1950000</v>
        <stp/>
        <stp>Market</stp>
        <stp>STOCK</stp>
        <stp>83060.T</stp>
        <stp>上場来高値</stp>
        <tr r="Q11" s="5"/>
      </tp>
      <tp>
        <v>3275</v>
        <stp/>
        <stp>Market</stp>
        <stp>STOCK</stp>
        <stp>70030.T</stp>
        <stp>上場来高値</stp>
        <tr r="Q11" s="12"/>
      </tp>
      <tp>
        <v>10400</v>
        <stp/>
        <stp>Market</stp>
        <stp>STOCK</stp>
        <stp>58030.T</stp>
        <stp>上場来高値</stp>
        <tr r="Q11" s="4"/>
      </tp>
      <tp>
        <v>17710</v>
        <stp/>
        <stp>Market</stp>
        <stp>STOCK</stp>
        <stp>65010.T</stp>
        <stp>上場来高値</stp>
        <tr r="Q11" s="20"/>
      </tp>
      <tp>
        <v>4590</v>
        <stp/>
        <stp>Market</stp>
        <stp>STOCK</stp>
        <stp>84110.T</stp>
        <stp>年初来高値</stp>
        <tr r="Q9" s="9"/>
      </tp>
      <tp>
        <v>1030000</v>
        <stp/>
        <stp>Market</stp>
        <stp>STOCK</stp>
        <stp>84110.T</stp>
        <stp>上場来高値</stp>
        <tr r="Q11" s="9"/>
      </tp>
      <tp>
        <v>10375</v>
        <stp/>
        <stp>Market</stp>
        <stp>STOCK</stp>
        <stp>58030.T</stp>
        <stp>前日終値</stp>
        <tr r="Q7" s="4"/>
      </tp>
      <tp t="s">
        <v xml:space="preserve"> </v>
        <stp/>
        <stp>Market</stp>
        <stp>STOCK</stp>
        <stp>58030.T</stp>
        <stp>特別売気配フラグ</stp>
        <tr r="K14" s="4"/>
      </tp>
      <tp>
        <v>5336</v>
        <stp/>
        <stp>Market</stp>
        <stp>STOCK</stp>
        <stp>66450.T</stp>
        <stp>年初来高値</stp>
        <tr r="Q9" s="27"/>
      </tp>
      <tp>
        <v>12115</v>
        <stp/>
        <stp>Market</stp>
        <stp>STOCK</stp>
        <stp>66450.T</stp>
        <stp>上場来高値</stp>
        <tr r="Q11" s="27"/>
      </tp>
      <tp>
        <v>3072</v>
        <stp/>
        <stp>Market</stp>
        <stp>STOCK</stp>
        <stp>80580.T</stp>
        <stp>年初来高値</stp>
        <tr r="Q9" s="48"/>
      </tp>
      <tp>
        <v>7732</v>
        <stp/>
        <stp>Market</stp>
        <stp>STOCK</stp>
        <stp>80580.T</stp>
        <stp>上場来高値</stp>
        <tr r="Q11" s="48"/>
      </tp>
      <tp>
        <v>3919</v>
        <stp/>
        <stp>Market</stp>
        <stp>STOCK</stp>
        <stp>66450.T</stp>
        <stp>前日終値</stp>
        <tr r="Q7" s="27"/>
      </tp>
      <tp t="s">
        <v xml:space="preserve"> </v>
        <stp/>
        <stp>Market</stp>
        <stp>STOCK</stp>
        <stp>66450.T</stp>
        <stp>特別売気配フラグ</stp>
        <tr r="K14" s="27"/>
      </tp>
      <tp>
        <v>4482</v>
        <stp/>
        <stp>Market</stp>
        <stp>STOCK</stp>
        <stp>84110.T</stp>
        <stp>前日終値</stp>
        <tr r="Q7" s="9"/>
      </tp>
      <tp t="s">
        <v xml:space="preserve"> </v>
        <stp/>
        <stp>Market</stp>
        <stp>STOCK</stp>
        <stp>84110.T</stp>
        <stp>特別売気配フラグ</stp>
        <tr r="K14" s="9"/>
      </tp>
      <tp>
        <v>3409</v>
        <stp/>
        <stp>Market</stp>
        <stp>STOCK</stp>
        <stp>65250.T</stp>
        <stp>前日終値</stp>
        <tr r="Q7" s="43"/>
      </tp>
      <tp>
        <v>4697</v>
        <stp/>
        <stp>Market</stp>
        <stp>STOCK</stp>
        <stp>65010.T</stp>
        <stp>前日終値</stp>
        <tr r="Q7" s="20"/>
      </tp>
      <tp t="s">
        <v xml:space="preserve"> </v>
        <stp/>
        <stp>Market</stp>
        <stp>STOCK</stp>
        <stp>65250.T</stp>
        <stp>特別売気配フラグ</stp>
        <tr r="K14" s="43"/>
      </tp>
      <tp t="s">
        <v xml:space="preserve"> </v>
        <stp/>
        <stp>Market</stp>
        <stp>STOCK</stp>
        <stp>65010.T</stp>
        <stp>特別売気配フラグ</stp>
        <tr r="K14" s="20"/>
      </tp>
      <tp>
        <v>2064</v>
        <stp/>
        <stp>Market</stp>
        <stp>STOCK</stp>
        <stp>63230.T</stp>
        <stp>前日終値</stp>
        <tr r="Q7" s="41"/>
      </tp>
      <tp>
        <v>2110.5</v>
        <stp/>
        <stp>Market</stp>
        <stp>STOCK</stp>
        <stp>83060.T</stp>
        <stp>前日終値</stp>
        <tr r="Q7" s="5"/>
      </tp>
      <tp t="s">
        <v xml:space="preserve"> </v>
        <stp/>
        <stp>Market</stp>
        <stp>STOCK</stp>
        <stp>63230.T</stp>
        <stp>特別売気配フラグ</stp>
        <tr r="K14" s="41"/>
      </tp>
      <tp t="s">
        <v xml:space="preserve"> </v>
        <stp/>
        <stp>Market</stp>
        <stp>STOCK</stp>
        <stp>83060.T</stp>
        <stp>特別売気配フラグ</stp>
        <tr r="K14" s="5"/>
      </tp>
      <tp>
        <v>2988</v>
        <stp/>
        <stp>Market</stp>
        <stp>STOCK</stp>
        <stp>80580.T</stp>
        <stp>前日終値</stp>
        <tr r="Q7" s="48"/>
      </tp>
      <tp>
        <v>3175</v>
        <stp/>
        <stp>Market</stp>
        <stp>STOCK</stp>
        <stp>70030.T</stp>
        <stp>前日終値</stp>
        <tr r="Q7" s="12"/>
      </tp>
      <tp t="s">
        <v xml:space="preserve"> </v>
        <stp/>
        <stp>Market</stp>
        <stp>STOCK</stp>
        <stp>70030.T</stp>
        <stp>特別売気配フラグ</stp>
        <tr r="K14" s="12"/>
      </tp>
      <tp t="s">
        <v xml:space="preserve"> </v>
        <stp/>
        <stp>Market</stp>
        <stp>STOCK</stp>
        <stp>80580.T</stp>
        <stp>特別売気配フラグ</stp>
        <tr r="K14" s="48"/>
      </tp>
      <tp>
        <v>6223</v>
        <stp/>
        <stp>Market</stp>
        <stp>STOCK</stp>
        <stp>81360.T</stp>
        <stp>前日終値</stp>
        <tr r="Q7" s="8"/>
      </tp>
      <tp t="s">
        <v xml:space="preserve"> </v>
        <stp/>
        <stp>Market</stp>
        <stp>STOCK</stp>
        <stp>81360.T</stp>
        <stp>特別売気配フラグ</stp>
        <tr r="K14" s="8"/>
      </tp>
      <tp>
        <v>-0.82</v>
        <stp/>
        <stp>Market</stp>
        <stp>STOCK</stp>
        <stp>58030.T</stp>
        <stp>前日比率</stp>
        <tr r="R3" s="4"/>
      </tp>
      <tp>
        <v>1.26</v>
        <stp/>
        <stp>Market</stp>
        <stp>STOCK</stp>
        <stp>70030.T</stp>
        <stp>前日比率</stp>
        <tr r="R3" s="12"/>
      </tp>
      <tp>
        <v>1.34</v>
        <stp/>
        <stp>Market</stp>
        <stp>STOCK</stp>
        <stp>80580.T</stp>
        <stp>前日比率</stp>
        <tr r="R3" s="48"/>
      </tp>
      <tp>
        <v>1.04</v>
        <stp/>
        <stp>Market</stp>
        <stp>STOCK</stp>
        <stp>81360.T</stp>
        <stp>前日比率</stp>
        <tr r="R3" s="8"/>
      </tp>
      <tp>
        <v>-5.16</v>
        <stp/>
        <stp>Market</stp>
        <stp>STOCK</stp>
        <stp>63230.T</stp>
        <stp>前日比率</stp>
        <tr r="R3" s="41"/>
      </tp>
      <tp>
        <v>0.78</v>
        <stp/>
        <stp>Market</stp>
        <stp>STOCK</stp>
        <stp>83060.T</stp>
        <stp>前日比率</stp>
        <tr r="R3" s="5"/>
      </tp>
      <tp>
        <v>-0.67</v>
        <stp/>
        <stp>Market</stp>
        <stp>STOCK</stp>
        <stp>84110.T</stp>
        <stp>前日比率</stp>
        <tr r="R3" s="9"/>
      </tp>
      <tp>
        <v>-8.3000000000000007</v>
        <stp/>
        <stp>Market</stp>
        <stp>STOCK</stp>
        <stp>65250.T</stp>
        <stp>前日比率</stp>
        <tr r="R3" s="43"/>
      </tp>
      <tp>
        <v>-8.81</v>
        <stp/>
        <stp>Market</stp>
        <stp>STOCK</stp>
        <stp>65010.T</stp>
        <stp>前日比率</stp>
        <tr r="R3" s="20"/>
      </tp>
      <tp>
        <v>1.58</v>
        <stp/>
        <stp>Market</stp>
        <stp>STOCK</stp>
        <stp>66450.T</stp>
        <stp>前日比率</stp>
        <tr r="R3" s="2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EA96E-AD17-4E5D-8F00-8DC9DD4D31BC}">
  <sheetPr codeName="Sheet4"/>
  <dimension ref="A1:Y2404"/>
  <sheetViews>
    <sheetView tabSelected="1" workbookViewId="0">
      <selection activeCell="A2" sqref="A2"/>
    </sheetView>
  </sheetViews>
  <sheetFormatPr defaultRowHeight="18.75"/>
  <cols>
    <col min="11" max="11" width="3" customWidth="1"/>
    <col min="13" max="13" width="3" customWidth="1"/>
  </cols>
  <sheetData>
    <row r="1" spans="1:25">
      <c r="A1" t="str">
        <f>_xll.RssChart($A$2:$H$2, "5803.T", "1M", 332)</f>
        <v>=RssChart($A$2:$H$2, "5803.T", "1M", 332) =&gt; 配信中</v>
      </c>
    </row>
    <row r="2" spans="1: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J2" t="s">
        <v>73</v>
      </c>
      <c r="L2" t="s">
        <v>74</v>
      </c>
      <c r="N2" t="s">
        <v>75</v>
      </c>
      <c r="P2" t="s">
        <v>119</v>
      </c>
      <c r="Q2">
        <f>_xll.RssMarket("5803.T", "現在値")</f>
        <v>10290</v>
      </c>
      <c r="R2" t="str">
        <f>_xll.RssMarket("5803.T", "現在値時刻")</f>
        <v>15:30</v>
      </c>
      <c r="T2" t="s">
        <v>131</v>
      </c>
      <c r="U2">
        <f>_xll.RssMarket("5803.T", "出来高")</f>
        <v>13788400</v>
      </c>
      <c r="X2" t="s">
        <v>138</v>
      </c>
      <c r="Y2">
        <f>_xll.RssMarket("5803.T", "信用売残")</f>
        <v>3247900</v>
      </c>
    </row>
    <row r="3" spans="1:25">
      <c r="A3" t="s">
        <v>436</v>
      </c>
      <c r="B3" t="s">
        <v>587</v>
      </c>
      <c r="C3" t="s">
        <v>166</v>
      </c>
      <c r="D3">
        <v>10145</v>
      </c>
      <c r="E3">
        <v>10250</v>
      </c>
      <c r="F3">
        <v>10040</v>
      </c>
      <c r="G3">
        <v>10105</v>
      </c>
      <c r="H3">
        <v>819200</v>
      </c>
      <c r="J3">
        <f>_xll.RssMarket("5803.T", "売成行数量")</f>
        <v>0</v>
      </c>
      <c r="L3" t="s">
        <v>76</v>
      </c>
      <c r="N3">
        <f>_xll.RssMarket("5803.T", "買成行数量")</f>
        <v>0</v>
      </c>
      <c r="P3" t="s">
        <v>121</v>
      </c>
      <c r="Q3">
        <f>_xll.RssMarket("5803.T", "前日比")</f>
        <v>-85</v>
      </c>
      <c r="R3">
        <f>_xll.RssMarket("5803.T", "前日比率")</f>
        <v>-0.82</v>
      </c>
      <c r="S3" t="s">
        <v>122</v>
      </c>
      <c r="T3" t="s">
        <v>132</v>
      </c>
      <c r="U3">
        <f>_xll.RssMarket("5803.T", "売買代金")</f>
        <v>140699649</v>
      </c>
      <c r="X3" t="s">
        <v>139</v>
      </c>
      <c r="Y3">
        <f>_xll.RssMarket("5803.T", "信用買残")</f>
        <v>2713100</v>
      </c>
    </row>
    <row r="4" spans="1:25">
      <c r="B4" t="s">
        <v>587</v>
      </c>
      <c r="C4" t="s">
        <v>167</v>
      </c>
      <c r="D4">
        <v>10105</v>
      </c>
      <c r="E4">
        <v>10140</v>
      </c>
      <c r="F4">
        <v>10055</v>
      </c>
      <c r="G4">
        <v>10115</v>
      </c>
      <c r="H4">
        <v>194300</v>
      </c>
      <c r="J4">
        <f>_xll.RssMarket("5803.T", "OVER気配数量")</f>
        <v>588600</v>
      </c>
      <c r="L4" t="s">
        <v>77</v>
      </c>
      <c r="P4" t="s">
        <v>123</v>
      </c>
      <c r="Q4">
        <f>_xll.RssMarket("5803.T", "高値")</f>
        <v>10380</v>
      </c>
      <c r="T4" t="s">
        <v>137</v>
      </c>
      <c r="U4">
        <f>_xll.RssMarket("5803.T", "前場出来高")</f>
        <v>8898300</v>
      </c>
      <c r="X4" t="s">
        <v>140</v>
      </c>
      <c r="Y4">
        <f>_xll.RssMarket("5803.T", "信用倍率")</f>
        <v>0.84</v>
      </c>
    </row>
    <row r="5" spans="1:25">
      <c r="B5" t="s">
        <v>587</v>
      </c>
      <c r="C5" t="s">
        <v>168</v>
      </c>
      <c r="D5">
        <v>10110</v>
      </c>
      <c r="E5">
        <v>10110</v>
      </c>
      <c r="F5">
        <v>10010</v>
      </c>
      <c r="G5">
        <v>10030</v>
      </c>
      <c r="H5">
        <v>226800</v>
      </c>
      <c r="J5">
        <f>_xll.RssMarket("5803.T", "最良売気配数量10")</f>
        <v>3900</v>
      </c>
      <c r="L5">
        <f>_xll.RssMarket("5803.T", "最良売気配値10")</f>
        <v>10340</v>
      </c>
      <c r="P5" t="s">
        <v>124</v>
      </c>
      <c r="Q5">
        <f>_xll.RssMarket("5803.T", "安値")</f>
        <v>9955</v>
      </c>
    </row>
    <row r="6" spans="1:25">
      <c r="B6" t="s">
        <v>587</v>
      </c>
      <c r="C6" t="s">
        <v>169</v>
      </c>
      <c r="D6">
        <v>10030</v>
      </c>
      <c r="E6">
        <v>10040</v>
      </c>
      <c r="F6">
        <v>9955</v>
      </c>
      <c r="G6">
        <v>10030</v>
      </c>
      <c r="H6">
        <v>620900</v>
      </c>
      <c r="J6">
        <f>_xll.RssMarket("5803.T", "最良売気配数量9")</f>
        <v>5600</v>
      </c>
      <c r="L6">
        <f>_xll.RssMarket("5803.T", "最良売気配値9")</f>
        <v>10335</v>
      </c>
      <c r="P6" t="s">
        <v>125</v>
      </c>
      <c r="Q6">
        <f>_xll.RssMarket("5803.T", "始値")</f>
        <v>10145</v>
      </c>
      <c r="T6" t="s">
        <v>133</v>
      </c>
      <c r="U6">
        <f>_xll.RssMarket("5803.T", "歩み1")</f>
        <v>10295</v>
      </c>
      <c r="V6" t="str">
        <f>_xll.RssMarket("5803.T", "歩み1詳細時刻")</f>
        <v>15:24:59</v>
      </c>
      <c r="X6" t="s">
        <v>141</v>
      </c>
      <c r="Y6">
        <f>_xll.RssMarket("5803.T", "逆日歩")</f>
        <v>0.35</v>
      </c>
    </row>
    <row r="7" spans="1:25">
      <c r="B7" t="s">
        <v>587</v>
      </c>
      <c r="C7" t="s">
        <v>170</v>
      </c>
      <c r="D7">
        <v>10030</v>
      </c>
      <c r="E7">
        <v>10035</v>
      </c>
      <c r="F7">
        <v>9983</v>
      </c>
      <c r="G7">
        <v>10010</v>
      </c>
      <c r="H7">
        <v>229900</v>
      </c>
      <c r="J7">
        <f>_xll.RssMarket("5803.T", "最良売気配数量8")</f>
        <v>11900</v>
      </c>
      <c r="L7">
        <f>_xll.RssMarket("5803.T", "最良売気配値8")</f>
        <v>10330</v>
      </c>
      <c r="P7" t="s">
        <v>120</v>
      </c>
      <c r="Q7">
        <f>_xll.RssMarket("5803.T", "前日終値")</f>
        <v>10375</v>
      </c>
      <c r="T7" t="s">
        <v>134</v>
      </c>
      <c r="U7">
        <f>_xll.RssMarket("5803.T", "歩み2")</f>
        <v>10290</v>
      </c>
      <c r="V7" t="str">
        <f>_xll.RssMarket("5803.T", "歩み2詳細時刻")</f>
        <v>15:24:55</v>
      </c>
      <c r="X7" t="s">
        <v>142</v>
      </c>
      <c r="Y7">
        <f>_xll.RssMarket("5803.T", "貸借倍率")</f>
        <v>0.03</v>
      </c>
    </row>
    <row r="8" spans="1:25">
      <c r="B8" t="s">
        <v>587</v>
      </c>
      <c r="C8" t="s">
        <v>171</v>
      </c>
      <c r="D8">
        <v>10005</v>
      </c>
      <c r="E8">
        <v>10100</v>
      </c>
      <c r="F8">
        <v>10005</v>
      </c>
      <c r="G8">
        <v>10095</v>
      </c>
      <c r="H8">
        <v>175600</v>
      </c>
      <c r="J8">
        <f>_xll.RssMarket("5803.T", "最良売気配数量7")</f>
        <v>2700</v>
      </c>
      <c r="L8">
        <f>_xll.RssMarket("5803.T", "最良売気配値7")</f>
        <v>10325</v>
      </c>
      <c r="P8" t="s">
        <v>126</v>
      </c>
      <c r="Q8">
        <f>_xll.RssMarket("5803.T", "出来高加重平均")</f>
        <v>10204.204100000001</v>
      </c>
      <c r="T8" t="s">
        <v>135</v>
      </c>
      <c r="U8">
        <f>_xll.RssMarket("5803.T", "歩み3")</f>
        <v>10295</v>
      </c>
      <c r="V8" t="str">
        <f>_xll.RssMarket("5803.T", "歩み3詳細時刻")</f>
        <v>15:24:55</v>
      </c>
    </row>
    <row r="9" spans="1:25">
      <c r="B9" t="s">
        <v>587</v>
      </c>
      <c r="C9" t="s">
        <v>172</v>
      </c>
      <c r="D9">
        <v>10095</v>
      </c>
      <c r="E9">
        <v>10105</v>
      </c>
      <c r="F9">
        <v>10075</v>
      </c>
      <c r="G9">
        <v>10095</v>
      </c>
      <c r="H9">
        <v>139600</v>
      </c>
      <c r="J9">
        <f>_xll.RssMarket("5803.T", "最良売気配数量6")</f>
        <v>4500</v>
      </c>
      <c r="L9">
        <f>_xll.RssMarket("5803.T", "最良売気配値6")</f>
        <v>10320</v>
      </c>
      <c r="P9" t="s">
        <v>127</v>
      </c>
      <c r="Q9">
        <f>_xll.RssMarket("5803.T", "年初来高値")</f>
        <v>10400</v>
      </c>
      <c r="R9" t="str">
        <f>_xll.RssMarket("5803.T", "年初来高値日付")</f>
        <v>2025/07/31</v>
      </c>
      <c r="T9" t="s">
        <v>136</v>
      </c>
      <c r="U9">
        <f>_xll.RssMarket("5803.T", "歩み4")</f>
        <v>10300</v>
      </c>
      <c r="V9" t="str">
        <f>_xll.RssMarket("5803.T", "歩み4詳細時刻")</f>
        <v>15:24:55</v>
      </c>
    </row>
    <row r="10" spans="1:25">
      <c r="B10" t="s">
        <v>587</v>
      </c>
      <c r="C10" t="s">
        <v>173</v>
      </c>
      <c r="D10">
        <v>10095</v>
      </c>
      <c r="E10">
        <v>10115</v>
      </c>
      <c r="F10">
        <v>10040</v>
      </c>
      <c r="G10">
        <v>10070</v>
      </c>
      <c r="H10">
        <v>151900</v>
      </c>
      <c r="J10">
        <f>_xll.RssMarket("5803.T", "最良売気配数量5")</f>
        <v>6100</v>
      </c>
      <c r="L10">
        <f>_xll.RssMarket("5803.T", "最良売気配値5")</f>
        <v>10315</v>
      </c>
      <c r="P10" t="s">
        <v>128</v>
      </c>
      <c r="Q10">
        <f>_xll.RssMarket("5803.T", "年初来安値")</f>
        <v>3592</v>
      </c>
      <c r="R10" t="str">
        <f>_xll.RssMarket("5803.T", "年初来安値日付")</f>
        <v>2025/04/07</v>
      </c>
    </row>
    <row r="11" spans="1:25">
      <c r="B11" t="s">
        <v>587</v>
      </c>
      <c r="C11" t="s">
        <v>174</v>
      </c>
      <c r="D11">
        <v>10075</v>
      </c>
      <c r="E11">
        <v>10140</v>
      </c>
      <c r="F11">
        <v>10070</v>
      </c>
      <c r="G11">
        <v>10130</v>
      </c>
      <c r="H11">
        <v>114500</v>
      </c>
      <c r="J11">
        <f>_xll.RssMarket("5803.T", "最良売気配数量4")</f>
        <v>1800</v>
      </c>
      <c r="L11">
        <f>_xll.RssMarket("5803.T", "最良売気配値4")</f>
        <v>10310</v>
      </c>
      <c r="P11" t="s">
        <v>129</v>
      </c>
      <c r="Q11">
        <f>_xll.RssMarket("5803.T", "上場来高値")</f>
        <v>10400</v>
      </c>
      <c r="R11" t="str">
        <f>_xll.RssMarket("5803.T", "上場来高値日付")</f>
        <v>2025/07/31</v>
      </c>
    </row>
    <row r="12" spans="1:25">
      <c r="B12" t="s">
        <v>587</v>
      </c>
      <c r="C12" t="s">
        <v>175</v>
      </c>
      <c r="D12">
        <v>10130</v>
      </c>
      <c r="E12">
        <v>10135</v>
      </c>
      <c r="F12">
        <v>10105</v>
      </c>
      <c r="G12">
        <v>10120</v>
      </c>
      <c r="H12">
        <v>89800</v>
      </c>
      <c r="J12">
        <f>_xll.RssMarket("5803.T", "最良売気配数量3")</f>
        <v>1700</v>
      </c>
      <c r="L12">
        <f>_xll.RssMarket("5803.T", "最良売気配値3")</f>
        <v>10305</v>
      </c>
      <c r="P12" t="s">
        <v>130</v>
      </c>
      <c r="Q12">
        <f>_xll.RssMarket("5803.T", "上場来安値")</f>
        <v>46</v>
      </c>
      <c r="R12" t="str">
        <f>_xll.RssMarket("5803.T", "上場来安値日付")</f>
        <v/>
      </c>
    </row>
    <row r="13" spans="1:25">
      <c r="B13" t="s">
        <v>587</v>
      </c>
      <c r="C13" t="s">
        <v>176</v>
      </c>
      <c r="D13">
        <v>10125</v>
      </c>
      <c r="E13">
        <v>10125</v>
      </c>
      <c r="F13">
        <v>10045</v>
      </c>
      <c r="G13">
        <v>10070</v>
      </c>
      <c r="H13">
        <v>175200</v>
      </c>
      <c r="J13">
        <f>_xll.RssMarket("5803.T", "最良売気配数量2")</f>
        <v>11500</v>
      </c>
      <c r="L13">
        <f>_xll.RssMarket("5803.T", "最良売気配値2")</f>
        <v>10300</v>
      </c>
    </row>
    <row r="14" spans="1:25">
      <c r="B14" t="s">
        <v>587</v>
      </c>
      <c r="C14" t="s">
        <v>177</v>
      </c>
      <c r="D14">
        <v>10070</v>
      </c>
      <c r="E14">
        <v>10085</v>
      </c>
      <c r="F14">
        <v>10040</v>
      </c>
      <c r="G14">
        <v>10060</v>
      </c>
      <c r="H14">
        <v>93700</v>
      </c>
      <c r="J14">
        <f>_xll.RssMarket("5803.T", "最良売気配数量1")</f>
        <v>3500</v>
      </c>
      <c r="K14" t="str">
        <f>_xll.RssMarket("5803.T", "特別売気配フラグ")</f>
        <v xml:space="preserve"> </v>
      </c>
      <c r="L14">
        <f>_xll.RssMarket("5803.T", "最良売気配値1")</f>
        <v>10295</v>
      </c>
    </row>
    <row r="15" spans="1:25">
      <c r="B15" t="s">
        <v>587</v>
      </c>
      <c r="C15" t="s">
        <v>178</v>
      </c>
      <c r="D15">
        <v>10060</v>
      </c>
      <c r="E15">
        <v>10085</v>
      </c>
      <c r="F15">
        <v>10050</v>
      </c>
      <c r="G15">
        <v>10075</v>
      </c>
      <c r="H15">
        <v>86300</v>
      </c>
      <c r="L15">
        <f>_xll.RssMarket("5803.T", "最良買気配値1")</f>
        <v>10290</v>
      </c>
      <c r="M15" t="str">
        <f>_xll.RssMarket("5803.T", "特別買気配フラグ")</f>
        <v xml:space="preserve"> </v>
      </c>
      <c r="N15">
        <f>_xll.RssMarket("5803.T", "最良買気配数量1")</f>
        <v>5800</v>
      </c>
    </row>
    <row r="16" spans="1:25">
      <c r="B16" t="s">
        <v>587</v>
      </c>
      <c r="C16" t="s">
        <v>179</v>
      </c>
      <c r="D16">
        <v>10075</v>
      </c>
      <c r="E16">
        <v>10080</v>
      </c>
      <c r="F16">
        <v>10025</v>
      </c>
      <c r="G16">
        <v>10060</v>
      </c>
      <c r="H16">
        <v>106100</v>
      </c>
      <c r="L16">
        <f>_xll.RssMarket("5803.T", "最良買気配値2")</f>
        <v>10285</v>
      </c>
      <c r="N16">
        <f>_xll.RssMarket("5803.T", "最良買気配数量2")</f>
        <v>500</v>
      </c>
    </row>
    <row r="17" spans="2:14">
      <c r="B17" t="s">
        <v>587</v>
      </c>
      <c r="C17" t="s">
        <v>180</v>
      </c>
      <c r="D17">
        <v>10055</v>
      </c>
      <c r="E17">
        <v>10065</v>
      </c>
      <c r="F17">
        <v>10040</v>
      </c>
      <c r="G17">
        <v>10055</v>
      </c>
      <c r="H17">
        <v>56300</v>
      </c>
      <c r="L17">
        <f>_xll.RssMarket("5803.T", "最良買気配値3")</f>
        <v>10280</v>
      </c>
      <c r="N17">
        <f>_xll.RssMarket("5803.T", "最良買気配数量3")</f>
        <v>1800</v>
      </c>
    </row>
    <row r="18" spans="2:14">
      <c r="B18" t="s">
        <v>587</v>
      </c>
      <c r="C18" t="s">
        <v>181</v>
      </c>
      <c r="D18">
        <v>10060</v>
      </c>
      <c r="E18">
        <v>10065</v>
      </c>
      <c r="F18">
        <v>10025</v>
      </c>
      <c r="G18">
        <v>10030</v>
      </c>
      <c r="H18">
        <v>83600</v>
      </c>
      <c r="L18">
        <f>_xll.RssMarket("5803.T", "最良買気配値4")</f>
        <v>10275</v>
      </c>
      <c r="N18">
        <f>_xll.RssMarket("5803.T", "最良買気配数量4")</f>
        <v>1200</v>
      </c>
    </row>
    <row r="19" spans="2:14">
      <c r="B19" t="s">
        <v>587</v>
      </c>
      <c r="C19" t="s">
        <v>182</v>
      </c>
      <c r="D19">
        <v>10025</v>
      </c>
      <c r="E19">
        <v>10040</v>
      </c>
      <c r="F19">
        <v>10015</v>
      </c>
      <c r="G19">
        <v>10035</v>
      </c>
      <c r="H19">
        <v>54700</v>
      </c>
      <c r="L19">
        <f>_xll.RssMarket("5803.T", "最良買気配値5")</f>
        <v>10270</v>
      </c>
      <c r="N19">
        <f>_xll.RssMarket("5803.T", "最良買気配数量5")</f>
        <v>900</v>
      </c>
    </row>
    <row r="20" spans="2:14">
      <c r="B20" t="s">
        <v>587</v>
      </c>
      <c r="C20" t="s">
        <v>183</v>
      </c>
      <c r="D20">
        <v>10040</v>
      </c>
      <c r="E20">
        <v>10050</v>
      </c>
      <c r="F20">
        <v>10025</v>
      </c>
      <c r="G20">
        <v>10045</v>
      </c>
      <c r="H20">
        <v>45200</v>
      </c>
      <c r="L20">
        <f>_xll.RssMarket("5803.T", "最良買気配値6")</f>
        <v>10265</v>
      </c>
      <c r="N20">
        <f>_xll.RssMarket("5803.T", "最良買気配数量6")</f>
        <v>1500</v>
      </c>
    </row>
    <row r="21" spans="2:14">
      <c r="B21" t="s">
        <v>587</v>
      </c>
      <c r="C21" t="s">
        <v>184</v>
      </c>
      <c r="D21">
        <v>10050</v>
      </c>
      <c r="E21">
        <v>10070</v>
      </c>
      <c r="F21">
        <v>10045</v>
      </c>
      <c r="G21">
        <v>10060</v>
      </c>
      <c r="H21">
        <v>54900</v>
      </c>
      <c r="L21">
        <f>_xll.RssMarket("5803.T", "最良買気配値7")</f>
        <v>10260</v>
      </c>
      <c r="N21">
        <f>_xll.RssMarket("5803.T", "最良買気配数量7")</f>
        <v>6600</v>
      </c>
    </row>
    <row r="22" spans="2:14">
      <c r="B22" t="s">
        <v>587</v>
      </c>
      <c r="C22" t="s">
        <v>185</v>
      </c>
      <c r="D22">
        <v>10065</v>
      </c>
      <c r="E22">
        <v>10065</v>
      </c>
      <c r="F22">
        <v>10025</v>
      </c>
      <c r="G22">
        <v>10025</v>
      </c>
      <c r="H22">
        <v>66200</v>
      </c>
      <c r="L22">
        <f>_xll.RssMarket("5803.T", "最良買気配値8")</f>
        <v>10255</v>
      </c>
      <c r="N22">
        <f>_xll.RssMarket("5803.T", "最良買気配数量8")</f>
        <v>3800</v>
      </c>
    </row>
    <row r="23" spans="2:14">
      <c r="B23" t="s">
        <v>587</v>
      </c>
      <c r="C23" t="s">
        <v>186</v>
      </c>
      <c r="D23">
        <v>10025</v>
      </c>
      <c r="E23">
        <v>10030</v>
      </c>
      <c r="F23">
        <v>10010</v>
      </c>
      <c r="G23">
        <v>10015</v>
      </c>
      <c r="H23">
        <v>64400</v>
      </c>
      <c r="L23">
        <f>_xll.RssMarket("5803.T", "最良買気配値9")</f>
        <v>10250</v>
      </c>
      <c r="N23">
        <f>_xll.RssMarket("5803.T", "最良買気配数量9")</f>
        <v>7800</v>
      </c>
    </row>
    <row r="24" spans="2:14">
      <c r="B24" t="s">
        <v>587</v>
      </c>
      <c r="C24" t="s">
        <v>187</v>
      </c>
      <c r="D24">
        <v>10015</v>
      </c>
      <c r="E24">
        <v>10040</v>
      </c>
      <c r="F24">
        <v>10010</v>
      </c>
      <c r="G24">
        <v>10020</v>
      </c>
      <c r="H24">
        <v>51800</v>
      </c>
      <c r="L24">
        <f>_xll.RssMarket("5803.T", "最良買気配値10")</f>
        <v>10245</v>
      </c>
      <c r="N24">
        <f>_xll.RssMarket("5803.T", "最良買気配数量10")</f>
        <v>2600</v>
      </c>
    </row>
    <row r="25" spans="2:14">
      <c r="B25" t="s">
        <v>587</v>
      </c>
      <c r="C25" t="s">
        <v>188</v>
      </c>
      <c r="D25">
        <v>10020</v>
      </c>
      <c r="E25">
        <v>10030</v>
      </c>
      <c r="F25">
        <v>10015</v>
      </c>
      <c r="G25">
        <v>10025</v>
      </c>
      <c r="H25">
        <v>21300</v>
      </c>
      <c r="L25" t="s">
        <v>80</v>
      </c>
      <c r="N25">
        <f>_xll.RssMarket("5803.T", "UNDER気配数量")</f>
        <v>819500</v>
      </c>
    </row>
    <row r="26" spans="2:14">
      <c r="B26" t="s">
        <v>587</v>
      </c>
      <c r="C26" t="s">
        <v>189</v>
      </c>
      <c r="D26">
        <v>10020</v>
      </c>
      <c r="E26">
        <v>10075</v>
      </c>
      <c r="F26">
        <v>10020</v>
      </c>
      <c r="G26">
        <v>10075</v>
      </c>
      <c r="H26">
        <v>105900</v>
      </c>
    </row>
    <row r="27" spans="2:14">
      <c r="B27" t="s">
        <v>587</v>
      </c>
      <c r="C27" t="s">
        <v>190</v>
      </c>
      <c r="D27">
        <v>10075</v>
      </c>
      <c r="E27">
        <v>10075</v>
      </c>
      <c r="F27">
        <v>10040</v>
      </c>
      <c r="G27">
        <v>10050</v>
      </c>
      <c r="H27">
        <v>57500</v>
      </c>
    </row>
    <row r="28" spans="2:14">
      <c r="B28" t="s">
        <v>587</v>
      </c>
      <c r="C28" t="s">
        <v>191</v>
      </c>
      <c r="D28">
        <v>10050</v>
      </c>
      <c r="E28">
        <v>10105</v>
      </c>
      <c r="F28">
        <v>10050</v>
      </c>
      <c r="G28">
        <v>10100</v>
      </c>
      <c r="H28">
        <v>104200</v>
      </c>
    </row>
    <row r="29" spans="2:14">
      <c r="B29" t="s">
        <v>587</v>
      </c>
      <c r="C29" t="s">
        <v>192</v>
      </c>
      <c r="D29">
        <v>10095</v>
      </c>
      <c r="E29">
        <v>10110</v>
      </c>
      <c r="F29">
        <v>10085</v>
      </c>
      <c r="G29">
        <v>10090</v>
      </c>
      <c r="H29">
        <v>57300</v>
      </c>
    </row>
    <row r="30" spans="2:14">
      <c r="B30" t="s">
        <v>587</v>
      </c>
      <c r="C30" t="s">
        <v>193</v>
      </c>
      <c r="D30">
        <v>10090</v>
      </c>
      <c r="E30">
        <v>10115</v>
      </c>
      <c r="F30">
        <v>10075</v>
      </c>
      <c r="G30">
        <v>10110</v>
      </c>
      <c r="H30">
        <v>77400</v>
      </c>
    </row>
    <row r="31" spans="2:14">
      <c r="B31" t="s">
        <v>587</v>
      </c>
      <c r="C31" t="s">
        <v>194</v>
      </c>
      <c r="D31">
        <v>10105</v>
      </c>
      <c r="E31">
        <v>10120</v>
      </c>
      <c r="F31">
        <v>10095</v>
      </c>
      <c r="G31">
        <v>10115</v>
      </c>
      <c r="H31">
        <v>50600</v>
      </c>
    </row>
    <row r="32" spans="2:14">
      <c r="B32" t="s">
        <v>587</v>
      </c>
      <c r="C32" t="s">
        <v>195</v>
      </c>
      <c r="D32">
        <v>10115</v>
      </c>
      <c r="E32">
        <v>10130</v>
      </c>
      <c r="F32">
        <v>10110</v>
      </c>
      <c r="G32">
        <v>10130</v>
      </c>
      <c r="H32">
        <v>70200</v>
      </c>
    </row>
    <row r="33" spans="2:8">
      <c r="B33" t="s">
        <v>587</v>
      </c>
      <c r="C33" t="s">
        <v>196</v>
      </c>
      <c r="D33">
        <v>10125</v>
      </c>
      <c r="E33">
        <v>10135</v>
      </c>
      <c r="F33">
        <v>10105</v>
      </c>
      <c r="G33">
        <v>10110</v>
      </c>
      <c r="H33">
        <v>96300</v>
      </c>
    </row>
    <row r="34" spans="2:8">
      <c r="B34" t="s">
        <v>587</v>
      </c>
      <c r="C34" t="s">
        <v>197</v>
      </c>
      <c r="D34">
        <v>10105</v>
      </c>
      <c r="E34">
        <v>10165</v>
      </c>
      <c r="F34">
        <v>10100</v>
      </c>
      <c r="G34">
        <v>10160</v>
      </c>
      <c r="H34">
        <v>130400</v>
      </c>
    </row>
    <row r="35" spans="2:8">
      <c r="B35" t="s">
        <v>587</v>
      </c>
      <c r="C35" t="s">
        <v>198</v>
      </c>
      <c r="D35">
        <v>10165</v>
      </c>
      <c r="E35">
        <v>10180</v>
      </c>
      <c r="F35">
        <v>10160</v>
      </c>
      <c r="G35">
        <v>10180</v>
      </c>
      <c r="H35">
        <v>84300</v>
      </c>
    </row>
    <row r="36" spans="2:8">
      <c r="B36" t="s">
        <v>587</v>
      </c>
      <c r="C36" t="s">
        <v>199</v>
      </c>
      <c r="D36">
        <v>10180</v>
      </c>
      <c r="E36">
        <v>10200</v>
      </c>
      <c r="F36">
        <v>10170</v>
      </c>
      <c r="G36">
        <v>10200</v>
      </c>
      <c r="H36">
        <v>102900</v>
      </c>
    </row>
    <row r="37" spans="2:8">
      <c r="B37" t="s">
        <v>587</v>
      </c>
      <c r="C37" t="s">
        <v>200</v>
      </c>
      <c r="D37">
        <v>10195</v>
      </c>
      <c r="E37">
        <v>10240</v>
      </c>
      <c r="F37">
        <v>10195</v>
      </c>
      <c r="G37">
        <v>10235</v>
      </c>
      <c r="H37">
        <v>120100</v>
      </c>
    </row>
    <row r="38" spans="2:8">
      <c r="B38" t="s">
        <v>587</v>
      </c>
      <c r="C38" t="s">
        <v>201</v>
      </c>
      <c r="D38">
        <v>10235</v>
      </c>
      <c r="E38">
        <v>10240</v>
      </c>
      <c r="F38">
        <v>10200</v>
      </c>
      <c r="G38">
        <v>10205</v>
      </c>
      <c r="H38">
        <v>118300</v>
      </c>
    </row>
    <row r="39" spans="2:8">
      <c r="B39" t="s">
        <v>587</v>
      </c>
      <c r="C39" t="s">
        <v>202</v>
      </c>
      <c r="D39">
        <v>10210</v>
      </c>
      <c r="E39">
        <v>10215</v>
      </c>
      <c r="F39">
        <v>10180</v>
      </c>
      <c r="G39">
        <v>10185</v>
      </c>
      <c r="H39">
        <v>88800</v>
      </c>
    </row>
    <row r="40" spans="2:8">
      <c r="B40" t="s">
        <v>587</v>
      </c>
      <c r="C40" t="s">
        <v>203</v>
      </c>
      <c r="D40">
        <v>10185</v>
      </c>
      <c r="E40">
        <v>10200</v>
      </c>
      <c r="F40">
        <v>10175</v>
      </c>
      <c r="G40">
        <v>10195</v>
      </c>
      <c r="H40">
        <v>55200</v>
      </c>
    </row>
    <row r="41" spans="2:8">
      <c r="B41" t="s">
        <v>587</v>
      </c>
      <c r="C41" t="s">
        <v>204</v>
      </c>
      <c r="D41">
        <v>10190</v>
      </c>
      <c r="E41">
        <v>10215</v>
      </c>
      <c r="F41">
        <v>10190</v>
      </c>
      <c r="G41">
        <v>10205</v>
      </c>
      <c r="H41">
        <v>38500</v>
      </c>
    </row>
    <row r="42" spans="2:8">
      <c r="B42" t="s">
        <v>587</v>
      </c>
      <c r="C42" t="s">
        <v>205</v>
      </c>
      <c r="D42">
        <v>10210</v>
      </c>
      <c r="E42">
        <v>10285</v>
      </c>
      <c r="F42">
        <v>10205</v>
      </c>
      <c r="G42">
        <v>10265</v>
      </c>
      <c r="H42">
        <v>186700</v>
      </c>
    </row>
    <row r="43" spans="2:8">
      <c r="B43" t="s">
        <v>587</v>
      </c>
      <c r="C43" t="s">
        <v>206</v>
      </c>
      <c r="D43">
        <v>10265</v>
      </c>
      <c r="E43">
        <v>10275</v>
      </c>
      <c r="F43">
        <v>10255</v>
      </c>
      <c r="G43">
        <v>10260</v>
      </c>
      <c r="H43">
        <v>78700</v>
      </c>
    </row>
    <row r="44" spans="2:8">
      <c r="B44" t="s">
        <v>587</v>
      </c>
      <c r="C44" t="s">
        <v>207</v>
      </c>
      <c r="D44">
        <v>10265</v>
      </c>
      <c r="E44">
        <v>10265</v>
      </c>
      <c r="F44">
        <v>10235</v>
      </c>
      <c r="G44">
        <v>10255</v>
      </c>
      <c r="H44">
        <v>83900</v>
      </c>
    </row>
    <row r="45" spans="2:8">
      <c r="B45" t="s">
        <v>587</v>
      </c>
      <c r="C45" t="s">
        <v>208</v>
      </c>
      <c r="D45">
        <v>10255</v>
      </c>
      <c r="E45">
        <v>10270</v>
      </c>
      <c r="F45">
        <v>10250</v>
      </c>
      <c r="G45">
        <v>10270</v>
      </c>
      <c r="H45">
        <v>44200</v>
      </c>
    </row>
    <row r="46" spans="2:8">
      <c r="B46" t="s">
        <v>587</v>
      </c>
      <c r="C46" t="s">
        <v>209</v>
      </c>
      <c r="D46">
        <v>10270</v>
      </c>
      <c r="E46">
        <v>10320</v>
      </c>
      <c r="F46">
        <v>10255</v>
      </c>
      <c r="G46">
        <v>10305</v>
      </c>
      <c r="H46">
        <v>176900</v>
      </c>
    </row>
    <row r="47" spans="2:8">
      <c r="B47" t="s">
        <v>587</v>
      </c>
      <c r="C47" t="s">
        <v>210</v>
      </c>
      <c r="D47">
        <v>10305</v>
      </c>
      <c r="E47">
        <v>10315</v>
      </c>
      <c r="F47">
        <v>10250</v>
      </c>
      <c r="G47">
        <v>10260</v>
      </c>
      <c r="H47">
        <v>139000</v>
      </c>
    </row>
    <row r="48" spans="2:8">
      <c r="B48" t="s">
        <v>587</v>
      </c>
      <c r="C48" t="s">
        <v>211</v>
      </c>
      <c r="D48">
        <v>10265</v>
      </c>
      <c r="E48">
        <v>10275</v>
      </c>
      <c r="F48">
        <v>10265</v>
      </c>
      <c r="G48">
        <v>10265</v>
      </c>
      <c r="H48">
        <v>53400</v>
      </c>
    </row>
    <row r="49" spans="2:8">
      <c r="B49" t="s">
        <v>587</v>
      </c>
      <c r="C49" t="s">
        <v>212</v>
      </c>
      <c r="D49">
        <v>10265</v>
      </c>
      <c r="E49">
        <v>10270</v>
      </c>
      <c r="F49">
        <v>10235</v>
      </c>
      <c r="G49">
        <v>10270</v>
      </c>
      <c r="H49">
        <v>95800</v>
      </c>
    </row>
    <row r="50" spans="2:8">
      <c r="B50" t="s">
        <v>587</v>
      </c>
      <c r="C50" t="s">
        <v>213</v>
      </c>
      <c r="D50">
        <v>10270</v>
      </c>
      <c r="E50">
        <v>10270</v>
      </c>
      <c r="F50">
        <v>10225</v>
      </c>
      <c r="G50">
        <v>10225</v>
      </c>
      <c r="H50">
        <v>45000</v>
      </c>
    </row>
    <row r="51" spans="2:8">
      <c r="B51" t="s">
        <v>587</v>
      </c>
      <c r="C51" t="s">
        <v>214</v>
      </c>
      <c r="D51">
        <v>10225</v>
      </c>
      <c r="E51">
        <v>10230</v>
      </c>
      <c r="F51">
        <v>10220</v>
      </c>
      <c r="G51">
        <v>10220</v>
      </c>
      <c r="H51">
        <v>32700</v>
      </c>
    </row>
    <row r="52" spans="2:8">
      <c r="B52" t="s">
        <v>587</v>
      </c>
      <c r="C52" t="s">
        <v>215</v>
      </c>
      <c r="D52">
        <v>10220</v>
      </c>
      <c r="E52">
        <v>10225</v>
      </c>
      <c r="F52">
        <v>10200</v>
      </c>
      <c r="G52">
        <v>10205</v>
      </c>
      <c r="H52">
        <v>51600</v>
      </c>
    </row>
    <row r="53" spans="2:8">
      <c r="B53" t="s">
        <v>587</v>
      </c>
      <c r="C53" t="s">
        <v>216</v>
      </c>
      <c r="D53">
        <v>10210</v>
      </c>
      <c r="E53">
        <v>10210</v>
      </c>
      <c r="F53">
        <v>10175</v>
      </c>
      <c r="G53">
        <v>10175</v>
      </c>
      <c r="H53">
        <v>55600</v>
      </c>
    </row>
    <row r="54" spans="2:8">
      <c r="B54" t="s">
        <v>587</v>
      </c>
      <c r="C54" t="s">
        <v>217</v>
      </c>
      <c r="D54">
        <v>10175</v>
      </c>
      <c r="E54">
        <v>10220</v>
      </c>
      <c r="F54">
        <v>10175</v>
      </c>
      <c r="G54">
        <v>10215</v>
      </c>
      <c r="H54">
        <v>46500</v>
      </c>
    </row>
    <row r="55" spans="2:8">
      <c r="B55" t="s">
        <v>587</v>
      </c>
      <c r="C55" t="s">
        <v>218</v>
      </c>
      <c r="D55">
        <v>10220</v>
      </c>
      <c r="E55">
        <v>10235</v>
      </c>
      <c r="F55">
        <v>10205</v>
      </c>
      <c r="G55">
        <v>10225</v>
      </c>
      <c r="H55">
        <v>49700</v>
      </c>
    </row>
    <row r="56" spans="2:8">
      <c r="B56" t="s">
        <v>587</v>
      </c>
      <c r="C56" t="s">
        <v>219</v>
      </c>
      <c r="D56">
        <v>10225</v>
      </c>
      <c r="E56">
        <v>10225</v>
      </c>
      <c r="F56">
        <v>10215</v>
      </c>
      <c r="G56">
        <v>10220</v>
      </c>
      <c r="H56">
        <v>18100</v>
      </c>
    </row>
    <row r="57" spans="2:8">
      <c r="B57" t="s">
        <v>587</v>
      </c>
      <c r="C57" t="s">
        <v>220</v>
      </c>
      <c r="D57">
        <v>10220</v>
      </c>
      <c r="E57">
        <v>10255</v>
      </c>
      <c r="F57">
        <v>10220</v>
      </c>
      <c r="G57">
        <v>10250</v>
      </c>
      <c r="H57">
        <v>63600</v>
      </c>
    </row>
    <row r="58" spans="2:8">
      <c r="B58" t="s">
        <v>587</v>
      </c>
      <c r="C58" t="s">
        <v>221</v>
      </c>
      <c r="D58">
        <v>10250</v>
      </c>
      <c r="E58">
        <v>10265</v>
      </c>
      <c r="F58">
        <v>10250</v>
      </c>
      <c r="G58">
        <v>10255</v>
      </c>
      <c r="H58">
        <v>55300</v>
      </c>
    </row>
    <row r="59" spans="2:8">
      <c r="B59" t="s">
        <v>587</v>
      </c>
      <c r="C59" t="s">
        <v>222</v>
      </c>
      <c r="D59">
        <v>10255</v>
      </c>
      <c r="E59">
        <v>10285</v>
      </c>
      <c r="F59">
        <v>10255</v>
      </c>
      <c r="G59">
        <v>10275</v>
      </c>
      <c r="H59">
        <v>75800</v>
      </c>
    </row>
    <row r="60" spans="2:8">
      <c r="B60" t="s">
        <v>587</v>
      </c>
      <c r="C60" t="s">
        <v>223</v>
      </c>
      <c r="D60">
        <v>10275</v>
      </c>
      <c r="E60">
        <v>10285</v>
      </c>
      <c r="F60">
        <v>10265</v>
      </c>
      <c r="G60">
        <v>10265</v>
      </c>
      <c r="H60">
        <v>47000</v>
      </c>
    </row>
    <row r="61" spans="2:8">
      <c r="B61" t="s">
        <v>587</v>
      </c>
      <c r="C61" t="s">
        <v>224</v>
      </c>
      <c r="D61">
        <v>10265</v>
      </c>
      <c r="E61">
        <v>10275</v>
      </c>
      <c r="F61">
        <v>10260</v>
      </c>
      <c r="G61">
        <v>10265</v>
      </c>
      <c r="H61">
        <v>28800</v>
      </c>
    </row>
    <row r="62" spans="2:8">
      <c r="B62" t="s">
        <v>587</v>
      </c>
      <c r="C62" t="s">
        <v>225</v>
      </c>
      <c r="D62">
        <v>10260</v>
      </c>
      <c r="E62">
        <v>10270</v>
      </c>
      <c r="F62">
        <v>10250</v>
      </c>
      <c r="G62">
        <v>10250</v>
      </c>
      <c r="H62">
        <v>44600</v>
      </c>
    </row>
    <row r="63" spans="2:8">
      <c r="B63" t="s">
        <v>587</v>
      </c>
      <c r="C63" t="s">
        <v>226</v>
      </c>
      <c r="D63">
        <v>10255</v>
      </c>
      <c r="E63">
        <v>10275</v>
      </c>
      <c r="F63">
        <v>10250</v>
      </c>
      <c r="G63">
        <v>10260</v>
      </c>
      <c r="H63">
        <v>32100</v>
      </c>
    </row>
    <row r="64" spans="2:8">
      <c r="B64" t="s">
        <v>587</v>
      </c>
      <c r="C64" t="s">
        <v>227</v>
      </c>
      <c r="D64">
        <v>10260</v>
      </c>
      <c r="E64">
        <v>10265</v>
      </c>
      <c r="F64">
        <v>10245</v>
      </c>
      <c r="G64">
        <v>10250</v>
      </c>
      <c r="H64">
        <v>32800</v>
      </c>
    </row>
    <row r="65" spans="2:8">
      <c r="B65" t="s">
        <v>587</v>
      </c>
      <c r="C65" t="s">
        <v>228</v>
      </c>
      <c r="D65">
        <v>10245</v>
      </c>
      <c r="E65">
        <v>10250</v>
      </c>
      <c r="F65">
        <v>10230</v>
      </c>
      <c r="G65">
        <v>10235</v>
      </c>
      <c r="H65">
        <v>32700</v>
      </c>
    </row>
    <row r="66" spans="2:8">
      <c r="B66" t="s">
        <v>587</v>
      </c>
      <c r="C66" t="s">
        <v>229</v>
      </c>
      <c r="D66">
        <v>10235</v>
      </c>
      <c r="E66">
        <v>10240</v>
      </c>
      <c r="F66">
        <v>10230</v>
      </c>
      <c r="G66">
        <v>10230</v>
      </c>
      <c r="H66">
        <v>13500</v>
      </c>
    </row>
    <row r="67" spans="2:8">
      <c r="B67" t="s">
        <v>587</v>
      </c>
      <c r="C67" t="s">
        <v>230</v>
      </c>
      <c r="D67">
        <v>10235</v>
      </c>
      <c r="E67">
        <v>10245</v>
      </c>
      <c r="F67">
        <v>10225</v>
      </c>
      <c r="G67">
        <v>10245</v>
      </c>
      <c r="H67">
        <v>29600</v>
      </c>
    </row>
    <row r="68" spans="2:8">
      <c r="B68" t="s">
        <v>587</v>
      </c>
      <c r="C68" t="s">
        <v>231</v>
      </c>
      <c r="D68">
        <v>10245</v>
      </c>
      <c r="E68">
        <v>10245</v>
      </c>
      <c r="F68">
        <v>10205</v>
      </c>
      <c r="G68">
        <v>10205</v>
      </c>
      <c r="H68">
        <v>39800</v>
      </c>
    </row>
    <row r="69" spans="2:8">
      <c r="B69" t="s">
        <v>587</v>
      </c>
      <c r="C69" t="s">
        <v>232</v>
      </c>
      <c r="D69">
        <v>10210</v>
      </c>
      <c r="E69">
        <v>10210</v>
      </c>
      <c r="F69">
        <v>10190</v>
      </c>
      <c r="G69">
        <v>10195</v>
      </c>
      <c r="H69">
        <v>42900</v>
      </c>
    </row>
    <row r="70" spans="2:8">
      <c r="B70" t="s">
        <v>587</v>
      </c>
      <c r="C70" t="s">
        <v>233</v>
      </c>
      <c r="D70">
        <v>10195</v>
      </c>
      <c r="E70">
        <v>10220</v>
      </c>
      <c r="F70">
        <v>10195</v>
      </c>
      <c r="G70">
        <v>10220</v>
      </c>
      <c r="H70">
        <v>24800</v>
      </c>
    </row>
    <row r="71" spans="2:8">
      <c r="B71" t="s">
        <v>587</v>
      </c>
      <c r="C71" t="s">
        <v>234</v>
      </c>
      <c r="D71">
        <v>10215</v>
      </c>
      <c r="E71">
        <v>10215</v>
      </c>
      <c r="F71">
        <v>10195</v>
      </c>
      <c r="G71">
        <v>10195</v>
      </c>
      <c r="H71">
        <v>23100</v>
      </c>
    </row>
    <row r="72" spans="2:8">
      <c r="B72" t="s">
        <v>587</v>
      </c>
      <c r="C72" t="s">
        <v>235</v>
      </c>
      <c r="D72">
        <v>10195</v>
      </c>
      <c r="E72">
        <v>10200</v>
      </c>
      <c r="F72">
        <v>10185</v>
      </c>
      <c r="G72">
        <v>10185</v>
      </c>
      <c r="H72">
        <v>23900</v>
      </c>
    </row>
    <row r="73" spans="2:8">
      <c r="B73" t="s">
        <v>587</v>
      </c>
      <c r="C73" t="s">
        <v>236</v>
      </c>
      <c r="D73">
        <v>10185</v>
      </c>
      <c r="E73">
        <v>10190</v>
      </c>
      <c r="F73">
        <v>10170</v>
      </c>
      <c r="G73">
        <v>10180</v>
      </c>
      <c r="H73">
        <v>48700</v>
      </c>
    </row>
    <row r="74" spans="2:8">
      <c r="B74" t="s">
        <v>587</v>
      </c>
      <c r="C74" t="s">
        <v>237</v>
      </c>
      <c r="D74">
        <v>10180</v>
      </c>
      <c r="E74">
        <v>10220</v>
      </c>
      <c r="F74">
        <v>10180</v>
      </c>
      <c r="G74">
        <v>10210</v>
      </c>
      <c r="H74">
        <v>52200</v>
      </c>
    </row>
    <row r="75" spans="2:8">
      <c r="B75" t="s">
        <v>587</v>
      </c>
      <c r="C75" t="s">
        <v>238</v>
      </c>
      <c r="D75">
        <v>10210</v>
      </c>
      <c r="E75">
        <v>10220</v>
      </c>
      <c r="F75">
        <v>10200</v>
      </c>
      <c r="G75">
        <v>10200</v>
      </c>
      <c r="H75">
        <v>22200</v>
      </c>
    </row>
    <row r="76" spans="2:8">
      <c r="B76" t="s">
        <v>587</v>
      </c>
      <c r="C76" t="s">
        <v>239</v>
      </c>
      <c r="D76">
        <v>10200</v>
      </c>
      <c r="E76">
        <v>10205</v>
      </c>
      <c r="F76">
        <v>10185</v>
      </c>
      <c r="G76">
        <v>10185</v>
      </c>
      <c r="H76">
        <v>23100</v>
      </c>
    </row>
    <row r="77" spans="2:8">
      <c r="B77" t="s">
        <v>587</v>
      </c>
      <c r="C77" t="s">
        <v>240</v>
      </c>
      <c r="D77">
        <v>10185</v>
      </c>
      <c r="E77">
        <v>10185</v>
      </c>
      <c r="F77">
        <v>10175</v>
      </c>
      <c r="G77">
        <v>10175</v>
      </c>
      <c r="H77">
        <v>32400</v>
      </c>
    </row>
    <row r="78" spans="2:8">
      <c r="B78" t="s">
        <v>587</v>
      </c>
      <c r="C78" t="s">
        <v>241</v>
      </c>
      <c r="D78">
        <v>10175</v>
      </c>
      <c r="E78">
        <v>10205</v>
      </c>
      <c r="F78">
        <v>10170</v>
      </c>
      <c r="G78">
        <v>10205</v>
      </c>
      <c r="H78">
        <v>54600</v>
      </c>
    </row>
    <row r="79" spans="2:8">
      <c r="B79" t="s">
        <v>587</v>
      </c>
      <c r="C79" t="s">
        <v>242</v>
      </c>
      <c r="D79">
        <v>10205</v>
      </c>
      <c r="E79">
        <v>10215</v>
      </c>
      <c r="F79">
        <v>10185</v>
      </c>
      <c r="G79">
        <v>10185</v>
      </c>
      <c r="H79">
        <v>33900</v>
      </c>
    </row>
    <row r="80" spans="2:8">
      <c r="B80" t="s">
        <v>587</v>
      </c>
      <c r="C80" t="s">
        <v>243</v>
      </c>
      <c r="D80">
        <v>10185</v>
      </c>
      <c r="E80">
        <v>10190</v>
      </c>
      <c r="F80">
        <v>10185</v>
      </c>
      <c r="G80">
        <v>10185</v>
      </c>
      <c r="H80">
        <v>4200</v>
      </c>
    </row>
    <row r="81" spans="2:8">
      <c r="B81" t="s">
        <v>587</v>
      </c>
      <c r="C81" t="s">
        <v>244</v>
      </c>
      <c r="D81">
        <v>10190</v>
      </c>
      <c r="E81">
        <v>10190</v>
      </c>
      <c r="F81">
        <v>10180</v>
      </c>
      <c r="G81">
        <v>10185</v>
      </c>
      <c r="H81">
        <v>18500</v>
      </c>
    </row>
    <row r="82" spans="2:8">
      <c r="B82" t="s">
        <v>587</v>
      </c>
      <c r="C82" t="s">
        <v>245</v>
      </c>
      <c r="D82">
        <v>10185</v>
      </c>
      <c r="E82">
        <v>10185</v>
      </c>
      <c r="F82">
        <v>10175</v>
      </c>
      <c r="G82">
        <v>10185</v>
      </c>
      <c r="H82">
        <v>23100</v>
      </c>
    </row>
    <row r="83" spans="2:8">
      <c r="B83" t="s">
        <v>587</v>
      </c>
      <c r="C83" t="s">
        <v>246</v>
      </c>
      <c r="D83">
        <v>10185</v>
      </c>
      <c r="E83">
        <v>10205</v>
      </c>
      <c r="F83">
        <v>10185</v>
      </c>
      <c r="G83">
        <v>10195</v>
      </c>
      <c r="H83">
        <v>40900</v>
      </c>
    </row>
    <row r="84" spans="2:8">
      <c r="B84" t="s">
        <v>587</v>
      </c>
      <c r="C84" t="s">
        <v>247</v>
      </c>
      <c r="D84">
        <v>10190</v>
      </c>
      <c r="E84">
        <v>10210</v>
      </c>
      <c r="F84">
        <v>10190</v>
      </c>
      <c r="G84">
        <v>10190</v>
      </c>
      <c r="H84">
        <v>25900</v>
      </c>
    </row>
    <row r="85" spans="2:8">
      <c r="B85" t="s">
        <v>587</v>
      </c>
      <c r="C85" t="s">
        <v>248</v>
      </c>
      <c r="D85">
        <v>10185</v>
      </c>
      <c r="E85">
        <v>10190</v>
      </c>
      <c r="F85">
        <v>10160</v>
      </c>
      <c r="G85">
        <v>10160</v>
      </c>
      <c r="H85">
        <v>45500</v>
      </c>
    </row>
    <row r="86" spans="2:8">
      <c r="B86" t="s">
        <v>587</v>
      </c>
      <c r="C86" t="s">
        <v>249</v>
      </c>
      <c r="D86">
        <v>10160</v>
      </c>
      <c r="E86">
        <v>10165</v>
      </c>
      <c r="F86">
        <v>10150</v>
      </c>
      <c r="G86">
        <v>10165</v>
      </c>
      <c r="H86">
        <v>42900</v>
      </c>
    </row>
    <row r="87" spans="2:8">
      <c r="B87" t="s">
        <v>587</v>
      </c>
      <c r="C87" t="s">
        <v>250</v>
      </c>
      <c r="D87">
        <v>10165</v>
      </c>
      <c r="E87">
        <v>10165</v>
      </c>
      <c r="F87">
        <v>10140</v>
      </c>
      <c r="G87">
        <v>10150</v>
      </c>
      <c r="H87">
        <v>51400</v>
      </c>
    </row>
    <row r="88" spans="2:8">
      <c r="B88" t="s">
        <v>587</v>
      </c>
      <c r="C88" t="s">
        <v>251</v>
      </c>
      <c r="D88">
        <v>10150</v>
      </c>
      <c r="E88">
        <v>10155</v>
      </c>
      <c r="F88">
        <v>10135</v>
      </c>
      <c r="G88">
        <v>10140</v>
      </c>
      <c r="H88">
        <v>40900</v>
      </c>
    </row>
    <row r="89" spans="2:8">
      <c r="B89" t="s">
        <v>587</v>
      </c>
      <c r="C89" t="s">
        <v>252</v>
      </c>
      <c r="D89">
        <v>10140</v>
      </c>
      <c r="E89">
        <v>10155</v>
      </c>
      <c r="F89">
        <v>10140</v>
      </c>
      <c r="G89">
        <v>10155</v>
      </c>
      <c r="H89">
        <v>20700</v>
      </c>
    </row>
    <row r="90" spans="2:8">
      <c r="B90" t="s">
        <v>587</v>
      </c>
      <c r="C90" t="s">
        <v>253</v>
      </c>
      <c r="D90">
        <v>10155</v>
      </c>
      <c r="E90">
        <v>10170</v>
      </c>
      <c r="F90">
        <v>10135</v>
      </c>
      <c r="G90">
        <v>10140</v>
      </c>
      <c r="H90">
        <v>34700</v>
      </c>
    </row>
    <row r="91" spans="2:8">
      <c r="B91" t="s">
        <v>587</v>
      </c>
      <c r="C91" t="s">
        <v>254</v>
      </c>
      <c r="D91">
        <v>10140</v>
      </c>
      <c r="E91">
        <v>10175</v>
      </c>
      <c r="F91">
        <v>10140</v>
      </c>
      <c r="G91">
        <v>10165</v>
      </c>
      <c r="H91">
        <v>36200</v>
      </c>
    </row>
    <row r="92" spans="2:8">
      <c r="B92" t="s">
        <v>587</v>
      </c>
      <c r="C92" t="s">
        <v>255</v>
      </c>
      <c r="D92">
        <v>10165</v>
      </c>
      <c r="E92">
        <v>10165</v>
      </c>
      <c r="F92">
        <v>10150</v>
      </c>
      <c r="G92">
        <v>10160</v>
      </c>
      <c r="H92">
        <v>24800</v>
      </c>
    </row>
    <row r="93" spans="2:8">
      <c r="B93" t="s">
        <v>587</v>
      </c>
      <c r="C93" t="s">
        <v>256</v>
      </c>
      <c r="D93">
        <v>10165</v>
      </c>
      <c r="E93">
        <v>10180</v>
      </c>
      <c r="F93">
        <v>10160</v>
      </c>
      <c r="G93">
        <v>10170</v>
      </c>
      <c r="H93">
        <v>29900</v>
      </c>
    </row>
    <row r="94" spans="2:8">
      <c r="B94" t="s">
        <v>587</v>
      </c>
      <c r="C94" t="s">
        <v>257</v>
      </c>
      <c r="D94">
        <v>10170</v>
      </c>
      <c r="E94">
        <v>10180</v>
      </c>
      <c r="F94">
        <v>10170</v>
      </c>
      <c r="G94">
        <v>10175</v>
      </c>
      <c r="H94">
        <v>19300</v>
      </c>
    </row>
    <row r="95" spans="2:8">
      <c r="B95" t="s">
        <v>587</v>
      </c>
      <c r="C95" t="s">
        <v>258</v>
      </c>
      <c r="D95">
        <v>10175</v>
      </c>
      <c r="E95">
        <v>10180</v>
      </c>
      <c r="F95">
        <v>10160</v>
      </c>
      <c r="G95">
        <v>10160</v>
      </c>
      <c r="H95">
        <v>14400</v>
      </c>
    </row>
    <row r="96" spans="2:8">
      <c r="B96" t="s">
        <v>587</v>
      </c>
      <c r="C96" t="s">
        <v>259</v>
      </c>
      <c r="D96">
        <v>10160</v>
      </c>
      <c r="E96">
        <v>10160</v>
      </c>
      <c r="F96">
        <v>10145</v>
      </c>
      <c r="G96">
        <v>10150</v>
      </c>
      <c r="H96">
        <v>31100</v>
      </c>
    </row>
    <row r="97" spans="2:8">
      <c r="B97" t="s">
        <v>587</v>
      </c>
      <c r="C97" t="s">
        <v>260</v>
      </c>
      <c r="D97">
        <v>10150</v>
      </c>
      <c r="E97">
        <v>10160</v>
      </c>
      <c r="F97">
        <v>10135</v>
      </c>
      <c r="G97">
        <v>10155</v>
      </c>
      <c r="H97">
        <v>36100</v>
      </c>
    </row>
    <row r="98" spans="2:8">
      <c r="B98" t="s">
        <v>587</v>
      </c>
      <c r="C98" t="s">
        <v>261</v>
      </c>
      <c r="D98">
        <v>10155</v>
      </c>
      <c r="E98">
        <v>10155</v>
      </c>
      <c r="F98">
        <v>10115</v>
      </c>
      <c r="G98">
        <v>10120</v>
      </c>
      <c r="H98">
        <v>49300</v>
      </c>
    </row>
    <row r="99" spans="2:8">
      <c r="B99" t="s">
        <v>587</v>
      </c>
      <c r="C99" t="s">
        <v>262</v>
      </c>
      <c r="D99">
        <v>10125</v>
      </c>
      <c r="E99">
        <v>10145</v>
      </c>
      <c r="F99">
        <v>10120</v>
      </c>
      <c r="G99">
        <v>10145</v>
      </c>
      <c r="H99">
        <v>36500</v>
      </c>
    </row>
    <row r="100" spans="2:8">
      <c r="B100" t="s">
        <v>587</v>
      </c>
      <c r="C100" t="s">
        <v>263</v>
      </c>
      <c r="D100">
        <v>10140</v>
      </c>
      <c r="E100">
        <v>10150</v>
      </c>
      <c r="F100">
        <v>10140</v>
      </c>
      <c r="G100">
        <v>10150</v>
      </c>
      <c r="H100">
        <v>13800</v>
      </c>
    </row>
    <row r="101" spans="2:8">
      <c r="B101" t="s">
        <v>587</v>
      </c>
      <c r="C101" t="s">
        <v>264</v>
      </c>
      <c r="D101">
        <v>10150</v>
      </c>
      <c r="E101">
        <v>10160</v>
      </c>
      <c r="F101">
        <v>10140</v>
      </c>
      <c r="G101">
        <v>10145</v>
      </c>
      <c r="H101">
        <v>38100</v>
      </c>
    </row>
    <row r="102" spans="2:8">
      <c r="B102" t="s">
        <v>587</v>
      </c>
      <c r="C102" t="s">
        <v>265</v>
      </c>
      <c r="D102">
        <v>10150</v>
      </c>
      <c r="E102">
        <v>10165</v>
      </c>
      <c r="F102">
        <v>10150</v>
      </c>
      <c r="G102">
        <v>10160</v>
      </c>
      <c r="H102">
        <v>27500</v>
      </c>
    </row>
    <row r="103" spans="2:8">
      <c r="B103" t="s">
        <v>587</v>
      </c>
      <c r="C103" t="s">
        <v>266</v>
      </c>
      <c r="D103">
        <v>10160</v>
      </c>
      <c r="E103">
        <v>10180</v>
      </c>
      <c r="F103">
        <v>10155</v>
      </c>
      <c r="G103">
        <v>10175</v>
      </c>
      <c r="H103">
        <v>51800</v>
      </c>
    </row>
    <row r="104" spans="2:8">
      <c r="B104" t="s">
        <v>587</v>
      </c>
      <c r="C104" t="s">
        <v>267</v>
      </c>
      <c r="D104">
        <v>10170</v>
      </c>
      <c r="E104">
        <v>10180</v>
      </c>
      <c r="F104">
        <v>10165</v>
      </c>
      <c r="G104">
        <v>10170</v>
      </c>
      <c r="H104">
        <v>17200</v>
      </c>
    </row>
    <row r="105" spans="2:8">
      <c r="B105" t="s">
        <v>587</v>
      </c>
      <c r="C105" t="s">
        <v>268</v>
      </c>
      <c r="D105">
        <v>10170</v>
      </c>
      <c r="E105">
        <v>10180</v>
      </c>
      <c r="F105">
        <v>10165</v>
      </c>
      <c r="G105">
        <v>10180</v>
      </c>
      <c r="H105">
        <v>14100</v>
      </c>
    </row>
    <row r="106" spans="2:8">
      <c r="B106" t="s">
        <v>587</v>
      </c>
      <c r="C106" t="s">
        <v>269</v>
      </c>
      <c r="D106">
        <v>10180</v>
      </c>
      <c r="E106">
        <v>10190</v>
      </c>
      <c r="F106">
        <v>10180</v>
      </c>
      <c r="G106">
        <v>10180</v>
      </c>
      <c r="H106">
        <v>22700</v>
      </c>
    </row>
    <row r="107" spans="2:8">
      <c r="B107" t="s">
        <v>587</v>
      </c>
      <c r="C107" t="s">
        <v>270</v>
      </c>
      <c r="D107">
        <v>10180</v>
      </c>
      <c r="E107">
        <v>10185</v>
      </c>
      <c r="F107">
        <v>10175</v>
      </c>
      <c r="G107">
        <v>10180</v>
      </c>
      <c r="H107">
        <v>19300</v>
      </c>
    </row>
    <row r="108" spans="2:8">
      <c r="B108" t="s">
        <v>587</v>
      </c>
      <c r="C108" t="s">
        <v>271</v>
      </c>
      <c r="D108">
        <v>10180</v>
      </c>
      <c r="E108">
        <v>10180</v>
      </c>
      <c r="F108">
        <v>10165</v>
      </c>
      <c r="G108">
        <v>10170</v>
      </c>
      <c r="H108">
        <v>20500</v>
      </c>
    </row>
    <row r="109" spans="2:8">
      <c r="B109" t="s">
        <v>587</v>
      </c>
      <c r="C109" t="s">
        <v>272</v>
      </c>
      <c r="D109">
        <v>10165</v>
      </c>
      <c r="E109">
        <v>10170</v>
      </c>
      <c r="F109">
        <v>10160</v>
      </c>
      <c r="G109">
        <v>10165</v>
      </c>
      <c r="H109">
        <v>6800</v>
      </c>
    </row>
    <row r="110" spans="2:8">
      <c r="B110" t="s">
        <v>587</v>
      </c>
      <c r="C110" t="s">
        <v>273</v>
      </c>
      <c r="D110">
        <v>10165</v>
      </c>
      <c r="E110">
        <v>10195</v>
      </c>
      <c r="F110">
        <v>10165</v>
      </c>
      <c r="G110">
        <v>10195</v>
      </c>
      <c r="H110">
        <v>47400</v>
      </c>
    </row>
    <row r="111" spans="2:8">
      <c r="B111" t="s">
        <v>587</v>
      </c>
      <c r="C111" t="s">
        <v>274</v>
      </c>
      <c r="D111">
        <v>10195</v>
      </c>
      <c r="E111">
        <v>10210</v>
      </c>
      <c r="F111">
        <v>10190</v>
      </c>
      <c r="G111">
        <v>10205</v>
      </c>
      <c r="H111">
        <v>31900</v>
      </c>
    </row>
    <row r="112" spans="2:8">
      <c r="B112" t="s">
        <v>587</v>
      </c>
      <c r="C112" t="s">
        <v>275</v>
      </c>
      <c r="D112">
        <v>10205</v>
      </c>
      <c r="E112">
        <v>10220</v>
      </c>
      <c r="F112">
        <v>10200</v>
      </c>
      <c r="G112">
        <v>10205</v>
      </c>
      <c r="H112">
        <v>28400</v>
      </c>
    </row>
    <row r="113" spans="2:8">
      <c r="B113" t="s">
        <v>587</v>
      </c>
      <c r="C113" t="s">
        <v>276</v>
      </c>
      <c r="D113">
        <v>10205</v>
      </c>
      <c r="E113">
        <v>10210</v>
      </c>
      <c r="F113">
        <v>10190</v>
      </c>
      <c r="G113">
        <v>10195</v>
      </c>
      <c r="H113">
        <v>24400</v>
      </c>
    </row>
    <row r="114" spans="2:8">
      <c r="B114" t="s">
        <v>587</v>
      </c>
      <c r="C114" t="s">
        <v>277</v>
      </c>
      <c r="D114">
        <v>10200</v>
      </c>
      <c r="E114">
        <v>10205</v>
      </c>
      <c r="F114">
        <v>10190</v>
      </c>
      <c r="G114">
        <v>10190</v>
      </c>
      <c r="H114">
        <v>16500</v>
      </c>
    </row>
    <row r="115" spans="2:8">
      <c r="B115" t="s">
        <v>587</v>
      </c>
      <c r="C115" t="s">
        <v>278</v>
      </c>
      <c r="D115">
        <v>10190</v>
      </c>
      <c r="E115">
        <v>10200</v>
      </c>
      <c r="F115">
        <v>10190</v>
      </c>
      <c r="G115">
        <v>10195</v>
      </c>
      <c r="H115">
        <v>8600</v>
      </c>
    </row>
    <row r="116" spans="2:8">
      <c r="B116" t="s">
        <v>587</v>
      </c>
      <c r="C116" t="s">
        <v>279</v>
      </c>
      <c r="D116">
        <v>10195</v>
      </c>
      <c r="E116">
        <v>10200</v>
      </c>
      <c r="F116">
        <v>10190</v>
      </c>
      <c r="G116">
        <v>10195</v>
      </c>
      <c r="H116">
        <v>10200</v>
      </c>
    </row>
    <row r="117" spans="2:8">
      <c r="B117" t="s">
        <v>587</v>
      </c>
      <c r="C117" t="s">
        <v>280</v>
      </c>
      <c r="D117">
        <v>10195</v>
      </c>
      <c r="E117">
        <v>10195</v>
      </c>
      <c r="F117">
        <v>10175</v>
      </c>
      <c r="G117">
        <v>10175</v>
      </c>
      <c r="H117">
        <v>22100</v>
      </c>
    </row>
    <row r="118" spans="2:8">
      <c r="B118" t="s">
        <v>587</v>
      </c>
      <c r="C118" t="s">
        <v>281</v>
      </c>
      <c r="D118">
        <v>10175</v>
      </c>
      <c r="E118">
        <v>10200</v>
      </c>
      <c r="F118">
        <v>10175</v>
      </c>
      <c r="G118">
        <v>10195</v>
      </c>
      <c r="H118">
        <v>21200</v>
      </c>
    </row>
    <row r="119" spans="2:8">
      <c r="B119" t="s">
        <v>587</v>
      </c>
      <c r="C119" t="s">
        <v>282</v>
      </c>
      <c r="D119">
        <v>10195</v>
      </c>
      <c r="E119">
        <v>10210</v>
      </c>
      <c r="F119">
        <v>10195</v>
      </c>
      <c r="G119">
        <v>10210</v>
      </c>
      <c r="H119">
        <v>26400</v>
      </c>
    </row>
    <row r="120" spans="2:8">
      <c r="B120" t="s">
        <v>587</v>
      </c>
      <c r="C120" t="s">
        <v>283</v>
      </c>
      <c r="D120">
        <v>10205</v>
      </c>
      <c r="E120">
        <v>10210</v>
      </c>
      <c r="F120">
        <v>10175</v>
      </c>
      <c r="G120">
        <v>10175</v>
      </c>
      <c r="H120">
        <v>33500</v>
      </c>
    </row>
    <row r="121" spans="2:8">
      <c r="B121" t="s">
        <v>587</v>
      </c>
      <c r="C121" t="s">
        <v>284</v>
      </c>
      <c r="D121">
        <v>10170</v>
      </c>
      <c r="E121">
        <v>10170</v>
      </c>
      <c r="F121">
        <v>10160</v>
      </c>
      <c r="G121">
        <v>10165</v>
      </c>
      <c r="H121">
        <v>24600</v>
      </c>
    </row>
    <row r="122" spans="2:8">
      <c r="B122" t="s">
        <v>587</v>
      </c>
      <c r="C122" t="s">
        <v>285</v>
      </c>
      <c r="D122">
        <v>10170</v>
      </c>
      <c r="E122">
        <v>10195</v>
      </c>
      <c r="F122">
        <v>10165</v>
      </c>
      <c r="G122">
        <v>10175</v>
      </c>
      <c r="H122">
        <v>24600</v>
      </c>
    </row>
    <row r="123" spans="2:8">
      <c r="B123" t="s">
        <v>587</v>
      </c>
      <c r="C123" t="s">
        <v>286</v>
      </c>
      <c r="D123">
        <v>10175</v>
      </c>
      <c r="E123">
        <v>10180</v>
      </c>
      <c r="F123">
        <v>10165</v>
      </c>
      <c r="G123">
        <v>10180</v>
      </c>
      <c r="H123">
        <v>16300</v>
      </c>
    </row>
    <row r="124" spans="2:8">
      <c r="B124" t="s">
        <v>587</v>
      </c>
      <c r="C124" t="s">
        <v>287</v>
      </c>
      <c r="D124">
        <v>10185</v>
      </c>
      <c r="E124">
        <v>10190</v>
      </c>
      <c r="F124">
        <v>10185</v>
      </c>
      <c r="G124">
        <v>10185</v>
      </c>
      <c r="H124">
        <v>3600</v>
      </c>
    </row>
    <row r="125" spans="2:8">
      <c r="B125" t="s">
        <v>587</v>
      </c>
      <c r="C125" t="s">
        <v>288</v>
      </c>
      <c r="D125">
        <v>10185</v>
      </c>
      <c r="E125">
        <v>10185</v>
      </c>
      <c r="F125">
        <v>10175</v>
      </c>
      <c r="G125">
        <v>10180</v>
      </c>
      <c r="H125">
        <v>4200</v>
      </c>
    </row>
    <row r="126" spans="2:8">
      <c r="B126" t="s">
        <v>587</v>
      </c>
      <c r="C126" t="s">
        <v>289</v>
      </c>
      <c r="D126">
        <v>10180</v>
      </c>
      <c r="E126">
        <v>10185</v>
      </c>
      <c r="F126">
        <v>10175</v>
      </c>
      <c r="G126">
        <v>10180</v>
      </c>
      <c r="H126">
        <v>12300</v>
      </c>
    </row>
    <row r="127" spans="2:8">
      <c r="B127" t="s">
        <v>587</v>
      </c>
      <c r="C127" t="s">
        <v>290</v>
      </c>
      <c r="D127">
        <v>10180</v>
      </c>
      <c r="E127">
        <v>10190</v>
      </c>
      <c r="F127">
        <v>10175</v>
      </c>
      <c r="G127">
        <v>10185</v>
      </c>
      <c r="H127">
        <v>7800</v>
      </c>
    </row>
    <row r="128" spans="2:8">
      <c r="B128" t="s">
        <v>587</v>
      </c>
      <c r="C128" t="s">
        <v>291</v>
      </c>
      <c r="D128">
        <v>10185</v>
      </c>
      <c r="E128">
        <v>10200</v>
      </c>
      <c r="F128">
        <v>10185</v>
      </c>
      <c r="G128">
        <v>10190</v>
      </c>
      <c r="H128">
        <v>19200</v>
      </c>
    </row>
    <row r="129" spans="2:8">
      <c r="B129" t="s">
        <v>587</v>
      </c>
      <c r="C129" t="s">
        <v>292</v>
      </c>
      <c r="D129">
        <v>10195</v>
      </c>
      <c r="E129">
        <v>10200</v>
      </c>
      <c r="F129">
        <v>10190</v>
      </c>
      <c r="G129">
        <v>10195</v>
      </c>
      <c r="H129">
        <v>31600</v>
      </c>
    </row>
    <row r="130" spans="2:8">
      <c r="B130" t="s">
        <v>587</v>
      </c>
      <c r="C130" t="s">
        <v>293</v>
      </c>
      <c r="D130">
        <v>10195</v>
      </c>
      <c r="E130">
        <v>10200</v>
      </c>
      <c r="F130">
        <v>10190</v>
      </c>
      <c r="G130">
        <v>10195</v>
      </c>
      <c r="H130">
        <v>8500</v>
      </c>
    </row>
    <row r="131" spans="2:8">
      <c r="B131" t="s">
        <v>587</v>
      </c>
      <c r="C131" t="s">
        <v>294</v>
      </c>
      <c r="D131">
        <v>10200</v>
      </c>
      <c r="E131">
        <v>10200</v>
      </c>
      <c r="F131">
        <v>10190</v>
      </c>
      <c r="G131">
        <v>10190</v>
      </c>
      <c r="H131">
        <v>4100</v>
      </c>
    </row>
    <row r="132" spans="2:8">
      <c r="B132" t="s">
        <v>587</v>
      </c>
      <c r="C132" t="s">
        <v>295</v>
      </c>
      <c r="D132">
        <v>10195</v>
      </c>
      <c r="E132">
        <v>10205</v>
      </c>
      <c r="F132">
        <v>10195</v>
      </c>
      <c r="G132">
        <v>10205</v>
      </c>
      <c r="H132">
        <v>18200</v>
      </c>
    </row>
    <row r="133" spans="2:8">
      <c r="B133" t="s">
        <v>587</v>
      </c>
      <c r="C133" t="s">
        <v>296</v>
      </c>
      <c r="D133">
        <v>10200</v>
      </c>
      <c r="E133">
        <v>10205</v>
      </c>
      <c r="F133">
        <v>10200</v>
      </c>
      <c r="G133">
        <v>10200</v>
      </c>
      <c r="H133">
        <v>10600</v>
      </c>
    </row>
    <row r="134" spans="2:8">
      <c r="B134" t="s">
        <v>587</v>
      </c>
      <c r="C134" t="s">
        <v>297</v>
      </c>
      <c r="D134">
        <v>10200</v>
      </c>
      <c r="E134">
        <v>10210</v>
      </c>
      <c r="F134">
        <v>10200</v>
      </c>
      <c r="G134">
        <v>10210</v>
      </c>
      <c r="H134">
        <v>18800</v>
      </c>
    </row>
    <row r="135" spans="2:8">
      <c r="B135" t="s">
        <v>587</v>
      </c>
      <c r="C135" t="s">
        <v>298</v>
      </c>
      <c r="D135">
        <v>10210</v>
      </c>
      <c r="E135">
        <v>10230</v>
      </c>
      <c r="F135">
        <v>10210</v>
      </c>
      <c r="G135">
        <v>10225</v>
      </c>
      <c r="H135">
        <v>39100</v>
      </c>
    </row>
    <row r="136" spans="2:8">
      <c r="B136" t="s">
        <v>587</v>
      </c>
      <c r="C136" t="s">
        <v>299</v>
      </c>
      <c r="D136">
        <v>10225</v>
      </c>
      <c r="E136">
        <v>10230</v>
      </c>
      <c r="F136">
        <v>10220</v>
      </c>
      <c r="G136">
        <v>10230</v>
      </c>
      <c r="H136">
        <v>9100</v>
      </c>
    </row>
    <row r="137" spans="2:8">
      <c r="B137" t="s">
        <v>587</v>
      </c>
      <c r="C137" t="s">
        <v>300</v>
      </c>
      <c r="D137">
        <v>10230</v>
      </c>
      <c r="E137">
        <v>10230</v>
      </c>
      <c r="F137">
        <v>10225</v>
      </c>
      <c r="G137">
        <v>10230</v>
      </c>
      <c r="H137">
        <v>11700</v>
      </c>
    </row>
    <row r="138" spans="2:8">
      <c r="B138" t="s">
        <v>587</v>
      </c>
      <c r="C138" t="s">
        <v>301</v>
      </c>
      <c r="D138">
        <v>10230</v>
      </c>
      <c r="E138">
        <v>10235</v>
      </c>
      <c r="F138">
        <v>10225</v>
      </c>
      <c r="G138">
        <v>10230</v>
      </c>
      <c r="H138">
        <v>12000</v>
      </c>
    </row>
    <row r="139" spans="2:8">
      <c r="B139" t="s">
        <v>587</v>
      </c>
      <c r="C139" t="s">
        <v>302</v>
      </c>
      <c r="D139">
        <v>10230</v>
      </c>
      <c r="E139">
        <v>10240</v>
      </c>
      <c r="F139">
        <v>10230</v>
      </c>
      <c r="G139">
        <v>10235</v>
      </c>
      <c r="H139">
        <v>11400</v>
      </c>
    </row>
    <row r="140" spans="2:8">
      <c r="B140" t="s">
        <v>587</v>
      </c>
      <c r="C140" t="s">
        <v>303</v>
      </c>
      <c r="D140">
        <v>10240</v>
      </c>
      <c r="E140">
        <v>10240</v>
      </c>
      <c r="F140">
        <v>10215</v>
      </c>
      <c r="G140">
        <v>10230</v>
      </c>
      <c r="H140">
        <v>37400</v>
      </c>
    </row>
    <row r="141" spans="2:8">
      <c r="B141" t="s">
        <v>587</v>
      </c>
      <c r="C141" t="s">
        <v>304</v>
      </c>
      <c r="D141">
        <v>10235</v>
      </c>
      <c r="E141">
        <v>10265</v>
      </c>
      <c r="F141">
        <v>10230</v>
      </c>
      <c r="G141">
        <v>10265</v>
      </c>
      <c r="H141">
        <v>78900</v>
      </c>
    </row>
    <row r="142" spans="2:8">
      <c r="B142" t="s">
        <v>587</v>
      </c>
      <c r="C142" t="s">
        <v>305</v>
      </c>
      <c r="D142">
        <v>10265</v>
      </c>
      <c r="E142">
        <v>10270</v>
      </c>
      <c r="F142">
        <v>10255</v>
      </c>
      <c r="G142">
        <v>10260</v>
      </c>
      <c r="H142">
        <v>41300</v>
      </c>
    </row>
    <row r="143" spans="2:8">
      <c r="B143" t="s">
        <v>587</v>
      </c>
      <c r="C143" t="s">
        <v>306</v>
      </c>
      <c r="D143">
        <v>10255</v>
      </c>
      <c r="E143">
        <v>10255</v>
      </c>
      <c r="F143">
        <v>10245</v>
      </c>
      <c r="G143">
        <v>10250</v>
      </c>
      <c r="H143">
        <v>18900</v>
      </c>
    </row>
    <row r="144" spans="2:8">
      <c r="B144" t="s">
        <v>587</v>
      </c>
      <c r="C144" t="s">
        <v>307</v>
      </c>
      <c r="D144">
        <v>10250</v>
      </c>
      <c r="E144">
        <v>10250</v>
      </c>
      <c r="F144">
        <v>10235</v>
      </c>
      <c r="G144">
        <v>10245</v>
      </c>
      <c r="H144">
        <v>22200</v>
      </c>
    </row>
    <row r="145" spans="2:8">
      <c r="B145" t="s">
        <v>587</v>
      </c>
      <c r="C145" t="s">
        <v>308</v>
      </c>
      <c r="D145">
        <v>10245</v>
      </c>
      <c r="E145">
        <v>10250</v>
      </c>
      <c r="F145">
        <v>10230</v>
      </c>
      <c r="G145">
        <v>10240</v>
      </c>
      <c r="H145">
        <v>26800</v>
      </c>
    </row>
    <row r="146" spans="2:8">
      <c r="B146" t="s">
        <v>587</v>
      </c>
      <c r="C146" t="s">
        <v>309</v>
      </c>
      <c r="D146">
        <v>10235</v>
      </c>
      <c r="E146">
        <v>10245</v>
      </c>
      <c r="F146">
        <v>10230</v>
      </c>
      <c r="G146">
        <v>10240</v>
      </c>
      <c r="H146">
        <v>18900</v>
      </c>
    </row>
    <row r="147" spans="2:8">
      <c r="B147" t="s">
        <v>587</v>
      </c>
      <c r="C147" t="s">
        <v>310</v>
      </c>
      <c r="D147">
        <v>10245</v>
      </c>
      <c r="E147">
        <v>10255</v>
      </c>
      <c r="F147">
        <v>10240</v>
      </c>
      <c r="G147">
        <v>10255</v>
      </c>
      <c r="H147">
        <v>18600</v>
      </c>
    </row>
    <row r="148" spans="2:8">
      <c r="B148" t="s">
        <v>587</v>
      </c>
      <c r="C148" t="s">
        <v>311</v>
      </c>
      <c r="D148">
        <v>10255</v>
      </c>
      <c r="E148">
        <v>10260</v>
      </c>
      <c r="F148">
        <v>10245</v>
      </c>
      <c r="G148">
        <v>10260</v>
      </c>
      <c r="H148">
        <v>7900</v>
      </c>
    </row>
    <row r="149" spans="2:8">
      <c r="B149" t="s">
        <v>587</v>
      </c>
      <c r="C149" t="s">
        <v>312</v>
      </c>
      <c r="D149">
        <v>10255</v>
      </c>
      <c r="E149">
        <v>10260</v>
      </c>
      <c r="F149">
        <v>10250</v>
      </c>
      <c r="G149">
        <v>10255</v>
      </c>
      <c r="H149">
        <v>25900</v>
      </c>
    </row>
    <row r="150" spans="2:8">
      <c r="B150" t="s">
        <v>587</v>
      </c>
      <c r="C150" t="s">
        <v>313</v>
      </c>
      <c r="D150">
        <v>10255</v>
      </c>
      <c r="E150">
        <v>10265</v>
      </c>
      <c r="F150">
        <v>10255</v>
      </c>
      <c r="G150">
        <v>10260</v>
      </c>
      <c r="H150">
        <v>10200</v>
      </c>
    </row>
    <row r="151" spans="2:8">
      <c r="B151" t="s">
        <v>587</v>
      </c>
      <c r="C151" t="s">
        <v>314</v>
      </c>
      <c r="D151">
        <v>10260</v>
      </c>
      <c r="E151">
        <v>10265</v>
      </c>
      <c r="F151">
        <v>10235</v>
      </c>
      <c r="G151">
        <v>10240</v>
      </c>
      <c r="H151">
        <v>32700</v>
      </c>
    </row>
    <row r="152" spans="2:8">
      <c r="B152" t="s">
        <v>587</v>
      </c>
      <c r="C152" t="s">
        <v>315</v>
      </c>
      <c r="D152">
        <v>10240</v>
      </c>
      <c r="E152">
        <v>10255</v>
      </c>
      <c r="F152">
        <v>10235</v>
      </c>
      <c r="G152">
        <v>10250</v>
      </c>
      <c r="H152">
        <v>17300</v>
      </c>
    </row>
    <row r="153" spans="2:8">
      <c r="B153" t="s">
        <v>587</v>
      </c>
      <c r="C153" t="s">
        <v>316</v>
      </c>
      <c r="D153">
        <v>10255</v>
      </c>
      <c r="E153">
        <v>10255</v>
      </c>
      <c r="F153">
        <v>10255</v>
      </c>
      <c r="G153">
        <v>10255</v>
      </c>
      <c r="H153">
        <v>9600</v>
      </c>
    </row>
    <row r="154" spans="2:8">
      <c r="B154" t="s">
        <v>587</v>
      </c>
      <c r="C154" t="s">
        <v>317</v>
      </c>
      <c r="D154">
        <v>10285</v>
      </c>
      <c r="E154">
        <v>10335</v>
      </c>
      <c r="F154">
        <v>10280</v>
      </c>
      <c r="G154">
        <v>10330</v>
      </c>
      <c r="H154">
        <v>299000</v>
      </c>
    </row>
    <row r="155" spans="2:8">
      <c r="B155" t="s">
        <v>587</v>
      </c>
      <c r="C155" t="s">
        <v>318</v>
      </c>
      <c r="D155">
        <v>10335</v>
      </c>
      <c r="E155">
        <v>10340</v>
      </c>
      <c r="F155">
        <v>10300</v>
      </c>
      <c r="G155">
        <v>10305</v>
      </c>
      <c r="H155">
        <v>81500</v>
      </c>
    </row>
    <row r="156" spans="2:8">
      <c r="B156" t="s">
        <v>587</v>
      </c>
      <c r="C156" t="s">
        <v>319</v>
      </c>
      <c r="D156">
        <v>10300</v>
      </c>
      <c r="E156">
        <v>10320</v>
      </c>
      <c r="F156">
        <v>10290</v>
      </c>
      <c r="G156">
        <v>10315</v>
      </c>
      <c r="H156">
        <v>52000</v>
      </c>
    </row>
    <row r="157" spans="2:8">
      <c r="B157" t="s">
        <v>587</v>
      </c>
      <c r="C157" t="s">
        <v>320</v>
      </c>
      <c r="D157">
        <v>10310</v>
      </c>
      <c r="E157">
        <v>10340</v>
      </c>
      <c r="F157">
        <v>10305</v>
      </c>
      <c r="G157">
        <v>10340</v>
      </c>
      <c r="H157">
        <v>97700</v>
      </c>
    </row>
    <row r="158" spans="2:8">
      <c r="B158" t="s">
        <v>587</v>
      </c>
      <c r="C158" t="s">
        <v>321</v>
      </c>
      <c r="D158">
        <v>10340</v>
      </c>
      <c r="E158">
        <v>10345</v>
      </c>
      <c r="F158">
        <v>10335</v>
      </c>
      <c r="G158">
        <v>10345</v>
      </c>
      <c r="H158">
        <v>32100</v>
      </c>
    </row>
    <row r="159" spans="2:8">
      <c r="B159" t="s">
        <v>587</v>
      </c>
      <c r="C159" t="s">
        <v>322</v>
      </c>
      <c r="D159">
        <v>10340</v>
      </c>
      <c r="E159">
        <v>10375</v>
      </c>
      <c r="F159">
        <v>10325</v>
      </c>
      <c r="G159">
        <v>10325</v>
      </c>
      <c r="H159">
        <v>156200</v>
      </c>
    </row>
    <row r="160" spans="2:8">
      <c r="B160" t="s">
        <v>587</v>
      </c>
      <c r="C160" t="s">
        <v>323</v>
      </c>
      <c r="D160">
        <v>10330</v>
      </c>
      <c r="E160">
        <v>10335</v>
      </c>
      <c r="F160">
        <v>10310</v>
      </c>
      <c r="G160">
        <v>10310</v>
      </c>
      <c r="H160">
        <v>43700</v>
      </c>
    </row>
    <row r="161" spans="2:8">
      <c r="B161" t="s">
        <v>587</v>
      </c>
      <c r="C161" t="s">
        <v>324</v>
      </c>
      <c r="D161">
        <v>10315</v>
      </c>
      <c r="E161">
        <v>10315</v>
      </c>
      <c r="F161">
        <v>10300</v>
      </c>
      <c r="G161">
        <v>10310</v>
      </c>
      <c r="H161">
        <v>32800</v>
      </c>
    </row>
    <row r="162" spans="2:8">
      <c r="B162" t="s">
        <v>587</v>
      </c>
      <c r="C162" t="s">
        <v>325</v>
      </c>
      <c r="D162">
        <v>10305</v>
      </c>
      <c r="E162">
        <v>10315</v>
      </c>
      <c r="F162">
        <v>10290</v>
      </c>
      <c r="G162">
        <v>10305</v>
      </c>
      <c r="H162">
        <v>55300</v>
      </c>
    </row>
    <row r="163" spans="2:8">
      <c r="B163" t="s">
        <v>587</v>
      </c>
      <c r="C163" t="s">
        <v>326</v>
      </c>
      <c r="D163">
        <v>10305</v>
      </c>
      <c r="E163">
        <v>10310</v>
      </c>
      <c r="F163">
        <v>10300</v>
      </c>
      <c r="G163">
        <v>10305</v>
      </c>
      <c r="H163">
        <v>11200</v>
      </c>
    </row>
    <row r="164" spans="2:8">
      <c r="B164" t="s">
        <v>587</v>
      </c>
      <c r="C164" t="s">
        <v>327</v>
      </c>
      <c r="D164">
        <v>10305</v>
      </c>
      <c r="E164">
        <v>10325</v>
      </c>
      <c r="F164">
        <v>10305</v>
      </c>
      <c r="G164">
        <v>10325</v>
      </c>
      <c r="H164">
        <v>58500</v>
      </c>
    </row>
    <row r="165" spans="2:8">
      <c r="B165" t="s">
        <v>587</v>
      </c>
      <c r="C165" t="s">
        <v>328</v>
      </c>
      <c r="D165">
        <v>10325</v>
      </c>
      <c r="E165">
        <v>10325</v>
      </c>
      <c r="F165">
        <v>10315</v>
      </c>
      <c r="G165">
        <v>10320</v>
      </c>
      <c r="H165">
        <v>14800</v>
      </c>
    </row>
    <row r="166" spans="2:8">
      <c r="B166" t="s">
        <v>587</v>
      </c>
      <c r="C166" t="s">
        <v>329</v>
      </c>
      <c r="D166">
        <v>10325</v>
      </c>
      <c r="E166">
        <v>10330</v>
      </c>
      <c r="F166">
        <v>10315</v>
      </c>
      <c r="G166">
        <v>10325</v>
      </c>
      <c r="H166">
        <v>60600</v>
      </c>
    </row>
    <row r="167" spans="2:8">
      <c r="B167" t="s">
        <v>587</v>
      </c>
      <c r="C167" t="s">
        <v>330</v>
      </c>
      <c r="D167">
        <v>10325</v>
      </c>
      <c r="E167">
        <v>10330</v>
      </c>
      <c r="F167">
        <v>10325</v>
      </c>
      <c r="G167">
        <v>10325</v>
      </c>
      <c r="H167">
        <v>31000</v>
      </c>
    </row>
    <row r="168" spans="2:8">
      <c r="B168" t="s">
        <v>587</v>
      </c>
      <c r="C168" t="s">
        <v>331</v>
      </c>
      <c r="D168">
        <v>10325</v>
      </c>
      <c r="E168">
        <v>10340</v>
      </c>
      <c r="F168">
        <v>10325</v>
      </c>
      <c r="G168">
        <v>10330</v>
      </c>
      <c r="H168">
        <v>35400</v>
      </c>
    </row>
    <row r="169" spans="2:8">
      <c r="B169" t="s">
        <v>587</v>
      </c>
      <c r="C169" t="s">
        <v>332</v>
      </c>
      <c r="D169">
        <v>10325</v>
      </c>
      <c r="E169">
        <v>10335</v>
      </c>
      <c r="F169">
        <v>10315</v>
      </c>
      <c r="G169">
        <v>10320</v>
      </c>
      <c r="H169">
        <v>57900</v>
      </c>
    </row>
    <row r="170" spans="2:8">
      <c r="B170" t="s">
        <v>587</v>
      </c>
      <c r="C170" t="s">
        <v>333</v>
      </c>
      <c r="D170">
        <v>10320</v>
      </c>
      <c r="E170">
        <v>10325</v>
      </c>
      <c r="F170">
        <v>10315</v>
      </c>
      <c r="G170">
        <v>10325</v>
      </c>
      <c r="H170">
        <v>15400</v>
      </c>
    </row>
    <row r="171" spans="2:8">
      <c r="B171" t="s">
        <v>587</v>
      </c>
      <c r="C171" t="s">
        <v>334</v>
      </c>
      <c r="D171">
        <v>10320</v>
      </c>
      <c r="E171">
        <v>10330</v>
      </c>
      <c r="F171">
        <v>10315</v>
      </c>
      <c r="G171">
        <v>10325</v>
      </c>
      <c r="H171">
        <v>31500</v>
      </c>
    </row>
    <row r="172" spans="2:8">
      <c r="B172" t="s">
        <v>587</v>
      </c>
      <c r="C172" t="s">
        <v>335</v>
      </c>
      <c r="D172">
        <v>10325</v>
      </c>
      <c r="E172">
        <v>10330</v>
      </c>
      <c r="F172">
        <v>10315</v>
      </c>
      <c r="G172">
        <v>10315</v>
      </c>
      <c r="H172">
        <v>14800</v>
      </c>
    </row>
    <row r="173" spans="2:8">
      <c r="B173" t="s">
        <v>587</v>
      </c>
      <c r="C173" t="s">
        <v>336</v>
      </c>
      <c r="D173">
        <v>10315</v>
      </c>
      <c r="E173">
        <v>10325</v>
      </c>
      <c r="F173">
        <v>10315</v>
      </c>
      <c r="G173">
        <v>10320</v>
      </c>
      <c r="H173">
        <v>11700</v>
      </c>
    </row>
    <row r="174" spans="2:8">
      <c r="B174" t="s">
        <v>587</v>
      </c>
      <c r="C174" t="s">
        <v>337</v>
      </c>
      <c r="D174">
        <v>10320</v>
      </c>
      <c r="E174">
        <v>10325</v>
      </c>
      <c r="F174">
        <v>10285</v>
      </c>
      <c r="G174">
        <v>10300</v>
      </c>
      <c r="H174">
        <v>114800</v>
      </c>
    </row>
    <row r="175" spans="2:8">
      <c r="B175" t="s">
        <v>587</v>
      </c>
      <c r="C175" t="s">
        <v>338</v>
      </c>
      <c r="D175">
        <v>10300</v>
      </c>
      <c r="E175">
        <v>10305</v>
      </c>
      <c r="F175">
        <v>10300</v>
      </c>
      <c r="G175">
        <v>10300</v>
      </c>
      <c r="H175">
        <v>8900</v>
      </c>
    </row>
    <row r="176" spans="2:8">
      <c r="B176" t="s">
        <v>587</v>
      </c>
      <c r="C176" t="s">
        <v>339</v>
      </c>
      <c r="D176">
        <v>10300</v>
      </c>
      <c r="E176">
        <v>10330</v>
      </c>
      <c r="F176">
        <v>10300</v>
      </c>
      <c r="G176">
        <v>10320</v>
      </c>
      <c r="H176">
        <v>55300</v>
      </c>
    </row>
    <row r="177" spans="2:8">
      <c r="B177" t="s">
        <v>587</v>
      </c>
      <c r="C177" t="s">
        <v>340</v>
      </c>
      <c r="D177">
        <v>10325</v>
      </c>
      <c r="E177">
        <v>10330</v>
      </c>
      <c r="F177">
        <v>10320</v>
      </c>
      <c r="G177">
        <v>10325</v>
      </c>
      <c r="H177">
        <v>11000</v>
      </c>
    </row>
    <row r="178" spans="2:8">
      <c r="B178" t="s">
        <v>587</v>
      </c>
      <c r="C178" t="s">
        <v>341</v>
      </c>
      <c r="D178">
        <v>10325</v>
      </c>
      <c r="E178">
        <v>10325</v>
      </c>
      <c r="F178">
        <v>10310</v>
      </c>
      <c r="G178">
        <v>10320</v>
      </c>
      <c r="H178">
        <v>17000</v>
      </c>
    </row>
    <row r="179" spans="2:8">
      <c r="B179" t="s">
        <v>587</v>
      </c>
      <c r="C179" t="s">
        <v>342</v>
      </c>
      <c r="D179">
        <v>10320</v>
      </c>
      <c r="E179">
        <v>10320</v>
      </c>
      <c r="F179">
        <v>10310</v>
      </c>
      <c r="G179">
        <v>10320</v>
      </c>
      <c r="H179">
        <v>11400</v>
      </c>
    </row>
    <row r="180" spans="2:8">
      <c r="B180" t="s">
        <v>587</v>
      </c>
      <c r="C180" t="s">
        <v>343</v>
      </c>
      <c r="D180">
        <v>10315</v>
      </c>
      <c r="E180">
        <v>10320</v>
      </c>
      <c r="F180">
        <v>10290</v>
      </c>
      <c r="G180">
        <v>10295</v>
      </c>
      <c r="H180">
        <v>60400</v>
      </c>
    </row>
    <row r="181" spans="2:8">
      <c r="B181" t="s">
        <v>587</v>
      </c>
      <c r="C181" t="s">
        <v>344</v>
      </c>
      <c r="D181">
        <v>10295</v>
      </c>
      <c r="E181">
        <v>10310</v>
      </c>
      <c r="F181">
        <v>10290</v>
      </c>
      <c r="G181">
        <v>10310</v>
      </c>
      <c r="H181">
        <v>20200</v>
      </c>
    </row>
    <row r="182" spans="2:8">
      <c r="B182" t="s">
        <v>587</v>
      </c>
      <c r="C182" t="s">
        <v>345</v>
      </c>
      <c r="D182">
        <v>10310</v>
      </c>
      <c r="E182">
        <v>10310</v>
      </c>
      <c r="F182">
        <v>10300</v>
      </c>
      <c r="G182">
        <v>10305</v>
      </c>
      <c r="H182">
        <v>21200</v>
      </c>
    </row>
    <row r="183" spans="2:8">
      <c r="B183" t="s">
        <v>587</v>
      </c>
      <c r="C183" t="s">
        <v>346</v>
      </c>
      <c r="D183">
        <v>10310</v>
      </c>
      <c r="E183">
        <v>10310</v>
      </c>
      <c r="F183">
        <v>10300</v>
      </c>
      <c r="G183">
        <v>10300</v>
      </c>
      <c r="H183">
        <v>12700</v>
      </c>
    </row>
    <row r="184" spans="2:8">
      <c r="B184" t="s">
        <v>587</v>
      </c>
      <c r="C184" t="s">
        <v>347</v>
      </c>
      <c r="D184">
        <v>10305</v>
      </c>
      <c r="E184">
        <v>10310</v>
      </c>
      <c r="F184">
        <v>10300</v>
      </c>
      <c r="G184">
        <v>10305</v>
      </c>
      <c r="H184">
        <v>16700</v>
      </c>
    </row>
    <row r="185" spans="2:8">
      <c r="B185" t="s">
        <v>587</v>
      </c>
      <c r="C185" t="s">
        <v>348</v>
      </c>
      <c r="D185">
        <v>10300</v>
      </c>
      <c r="E185">
        <v>10335</v>
      </c>
      <c r="F185">
        <v>10300</v>
      </c>
      <c r="G185">
        <v>10320</v>
      </c>
      <c r="H185">
        <v>80000</v>
      </c>
    </row>
    <row r="186" spans="2:8">
      <c r="B186" t="s">
        <v>587</v>
      </c>
      <c r="C186" t="s">
        <v>349</v>
      </c>
      <c r="D186">
        <v>10320</v>
      </c>
      <c r="E186">
        <v>10325</v>
      </c>
      <c r="F186">
        <v>10315</v>
      </c>
      <c r="G186">
        <v>10320</v>
      </c>
      <c r="H186">
        <v>6000</v>
      </c>
    </row>
    <row r="187" spans="2:8">
      <c r="B187" t="s">
        <v>587</v>
      </c>
      <c r="C187" t="s">
        <v>350</v>
      </c>
      <c r="D187">
        <v>10325</v>
      </c>
      <c r="E187">
        <v>10325</v>
      </c>
      <c r="F187">
        <v>10320</v>
      </c>
      <c r="G187">
        <v>10320</v>
      </c>
      <c r="H187">
        <v>10500</v>
      </c>
    </row>
    <row r="188" spans="2:8">
      <c r="B188" t="s">
        <v>587</v>
      </c>
      <c r="C188" t="s">
        <v>351</v>
      </c>
      <c r="D188">
        <v>10320</v>
      </c>
      <c r="E188">
        <v>10320</v>
      </c>
      <c r="F188">
        <v>10315</v>
      </c>
      <c r="G188">
        <v>10315</v>
      </c>
      <c r="H188">
        <v>10200</v>
      </c>
    </row>
    <row r="189" spans="2:8">
      <c r="B189" t="s">
        <v>587</v>
      </c>
      <c r="C189" t="s">
        <v>352</v>
      </c>
      <c r="D189">
        <v>10315</v>
      </c>
      <c r="E189">
        <v>10315</v>
      </c>
      <c r="F189">
        <v>10310</v>
      </c>
      <c r="G189">
        <v>10310</v>
      </c>
      <c r="H189">
        <v>11000</v>
      </c>
    </row>
    <row r="190" spans="2:8">
      <c r="B190" t="s">
        <v>587</v>
      </c>
      <c r="C190" t="s">
        <v>353</v>
      </c>
      <c r="D190">
        <v>10310</v>
      </c>
      <c r="E190">
        <v>10310</v>
      </c>
      <c r="F190">
        <v>10295</v>
      </c>
      <c r="G190">
        <v>10305</v>
      </c>
      <c r="H190">
        <v>34300</v>
      </c>
    </row>
    <row r="191" spans="2:8">
      <c r="B191" t="s">
        <v>587</v>
      </c>
      <c r="C191" t="s">
        <v>354</v>
      </c>
      <c r="D191">
        <v>10305</v>
      </c>
      <c r="E191">
        <v>10315</v>
      </c>
      <c r="F191">
        <v>10305</v>
      </c>
      <c r="G191">
        <v>10315</v>
      </c>
      <c r="H191">
        <v>8200</v>
      </c>
    </row>
    <row r="192" spans="2:8">
      <c r="B192" t="s">
        <v>587</v>
      </c>
      <c r="C192" t="s">
        <v>355</v>
      </c>
      <c r="D192">
        <v>10315</v>
      </c>
      <c r="E192">
        <v>10315</v>
      </c>
      <c r="F192">
        <v>10305</v>
      </c>
      <c r="G192">
        <v>10310</v>
      </c>
      <c r="H192">
        <v>6200</v>
      </c>
    </row>
    <row r="193" spans="2:8">
      <c r="B193" t="s">
        <v>587</v>
      </c>
      <c r="C193" t="s">
        <v>356</v>
      </c>
      <c r="D193">
        <v>10305</v>
      </c>
      <c r="E193">
        <v>10310</v>
      </c>
      <c r="F193">
        <v>10305</v>
      </c>
      <c r="G193">
        <v>10305</v>
      </c>
      <c r="H193">
        <v>2500</v>
      </c>
    </row>
    <row r="194" spans="2:8">
      <c r="B194" t="s">
        <v>587</v>
      </c>
      <c r="C194" t="s">
        <v>357</v>
      </c>
      <c r="D194">
        <v>10305</v>
      </c>
      <c r="E194">
        <v>10315</v>
      </c>
      <c r="F194">
        <v>10285</v>
      </c>
      <c r="G194">
        <v>10305</v>
      </c>
      <c r="H194">
        <v>72400</v>
      </c>
    </row>
    <row r="195" spans="2:8">
      <c r="B195" t="s">
        <v>587</v>
      </c>
      <c r="C195" t="s">
        <v>358</v>
      </c>
      <c r="D195">
        <v>10310</v>
      </c>
      <c r="E195">
        <v>10310</v>
      </c>
      <c r="F195">
        <v>10305</v>
      </c>
      <c r="G195">
        <v>10310</v>
      </c>
      <c r="H195">
        <v>2400</v>
      </c>
    </row>
    <row r="196" spans="2:8">
      <c r="B196" t="s">
        <v>587</v>
      </c>
      <c r="C196" t="s">
        <v>359</v>
      </c>
      <c r="D196">
        <v>10305</v>
      </c>
      <c r="E196">
        <v>10315</v>
      </c>
      <c r="F196">
        <v>10300</v>
      </c>
      <c r="G196">
        <v>10310</v>
      </c>
      <c r="H196">
        <v>17700</v>
      </c>
    </row>
    <row r="197" spans="2:8">
      <c r="B197" t="s">
        <v>587</v>
      </c>
      <c r="C197" t="s">
        <v>360</v>
      </c>
      <c r="D197">
        <v>10315</v>
      </c>
      <c r="E197">
        <v>10320</v>
      </c>
      <c r="F197">
        <v>10310</v>
      </c>
      <c r="G197">
        <v>10315</v>
      </c>
      <c r="H197">
        <v>14700</v>
      </c>
    </row>
    <row r="198" spans="2:8">
      <c r="B198" t="s">
        <v>587</v>
      </c>
      <c r="C198" t="s">
        <v>361</v>
      </c>
      <c r="D198">
        <v>10315</v>
      </c>
      <c r="E198">
        <v>10320</v>
      </c>
      <c r="F198">
        <v>10315</v>
      </c>
      <c r="G198">
        <v>10320</v>
      </c>
      <c r="H198">
        <v>8700</v>
      </c>
    </row>
    <row r="199" spans="2:8">
      <c r="B199" t="s">
        <v>587</v>
      </c>
      <c r="C199" t="s">
        <v>362</v>
      </c>
      <c r="D199">
        <v>10320</v>
      </c>
      <c r="E199">
        <v>10325</v>
      </c>
      <c r="F199">
        <v>10315</v>
      </c>
      <c r="G199">
        <v>10320</v>
      </c>
      <c r="H199">
        <v>14700</v>
      </c>
    </row>
    <row r="200" spans="2:8">
      <c r="B200" t="s">
        <v>587</v>
      </c>
      <c r="C200" t="s">
        <v>363</v>
      </c>
      <c r="D200">
        <v>10325</v>
      </c>
      <c r="E200">
        <v>10330</v>
      </c>
      <c r="F200">
        <v>10325</v>
      </c>
      <c r="G200">
        <v>10330</v>
      </c>
      <c r="H200">
        <v>17800</v>
      </c>
    </row>
    <row r="201" spans="2:8">
      <c r="B201" t="s">
        <v>587</v>
      </c>
      <c r="C201" t="s">
        <v>364</v>
      </c>
      <c r="D201">
        <v>10330</v>
      </c>
      <c r="E201">
        <v>10335</v>
      </c>
      <c r="F201">
        <v>10325</v>
      </c>
      <c r="G201">
        <v>10335</v>
      </c>
      <c r="H201">
        <v>17700</v>
      </c>
    </row>
    <row r="202" spans="2:8">
      <c r="B202" t="s">
        <v>587</v>
      </c>
      <c r="C202" t="s">
        <v>365</v>
      </c>
      <c r="D202">
        <v>10335</v>
      </c>
      <c r="E202">
        <v>10335</v>
      </c>
      <c r="F202">
        <v>10330</v>
      </c>
      <c r="G202">
        <v>10330</v>
      </c>
      <c r="H202">
        <v>16100</v>
      </c>
    </row>
    <row r="203" spans="2:8">
      <c r="B203" t="s">
        <v>587</v>
      </c>
      <c r="C203" t="s">
        <v>366</v>
      </c>
      <c r="D203">
        <v>10330</v>
      </c>
      <c r="E203">
        <v>10340</v>
      </c>
      <c r="F203">
        <v>10330</v>
      </c>
      <c r="G203">
        <v>10340</v>
      </c>
      <c r="H203">
        <v>10900</v>
      </c>
    </row>
    <row r="204" spans="2:8">
      <c r="B204" t="s">
        <v>587</v>
      </c>
      <c r="C204" t="s">
        <v>367</v>
      </c>
      <c r="D204">
        <v>10340</v>
      </c>
      <c r="E204">
        <v>10340</v>
      </c>
      <c r="F204">
        <v>10325</v>
      </c>
      <c r="G204">
        <v>10330</v>
      </c>
      <c r="H204">
        <v>55800</v>
      </c>
    </row>
    <row r="205" spans="2:8">
      <c r="B205" t="s">
        <v>587</v>
      </c>
      <c r="C205" t="s">
        <v>368</v>
      </c>
      <c r="D205">
        <v>10330</v>
      </c>
      <c r="E205">
        <v>10350</v>
      </c>
      <c r="F205">
        <v>10330</v>
      </c>
      <c r="G205">
        <v>10350</v>
      </c>
      <c r="H205">
        <v>67400</v>
      </c>
    </row>
    <row r="206" spans="2:8">
      <c r="B206" t="s">
        <v>587</v>
      </c>
      <c r="C206" t="s">
        <v>369</v>
      </c>
      <c r="D206">
        <v>10350</v>
      </c>
      <c r="E206">
        <v>10355</v>
      </c>
      <c r="F206">
        <v>10345</v>
      </c>
      <c r="G206">
        <v>10355</v>
      </c>
      <c r="H206">
        <v>36700</v>
      </c>
    </row>
    <row r="207" spans="2:8">
      <c r="B207" t="s">
        <v>587</v>
      </c>
      <c r="C207" t="s">
        <v>370</v>
      </c>
      <c r="D207">
        <v>10350</v>
      </c>
      <c r="E207">
        <v>10355</v>
      </c>
      <c r="F207">
        <v>10340</v>
      </c>
      <c r="G207">
        <v>10340</v>
      </c>
      <c r="H207">
        <v>18400</v>
      </c>
    </row>
    <row r="208" spans="2:8">
      <c r="B208" t="s">
        <v>587</v>
      </c>
      <c r="C208" t="s">
        <v>371</v>
      </c>
      <c r="D208">
        <v>10345</v>
      </c>
      <c r="E208">
        <v>10360</v>
      </c>
      <c r="F208">
        <v>10345</v>
      </c>
      <c r="G208">
        <v>10360</v>
      </c>
      <c r="H208">
        <v>39300</v>
      </c>
    </row>
    <row r="209" spans="2:8">
      <c r="B209" t="s">
        <v>587</v>
      </c>
      <c r="C209" t="s">
        <v>372</v>
      </c>
      <c r="D209">
        <v>10360</v>
      </c>
      <c r="E209">
        <v>10360</v>
      </c>
      <c r="F209">
        <v>10345</v>
      </c>
      <c r="G209">
        <v>10350</v>
      </c>
      <c r="H209">
        <v>55300</v>
      </c>
    </row>
    <row r="210" spans="2:8">
      <c r="B210" t="s">
        <v>587</v>
      </c>
      <c r="C210" t="s">
        <v>373</v>
      </c>
      <c r="D210">
        <v>10350</v>
      </c>
      <c r="E210">
        <v>10355</v>
      </c>
      <c r="F210">
        <v>10345</v>
      </c>
      <c r="G210">
        <v>10350</v>
      </c>
      <c r="H210">
        <v>15800</v>
      </c>
    </row>
    <row r="211" spans="2:8">
      <c r="B211" t="s">
        <v>587</v>
      </c>
      <c r="C211" t="s">
        <v>374</v>
      </c>
      <c r="D211">
        <v>10350</v>
      </c>
      <c r="E211">
        <v>10360</v>
      </c>
      <c r="F211">
        <v>10340</v>
      </c>
      <c r="G211">
        <v>10350</v>
      </c>
      <c r="H211">
        <v>46300</v>
      </c>
    </row>
    <row r="212" spans="2:8">
      <c r="B212" t="s">
        <v>587</v>
      </c>
      <c r="C212" t="s">
        <v>375</v>
      </c>
      <c r="D212">
        <v>10355</v>
      </c>
      <c r="E212">
        <v>10355</v>
      </c>
      <c r="F212">
        <v>10350</v>
      </c>
      <c r="G212">
        <v>10350</v>
      </c>
      <c r="H212">
        <v>6500</v>
      </c>
    </row>
    <row r="213" spans="2:8">
      <c r="B213" t="s">
        <v>587</v>
      </c>
      <c r="C213" t="s">
        <v>376</v>
      </c>
      <c r="D213">
        <v>10350</v>
      </c>
      <c r="E213">
        <v>10355</v>
      </c>
      <c r="F213">
        <v>10350</v>
      </c>
      <c r="G213">
        <v>10355</v>
      </c>
      <c r="H213">
        <v>4300</v>
      </c>
    </row>
    <row r="214" spans="2:8">
      <c r="B214" t="s">
        <v>587</v>
      </c>
      <c r="C214" t="s">
        <v>377</v>
      </c>
      <c r="D214">
        <v>10350</v>
      </c>
      <c r="E214">
        <v>10365</v>
      </c>
      <c r="F214">
        <v>10345</v>
      </c>
      <c r="G214">
        <v>10365</v>
      </c>
      <c r="H214">
        <v>58100</v>
      </c>
    </row>
    <row r="215" spans="2:8">
      <c r="B215" t="s">
        <v>587</v>
      </c>
      <c r="C215" t="s">
        <v>378</v>
      </c>
      <c r="D215">
        <v>10370</v>
      </c>
      <c r="E215">
        <v>10375</v>
      </c>
      <c r="F215">
        <v>10365</v>
      </c>
      <c r="G215">
        <v>10375</v>
      </c>
      <c r="H215">
        <v>29400</v>
      </c>
    </row>
    <row r="216" spans="2:8">
      <c r="B216" t="s">
        <v>587</v>
      </c>
      <c r="C216" t="s">
        <v>379</v>
      </c>
      <c r="D216">
        <v>10375</v>
      </c>
      <c r="E216">
        <v>10375</v>
      </c>
      <c r="F216">
        <v>10370</v>
      </c>
      <c r="G216">
        <v>10375</v>
      </c>
      <c r="H216">
        <v>25800</v>
      </c>
    </row>
    <row r="217" spans="2:8">
      <c r="B217" t="s">
        <v>587</v>
      </c>
      <c r="C217" t="s">
        <v>380</v>
      </c>
      <c r="D217">
        <v>10375</v>
      </c>
      <c r="E217">
        <v>10375</v>
      </c>
      <c r="F217">
        <v>10370</v>
      </c>
      <c r="G217">
        <v>10370</v>
      </c>
      <c r="H217">
        <v>12900</v>
      </c>
    </row>
    <row r="218" spans="2:8">
      <c r="B218" t="s">
        <v>587</v>
      </c>
      <c r="C218" t="s">
        <v>381</v>
      </c>
      <c r="D218">
        <v>10370</v>
      </c>
      <c r="E218">
        <v>10380</v>
      </c>
      <c r="F218">
        <v>10365</v>
      </c>
      <c r="G218">
        <v>10370</v>
      </c>
      <c r="H218">
        <v>53400</v>
      </c>
    </row>
    <row r="219" spans="2:8">
      <c r="B219" t="s">
        <v>587</v>
      </c>
      <c r="C219" t="s">
        <v>382</v>
      </c>
      <c r="D219">
        <v>10370</v>
      </c>
      <c r="E219">
        <v>10375</v>
      </c>
      <c r="F219">
        <v>10355</v>
      </c>
      <c r="G219">
        <v>10355</v>
      </c>
      <c r="H219">
        <v>49400</v>
      </c>
    </row>
    <row r="220" spans="2:8">
      <c r="B220" t="s">
        <v>587</v>
      </c>
      <c r="C220" t="s">
        <v>383</v>
      </c>
      <c r="D220">
        <v>10360</v>
      </c>
      <c r="E220">
        <v>10365</v>
      </c>
      <c r="F220">
        <v>10355</v>
      </c>
      <c r="G220">
        <v>10360</v>
      </c>
      <c r="H220">
        <v>17000</v>
      </c>
    </row>
    <row r="221" spans="2:8">
      <c r="B221" t="s">
        <v>587</v>
      </c>
      <c r="C221" t="s">
        <v>384</v>
      </c>
      <c r="D221">
        <v>10360</v>
      </c>
      <c r="E221">
        <v>10365</v>
      </c>
      <c r="F221">
        <v>10360</v>
      </c>
      <c r="G221">
        <v>10365</v>
      </c>
      <c r="H221">
        <v>12600</v>
      </c>
    </row>
    <row r="222" spans="2:8">
      <c r="B222" t="s">
        <v>587</v>
      </c>
      <c r="C222" t="s">
        <v>385</v>
      </c>
      <c r="D222">
        <v>10365</v>
      </c>
      <c r="E222">
        <v>10365</v>
      </c>
      <c r="F222">
        <v>10340</v>
      </c>
      <c r="G222">
        <v>10345</v>
      </c>
      <c r="H222">
        <v>70500</v>
      </c>
    </row>
    <row r="223" spans="2:8">
      <c r="B223" t="s">
        <v>587</v>
      </c>
      <c r="C223" t="s">
        <v>386</v>
      </c>
      <c r="D223">
        <v>10340</v>
      </c>
      <c r="E223">
        <v>10345</v>
      </c>
      <c r="F223">
        <v>10330</v>
      </c>
      <c r="G223">
        <v>10330</v>
      </c>
      <c r="H223">
        <v>28600</v>
      </c>
    </row>
    <row r="224" spans="2:8">
      <c r="B224" t="s">
        <v>587</v>
      </c>
      <c r="C224" t="s">
        <v>387</v>
      </c>
      <c r="D224">
        <v>10330</v>
      </c>
      <c r="E224">
        <v>10340</v>
      </c>
      <c r="F224">
        <v>10330</v>
      </c>
      <c r="G224">
        <v>10335</v>
      </c>
      <c r="H224">
        <v>11900</v>
      </c>
    </row>
    <row r="225" spans="2:8">
      <c r="B225" t="s">
        <v>587</v>
      </c>
      <c r="C225" t="s">
        <v>388</v>
      </c>
      <c r="D225">
        <v>10330</v>
      </c>
      <c r="E225">
        <v>10345</v>
      </c>
      <c r="F225">
        <v>10330</v>
      </c>
      <c r="G225">
        <v>10345</v>
      </c>
      <c r="H225">
        <v>12600</v>
      </c>
    </row>
    <row r="226" spans="2:8">
      <c r="B226" t="s">
        <v>587</v>
      </c>
      <c r="C226" t="s">
        <v>389</v>
      </c>
      <c r="D226">
        <v>10340</v>
      </c>
      <c r="E226">
        <v>10340</v>
      </c>
      <c r="F226">
        <v>10335</v>
      </c>
      <c r="G226">
        <v>10340</v>
      </c>
      <c r="H226">
        <v>12300</v>
      </c>
    </row>
    <row r="227" spans="2:8">
      <c r="B227" t="s">
        <v>587</v>
      </c>
      <c r="C227" t="s">
        <v>390</v>
      </c>
      <c r="D227">
        <v>10345</v>
      </c>
      <c r="E227">
        <v>10345</v>
      </c>
      <c r="F227">
        <v>10325</v>
      </c>
      <c r="G227">
        <v>10325</v>
      </c>
      <c r="H227">
        <v>38500</v>
      </c>
    </row>
    <row r="228" spans="2:8">
      <c r="B228" t="s">
        <v>587</v>
      </c>
      <c r="C228" t="s">
        <v>391</v>
      </c>
      <c r="D228">
        <v>10325</v>
      </c>
      <c r="E228">
        <v>10325</v>
      </c>
      <c r="F228">
        <v>10315</v>
      </c>
      <c r="G228">
        <v>10315</v>
      </c>
      <c r="H228">
        <v>21700</v>
      </c>
    </row>
    <row r="229" spans="2:8">
      <c r="B229" t="s">
        <v>587</v>
      </c>
      <c r="C229" t="s">
        <v>392</v>
      </c>
      <c r="D229">
        <v>10315</v>
      </c>
      <c r="E229">
        <v>10330</v>
      </c>
      <c r="F229">
        <v>10315</v>
      </c>
      <c r="G229">
        <v>10320</v>
      </c>
      <c r="H229">
        <v>15900</v>
      </c>
    </row>
    <row r="230" spans="2:8">
      <c r="B230" t="s">
        <v>587</v>
      </c>
      <c r="C230" t="s">
        <v>393</v>
      </c>
      <c r="D230">
        <v>10325</v>
      </c>
      <c r="E230">
        <v>10325</v>
      </c>
      <c r="F230">
        <v>10305</v>
      </c>
      <c r="G230">
        <v>10320</v>
      </c>
      <c r="H230">
        <v>46200</v>
      </c>
    </row>
    <row r="231" spans="2:8">
      <c r="B231" t="s">
        <v>587</v>
      </c>
      <c r="C231" t="s">
        <v>394</v>
      </c>
      <c r="D231">
        <v>10320</v>
      </c>
      <c r="E231">
        <v>10320</v>
      </c>
      <c r="F231">
        <v>10315</v>
      </c>
      <c r="G231">
        <v>10320</v>
      </c>
      <c r="H231">
        <v>18100</v>
      </c>
    </row>
    <row r="232" spans="2:8">
      <c r="B232" t="s">
        <v>587</v>
      </c>
      <c r="C232" t="s">
        <v>395</v>
      </c>
      <c r="D232">
        <v>10325</v>
      </c>
      <c r="E232">
        <v>10325</v>
      </c>
      <c r="F232">
        <v>10315</v>
      </c>
      <c r="G232">
        <v>10320</v>
      </c>
      <c r="H232">
        <v>15300</v>
      </c>
    </row>
    <row r="233" spans="2:8">
      <c r="B233" t="s">
        <v>587</v>
      </c>
      <c r="C233" t="s">
        <v>396</v>
      </c>
      <c r="D233">
        <v>10320</v>
      </c>
      <c r="E233">
        <v>10335</v>
      </c>
      <c r="F233">
        <v>10315</v>
      </c>
      <c r="G233">
        <v>10320</v>
      </c>
      <c r="H233">
        <v>22100</v>
      </c>
    </row>
    <row r="234" spans="2:8">
      <c r="B234" t="s">
        <v>587</v>
      </c>
      <c r="C234" t="s">
        <v>397</v>
      </c>
      <c r="D234">
        <v>10325</v>
      </c>
      <c r="E234">
        <v>10325</v>
      </c>
      <c r="F234">
        <v>10315</v>
      </c>
      <c r="G234">
        <v>10320</v>
      </c>
      <c r="H234">
        <v>12500</v>
      </c>
    </row>
    <row r="235" spans="2:8">
      <c r="B235" t="s">
        <v>587</v>
      </c>
      <c r="C235" t="s">
        <v>398</v>
      </c>
      <c r="D235">
        <v>10325</v>
      </c>
      <c r="E235">
        <v>10325</v>
      </c>
      <c r="F235">
        <v>10300</v>
      </c>
      <c r="G235">
        <v>10305</v>
      </c>
      <c r="H235">
        <v>67000</v>
      </c>
    </row>
    <row r="236" spans="2:8">
      <c r="B236" t="s">
        <v>587</v>
      </c>
      <c r="C236" t="s">
        <v>399</v>
      </c>
      <c r="D236">
        <v>10305</v>
      </c>
      <c r="E236">
        <v>10310</v>
      </c>
      <c r="F236">
        <v>10300</v>
      </c>
      <c r="G236">
        <v>10305</v>
      </c>
      <c r="H236">
        <v>18600</v>
      </c>
    </row>
    <row r="237" spans="2:8">
      <c r="B237" t="s">
        <v>587</v>
      </c>
      <c r="C237" t="s">
        <v>400</v>
      </c>
      <c r="D237">
        <v>10310</v>
      </c>
      <c r="E237">
        <v>10320</v>
      </c>
      <c r="F237">
        <v>10310</v>
      </c>
      <c r="G237">
        <v>10315</v>
      </c>
      <c r="H237">
        <v>16600</v>
      </c>
    </row>
    <row r="238" spans="2:8">
      <c r="B238" t="s">
        <v>587</v>
      </c>
      <c r="C238" t="s">
        <v>401</v>
      </c>
      <c r="D238">
        <v>10315</v>
      </c>
      <c r="E238">
        <v>10320</v>
      </c>
      <c r="F238">
        <v>10315</v>
      </c>
      <c r="G238">
        <v>10320</v>
      </c>
      <c r="H238">
        <v>11800</v>
      </c>
    </row>
    <row r="239" spans="2:8">
      <c r="B239" t="s">
        <v>587</v>
      </c>
      <c r="C239" t="s">
        <v>402</v>
      </c>
      <c r="D239">
        <v>10320</v>
      </c>
      <c r="E239">
        <v>10325</v>
      </c>
      <c r="F239">
        <v>10320</v>
      </c>
      <c r="G239">
        <v>10325</v>
      </c>
      <c r="H239">
        <v>7400</v>
      </c>
    </row>
    <row r="240" spans="2:8">
      <c r="B240" t="s">
        <v>587</v>
      </c>
      <c r="C240" t="s">
        <v>403</v>
      </c>
      <c r="D240">
        <v>10325</v>
      </c>
      <c r="E240">
        <v>10325</v>
      </c>
      <c r="F240">
        <v>10320</v>
      </c>
      <c r="G240">
        <v>10320</v>
      </c>
      <c r="H240">
        <v>7100</v>
      </c>
    </row>
    <row r="241" spans="2:8">
      <c r="B241" t="s">
        <v>587</v>
      </c>
      <c r="C241" t="s">
        <v>404</v>
      </c>
      <c r="D241">
        <v>10315</v>
      </c>
      <c r="E241">
        <v>10320</v>
      </c>
      <c r="F241">
        <v>10310</v>
      </c>
      <c r="G241">
        <v>10310</v>
      </c>
      <c r="H241">
        <v>6200</v>
      </c>
    </row>
    <row r="242" spans="2:8">
      <c r="B242" t="s">
        <v>587</v>
      </c>
      <c r="C242" t="s">
        <v>405</v>
      </c>
      <c r="D242">
        <v>10310</v>
      </c>
      <c r="E242">
        <v>10310</v>
      </c>
      <c r="F242">
        <v>10305</v>
      </c>
      <c r="G242">
        <v>10305</v>
      </c>
      <c r="H242">
        <v>14200</v>
      </c>
    </row>
    <row r="243" spans="2:8">
      <c r="B243" t="s">
        <v>587</v>
      </c>
      <c r="C243" t="s">
        <v>406</v>
      </c>
      <c r="D243">
        <v>10310</v>
      </c>
      <c r="E243">
        <v>10315</v>
      </c>
      <c r="F243">
        <v>10305</v>
      </c>
      <c r="G243">
        <v>10310</v>
      </c>
      <c r="H243">
        <v>3200</v>
      </c>
    </row>
    <row r="244" spans="2:8">
      <c r="B244" t="s">
        <v>587</v>
      </c>
      <c r="C244" t="s">
        <v>407</v>
      </c>
      <c r="D244">
        <v>10310</v>
      </c>
      <c r="E244">
        <v>10310</v>
      </c>
      <c r="F244">
        <v>10290</v>
      </c>
      <c r="G244">
        <v>10295</v>
      </c>
      <c r="H244">
        <v>38700</v>
      </c>
    </row>
    <row r="245" spans="2:8">
      <c r="B245" t="s">
        <v>587</v>
      </c>
      <c r="C245" t="s">
        <v>408</v>
      </c>
      <c r="D245">
        <v>10295</v>
      </c>
      <c r="E245">
        <v>10300</v>
      </c>
      <c r="F245">
        <v>10285</v>
      </c>
      <c r="G245">
        <v>10290</v>
      </c>
      <c r="H245">
        <v>19100</v>
      </c>
    </row>
    <row r="246" spans="2:8">
      <c r="B246" t="s">
        <v>587</v>
      </c>
      <c r="C246" t="s">
        <v>409</v>
      </c>
      <c r="D246">
        <v>10285</v>
      </c>
      <c r="E246">
        <v>10290</v>
      </c>
      <c r="F246">
        <v>10275</v>
      </c>
      <c r="G246">
        <v>10280</v>
      </c>
      <c r="H246">
        <v>26700</v>
      </c>
    </row>
    <row r="247" spans="2:8">
      <c r="B247" t="s">
        <v>587</v>
      </c>
      <c r="C247" t="s">
        <v>410</v>
      </c>
      <c r="D247">
        <v>10275</v>
      </c>
      <c r="E247">
        <v>10290</v>
      </c>
      <c r="F247">
        <v>10275</v>
      </c>
      <c r="G247">
        <v>10275</v>
      </c>
      <c r="H247">
        <v>20700</v>
      </c>
    </row>
    <row r="248" spans="2:8">
      <c r="B248" t="s">
        <v>587</v>
      </c>
      <c r="C248" t="s">
        <v>411</v>
      </c>
      <c r="D248">
        <v>10275</v>
      </c>
      <c r="E248">
        <v>10290</v>
      </c>
      <c r="F248">
        <v>10275</v>
      </c>
      <c r="G248">
        <v>10290</v>
      </c>
      <c r="H248">
        <v>22100</v>
      </c>
    </row>
    <row r="249" spans="2:8">
      <c r="B249" t="s">
        <v>587</v>
      </c>
      <c r="C249" t="s">
        <v>412</v>
      </c>
      <c r="D249">
        <v>10285</v>
      </c>
      <c r="E249">
        <v>10290</v>
      </c>
      <c r="F249">
        <v>10280</v>
      </c>
      <c r="G249">
        <v>10280</v>
      </c>
      <c r="H249">
        <v>11900</v>
      </c>
    </row>
    <row r="250" spans="2:8">
      <c r="B250" t="s">
        <v>587</v>
      </c>
      <c r="C250" t="s">
        <v>413</v>
      </c>
      <c r="D250">
        <v>10275</v>
      </c>
      <c r="E250">
        <v>10295</v>
      </c>
      <c r="F250">
        <v>10275</v>
      </c>
      <c r="G250">
        <v>10290</v>
      </c>
      <c r="H250">
        <v>25800</v>
      </c>
    </row>
    <row r="251" spans="2:8">
      <c r="B251" t="s">
        <v>587</v>
      </c>
      <c r="C251" t="s">
        <v>414</v>
      </c>
      <c r="D251">
        <v>10295</v>
      </c>
      <c r="E251">
        <v>10300</v>
      </c>
      <c r="F251">
        <v>10290</v>
      </c>
      <c r="G251">
        <v>10300</v>
      </c>
      <c r="H251">
        <v>10800</v>
      </c>
    </row>
    <row r="252" spans="2:8">
      <c r="B252" t="s">
        <v>587</v>
      </c>
      <c r="C252" t="s">
        <v>415</v>
      </c>
      <c r="D252">
        <v>10295</v>
      </c>
      <c r="E252">
        <v>10300</v>
      </c>
      <c r="F252">
        <v>10295</v>
      </c>
      <c r="G252">
        <v>10295</v>
      </c>
      <c r="H252">
        <v>4900</v>
      </c>
    </row>
    <row r="253" spans="2:8">
      <c r="B253" t="s">
        <v>587</v>
      </c>
      <c r="C253" t="s">
        <v>416</v>
      </c>
      <c r="D253">
        <v>10300</v>
      </c>
      <c r="E253">
        <v>10300</v>
      </c>
      <c r="F253">
        <v>10290</v>
      </c>
      <c r="G253">
        <v>10295</v>
      </c>
      <c r="H253">
        <v>6300</v>
      </c>
    </row>
    <row r="254" spans="2:8">
      <c r="B254" t="s">
        <v>587</v>
      </c>
      <c r="C254" t="s">
        <v>417</v>
      </c>
      <c r="D254">
        <v>10295</v>
      </c>
      <c r="E254">
        <v>10310</v>
      </c>
      <c r="F254">
        <v>10295</v>
      </c>
      <c r="G254">
        <v>10305</v>
      </c>
      <c r="H254">
        <v>20400</v>
      </c>
    </row>
    <row r="255" spans="2:8">
      <c r="B255" t="s">
        <v>587</v>
      </c>
      <c r="C255" t="s">
        <v>418</v>
      </c>
      <c r="D255">
        <v>10310</v>
      </c>
      <c r="E255">
        <v>10310</v>
      </c>
      <c r="F255">
        <v>10285</v>
      </c>
      <c r="G255">
        <v>10285</v>
      </c>
      <c r="H255">
        <v>30100</v>
      </c>
    </row>
    <row r="256" spans="2:8">
      <c r="B256" t="s">
        <v>587</v>
      </c>
      <c r="C256" t="s">
        <v>419</v>
      </c>
      <c r="D256">
        <v>10290</v>
      </c>
      <c r="E256">
        <v>10290</v>
      </c>
      <c r="F256">
        <v>10280</v>
      </c>
      <c r="G256">
        <v>10290</v>
      </c>
      <c r="H256">
        <v>8100</v>
      </c>
    </row>
    <row r="257" spans="2:8">
      <c r="B257" t="s">
        <v>587</v>
      </c>
      <c r="C257" t="s">
        <v>420</v>
      </c>
      <c r="D257">
        <v>10285</v>
      </c>
      <c r="E257">
        <v>10300</v>
      </c>
      <c r="F257">
        <v>10285</v>
      </c>
      <c r="G257">
        <v>10300</v>
      </c>
      <c r="H257">
        <v>15500</v>
      </c>
    </row>
    <row r="258" spans="2:8">
      <c r="B258" t="s">
        <v>587</v>
      </c>
      <c r="C258" t="s">
        <v>421</v>
      </c>
      <c r="D258">
        <v>10300</v>
      </c>
      <c r="E258">
        <v>10325</v>
      </c>
      <c r="F258">
        <v>10300</v>
      </c>
      <c r="G258">
        <v>10320</v>
      </c>
      <c r="H258">
        <v>32300</v>
      </c>
    </row>
    <row r="259" spans="2:8">
      <c r="B259" t="s">
        <v>587</v>
      </c>
      <c r="C259" t="s">
        <v>422</v>
      </c>
      <c r="D259">
        <v>10325</v>
      </c>
      <c r="E259">
        <v>10325</v>
      </c>
      <c r="F259">
        <v>10315</v>
      </c>
      <c r="G259">
        <v>10320</v>
      </c>
      <c r="H259">
        <v>8200</v>
      </c>
    </row>
    <row r="260" spans="2:8">
      <c r="B260" t="s">
        <v>587</v>
      </c>
      <c r="C260" t="s">
        <v>423</v>
      </c>
      <c r="D260">
        <v>10320</v>
      </c>
      <c r="E260">
        <v>10330</v>
      </c>
      <c r="F260">
        <v>10320</v>
      </c>
      <c r="G260">
        <v>10325</v>
      </c>
      <c r="H260">
        <v>25700</v>
      </c>
    </row>
    <row r="261" spans="2:8">
      <c r="B261" t="s">
        <v>587</v>
      </c>
      <c r="C261" t="s">
        <v>424</v>
      </c>
      <c r="D261">
        <v>10330</v>
      </c>
      <c r="E261">
        <v>10335</v>
      </c>
      <c r="F261">
        <v>10325</v>
      </c>
      <c r="G261">
        <v>10330</v>
      </c>
      <c r="H261">
        <v>12400</v>
      </c>
    </row>
    <row r="262" spans="2:8">
      <c r="B262" t="s">
        <v>587</v>
      </c>
      <c r="C262" t="s">
        <v>425</v>
      </c>
      <c r="D262">
        <v>10330</v>
      </c>
      <c r="E262">
        <v>10330</v>
      </c>
      <c r="F262">
        <v>10320</v>
      </c>
      <c r="G262">
        <v>10320</v>
      </c>
      <c r="H262">
        <v>32000</v>
      </c>
    </row>
    <row r="263" spans="2:8">
      <c r="B263" t="s">
        <v>587</v>
      </c>
      <c r="C263" t="s">
        <v>426</v>
      </c>
      <c r="D263">
        <v>10325</v>
      </c>
      <c r="E263">
        <v>10330</v>
      </c>
      <c r="F263">
        <v>10320</v>
      </c>
      <c r="G263">
        <v>10330</v>
      </c>
      <c r="H263">
        <v>10800</v>
      </c>
    </row>
    <row r="264" spans="2:8">
      <c r="B264" t="s">
        <v>587</v>
      </c>
      <c r="C264" t="s">
        <v>427</v>
      </c>
      <c r="D264">
        <v>10325</v>
      </c>
      <c r="E264">
        <v>10330</v>
      </c>
      <c r="F264">
        <v>10315</v>
      </c>
      <c r="G264">
        <v>10315</v>
      </c>
      <c r="H264">
        <v>15000</v>
      </c>
    </row>
    <row r="265" spans="2:8">
      <c r="B265" t="s">
        <v>587</v>
      </c>
      <c r="C265" t="s">
        <v>428</v>
      </c>
      <c r="D265">
        <v>10320</v>
      </c>
      <c r="E265">
        <v>10320</v>
      </c>
      <c r="F265">
        <v>10310</v>
      </c>
      <c r="G265">
        <v>10315</v>
      </c>
      <c r="H265">
        <v>11400</v>
      </c>
    </row>
    <row r="266" spans="2:8">
      <c r="B266" t="s">
        <v>587</v>
      </c>
      <c r="C266" t="s">
        <v>429</v>
      </c>
      <c r="D266">
        <v>10315</v>
      </c>
      <c r="E266">
        <v>10330</v>
      </c>
      <c r="F266">
        <v>10310</v>
      </c>
      <c r="G266">
        <v>10320</v>
      </c>
      <c r="H266">
        <v>22500</v>
      </c>
    </row>
    <row r="267" spans="2:8">
      <c r="B267" t="s">
        <v>587</v>
      </c>
      <c r="C267" t="s">
        <v>430</v>
      </c>
      <c r="D267">
        <v>10320</v>
      </c>
      <c r="E267">
        <v>10320</v>
      </c>
      <c r="F267">
        <v>10315</v>
      </c>
      <c r="G267">
        <v>10320</v>
      </c>
      <c r="H267">
        <v>5700</v>
      </c>
    </row>
    <row r="268" spans="2:8">
      <c r="B268" t="s">
        <v>587</v>
      </c>
      <c r="C268" t="s">
        <v>431</v>
      </c>
      <c r="D268">
        <v>10320</v>
      </c>
      <c r="E268">
        <v>10320</v>
      </c>
      <c r="F268">
        <v>10305</v>
      </c>
      <c r="G268">
        <v>10305</v>
      </c>
      <c r="H268">
        <v>21100</v>
      </c>
    </row>
    <row r="269" spans="2:8">
      <c r="B269" t="s">
        <v>587</v>
      </c>
      <c r="C269" t="s">
        <v>9</v>
      </c>
      <c r="D269">
        <v>10310</v>
      </c>
      <c r="E269">
        <v>10320</v>
      </c>
      <c r="F269">
        <v>10305</v>
      </c>
      <c r="G269">
        <v>10315</v>
      </c>
      <c r="H269">
        <v>15300</v>
      </c>
    </row>
    <row r="270" spans="2:8">
      <c r="B270" t="s">
        <v>587</v>
      </c>
      <c r="C270" t="s">
        <v>10</v>
      </c>
      <c r="D270">
        <v>10315</v>
      </c>
      <c r="E270">
        <v>10320</v>
      </c>
      <c r="F270">
        <v>10310</v>
      </c>
      <c r="G270">
        <v>10310</v>
      </c>
      <c r="H270">
        <v>7700</v>
      </c>
    </row>
    <row r="271" spans="2:8">
      <c r="B271" t="s">
        <v>587</v>
      </c>
      <c r="C271" t="s">
        <v>11</v>
      </c>
      <c r="D271">
        <v>10310</v>
      </c>
      <c r="E271">
        <v>10325</v>
      </c>
      <c r="F271">
        <v>10310</v>
      </c>
      <c r="G271">
        <v>10325</v>
      </c>
      <c r="H271">
        <v>18700</v>
      </c>
    </row>
    <row r="272" spans="2:8">
      <c r="B272" t="s">
        <v>587</v>
      </c>
      <c r="C272" t="s">
        <v>12</v>
      </c>
      <c r="D272">
        <v>10325</v>
      </c>
      <c r="E272">
        <v>10325</v>
      </c>
      <c r="F272">
        <v>10325</v>
      </c>
      <c r="G272">
        <v>10325</v>
      </c>
      <c r="H272">
        <v>11500</v>
      </c>
    </row>
    <row r="273" spans="2:8">
      <c r="B273" t="s">
        <v>587</v>
      </c>
      <c r="C273" t="s">
        <v>13</v>
      </c>
      <c r="D273">
        <v>10320</v>
      </c>
      <c r="E273">
        <v>10320</v>
      </c>
      <c r="F273">
        <v>10315</v>
      </c>
      <c r="G273">
        <v>10320</v>
      </c>
      <c r="H273">
        <v>11000</v>
      </c>
    </row>
    <row r="274" spans="2:8">
      <c r="B274" t="s">
        <v>587</v>
      </c>
      <c r="C274" t="s">
        <v>14</v>
      </c>
      <c r="D274">
        <v>10320</v>
      </c>
      <c r="E274">
        <v>10325</v>
      </c>
      <c r="F274">
        <v>10320</v>
      </c>
      <c r="G274">
        <v>10320</v>
      </c>
      <c r="H274">
        <v>3900</v>
      </c>
    </row>
    <row r="275" spans="2:8">
      <c r="B275" t="s">
        <v>587</v>
      </c>
      <c r="C275" t="s">
        <v>15</v>
      </c>
      <c r="D275">
        <v>10320</v>
      </c>
      <c r="E275">
        <v>10320</v>
      </c>
      <c r="F275">
        <v>10305</v>
      </c>
      <c r="G275">
        <v>10310</v>
      </c>
      <c r="H275">
        <v>17000</v>
      </c>
    </row>
    <row r="276" spans="2:8">
      <c r="B276" t="s">
        <v>587</v>
      </c>
      <c r="C276" t="s">
        <v>16</v>
      </c>
      <c r="D276">
        <v>10305</v>
      </c>
      <c r="E276">
        <v>10310</v>
      </c>
      <c r="F276">
        <v>10305</v>
      </c>
      <c r="G276">
        <v>10310</v>
      </c>
      <c r="H276">
        <v>7200</v>
      </c>
    </row>
    <row r="277" spans="2:8">
      <c r="B277" t="s">
        <v>587</v>
      </c>
      <c r="C277" t="s">
        <v>17</v>
      </c>
      <c r="D277">
        <v>10310</v>
      </c>
      <c r="E277">
        <v>10310</v>
      </c>
      <c r="F277">
        <v>10305</v>
      </c>
      <c r="G277">
        <v>10305</v>
      </c>
      <c r="H277">
        <v>6400</v>
      </c>
    </row>
    <row r="278" spans="2:8">
      <c r="B278" t="s">
        <v>587</v>
      </c>
      <c r="C278" t="s">
        <v>18</v>
      </c>
      <c r="D278">
        <v>10310</v>
      </c>
      <c r="E278">
        <v>10310</v>
      </c>
      <c r="F278">
        <v>10305</v>
      </c>
      <c r="G278">
        <v>10305</v>
      </c>
      <c r="H278">
        <v>1800</v>
      </c>
    </row>
    <row r="279" spans="2:8">
      <c r="B279" t="s">
        <v>587</v>
      </c>
      <c r="C279" t="s">
        <v>19</v>
      </c>
      <c r="D279">
        <v>10305</v>
      </c>
      <c r="E279">
        <v>10315</v>
      </c>
      <c r="F279">
        <v>10290</v>
      </c>
      <c r="G279">
        <v>10310</v>
      </c>
      <c r="H279">
        <v>49200</v>
      </c>
    </row>
    <row r="280" spans="2:8">
      <c r="B280" t="s">
        <v>587</v>
      </c>
      <c r="C280" t="s">
        <v>20</v>
      </c>
      <c r="D280">
        <v>10310</v>
      </c>
      <c r="E280">
        <v>10315</v>
      </c>
      <c r="F280">
        <v>10305</v>
      </c>
      <c r="G280">
        <v>10310</v>
      </c>
      <c r="H280">
        <v>5800</v>
      </c>
    </row>
    <row r="281" spans="2:8">
      <c r="B281" t="s">
        <v>587</v>
      </c>
      <c r="C281" t="s">
        <v>21</v>
      </c>
      <c r="D281">
        <v>10315</v>
      </c>
      <c r="E281">
        <v>10325</v>
      </c>
      <c r="F281">
        <v>10305</v>
      </c>
      <c r="G281">
        <v>10325</v>
      </c>
      <c r="H281">
        <v>35200</v>
      </c>
    </row>
    <row r="282" spans="2:8">
      <c r="B282" t="s">
        <v>587</v>
      </c>
      <c r="C282" t="s">
        <v>22</v>
      </c>
      <c r="D282">
        <v>10325</v>
      </c>
      <c r="E282">
        <v>10325</v>
      </c>
      <c r="F282">
        <v>10320</v>
      </c>
      <c r="G282">
        <v>10320</v>
      </c>
      <c r="H282">
        <v>9400</v>
      </c>
    </row>
    <row r="283" spans="2:8">
      <c r="B283" t="s">
        <v>587</v>
      </c>
      <c r="C283" t="s">
        <v>23</v>
      </c>
      <c r="D283">
        <v>10325</v>
      </c>
      <c r="E283">
        <v>10325</v>
      </c>
      <c r="F283">
        <v>10315</v>
      </c>
      <c r="G283">
        <v>10320</v>
      </c>
      <c r="H283">
        <v>8500</v>
      </c>
    </row>
    <row r="284" spans="2:8">
      <c r="B284" t="s">
        <v>587</v>
      </c>
      <c r="C284" t="s">
        <v>24</v>
      </c>
      <c r="D284">
        <v>10320</v>
      </c>
      <c r="E284">
        <v>10320</v>
      </c>
      <c r="F284">
        <v>10290</v>
      </c>
      <c r="G284">
        <v>10295</v>
      </c>
      <c r="H284">
        <v>44700</v>
      </c>
    </row>
    <row r="285" spans="2:8">
      <c r="B285" t="s">
        <v>587</v>
      </c>
      <c r="C285" t="s">
        <v>25</v>
      </c>
      <c r="D285">
        <v>10295</v>
      </c>
      <c r="E285">
        <v>10300</v>
      </c>
      <c r="F285">
        <v>10290</v>
      </c>
      <c r="G285">
        <v>10300</v>
      </c>
      <c r="H285">
        <v>14100</v>
      </c>
    </row>
    <row r="286" spans="2:8">
      <c r="B286" t="s">
        <v>587</v>
      </c>
      <c r="C286" t="s">
        <v>26</v>
      </c>
      <c r="D286">
        <v>10300</v>
      </c>
      <c r="E286">
        <v>10305</v>
      </c>
      <c r="F286">
        <v>10295</v>
      </c>
      <c r="G286">
        <v>10295</v>
      </c>
      <c r="H286">
        <v>12600</v>
      </c>
    </row>
    <row r="287" spans="2:8">
      <c r="B287" t="s">
        <v>587</v>
      </c>
      <c r="C287" t="s">
        <v>27</v>
      </c>
      <c r="D287">
        <v>10295</v>
      </c>
      <c r="E287">
        <v>10300</v>
      </c>
      <c r="F287">
        <v>10290</v>
      </c>
      <c r="G287">
        <v>10290</v>
      </c>
      <c r="H287">
        <v>16000</v>
      </c>
    </row>
    <row r="288" spans="2:8">
      <c r="B288" t="s">
        <v>587</v>
      </c>
      <c r="C288" t="s">
        <v>28</v>
      </c>
      <c r="D288">
        <v>10290</v>
      </c>
      <c r="E288">
        <v>10295</v>
      </c>
      <c r="F288">
        <v>10285</v>
      </c>
      <c r="G288">
        <v>10285</v>
      </c>
      <c r="H288">
        <v>7600</v>
      </c>
    </row>
    <row r="289" spans="2:8">
      <c r="B289" t="s">
        <v>587</v>
      </c>
      <c r="C289" t="s">
        <v>29</v>
      </c>
      <c r="D289">
        <v>10290</v>
      </c>
      <c r="E289">
        <v>10300</v>
      </c>
      <c r="F289">
        <v>10280</v>
      </c>
      <c r="G289">
        <v>10295</v>
      </c>
      <c r="H289">
        <v>28500</v>
      </c>
    </row>
    <row r="290" spans="2:8">
      <c r="B290" t="s">
        <v>587</v>
      </c>
      <c r="C290" t="s">
        <v>30</v>
      </c>
      <c r="D290">
        <v>10300</v>
      </c>
      <c r="E290">
        <v>10320</v>
      </c>
      <c r="F290">
        <v>10300</v>
      </c>
      <c r="G290">
        <v>10315</v>
      </c>
      <c r="H290">
        <v>41700</v>
      </c>
    </row>
    <row r="291" spans="2:8">
      <c r="B291" t="s">
        <v>587</v>
      </c>
      <c r="C291" t="s">
        <v>31</v>
      </c>
      <c r="D291">
        <v>10315</v>
      </c>
      <c r="E291">
        <v>10320</v>
      </c>
      <c r="F291">
        <v>10310</v>
      </c>
      <c r="G291">
        <v>10310</v>
      </c>
      <c r="H291">
        <v>5800</v>
      </c>
    </row>
    <row r="292" spans="2:8">
      <c r="B292" t="s">
        <v>587</v>
      </c>
      <c r="C292" t="s">
        <v>32</v>
      </c>
      <c r="D292">
        <v>10315</v>
      </c>
      <c r="E292">
        <v>10320</v>
      </c>
      <c r="F292">
        <v>10310</v>
      </c>
      <c r="G292">
        <v>10315</v>
      </c>
      <c r="H292">
        <v>8100</v>
      </c>
    </row>
    <row r="293" spans="2:8">
      <c r="B293" t="s">
        <v>587</v>
      </c>
      <c r="C293" t="s">
        <v>33</v>
      </c>
      <c r="D293">
        <v>10315</v>
      </c>
      <c r="E293">
        <v>10325</v>
      </c>
      <c r="F293">
        <v>10315</v>
      </c>
      <c r="G293">
        <v>10320</v>
      </c>
      <c r="H293">
        <v>17800</v>
      </c>
    </row>
    <row r="294" spans="2:8">
      <c r="B294" t="s">
        <v>587</v>
      </c>
      <c r="C294" t="s">
        <v>34</v>
      </c>
      <c r="D294">
        <v>10320</v>
      </c>
      <c r="E294">
        <v>10320</v>
      </c>
      <c r="F294">
        <v>10310</v>
      </c>
      <c r="G294">
        <v>10310</v>
      </c>
      <c r="H294">
        <v>16700</v>
      </c>
    </row>
    <row r="295" spans="2:8">
      <c r="B295" t="s">
        <v>587</v>
      </c>
      <c r="C295" t="s">
        <v>35</v>
      </c>
      <c r="D295">
        <v>10315</v>
      </c>
      <c r="E295">
        <v>10325</v>
      </c>
      <c r="F295">
        <v>10310</v>
      </c>
      <c r="G295">
        <v>10325</v>
      </c>
      <c r="H295">
        <v>16500</v>
      </c>
    </row>
    <row r="296" spans="2:8">
      <c r="B296" t="s">
        <v>587</v>
      </c>
      <c r="C296" t="s">
        <v>36</v>
      </c>
      <c r="D296">
        <v>10325</v>
      </c>
      <c r="E296">
        <v>10325</v>
      </c>
      <c r="F296">
        <v>10320</v>
      </c>
      <c r="G296">
        <v>10320</v>
      </c>
      <c r="H296">
        <v>3400</v>
      </c>
    </row>
    <row r="297" spans="2:8">
      <c r="B297" t="s">
        <v>587</v>
      </c>
      <c r="C297" t="s">
        <v>37</v>
      </c>
      <c r="D297">
        <v>10320</v>
      </c>
      <c r="E297">
        <v>10325</v>
      </c>
      <c r="F297">
        <v>10315</v>
      </c>
      <c r="G297">
        <v>10325</v>
      </c>
      <c r="H297">
        <v>17100</v>
      </c>
    </row>
    <row r="298" spans="2:8">
      <c r="B298" t="s">
        <v>587</v>
      </c>
      <c r="C298" t="s">
        <v>38</v>
      </c>
      <c r="D298">
        <v>10320</v>
      </c>
      <c r="E298">
        <v>10325</v>
      </c>
      <c r="F298">
        <v>10320</v>
      </c>
      <c r="G298">
        <v>10325</v>
      </c>
      <c r="H298">
        <v>5100</v>
      </c>
    </row>
    <row r="299" spans="2:8">
      <c r="B299" t="s">
        <v>587</v>
      </c>
      <c r="C299" t="s">
        <v>39</v>
      </c>
      <c r="D299">
        <v>10325</v>
      </c>
      <c r="E299">
        <v>10330</v>
      </c>
      <c r="F299">
        <v>10325</v>
      </c>
      <c r="G299">
        <v>10325</v>
      </c>
      <c r="H299">
        <v>16800</v>
      </c>
    </row>
    <row r="300" spans="2:8">
      <c r="B300" t="s">
        <v>587</v>
      </c>
      <c r="C300" t="s">
        <v>40</v>
      </c>
      <c r="D300">
        <v>10325</v>
      </c>
      <c r="E300">
        <v>10330</v>
      </c>
      <c r="F300">
        <v>10325</v>
      </c>
      <c r="G300">
        <v>10330</v>
      </c>
      <c r="H300">
        <v>8700</v>
      </c>
    </row>
    <row r="301" spans="2:8">
      <c r="B301" t="s">
        <v>587</v>
      </c>
      <c r="C301" t="s">
        <v>41</v>
      </c>
      <c r="D301">
        <v>10325</v>
      </c>
      <c r="E301">
        <v>10325</v>
      </c>
      <c r="F301">
        <v>10315</v>
      </c>
      <c r="G301">
        <v>10315</v>
      </c>
      <c r="H301">
        <v>17900</v>
      </c>
    </row>
    <row r="302" spans="2:8">
      <c r="B302" t="s">
        <v>587</v>
      </c>
      <c r="C302" t="s">
        <v>42</v>
      </c>
      <c r="D302">
        <v>10315</v>
      </c>
      <c r="E302">
        <v>10325</v>
      </c>
      <c r="F302">
        <v>10315</v>
      </c>
      <c r="G302">
        <v>10325</v>
      </c>
      <c r="H302">
        <v>15600</v>
      </c>
    </row>
    <row r="303" spans="2:8">
      <c r="B303" t="s">
        <v>587</v>
      </c>
      <c r="C303" t="s">
        <v>43</v>
      </c>
      <c r="D303">
        <v>10320</v>
      </c>
      <c r="E303">
        <v>10320</v>
      </c>
      <c r="F303">
        <v>10315</v>
      </c>
      <c r="G303">
        <v>10315</v>
      </c>
      <c r="H303">
        <v>6100</v>
      </c>
    </row>
    <row r="304" spans="2:8">
      <c r="B304" t="s">
        <v>587</v>
      </c>
      <c r="C304" t="s">
        <v>44</v>
      </c>
      <c r="D304">
        <v>10315</v>
      </c>
      <c r="E304">
        <v>10320</v>
      </c>
      <c r="F304">
        <v>10315</v>
      </c>
      <c r="G304">
        <v>10320</v>
      </c>
      <c r="H304">
        <v>11400</v>
      </c>
    </row>
    <row r="305" spans="2:8">
      <c r="B305" t="s">
        <v>587</v>
      </c>
      <c r="C305" t="s">
        <v>45</v>
      </c>
      <c r="D305">
        <v>10315</v>
      </c>
      <c r="E305">
        <v>10325</v>
      </c>
      <c r="F305">
        <v>10315</v>
      </c>
      <c r="G305">
        <v>10325</v>
      </c>
      <c r="H305">
        <v>10600</v>
      </c>
    </row>
    <row r="306" spans="2:8">
      <c r="B306" t="s">
        <v>587</v>
      </c>
      <c r="C306" t="s">
        <v>46</v>
      </c>
      <c r="D306">
        <v>10325</v>
      </c>
      <c r="E306">
        <v>10330</v>
      </c>
      <c r="F306">
        <v>10325</v>
      </c>
      <c r="G306">
        <v>10325</v>
      </c>
      <c r="H306">
        <v>15200</v>
      </c>
    </row>
    <row r="307" spans="2:8">
      <c r="B307" t="s">
        <v>587</v>
      </c>
      <c r="C307" t="s">
        <v>47</v>
      </c>
      <c r="D307">
        <v>10330</v>
      </c>
      <c r="E307">
        <v>10330</v>
      </c>
      <c r="F307">
        <v>10320</v>
      </c>
      <c r="G307">
        <v>10325</v>
      </c>
      <c r="H307">
        <v>12200</v>
      </c>
    </row>
    <row r="308" spans="2:8">
      <c r="B308" t="s">
        <v>587</v>
      </c>
      <c r="C308" t="s">
        <v>48</v>
      </c>
      <c r="D308">
        <v>10325</v>
      </c>
      <c r="E308">
        <v>10330</v>
      </c>
      <c r="F308">
        <v>10325</v>
      </c>
      <c r="G308">
        <v>10325</v>
      </c>
      <c r="H308">
        <v>7800</v>
      </c>
    </row>
    <row r="309" spans="2:8">
      <c r="B309" t="s">
        <v>587</v>
      </c>
      <c r="C309" t="s">
        <v>49</v>
      </c>
      <c r="D309">
        <v>10330</v>
      </c>
      <c r="E309">
        <v>10330</v>
      </c>
      <c r="F309">
        <v>10320</v>
      </c>
      <c r="G309">
        <v>10325</v>
      </c>
      <c r="H309">
        <v>13300</v>
      </c>
    </row>
    <row r="310" spans="2:8">
      <c r="B310" t="s">
        <v>587</v>
      </c>
      <c r="C310" t="s">
        <v>50</v>
      </c>
      <c r="D310">
        <v>10320</v>
      </c>
      <c r="E310">
        <v>10325</v>
      </c>
      <c r="F310">
        <v>10315</v>
      </c>
      <c r="G310">
        <v>10315</v>
      </c>
      <c r="H310">
        <v>10900</v>
      </c>
    </row>
    <row r="311" spans="2:8">
      <c r="B311" t="s">
        <v>587</v>
      </c>
      <c r="C311" t="s">
        <v>51</v>
      </c>
      <c r="D311">
        <v>10315</v>
      </c>
      <c r="E311">
        <v>10315</v>
      </c>
      <c r="F311">
        <v>10300</v>
      </c>
      <c r="G311">
        <v>10305</v>
      </c>
      <c r="H311">
        <v>24800</v>
      </c>
    </row>
    <row r="312" spans="2:8">
      <c r="B312" t="s">
        <v>587</v>
      </c>
      <c r="C312" t="s">
        <v>52</v>
      </c>
      <c r="D312">
        <v>10305</v>
      </c>
      <c r="E312">
        <v>10305</v>
      </c>
      <c r="F312">
        <v>10295</v>
      </c>
      <c r="G312">
        <v>10295</v>
      </c>
      <c r="H312">
        <v>14000</v>
      </c>
    </row>
    <row r="313" spans="2:8">
      <c r="B313" t="s">
        <v>587</v>
      </c>
      <c r="C313" t="s">
        <v>53</v>
      </c>
      <c r="D313">
        <v>10300</v>
      </c>
      <c r="E313">
        <v>10300</v>
      </c>
      <c r="F313">
        <v>10290</v>
      </c>
      <c r="G313">
        <v>10300</v>
      </c>
      <c r="H313">
        <v>23600</v>
      </c>
    </row>
    <row r="314" spans="2:8">
      <c r="B314" t="s">
        <v>587</v>
      </c>
      <c r="C314" t="s">
        <v>54</v>
      </c>
      <c r="D314">
        <v>10300</v>
      </c>
      <c r="E314">
        <v>10300</v>
      </c>
      <c r="F314">
        <v>10280</v>
      </c>
      <c r="G314">
        <v>10285</v>
      </c>
      <c r="H314">
        <v>37800</v>
      </c>
    </row>
    <row r="315" spans="2:8">
      <c r="B315" t="s">
        <v>587</v>
      </c>
      <c r="C315" t="s">
        <v>55</v>
      </c>
      <c r="D315">
        <v>10285</v>
      </c>
      <c r="E315">
        <v>10290</v>
      </c>
      <c r="F315">
        <v>10280</v>
      </c>
      <c r="G315">
        <v>10285</v>
      </c>
      <c r="H315">
        <v>22200</v>
      </c>
    </row>
    <row r="316" spans="2:8">
      <c r="B316" t="s">
        <v>587</v>
      </c>
      <c r="C316" t="s">
        <v>56</v>
      </c>
      <c r="D316">
        <v>10280</v>
      </c>
      <c r="E316">
        <v>10285</v>
      </c>
      <c r="F316">
        <v>10270</v>
      </c>
      <c r="G316">
        <v>10275</v>
      </c>
      <c r="H316">
        <v>31800</v>
      </c>
    </row>
    <row r="317" spans="2:8">
      <c r="B317" t="s">
        <v>587</v>
      </c>
      <c r="C317" t="s">
        <v>57</v>
      </c>
      <c r="D317">
        <v>10275</v>
      </c>
      <c r="E317">
        <v>10285</v>
      </c>
      <c r="F317">
        <v>10275</v>
      </c>
      <c r="G317">
        <v>10285</v>
      </c>
      <c r="H317">
        <v>14400</v>
      </c>
    </row>
    <row r="318" spans="2:8">
      <c r="B318" t="s">
        <v>587</v>
      </c>
      <c r="C318" t="s">
        <v>58</v>
      </c>
      <c r="D318">
        <v>10285</v>
      </c>
      <c r="E318">
        <v>10290</v>
      </c>
      <c r="F318">
        <v>10280</v>
      </c>
      <c r="G318">
        <v>10285</v>
      </c>
      <c r="H318">
        <v>10000</v>
      </c>
    </row>
    <row r="319" spans="2:8">
      <c r="B319" t="s">
        <v>587</v>
      </c>
      <c r="C319" t="s">
        <v>59</v>
      </c>
      <c r="D319">
        <v>10285</v>
      </c>
      <c r="E319">
        <v>10290</v>
      </c>
      <c r="F319">
        <v>10275</v>
      </c>
      <c r="G319">
        <v>10275</v>
      </c>
      <c r="H319">
        <v>27000</v>
      </c>
    </row>
    <row r="320" spans="2:8">
      <c r="B320" t="s">
        <v>587</v>
      </c>
      <c r="C320" t="s">
        <v>60</v>
      </c>
      <c r="D320">
        <v>10275</v>
      </c>
      <c r="E320">
        <v>10275</v>
      </c>
      <c r="F320">
        <v>10270</v>
      </c>
      <c r="G320">
        <v>10270</v>
      </c>
      <c r="H320">
        <v>13500</v>
      </c>
    </row>
    <row r="321" spans="1:8">
      <c r="B321" t="s">
        <v>587</v>
      </c>
      <c r="C321" t="s">
        <v>61</v>
      </c>
      <c r="D321">
        <v>10270</v>
      </c>
      <c r="E321">
        <v>10275</v>
      </c>
      <c r="F321">
        <v>10260</v>
      </c>
      <c r="G321">
        <v>10270</v>
      </c>
      <c r="H321">
        <v>28000</v>
      </c>
    </row>
    <row r="322" spans="1:8">
      <c r="B322" t="s">
        <v>587</v>
      </c>
      <c r="C322" t="s">
        <v>62</v>
      </c>
      <c r="D322">
        <v>10265</v>
      </c>
      <c r="E322">
        <v>10290</v>
      </c>
      <c r="F322">
        <v>10260</v>
      </c>
      <c r="G322">
        <v>10280</v>
      </c>
      <c r="H322">
        <v>44300</v>
      </c>
    </row>
    <row r="323" spans="1:8">
      <c r="B323" t="s">
        <v>587</v>
      </c>
      <c r="C323" t="s">
        <v>63</v>
      </c>
      <c r="D323">
        <v>10285</v>
      </c>
      <c r="E323">
        <v>10285</v>
      </c>
      <c r="F323">
        <v>10280</v>
      </c>
      <c r="G323">
        <v>10285</v>
      </c>
      <c r="H323">
        <v>6300</v>
      </c>
    </row>
    <row r="324" spans="1:8">
      <c r="B324" t="s">
        <v>587</v>
      </c>
      <c r="C324" t="s">
        <v>64</v>
      </c>
      <c r="D324">
        <v>10290</v>
      </c>
      <c r="E324">
        <v>10290</v>
      </c>
      <c r="F324">
        <v>10280</v>
      </c>
      <c r="G324">
        <v>10285</v>
      </c>
      <c r="H324">
        <v>10000</v>
      </c>
    </row>
    <row r="325" spans="1:8">
      <c r="B325" t="s">
        <v>587</v>
      </c>
      <c r="C325" t="s">
        <v>65</v>
      </c>
      <c r="D325">
        <v>10280</v>
      </c>
      <c r="E325">
        <v>10285</v>
      </c>
      <c r="F325">
        <v>10280</v>
      </c>
      <c r="G325">
        <v>10285</v>
      </c>
      <c r="H325">
        <v>16300</v>
      </c>
    </row>
    <row r="326" spans="1:8">
      <c r="B326" t="s">
        <v>587</v>
      </c>
      <c r="C326" t="s">
        <v>66</v>
      </c>
      <c r="D326">
        <v>10285</v>
      </c>
      <c r="E326">
        <v>10290</v>
      </c>
      <c r="F326">
        <v>10280</v>
      </c>
      <c r="G326">
        <v>10290</v>
      </c>
      <c r="H326">
        <v>14500</v>
      </c>
    </row>
    <row r="327" spans="1:8">
      <c r="B327" t="s">
        <v>587</v>
      </c>
      <c r="C327" t="s">
        <v>164</v>
      </c>
      <c r="D327">
        <v>10290</v>
      </c>
      <c r="E327">
        <v>10290</v>
      </c>
      <c r="F327">
        <v>10285</v>
      </c>
      <c r="G327">
        <v>10290</v>
      </c>
      <c r="H327">
        <v>9100</v>
      </c>
    </row>
    <row r="328" spans="1:8">
      <c r="B328" t="s">
        <v>587</v>
      </c>
      <c r="C328" t="s">
        <v>165</v>
      </c>
      <c r="D328">
        <v>10285</v>
      </c>
      <c r="E328">
        <v>10300</v>
      </c>
      <c r="F328">
        <v>10285</v>
      </c>
      <c r="G328">
        <v>10295</v>
      </c>
      <c r="H328">
        <v>46300</v>
      </c>
    </row>
    <row r="329" spans="1:8">
      <c r="B329" t="s">
        <v>587</v>
      </c>
      <c r="C329" t="s">
        <v>67</v>
      </c>
      <c r="D329" t="s">
        <v>8</v>
      </c>
      <c r="E329" t="s">
        <v>8</v>
      </c>
      <c r="F329" t="s">
        <v>8</v>
      </c>
      <c r="G329" t="s">
        <v>8</v>
      </c>
      <c r="H329">
        <v>0</v>
      </c>
    </row>
    <row r="330" spans="1:8">
      <c r="B330" t="s">
        <v>587</v>
      </c>
      <c r="C330" t="s">
        <v>68</v>
      </c>
      <c r="D330" t="s">
        <v>8</v>
      </c>
      <c r="E330" t="s">
        <v>8</v>
      </c>
      <c r="F330" t="s">
        <v>8</v>
      </c>
      <c r="G330" t="s">
        <v>8</v>
      </c>
      <c r="H330">
        <v>0</v>
      </c>
    </row>
    <row r="331" spans="1:8">
      <c r="B331" t="s">
        <v>587</v>
      </c>
      <c r="C331" t="s">
        <v>69</v>
      </c>
      <c r="D331" t="s">
        <v>8</v>
      </c>
      <c r="E331" t="s">
        <v>8</v>
      </c>
      <c r="F331" t="s">
        <v>8</v>
      </c>
      <c r="G331" t="s">
        <v>8</v>
      </c>
      <c r="H331">
        <v>0</v>
      </c>
    </row>
    <row r="332" spans="1:8">
      <c r="B332" t="s">
        <v>587</v>
      </c>
      <c r="C332" t="s">
        <v>70</v>
      </c>
      <c r="D332" t="s">
        <v>8</v>
      </c>
      <c r="E332" t="s">
        <v>8</v>
      </c>
      <c r="F332" t="s">
        <v>8</v>
      </c>
      <c r="G332" t="s">
        <v>8</v>
      </c>
      <c r="H332">
        <v>0</v>
      </c>
    </row>
    <row r="333" spans="1:8">
      <c r="B333" t="s">
        <v>587</v>
      </c>
      <c r="C333" t="s">
        <v>71</v>
      </c>
      <c r="D333" t="s">
        <v>8</v>
      </c>
      <c r="E333" t="s">
        <v>8</v>
      </c>
      <c r="F333" t="s">
        <v>8</v>
      </c>
      <c r="G333" t="s">
        <v>8</v>
      </c>
      <c r="H333">
        <v>0</v>
      </c>
    </row>
    <row r="334" spans="1:8">
      <c r="B334" t="s">
        <v>587</v>
      </c>
      <c r="C334" t="s">
        <v>72</v>
      </c>
      <c r="D334">
        <v>10290</v>
      </c>
      <c r="E334">
        <v>10290</v>
      </c>
      <c r="F334">
        <v>10290</v>
      </c>
      <c r="G334">
        <v>10290</v>
      </c>
      <c r="H334">
        <v>439800</v>
      </c>
    </row>
    <row r="335" spans="1:8">
      <c r="A335" s="1" t="s">
        <v>79</v>
      </c>
      <c r="B335" s="1" t="s">
        <v>79</v>
      </c>
      <c r="C335" s="1" t="s">
        <v>79</v>
      </c>
      <c r="D335" s="1" t="s">
        <v>79</v>
      </c>
      <c r="E335" s="1" t="s">
        <v>79</v>
      </c>
      <c r="F335" s="1" t="s">
        <v>79</v>
      </c>
      <c r="G335" s="1" t="s">
        <v>79</v>
      </c>
      <c r="H335" s="1" t="s">
        <v>79</v>
      </c>
    </row>
    <row r="336" spans="1:8">
      <c r="B336" t="s">
        <v>442</v>
      </c>
      <c r="C336" t="s">
        <v>167</v>
      </c>
      <c r="D336">
        <v>8858</v>
      </c>
      <c r="E336">
        <v>8858</v>
      </c>
      <c r="F336">
        <v>8804</v>
      </c>
      <c r="G336">
        <v>8810</v>
      </c>
      <c r="H336">
        <v>237400</v>
      </c>
    </row>
    <row r="337" spans="2:8">
      <c r="B337" t="s">
        <v>442</v>
      </c>
      <c r="C337" t="s">
        <v>168</v>
      </c>
      <c r="D337">
        <v>8809</v>
      </c>
      <c r="E337">
        <v>8842</v>
      </c>
      <c r="F337">
        <v>8802</v>
      </c>
      <c r="G337">
        <v>8837</v>
      </c>
      <c r="H337">
        <v>123300</v>
      </c>
    </row>
    <row r="338" spans="2:8">
      <c r="B338" t="s">
        <v>442</v>
      </c>
      <c r="C338" t="s">
        <v>169</v>
      </c>
      <c r="D338">
        <v>8837</v>
      </c>
      <c r="E338">
        <v>8854</v>
      </c>
      <c r="F338">
        <v>8832</v>
      </c>
      <c r="G338">
        <v>8847</v>
      </c>
      <c r="H338">
        <v>173100</v>
      </c>
    </row>
    <row r="339" spans="2:8">
      <c r="B339" t="s">
        <v>442</v>
      </c>
      <c r="C339" t="s">
        <v>170</v>
      </c>
      <c r="D339">
        <v>8848</v>
      </c>
      <c r="E339">
        <v>8860</v>
      </c>
      <c r="F339">
        <v>8826</v>
      </c>
      <c r="G339">
        <v>8852</v>
      </c>
      <c r="H339">
        <v>179200</v>
      </c>
    </row>
    <row r="340" spans="2:8">
      <c r="B340" t="s">
        <v>442</v>
      </c>
      <c r="C340" t="s">
        <v>171</v>
      </c>
      <c r="D340">
        <v>8853</v>
      </c>
      <c r="E340">
        <v>8894</v>
      </c>
      <c r="F340">
        <v>8852</v>
      </c>
      <c r="G340">
        <v>8875</v>
      </c>
      <c r="H340">
        <v>305500</v>
      </c>
    </row>
    <row r="341" spans="2:8">
      <c r="B341" t="s">
        <v>442</v>
      </c>
      <c r="C341" t="s">
        <v>172</v>
      </c>
      <c r="D341">
        <v>8876</v>
      </c>
      <c r="E341">
        <v>8878</v>
      </c>
      <c r="F341">
        <v>8859</v>
      </c>
      <c r="G341">
        <v>8874</v>
      </c>
      <c r="H341">
        <v>142300</v>
      </c>
    </row>
    <row r="342" spans="2:8">
      <c r="B342" t="s">
        <v>442</v>
      </c>
      <c r="C342" t="s">
        <v>173</v>
      </c>
      <c r="D342">
        <v>8874</v>
      </c>
      <c r="E342">
        <v>8896</v>
      </c>
      <c r="F342">
        <v>8865</v>
      </c>
      <c r="G342">
        <v>8885</v>
      </c>
      <c r="H342">
        <v>188500</v>
      </c>
    </row>
    <row r="343" spans="2:8">
      <c r="B343" t="s">
        <v>442</v>
      </c>
      <c r="C343" t="s">
        <v>174</v>
      </c>
      <c r="D343">
        <v>8884</v>
      </c>
      <c r="E343">
        <v>8918</v>
      </c>
      <c r="F343">
        <v>8882</v>
      </c>
      <c r="G343">
        <v>8907</v>
      </c>
      <c r="H343">
        <v>320400</v>
      </c>
    </row>
    <row r="344" spans="2:8">
      <c r="B344" t="s">
        <v>442</v>
      </c>
      <c r="C344" t="s">
        <v>175</v>
      </c>
      <c r="D344">
        <v>8907</v>
      </c>
      <c r="E344">
        <v>8911</v>
      </c>
      <c r="F344">
        <v>8882</v>
      </c>
      <c r="G344">
        <v>8906</v>
      </c>
      <c r="H344">
        <v>217800</v>
      </c>
    </row>
    <row r="345" spans="2:8">
      <c r="B345" t="s">
        <v>442</v>
      </c>
      <c r="C345" t="s">
        <v>176</v>
      </c>
      <c r="D345">
        <v>8907</v>
      </c>
      <c r="E345">
        <v>8925</v>
      </c>
      <c r="F345">
        <v>8883</v>
      </c>
      <c r="G345">
        <v>8897</v>
      </c>
      <c r="H345">
        <v>265900</v>
      </c>
    </row>
    <row r="346" spans="2:8">
      <c r="B346" t="s">
        <v>442</v>
      </c>
      <c r="C346" t="s">
        <v>177</v>
      </c>
      <c r="D346">
        <v>8897</v>
      </c>
      <c r="E346">
        <v>8897</v>
      </c>
      <c r="F346">
        <v>8882</v>
      </c>
      <c r="G346">
        <v>8887</v>
      </c>
      <c r="H346">
        <v>98300</v>
      </c>
    </row>
    <row r="347" spans="2:8">
      <c r="B347" t="s">
        <v>442</v>
      </c>
      <c r="C347" t="s">
        <v>178</v>
      </c>
      <c r="D347">
        <v>8886</v>
      </c>
      <c r="E347">
        <v>8886</v>
      </c>
      <c r="F347">
        <v>8871</v>
      </c>
      <c r="G347">
        <v>8876</v>
      </c>
      <c r="H347">
        <v>139400</v>
      </c>
    </row>
    <row r="348" spans="2:8">
      <c r="B348" t="s">
        <v>442</v>
      </c>
      <c r="C348" t="s">
        <v>179</v>
      </c>
      <c r="D348">
        <v>8876</v>
      </c>
      <c r="E348">
        <v>8886</v>
      </c>
      <c r="F348">
        <v>8870</v>
      </c>
      <c r="G348">
        <v>8883</v>
      </c>
      <c r="H348">
        <v>88000</v>
      </c>
    </row>
    <row r="349" spans="2:8">
      <c r="B349" t="s">
        <v>442</v>
      </c>
      <c r="C349" t="s">
        <v>180</v>
      </c>
      <c r="D349">
        <v>8882</v>
      </c>
      <c r="E349">
        <v>8891</v>
      </c>
      <c r="F349">
        <v>8874</v>
      </c>
      <c r="G349">
        <v>8877</v>
      </c>
      <c r="H349">
        <v>82400</v>
      </c>
    </row>
    <row r="350" spans="2:8">
      <c r="B350" t="s">
        <v>442</v>
      </c>
      <c r="C350" t="s">
        <v>181</v>
      </c>
      <c r="D350">
        <v>8877</v>
      </c>
      <c r="E350">
        <v>8894</v>
      </c>
      <c r="F350">
        <v>8861</v>
      </c>
      <c r="G350">
        <v>8886</v>
      </c>
      <c r="H350">
        <v>149500</v>
      </c>
    </row>
    <row r="351" spans="2:8">
      <c r="B351" t="s">
        <v>442</v>
      </c>
      <c r="C351" t="s">
        <v>182</v>
      </c>
      <c r="D351">
        <v>8886</v>
      </c>
      <c r="E351">
        <v>8887</v>
      </c>
      <c r="F351">
        <v>8878</v>
      </c>
      <c r="G351">
        <v>8881</v>
      </c>
      <c r="H351">
        <v>45200</v>
      </c>
    </row>
    <row r="352" spans="2:8">
      <c r="B352" t="s">
        <v>442</v>
      </c>
      <c r="C352" t="s">
        <v>183</v>
      </c>
      <c r="D352">
        <v>8881</v>
      </c>
      <c r="E352">
        <v>8885</v>
      </c>
      <c r="F352">
        <v>8871</v>
      </c>
      <c r="G352">
        <v>8874</v>
      </c>
      <c r="H352">
        <v>60100</v>
      </c>
    </row>
    <row r="353" spans="2:8">
      <c r="B353" t="s">
        <v>442</v>
      </c>
      <c r="C353" t="s">
        <v>184</v>
      </c>
      <c r="D353">
        <v>8873</v>
      </c>
      <c r="E353">
        <v>8875</v>
      </c>
      <c r="F353">
        <v>8861</v>
      </c>
      <c r="G353">
        <v>8862</v>
      </c>
      <c r="H353">
        <v>83200</v>
      </c>
    </row>
    <row r="354" spans="2:8">
      <c r="B354" t="s">
        <v>442</v>
      </c>
      <c r="C354" t="s">
        <v>185</v>
      </c>
      <c r="D354">
        <v>8861</v>
      </c>
      <c r="E354">
        <v>8876</v>
      </c>
      <c r="F354">
        <v>8853</v>
      </c>
      <c r="G354">
        <v>8862</v>
      </c>
      <c r="H354">
        <v>118800</v>
      </c>
    </row>
    <row r="355" spans="2:8">
      <c r="B355" t="s">
        <v>442</v>
      </c>
      <c r="C355" t="s">
        <v>186</v>
      </c>
      <c r="D355">
        <v>8861</v>
      </c>
      <c r="E355">
        <v>8887</v>
      </c>
      <c r="F355">
        <v>8858</v>
      </c>
      <c r="G355">
        <v>8883</v>
      </c>
      <c r="H355">
        <v>101800</v>
      </c>
    </row>
    <row r="356" spans="2:8">
      <c r="B356" t="s">
        <v>442</v>
      </c>
      <c r="C356" t="s">
        <v>187</v>
      </c>
      <c r="D356">
        <v>8884</v>
      </c>
      <c r="E356">
        <v>8887</v>
      </c>
      <c r="F356">
        <v>8877</v>
      </c>
      <c r="G356">
        <v>8878</v>
      </c>
      <c r="H356">
        <v>70700</v>
      </c>
    </row>
    <row r="357" spans="2:8">
      <c r="B357" t="s">
        <v>442</v>
      </c>
      <c r="C357" t="s">
        <v>188</v>
      </c>
      <c r="D357">
        <v>8879</v>
      </c>
      <c r="E357">
        <v>8883</v>
      </c>
      <c r="F357">
        <v>8863</v>
      </c>
      <c r="G357">
        <v>8866</v>
      </c>
      <c r="H357">
        <v>82400</v>
      </c>
    </row>
    <row r="358" spans="2:8">
      <c r="B358" t="s">
        <v>442</v>
      </c>
      <c r="C358" t="s">
        <v>189</v>
      </c>
      <c r="D358">
        <v>8866</v>
      </c>
      <c r="E358">
        <v>8870</v>
      </c>
      <c r="F358">
        <v>8858</v>
      </c>
      <c r="G358">
        <v>8864</v>
      </c>
      <c r="H358">
        <v>51100</v>
      </c>
    </row>
    <row r="359" spans="2:8">
      <c r="B359" t="s">
        <v>442</v>
      </c>
      <c r="C359" t="s">
        <v>190</v>
      </c>
      <c r="D359">
        <v>8865</v>
      </c>
      <c r="E359">
        <v>8882</v>
      </c>
      <c r="F359">
        <v>8865</v>
      </c>
      <c r="G359">
        <v>8882</v>
      </c>
      <c r="H359">
        <v>66600</v>
      </c>
    </row>
    <row r="360" spans="2:8">
      <c r="B360" t="s">
        <v>442</v>
      </c>
      <c r="C360" t="s">
        <v>191</v>
      </c>
      <c r="D360">
        <v>8881</v>
      </c>
      <c r="E360">
        <v>8893</v>
      </c>
      <c r="F360">
        <v>8879</v>
      </c>
      <c r="G360">
        <v>8890</v>
      </c>
      <c r="H360">
        <v>104300</v>
      </c>
    </row>
    <row r="361" spans="2:8">
      <c r="B361" t="s">
        <v>442</v>
      </c>
      <c r="C361" t="s">
        <v>192</v>
      </c>
      <c r="D361">
        <v>8889</v>
      </c>
      <c r="E361">
        <v>8895</v>
      </c>
      <c r="F361">
        <v>8884</v>
      </c>
      <c r="G361">
        <v>8892</v>
      </c>
      <c r="H361">
        <v>79300</v>
      </c>
    </row>
    <row r="362" spans="2:8">
      <c r="B362" t="s">
        <v>442</v>
      </c>
      <c r="C362" t="s">
        <v>193</v>
      </c>
      <c r="D362">
        <v>8893</v>
      </c>
      <c r="E362">
        <v>8906</v>
      </c>
      <c r="F362">
        <v>8887</v>
      </c>
      <c r="G362">
        <v>8889</v>
      </c>
      <c r="H362">
        <v>157400</v>
      </c>
    </row>
    <row r="363" spans="2:8">
      <c r="B363" t="s">
        <v>442</v>
      </c>
      <c r="C363" t="s">
        <v>194</v>
      </c>
      <c r="D363">
        <v>8889</v>
      </c>
      <c r="E363">
        <v>8893</v>
      </c>
      <c r="F363">
        <v>8882</v>
      </c>
      <c r="G363">
        <v>8884</v>
      </c>
      <c r="H363">
        <v>59100</v>
      </c>
    </row>
    <row r="364" spans="2:8">
      <c r="B364" t="s">
        <v>442</v>
      </c>
      <c r="C364" t="s">
        <v>195</v>
      </c>
      <c r="D364">
        <v>8885</v>
      </c>
      <c r="E364">
        <v>8890</v>
      </c>
      <c r="F364">
        <v>8883</v>
      </c>
      <c r="G364">
        <v>8888</v>
      </c>
      <c r="H364">
        <v>53200</v>
      </c>
    </row>
    <row r="365" spans="2:8">
      <c r="B365" t="s">
        <v>442</v>
      </c>
      <c r="C365" t="s">
        <v>196</v>
      </c>
      <c r="D365">
        <v>8888</v>
      </c>
      <c r="E365">
        <v>8892</v>
      </c>
      <c r="F365">
        <v>8876</v>
      </c>
      <c r="G365">
        <v>8879</v>
      </c>
      <c r="H365">
        <v>93300</v>
      </c>
    </row>
    <row r="366" spans="2:8">
      <c r="B366" t="s">
        <v>442</v>
      </c>
      <c r="C366" t="s">
        <v>197</v>
      </c>
      <c r="D366">
        <v>8879</v>
      </c>
      <c r="E366">
        <v>8880</v>
      </c>
      <c r="F366">
        <v>8875</v>
      </c>
      <c r="G366">
        <v>8877</v>
      </c>
      <c r="H366">
        <v>37600</v>
      </c>
    </row>
    <row r="367" spans="2:8">
      <c r="B367" t="s">
        <v>442</v>
      </c>
      <c r="C367" t="s">
        <v>198</v>
      </c>
      <c r="D367">
        <v>8877</v>
      </c>
      <c r="E367">
        <v>8877</v>
      </c>
      <c r="F367">
        <v>8868</v>
      </c>
      <c r="G367">
        <v>8874</v>
      </c>
      <c r="H367">
        <v>70200</v>
      </c>
    </row>
    <row r="368" spans="2:8">
      <c r="B368" t="s">
        <v>442</v>
      </c>
      <c r="C368" t="s">
        <v>199</v>
      </c>
      <c r="D368">
        <v>8874</v>
      </c>
      <c r="E368">
        <v>8887</v>
      </c>
      <c r="F368">
        <v>8874</v>
      </c>
      <c r="G368">
        <v>8881</v>
      </c>
      <c r="H368">
        <v>68000</v>
      </c>
    </row>
    <row r="369" spans="2:8">
      <c r="B369" t="s">
        <v>442</v>
      </c>
      <c r="C369" t="s">
        <v>200</v>
      </c>
      <c r="D369">
        <v>8881</v>
      </c>
      <c r="E369">
        <v>8888</v>
      </c>
      <c r="F369">
        <v>8879</v>
      </c>
      <c r="G369">
        <v>8885</v>
      </c>
      <c r="H369">
        <v>35400</v>
      </c>
    </row>
    <row r="370" spans="2:8">
      <c r="B370" t="s">
        <v>442</v>
      </c>
      <c r="C370" t="s">
        <v>201</v>
      </c>
      <c r="D370">
        <v>8885</v>
      </c>
      <c r="E370">
        <v>8890</v>
      </c>
      <c r="F370">
        <v>8884</v>
      </c>
      <c r="G370">
        <v>8889</v>
      </c>
      <c r="H370">
        <v>40600</v>
      </c>
    </row>
    <row r="371" spans="2:8">
      <c r="B371" t="s">
        <v>442</v>
      </c>
      <c r="C371" t="s">
        <v>202</v>
      </c>
      <c r="D371">
        <v>8889</v>
      </c>
      <c r="E371">
        <v>8890</v>
      </c>
      <c r="F371">
        <v>8878</v>
      </c>
      <c r="G371">
        <v>8881</v>
      </c>
      <c r="H371">
        <v>44600</v>
      </c>
    </row>
    <row r="372" spans="2:8">
      <c r="B372" t="s">
        <v>442</v>
      </c>
      <c r="C372" t="s">
        <v>203</v>
      </c>
      <c r="D372">
        <v>8883</v>
      </c>
      <c r="E372">
        <v>8887</v>
      </c>
      <c r="F372">
        <v>8881</v>
      </c>
      <c r="G372">
        <v>8886</v>
      </c>
      <c r="H372">
        <v>22400</v>
      </c>
    </row>
    <row r="373" spans="2:8">
      <c r="B373" t="s">
        <v>442</v>
      </c>
      <c r="C373" t="s">
        <v>204</v>
      </c>
      <c r="D373">
        <v>8885</v>
      </c>
      <c r="E373">
        <v>8897</v>
      </c>
      <c r="F373">
        <v>8885</v>
      </c>
      <c r="G373">
        <v>8892</v>
      </c>
      <c r="H373">
        <v>77800</v>
      </c>
    </row>
    <row r="374" spans="2:8">
      <c r="B374" t="s">
        <v>442</v>
      </c>
      <c r="C374" t="s">
        <v>205</v>
      </c>
      <c r="D374">
        <v>8892</v>
      </c>
      <c r="E374">
        <v>8894</v>
      </c>
      <c r="F374">
        <v>8889</v>
      </c>
      <c r="G374">
        <v>8891</v>
      </c>
      <c r="H374">
        <v>29100</v>
      </c>
    </row>
    <row r="375" spans="2:8">
      <c r="B375" t="s">
        <v>442</v>
      </c>
      <c r="C375" t="s">
        <v>206</v>
      </c>
      <c r="D375">
        <v>8891</v>
      </c>
      <c r="E375">
        <v>8892</v>
      </c>
      <c r="F375">
        <v>8877</v>
      </c>
      <c r="G375">
        <v>8885</v>
      </c>
      <c r="H375">
        <v>65400</v>
      </c>
    </row>
    <row r="376" spans="2:8">
      <c r="B376" t="s">
        <v>442</v>
      </c>
      <c r="C376" t="s">
        <v>207</v>
      </c>
      <c r="D376">
        <v>8886</v>
      </c>
      <c r="E376">
        <v>8887</v>
      </c>
      <c r="F376">
        <v>8871</v>
      </c>
      <c r="G376">
        <v>8875</v>
      </c>
      <c r="H376">
        <v>73700</v>
      </c>
    </row>
    <row r="377" spans="2:8">
      <c r="B377" t="s">
        <v>442</v>
      </c>
      <c r="C377" t="s">
        <v>208</v>
      </c>
      <c r="D377">
        <v>8875</v>
      </c>
      <c r="E377">
        <v>8881</v>
      </c>
      <c r="F377">
        <v>8875</v>
      </c>
      <c r="G377">
        <v>8881</v>
      </c>
      <c r="H377">
        <v>29300</v>
      </c>
    </row>
    <row r="378" spans="2:8">
      <c r="B378" t="s">
        <v>442</v>
      </c>
      <c r="C378" t="s">
        <v>209</v>
      </c>
      <c r="D378">
        <v>8882</v>
      </c>
      <c r="E378">
        <v>8882</v>
      </c>
      <c r="F378">
        <v>8876</v>
      </c>
      <c r="G378">
        <v>8878</v>
      </c>
      <c r="H378">
        <v>43700</v>
      </c>
    </row>
    <row r="379" spans="2:8">
      <c r="B379" t="s">
        <v>442</v>
      </c>
      <c r="C379" t="s">
        <v>210</v>
      </c>
      <c r="D379">
        <v>8879</v>
      </c>
      <c r="E379">
        <v>8881</v>
      </c>
      <c r="F379">
        <v>8876</v>
      </c>
      <c r="G379">
        <v>8878</v>
      </c>
      <c r="H379">
        <v>34500</v>
      </c>
    </row>
    <row r="380" spans="2:8">
      <c r="B380" t="s">
        <v>442</v>
      </c>
      <c r="C380" t="s">
        <v>211</v>
      </c>
      <c r="D380">
        <v>8877</v>
      </c>
      <c r="E380">
        <v>8877</v>
      </c>
      <c r="F380">
        <v>8866</v>
      </c>
      <c r="G380">
        <v>8873</v>
      </c>
      <c r="H380">
        <v>99400</v>
      </c>
    </row>
    <row r="381" spans="2:8">
      <c r="B381" t="s">
        <v>442</v>
      </c>
      <c r="C381" t="s">
        <v>212</v>
      </c>
      <c r="D381">
        <v>8872</v>
      </c>
      <c r="E381">
        <v>8887</v>
      </c>
      <c r="F381">
        <v>8869</v>
      </c>
      <c r="G381">
        <v>8886</v>
      </c>
      <c r="H381">
        <v>75200</v>
      </c>
    </row>
    <row r="382" spans="2:8">
      <c r="B382" t="s">
        <v>442</v>
      </c>
      <c r="C382" t="s">
        <v>213</v>
      </c>
      <c r="D382">
        <v>8885</v>
      </c>
      <c r="E382">
        <v>8888</v>
      </c>
      <c r="F382">
        <v>8881</v>
      </c>
      <c r="G382">
        <v>8884</v>
      </c>
      <c r="H382">
        <v>33400</v>
      </c>
    </row>
    <row r="383" spans="2:8">
      <c r="B383" t="s">
        <v>442</v>
      </c>
      <c r="C383" t="s">
        <v>214</v>
      </c>
      <c r="D383">
        <v>8885</v>
      </c>
      <c r="E383">
        <v>8890</v>
      </c>
      <c r="F383">
        <v>8873</v>
      </c>
      <c r="G383">
        <v>8875</v>
      </c>
      <c r="H383">
        <v>68800</v>
      </c>
    </row>
    <row r="384" spans="2:8">
      <c r="B384" t="s">
        <v>442</v>
      </c>
      <c r="C384" t="s">
        <v>215</v>
      </c>
      <c r="D384">
        <v>8874</v>
      </c>
      <c r="E384">
        <v>8879</v>
      </c>
      <c r="F384">
        <v>8871</v>
      </c>
      <c r="G384">
        <v>8878</v>
      </c>
      <c r="H384">
        <v>32300</v>
      </c>
    </row>
    <row r="385" spans="2:8">
      <c r="B385" t="s">
        <v>442</v>
      </c>
      <c r="C385" t="s">
        <v>216</v>
      </c>
      <c r="D385">
        <v>8879</v>
      </c>
      <c r="E385">
        <v>8879</v>
      </c>
      <c r="F385">
        <v>8876</v>
      </c>
      <c r="G385">
        <v>8879</v>
      </c>
      <c r="H385">
        <v>17300</v>
      </c>
    </row>
    <row r="386" spans="2:8">
      <c r="B386" t="s">
        <v>442</v>
      </c>
      <c r="C386" t="s">
        <v>217</v>
      </c>
      <c r="D386">
        <v>8878</v>
      </c>
      <c r="E386">
        <v>8882</v>
      </c>
      <c r="F386">
        <v>8868</v>
      </c>
      <c r="G386">
        <v>8870</v>
      </c>
      <c r="H386">
        <v>64600</v>
      </c>
    </row>
    <row r="387" spans="2:8">
      <c r="B387" t="s">
        <v>442</v>
      </c>
      <c r="C387" t="s">
        <v>218</v>
      </c>
      <c r="D387">
        <v>8870</v>
      </c>
      <c r="E387">
        <v>8871</v>
      </c>
      <c r="F387">
        <v>8865</v>
      </c>
      <c r="G387">
        <v>8866</v>
      </c>
      <c r="H387">
        <v>39000</v>
      </c>
    </row>
    <row r="388" spans="2:8">
      <c r="B388" t="s">
        <v>442</v>
      </c>
      <c r="C388" t="s">
        <v>219</v>
      </c>
      <c r="D388">
        <v>8867</v>
      </c>
      <c r="E388">
        <v>8871</v>
      </c>
      <c r="F388">
        <v>8862</v>
      </c>
      <c r="G388">
        <v>8868</v>
      </c>
      <c r="H388">
        <v>55300</v>
      </c>
    </row>
    <row r="389" spans="2:8">
      <c r="B389" t="s">
        <v>442</v>
      </c>
      <c r="C389" t="s">
        <v>220</v>
      </c>
      <c r="D389">
        <v>8868</v>
      </c>
      <c r="E389">
        <v>8872</v>
      </c>
      <c r="F389">
        <v>8842</v>
      </c>
      <c r="G389">
        <v>8845</v>
      </c>
      <c r="H389">
        <v>130300</v>
      </c>
    </row>
    <row r="390" spans="2:8">
      <c r="B390" t="s">
        <v>442</v>
      </c>
      <c r="C390" t="s">
        <v>221</v>
      </c>
      <c r="D390">
        <v>8845</v>
      </c>
      <c r="E390">
        <v>8858</v>
      </c>
      <c r="F390">
        <v>8845</v>
      </c>
      <c r="G390">
        <v>8857</v>
      </c>
      <c r="H390">
        <v>74700</v>
      </c>
    </row>
    <row r="391" spans="2:8">
      <c r="B391" t="s">
        <v>442</v>
      </c>
      <c r="C391" t="s">
        <v>222</v>
      </c>
      <c r="D391">
        <v>8857</v>
      </c>
      <c r="E391">
        <v>8860</v>
      </c>
      <c r="F391">
        <v>8848</v>
      </c>
      <c r="G391">
        <v>8855</v>
      </c>
      <c r="H391">
        <v>61500</v>
      </c>
    </row>
    <row r="392" spans="2:8">
      <c r="B392" t="s">
        <v>442</v>
      </c>
      <c r="C392" t="s">
        <v>223</v>
      </c>
      <c r="D392">
        <v>8856</v>
      </c>
      <c r="E392">
        <v>8859</v>
      </c>
      <c r="F392">
        <v>8850</v>
      </c>
      <c r="G392">
        <v>8856</v>
      </c>
      <c r="H392">
        <v>36600</v>
      </c>
    </row>
    <row r="393" spans="2:8">
      <c r="B393" t="s">
        <v>442</v>
      </c>
      <c r="C393" t="s">
        <v>224</v>
      </c>
      <c r="D393">
        <v>8856</v>
      </c>
      <c r="E393">
        <v>8870</v>
      </c>
      <c r="F393">
        <v>8855</v>
      </c>
      <c r="G393">
        <v>8865</v>
      </c>
      <c r="H393">
        <v>63700</v>
      </c>
    </row>
    <row r="394" spans="2:8">
      <c r="B394" t="s">
        <v>442</v>
      </c>
      <c r="C394" t="s">
        <v>225</v>
      </c>
      <c r="D394">
        <v>8866</v>
      </c>
      <c r="E394">
        <v>8873</v>
      </c>
      <c r="F394">
        <v>8853</v>
      </c>
      <c r="G394">
        <v>8855</v>
      </c>
      <c r="H394">
        <v>71300</v>
      </c>
    </row>
    <row r="395" spans="2:8">
      <c r="B395" t="s">
        <v>442</v>
      </c>
      <c r="C395" t="s">
        <v>226</v>
      </c>
      <c r="D395">
        <v>8854</v>
      </c>
      <c r="E395">
        <v>8858</v>
      </c>
      <c r="F395">
        <v>8843</v>
      </c>
      <c r="G395">
        <v>8854</v>
      </c>
      <c r="H395">
        <v>83100</v>
      </c>
    </row>
    <row r="396" spans="2:8">
      <c r="B396" t="s">
        <v>442</v>
      </c>
      <c r="C396" t="s">
        <v>227</v>
      </c>
      <c r="D396">
        <v>8855</v>
      </c>
      <c r="E396">
        <v>8857</v>
      </c>
      <c r="F396">
        <v>8850</v>
      </c>
      <c r="G396">
        <v>8855</v>
      </c>
      <c r="H396">
        <v>26500</v>
      </c>
    </row>
    <row r="397" spans="2:8">
      <c r="B397" t="s">
        <v>442</v>
      </c>
      <c r="C397" t="s">
        <v>228</v>
      </c>
      <c r="D397">
        <v>8854</v>
      </c>
      <c r="E397">
        <v>8859</v>
      </c>
      <c r="F397">
        <v>8851</v>
      </c>
      <c r="G397">
        <v>8858</v>
      </c>
      <c r="H397">
        <v>34100</v>
      </c>
    </row>
    <row r="398" spans="2:8">
      <c r="B398" t="s">
        <v>442</v>
      </c>
      <c r="C398" t="s">
        <v>229</v>
      </c>
      <c r="D398">
        <v>8859</v>
      </c>
      <c r="E398">
        <v>8863</v>
      </c>
      <c r="F398">
        <v>8857</v>
      </c>
      <c r="G398">
        <v>8857</v>
      </c>
      <c r="H398">
        <v>49600</v>
      </c>
    </row>
    <row r="399" spans="2:8">
      <c r="B399" t="s">
        <v>442</v>
      </c>
      <c r="C399" t="s">
        <v>230</v>
      </c>
      <c r="D399">
        <v>8858</v>
      </c>
      <c r="E399">
        <v>8859</v>
      </c>
      <c r="F399">
        <v>8852</v>
      </c>
      <c r="G399">
        <v>8857</v>
      </c>
      <c r="H399">
        <v>21700</v>
      </c>
    </row>
    <row r="400" spans="2:8">
      <c r="B400" t="s">
        <v>442</v>
      </c>
      <c r="C400" t="s">
        <v>231</v>
      </c>
      <c r="D400">
        <v>8857</v>
      </c>
      <c r="E400">
        <v>8858</v>
      </c>
      <c r="F400">
        <v>8842</v>
      </c>
      <c r="G400">
        <v>8845</v>
      </c>
      <c r="H400">
        <v>77100</v>
      </c>
    </row>
    <row r="401" spans="2:8">
      <c r="B401" t="s">
        <v>442</v>
      </c>
      <c r="C401" t="s">
        <v>232</v>
      </c>
      <c r="D401">
        <v>8845</v>
      </c>
      <c r="E401">
        <v>8845</v>
      </c>
      <c r="F401">
        <v>8830</v>
      </c>
      <c r="G401">
        <v>8834</v>
      </c>
      <c r="H401">
        <v>80600</v>
      </c>
    </row>
    <row r="402" spans="2:8">
      <c r="B402" t="s">
        <v>442</v>
      </c>
      <c r="C402" t="s">
        <v>233</v>
      </c>
      <c r="D402">
        <v>8835</v>
      </c>
      <c r="E402">
        <v>8844</v>
      </c>
      <c r="F402">
        <v>8831</v>
      </c>
      <c r="G402">
        <v>8838</v>
      </c>
      <c r="H402">
        <v>54200</v>
      </c>
    </row>
    <row r="403" spans="2:8">
      <c r="B403" t="s">
        <v>442</v>
      </c>
      <c r="C403" t="s">
        <v>234</v>
      </c>
      <c r="D403">
        <v>8838</v>
      </c>
      <c r="E403">
        <v>8847</v>
      </c>
      <c r="F403">
        <v>8836</v>
      </c>
      <c r="G403">
        <v>8838</v>
      </c>
      <c r="H403">
        <v>48100</v>
      </c>
    </row>
    <row r="404" spans="2:8">
      <c r="B404" t="s">
        <v>442</v>
      </c>
      <c r="C404" t="s">
        <v>235</v>
      </c>
      <c r="D404">
        <v>8838</v>
      </c>
      <c r="E404">
        <v>8847</v>
      </c>
      <c r="F404">
        <v>8838</v>
      </c>
      <c r="G404">
        <v>8844</v>
      </c>
      <c r="H404">
        <v>28600</v>
      </c>
    </row>
    <row r="405" spans="2:8">
      <c r="B405" t="s">
        <v>442</v>
      </c>
      <c r="C405" t="s">
        <v>236</v>
      </c>
      <c r="D405">
        <v>8842</v>
      </c>
      <c r="E405">
        <v>8843</v>
      </c>
      <c r="F405">
        <v>8835</v>
      </c>
      <c r="G405">
        <v>8841</v>
      </c>
      <c r="H405">
        <v>28400</v>
      </c>
    </row>
    <row r="406" spans="2:8">
      <c r="B406" t="s">
        <v>442</v>
      </c>
      <c r="C406" t="s">
        <v>237</v>
      </c>
      <c r="D406">
        <v>8840</v>
      </c>
      <c r="E406">
        <v>8845</v>
      </c>
      <c r="F406">
        <v>8835</v>
      </c>
      <c r="G406">
        <v>8843</v>
      </c>
      <c r="H406">
        <v>36300</v>
      </c>
    </row>
    <row r="407" spans="2:8">
      <c r="B407" t="s">
        <v>442</v>
      </c>
      <c r="C407" t="s">
        <v>238</v>
      </c>
      <c r="D407">
        <v>8843</v>
      </c>
      <c r="E407">
        <v>8850</v>
      </c>
      <c r="F407">
        <v>8843</v>
      </c>
      <c r="G407">
        <v>8849</v>
      </c>
      <c r="H407">
        <v>39600</v>
      </c>
    </row>
    <row r="408" spans="2:8">
      <c r="B408" t="s">
        <v>442</v>
      </c>
      <c r="C408" t="s">
        <v>239</v>
      </c>
      <c r="D408">
        <v>8849</v>
      </c>
      <c r="E408">
        <v>8858</v>
      </c>
      <c r="F408">
        <v>8848</v>
      </c>
      <c r="G408">
        <v>8858</v>
      </c>
      <c r="H408">
        <v>51200</v>
      </c>
    </row>
    <row r="409" spans="2:8">
      <c r="B409" t="s">
        <v>442</v>
      </c>
      <c r="C409" t="s">
        <v>240</v>
      </c>
      <c r="D409">
        <v>8857</v>
      </c>
      <c r="E409">
        <v>8857</v>
      </c>
      <c r="F409">
        <v>8851</v>
      </c>
      <c r="G409">
        <v>8852</v>
      </c>
      <c r="H409">
        <v>20300</v>
      </c>
    </row>
    <row r="410" spans="2:8">
      <c r="B410" t="s">
        <v>442</v>
      </c>
      <c r="C410" t="s">
        <v>241</v>
      </c>
      <c r="D410">
        <v>8851</v>
      </c>
      <c r="E410">
        <v>8873</v>
      </c>
      <c r="F410">
        <v>8851</v>
      </c>
      <c r="G410">
        <v>8869</v>
      </c>
      <c r="H410">
        <v>113500</v>
      </c>
    </row>
    <row r="411" spans="2:8">
      <c r="B411" t="s">
        <v>442</v>
      </c>
      <c r="C411" t="s">
        <v>242</v>
      </c>
      <c r="D411">
        <v>8869</v>
      </c>
      <c r="E411">
        <v>8875</v>
      </c>
      <c r="F411">
        <v>8867</v>
      </c>
      <c r="G411">
        <v>8873</v>
      </c>
      <c r="H411">
        <v>54700</v>
      </c>
    </row>
    <row r="412" spans="2:8">
      <c r="B412" t="s">
        <v>442</v>
      </c>
      <c r="C412" t="s">
        <v>243</v>
      </c>
      <c r="D412">
        <v>8873</v>
      </c>
      <c r="E412">
        <v>8885</v>
      </c>
      <c r="F412">
        <v>8873</v>
      </c>
      <c r="G412">
        <v>8875</v>
      </c>
      <c r="H412">
        <v>101600</v>
      </c>
    </row>
    <row r="413" spans="2:8">
      <c r="B413" t="s">
        <v>442</v>
      </c>
      <c r="C413" t="s">
        <v>244</v>
      </c>
      <c r="D413">
        <v>8876</v>
      </c>
      <c r="E413">
        <v>8883</v>
      </c>
      <c r="F413">
        <v>8874</v>
      </c>
      <c r="G413">
        <v>8882</v>
      </c>
      <c r="H413">
        <v>42400</v>
      </c>
    </row>
    <row r="414" spans="2:8">
      <c r="B414" t="s">
        <v>442</v>
      </c>
      <c r="C414" t="s">
        <v>245</v>
      </c>
      <c r="D414">
        <v>8881</v>
      </c>
      <c r="E414">
        <v>8885</v>
      </c>
      <c r="F414">
        <v>8879</v>
      </c>
      <c r="G414">
        <v>8883</v>
      </c>
      <c r="H414">
        <v>47600</v>
      </c>
    </row>
    <row r="415" spans="2:8">
      <c r="B415" t="s">
        <v>442</v>
      </c>
      <c r="C415" t="s">
        <v>246</v>
      </c>
      <c r="D415">
        <v>8883</v>
      </c>
      <c r="E415">
        <v>8887</v>
      </c>
      <c r="F415">
        <v>8873</v>
      </c>
      <c r="G415">
        <v>8874</v>
      </c>
      <c r="H415">
        <v>63400</v>
      </c>
    </row>
    <row r="416" spans="2:8">
      <c r="B416" t="s">
        <v>442</v>
      </c>
      <c r="C416" t="s">
        <v>247</v>
      </c>
      <c r="D416">
        <v>8873</v>
      </c>
      <c r="E416">
        <v>8877</v>
      </c>
      <c r="F416">
        <v>8872</v>
      </c>
      <c r="G416">
        <v>8876</v>
      </c>
      <c r="H416">
        <v>28900</v>
      </c>
    </row>
    <row r="417" spans="2:8">
      <c r="B417" t="s">
        <v>442</v>
      </c>
      <c r="C417" t="s">
        <v>248</v>
      </c>
      <c r="D417">
        <v>8877</v>
      </c>
      <c r="E417">
        <v>8878</v>
      </c>
      <c r="F417">
        <v>8870</v>
      </c>
      <c r="G417">
        <v>8877</v>
      </c>
      <c r="H417">
        <v>37100</v>
      </c>
    </row>
    <row r="418" spans="2:8">
      <c r="B418" t="s">
        <v>442</v>
      </c>
      <c r="C418" t="s">
        <v>249</v>
      </c>
      <c r="D418">
        <v>8877</v>
      </c>
      <c r="E418">
        <v>8880</v>
      </c>
      <c r="F418">
        <v>8874</v>
      </c>
      <c r="G418">
        <v>8877</v>
      </c>
      <c r="H418">
        <v>17800</v>
      </c>
    </row>
    <row r="419" spans="2:8">
      <c r="B419" t="s">
        <v>442</v>
      </c>
      <c r="C419" t="s">
        <v>250</v>
      </c>
      <c r="D419">
        <v>8877</v>
      </c>
      <c r="E419">
        <v>8880</v>
      </c>
      <c r="F419">
        <v>8873</v>
      </c>
      <c r="G419">
        <v>8876</v>
      </c>
      <c r="H419">
        <v>24300</v>
      </c>
    </row>
    <row r="420" spans="2:8">
      <c r="B420" t="s">
        <v>442</v>
      </c>
      <c r="C420" t="s">
        <v>251</v>
      </c>
      <c r="D420">
        <v>8876</v>
      </c>
      <c r="E420">
        <v>8878</v>
      </c>
      <c r="F420">
        <v>8873</v>
      </c>
      <c r="G420">
        <v>8876</v>
      </c>
      <c r="H420">
        <v>11000</v>
      </c>
    </row>
    <row r="421" spans="2:8">
      <c r="B421" t="s">
        <v>442</v>
      </c>
      <c r="C421" t="s">
        <v>252</v>
      </c>
      <c r="D421">
        <v>8875</v>
      </c>
      <c r="E421">
        <v>8880</v>
      </c>
      <c r="F421">
        <v>8871</v>
      </c>
      <c r="G421">
        <v>8873</v>
      </c>
      <c r="H421">
        <v>36600</v>
      </c>
    </row>
    <row r="422" spans="2:8">
      <c r="B422" t="s">
        <v>442</v>
      </c>
      <c r="C422" t="s">
        <v>253</v>
      </c>
      <c r="D422">
        <v>8874</v>
      </c>
      <c r="E422">
        <v>8874</v>
      </c>
      <c r="F422">
        <v>8866</v>
      </c>
      <c r="G422">
        <v>8871</v>
      </c>
      <c r="H422">
        <v>43200</v>
      </c>
    </row>
    <row r="423" spans="2:8">
      <c r="B423" t="s">
        <v>442</v>
      </c>
      <c r="C423" t="s">
        <v>254</v>
      </c>
      <c r="D423">
        <v>8871</v>
      </c>
      <c r="E423">
        <v>8873</v>
      </c>
      <c r="F423">
        <v>8866</v>
      </c>
      <c r="G423">
        <v>8867</v>
      </c>
      <c r="H423">
        <v>29100</v>
      </c>
    </row>
    <row r="424" spans="2:8">
      <c r="B424" t="s">
        <v>442</v>
      </c>
      <c r="C424" t="s">
        <v>255</v>
      </c>
      <c r="D424">
        <v>8867</v>
      </c>
      <c r="E424">
        <v>8871</v>
      </c>
      <c r="F424">
        <v>8863</v>
      </c>
      <c r="G424">
        <v>8869</v>
      </c>
      <c r="H424">
        <v>42200</v>
      </c>
    </row>
    <row r="425" spans="2:8">
      <c r="B425" t="s">
        <v>442</v>
      </c>
      <c r="C425" t="s">
        <v>256</v>
      </c>
      <c r="D425">
        <v>8868</v>
      </c>
      <c r="E425">
        <v>8868</v>
      </c>
      <c r="F425">
        <v>8862</v>
      </c>
      <c r="G425">
        <v>8864</v>
      </c>
      <c r="H425">
        <v>28700</v>
      </c>
    </row>
    <row r="426" spans="2:8">
      <c r="B426" t="s">
        <v>442</v>
      </c>
      <c r="C426" t="s">
        <v>257</v>
      </c>
      <c r="D426">
        <v>8863</v>
      </c>
      <c r="E426">
        <v>8865</v>
      </c>
      <c r="F426">
        <v>8857</v>
      </c>
      <c r="G426">
        <v>8858</v>
      </c>
      <c r="H426">
        <v>30400</v>
      </c>
    </row>
    <row r="427" spans="2:8">
      <c r="B427" t="s">
        <v>442</v>
      </c>
      <c r="C427" t="s">
        <v>258</v>
      </c>
      <c r="D427">
        <v>8858</v>
      </c>
      <c r="E427">
        <v>8859</v>
      </c>
      <c r="F427">
        <v>8854</v>
      </c>
      <c r="G427">
        <v>8854</v>
      </c>
      <c r="H427">
        <v>28600</v>
      </c>
    </row>
    <row r="428" spans="2:8">
      <c r="B428" t="s">
        <v>442</v>
      </c>
      <c r="C428" t="s">
        <v>259</v>
      </c>
      <c r="D428">
        <v>8854</v>
      </c>
      <c r="E428">
        <v>8860</v>
      </c>
      <c r="F428">
        <v>8852</v>
      </c>
      <c r="G428">
        <v>8852</v>
      </c>
      <c r="H428">
        <v>33900</v>
      </c>
    </row>
    <row r="429" spans="2:8">
      <c r="B429" t="s">
        <v>442</v>
      </c>
      <c r="C429" t="s">
        <v>260</v>
      </c>
      <c r="D429">
        <v>8853</v>
      </c>
      <c r="E429">
        <v>8856</v>
      </c>
      <c r="F429">
        <v>8835</v>
      </c>
      <c r="G429">
        <v>8844</v>
      </c>
      <c r="H429">
        <v>97200</v>
      </c>
    </row>
    <row r="430" spans="2:8">
      <c r="B430" t="s">
        <v>442</v>
      </c>
      <c r="C430" t="s">
        <v>261</v>
      </c>
      <c r="D430">
        <v>8844</v>
      </c>
      <c r="E430">
        <v>8845</v>
      </c>
      <c r="F430">
        <v>8836</v>
      </c>
      <c r="G430">
        <v>8839</v>
      </c>
      <c r="H430">
        <v>49700</v>
      </c>
    </row>
    <row r="431" spans="2:8">
      <c r="B431" t="s">
        <v>442</v>
      </c>
      <c r="C431" t="s">
        <v>262</v>
      </c>
      <c r="D431">
        <v>8840</v>
      </c>
      <c r="E431">
        <v>8847</v>
      </c>
      <c r="F431">
        <v>8840</v>
      </c>
      <c r="G431">
        <v>8843</v>
      </c>
      <c r="H431">
        <v>32300</v>
      </c>
    </row>
    <row r="432" spans="2:8">
      <c r="B432" t="s">
        <v>442</v>
      </c>
      <c r="C432" t="s">
        <v>263</v>
      </c>
      <c r="D432">
        <v>8843</v>
      </c>
      <c r="E432">
        <v>8845</v>
      </c>
      <c r="F432">
        <v>8835</v>
      </c>
      <c r="G432">
        <v>8838</v>
      </c>
      <c r="H432">
        <v>70900</v>
      </c>
    </row>
    <row r="433" spans="2:8">
      <c r="B433" t="s">
        <v>442</v>
      </c>
      <c r="C433" t="s">
        <v>264</v>
      </c>
      <c r="D433">
        <v>8837</v>
      </c>
      <c r="E433">
        <v>8839</v>
      </c>
      <c r="F433">
        <v>8818</v>
      </c>
      <c r="G433">
        <v>8819</v>
      </c>
      <c r="H433">
        <v>118000</v>
      </c>
    </row>
    <row r="434" spans="2:8">
      <c r="B434" t="s">
        <v>442</v>
      </c>
      <c r="C434" t="s">
        <v>265</v>
      </c>
      <c r="D434">
        <v>8818</v>
      </c>
      <c r="E434">
        <v>8838</v>
      </c>
      <c r="F434">
        <v>8815</v>
      </c>
      <c r="G434">
        <v>8831</v>
      </c>
      <c r="H434">
        <v>70400</v>
      </c>
    </row>
    <row r="435" spans="2:8">
      <c r="B435" t="s">
        <v>442</v>
      </c>
      <c r="C435" t="s">
        <v>266</v>
      </c>
      <c r="D435">
        <v>8831</v>
      </c>
      <c r="E435">
        <v>8843</v>
      </c>
      <c r="F435">
        <v>8831</v>
      </c>
      <c r="G435">
        <v>8840</v>
      </c>
      <c r="H435">
        <v>53300</v>
      </c>
    </row>
    <row r="436" spans="2:8">
      <c r="B436" t="s">
        <v>442</v>
      </c>
      <c r="C436" t="s">
        <v>267</v>
      </c>
      <c r="D436">
        <v>8840</v>
      </c>
      <c r="E436">
        <v>8846</v>
      </c>
      <c r="F436">
        <v>8839</v>
      </c>
      <c r="G436">
        <v>8843</v>
      </c>
      <c r="H436">
        <v>37100</v>
      </c>
    </row>
    <row r="437" spans="2:8">
      <c r="B437" t="s">
        <v>442</v>
      </c>
      <c r="C437" t="s">
        <v>268</v>
      </c>
      <c r="D437">
        <v>8844</v>
      </c>
      <c r="E437">
        <v>8846</v>
      </c>
      <c r="F437">
        <v>8838</v>
      </c>
      <c r="G437">
        <v>8846</v>
      </c>
      <c r="H437">
        <v>34000</v>
      </c>
    </row>
    <row r="438" spans="2:8">
      <c r="B438" t="s">
        <v>442</v>
      </c>
      <c r="C438" t="s">
        <v>269</v>
      </c>
      <c r="D438">
        <v>8845</v>
      </c>
      <c r="E438">
        <v>8854</v>
      </c>
      <c r="F438">
        <v>8845</v>
      </c>
      <c r="G438">
        <v>8854</v>
      </c>
      <c r="H438">
        <v>63200</v>
      </c>
    </row>
    <row r="439" spans="2:8">
      <c r="B439" t="s">
        <v>442</v>
      </c>
      <c r="C439" t="s">
        <v>270</v>
      </c>
      <c r="D439">
        <v>8854</v>
      </c>
      <c r="E439">
        <v>8854</v>
      </c>
      <c r="F439">
        <v>8850</v>
      </c>
      <c r="G439">
        <v>8851</v>
      </c>
      <c r="H439">
        <v>17000</v>
      </c>
    </row>
    <row r="440" spans="2:8">
      <c r="B440" t="s">
        <v>442</v>
      </c>
      <c r="C440" t="s">
        <v>271</v>
      </c>
      <c r="D440">
        <v>8851</v>
      </c>
      <c r="E440">
        <v>8853</v>
      </c>
      <c r="F440">
        <v>8835</v>
      </c>
      <c r="G440">
        <v>8837</v>
      </c>
      <c r="H440">
        <v>82400</v>
      </c>
    </row>
    <row r="441" spans="2:8">
      <c r="B441" t="s">
        <v>442</v>
      </c>
      <c r="C441" t="s">
        <v>272</v>
      </c>
      <c r="D441">
        <v>8836</v>
      </c>
      <c r="E441">
        <v>8840</v>
      </c>
      <c r="F441">
        <v>8834</v>
      </c>
      <c r="G441">
        <v>8840</v>
      </c>
      <c r="H441">
        <v>21700</v>
      </c>
    </row>
    <row r="442" spans="2:8">
      <c r="B442" t="s">
        <v>442</v>
      </c>
      <c r="C442" t="s">
        <v>273</v>
      </c>
      <c r="D442">
        <v>8839</v>
      </c>
      <c r="E442">
        <v>8840</v>
      </c>
      <c r="F442">
        <v>8836</v>
      </c>
      <c r="G442">
        <v>8837</v>
      </c>
      <c r="H442">
        <v>18700</v>
      </c>
    </row>
    <row r="443" spans="2:8">
      <c r="B443" t="s">
        <v>442</v>
      </c>
      <c r="C443" t="s">
        <v>274</v>
      </c>
      <c r="D443">
        <v>8838</v>
      </c>
      <c r="E443">
        <v>8844</v>
      </c>
      <c r="F443">
        <v>8838</v>
      </c>
      <c r="G443">
        <v>8840</v>
      </c>
      <c r="H443">
        <v>16200</v>
      </c>
    </row>
    <row r="444" spans="2:8">
      <c r="B444" t="s">
        <v>442</v>
      </c>
      <c r="C444" t="s">
        <v>275</v>
      </c>
      <c r="D444">
        <v>8840</v>
      </c>
      <c r="E444">
        <v>8847</v>
      </c>
      <c r="F444">
        <v>8836</v>
      </c>
      <c r="G444">
        <v>8846</v>
      </c>
      <c r="H444">
        <v>24100</v>
      </c>
    </row>
    <row r="445" spans="2:8">
      <c r="B445" t="s">
        <v>442</v>
      </c>
      <c r="C445" t="s">
        <v>276</v>
      </c>
      <c r="D445">
        <v>8846</v>
      </c>
      <c r="E445">
        <v>8846</v>
      </c>
      <c r="F445">
        <v>8838</v>
      </c>
      <c r="G445">
        <v>8842</v>
      </c>
      <c r="H445">
        <v>30900</v>
      </c>
    </row>
    <row r="446" spans="2:8">
      <c r="B446" t="s">
        <v>442</v>
      </c>
      <c r="C446" t="s">
        <v>277</v>
      </c>
      <c r="D446">
        <v>8841</v>
      </c>
      <c r="E446">
        <v>8843</v>
      </c>
      <c r="F446">
        <v>8839</v>
      </c>
      <c r="G446">
        <v>8840</v>
      </c>
      <c r="H446">
        <v>11800</v>
      </c>
    </row>
    <row r="447" spans="2:8">
      <c r="B447" t="s">
        <v>442</v>
      </c>
      <c r="C447" t="s">
        <v>278</v>
      </c>
      <c r="D447">
        <v>8840</v>
      </c>
      <c r="E447">
        <v>8846</v>
      </c>
      <c r="F447">
        <v>8837</v>
      </c>
      <c r="G447">
        <v>8846</v>
      </c>
      <c r="H447">
        <v>15300</v>
      </c>
    </row>
    <row r="448" spans="2:8">
      <c r="B448" t="s">
        <v>442</v>
      </c>
      <c r="C448" t="s">
        <v>279</v>
      </c>
      <c r="D448">
        <v>8846</v>
      </c>
      <c r="E448">
        <v>8863</v>
      </c>
      <c r="F448">
        <v>8846</v>
      </c>
      <c r="G448">
        <v>8861</v>
      </c>
      <c r="H448">
        <v>78100</v>
      </c>
    </row>
    <row r="449" spans="2:8">
      <c r="B449" t="s">
        <v>442</v>
      </c>
      <c r="C449" t="s">
        <v>280</v>
      </c>
      <c r="D449">
        <v>8861</v>
      </c>
      <c r="E449">
        <v>8879</v>
      </c>
      <c r="F449">
        <v>8860</v>
      </c>
      <c r="G449">
        <v>8878</v>
      </c>
      <c r="H449">
        <v>89700</v>
      </c>
    </row>
    <row r="450" spans="2:8">
      <c r="B450" t="s">
        <v>442</v>
      </c>
      <c r="C450" t="s">
        <v>281</v>
      </c>
      <c r="D450">
        <v>8878</v>
      </c>
      <c r="E450">
        <v>8879</v>
      </c>
      <c r="F450">
        <v>8870</v>
      </c>
      <c r="G450">
        <v>8874</v>
      </c>
      <c r="H450">
        <v>47900</v>
      </c>
    </row>
    <row r="451" spans="2:8">
      <c r="B451" t="s">
        <v>442</v>
      </c>
      <c r="C451" t="s">
        <v>282</v>
      </c>
      <c r="D451">
        <v>8873</v>
      </c>
      <c r="E451">
        <v>8873</v>
      </c>
      <c r="F451">
        <v>8852</v>
      </c>
      <c r="G451">
        <v>8856</v>
      </c>
      <c r="H451">
        <v>44700</v>
      </c>
    </row>
    <row r="452" spans="2:8">
      <c r="B452" t="s">
        <v>442</v>
      </c>
      <c r="C452" t="s">
        <v>283</v>
      </c>
      <c r="D452">
        <v>8856</v>
      </c>
      <c r="E452">
        <v>8857</v>
      </c>
      <c r="F452">
        <v>8848</v>
      </c>
      <c r="G452">
        <v>8850</v>
      </c>
      <c r="H452">
        <v>23300</v>
      </c>
    </row>
    <row r="453" spans="2:8">
      <c r="B453" t="s">
        <v>442</v>
      </c>
      <c r="C453" t="s">
        <v>284</v>
      </c>
      <c r="D453">
        <v>8850</v>
      </c>
      <c r="E453">
        <v>8850</v>
      </c>
      <c r="F453">
        <v>8839</v>
      </c>
      <c r="G453">
        <v>8839</v>
      </c>
      <c r="H453">
        <v>36200</v>
      </c>
    </row>
    <row r="454" spans="2:8">
      <c r="B454" t="s">
        <v>442</v>
      </c>
      <c r="C454" t="s">
        <v>285</v>
      </c>
      <c r="D454">
        <v>8840</v>
      </c>
      <c r="E454">
        <v>8847</v>
      </c>
      <c r="F454">
        <v>8837</v>
      </c>
      <c r="G454">
        <v>8838</v>
      </c>
      <c r="H454">
        <v>39000</v>
      </c>
    </row>
    <row r="455" spans="2:8">
      <c r="B455" t="s">
        <v>442</v>
      </c>
      <c r="C455" t="s">
        <v>286</v>
      </c>
      <c r="D455">
        <v>8838</v>
      </c>
      <c r="E455">
        <v>8844</v>
      </c>
      <c r="F455">
        <v>8834</v>
      </c>
      <c r="G455">
        <v>8834</v>
      </c>
      <c r="H455">
        <v>47700</v>
      </c>
    </row>
    <row r="456" spans="2:8">
      <c r="B456" t="s">
        <v>442</v>
      </c>
      <c r="C456" t="s">
        <v>287</v>
      </c>
      <c r="D456">
        <v>8834</v>
      </c>
      <c r="E456">
        <v>8837</v>
      </c>
      <c r="F456">
        <v>8827</v>
      </c>
      <c r="G456">
        <v>8837</v>
      </c>
      <c r="H456">
        <v>44100</v>
      </c>
    </row>
    <row r="457" spans="2:8">
      <c r="B457" t="s">
        <v>442</v>
      </c>
      <c r="C457" t="s">
        <v>288</v>
      </c>
      <c r="D457">
        <v>8836</v>
      </c>
      <c r="E457">
        <v>8840</v>
      </c>
      <c r="F457">
        <v>8835</v>
      </c>
      <c r="G457">
        <v>8837</v>
      </c>
      <c r="H457">
        <v>27700</v>
      </c>
    </row>
    <row r="458" spans="2:8">
      <c r="B458" t="s">
        <v>442</v>
      </c>
      <c r="C458" t="s">
        <v>289</v>
      </c>
      <c r="D458">
        <v>8837</v>
      </c>
      <c r="E458">
        <v>8842</v>
      </c>
      <c r="F458">
        <v>8836</v>
      </c>
      <c r="G458">
        <v>8839</v>
      </c>
      <c r="H458">
        <v>29000</v>
      </c>
    </row>
    <row r="459" spans="2:8">
      <c r="B459" t="s">
        <v>442</v>
      </c>
      <c r="C459" t="s">
        <v>290</v>
      </c>
      <c r="D459">
        <v>8839</v>
      </c>
      <c r="E459">
        <v>8839</v>
      </c>
      <c r="F459">
        <v>8833</v>
      </c>
      <c r="G459">
        <v>8838</v>
      </c>
      <c r="H459">
        <v>35200</v>
      </c>
    </row>
    <row r="460" spans="2:8">
      <c r="B460" t="s">
        <v>442</v>
      </c>
      <c r="C460" t="s">
        <v>291</v>
      </c>
      <c r="D460">
        <v>8838</v>
      </c>
      <c r="E460">
        <v>8847</v>
      </c>
      <c r="F460">
        <v>8836</v>
      </c>
      <c r="G460">
        <v>8845</v>
      </c>
      <c r="H460">
        <v>37400</v>
      </c>
    </row>
    <row r="461" spans="2:8">
      <c r="B461" t="s">
        <v>442</v>
      </c>
      <c r="C461" t="s">
        <v>292</v>
      </c>
      <c r="D461">
        <v>8845</v>
      </c>
      <c r="E461">
        <v>8845</v>
      </c>
      <c r="F461">
        <v>8837</v>
      </c>
      <c r="G461">
        <v>8840</v>
      </c>
      <c r="H461">
        <v>15800</v>
      </c>
    </row>
    <row r="462" spans="2:8">
      <c r="B462" t="s">
        <v>442</v>
      </c>
      <c r="C462" t="s">
        <v>293</v>
      </c>
      <c r="D462">
        <v>8839</v>
      </c>
      <c r="E462">
        <v>8850</v>
      </c>
      <c r="F462">
        <v>8839</v>
      </c>
      <c r="G462">
        <v>8846</v>
      </c>
      <c r="H462">
        <v>29900</v>
      </c>
    </row>
    <row r="463" spans="2:8">
      <c r="B463" t="s">
        <v>442</v>
      </c>
      <c r="C463" t="s">
        <v>294</v>
      </c>
      <c r="D463">
        <v>8846</v>
      </c>
      <c r="E463">
        <v>8846</v>
      </c>
      <c r="F463">
        <v>8835</v>
      </c>
      <c r="G463">
        <v>8837</v>
      </c>
      <c r="H463">
        <v>24500</v>
      </c>
    </row>
    <row r="464" spans="2:8">
      <c r="B464" t="s">
        <v>442</v>
      </c>
      <c r="C464" t="s">
        <v>295</v>
      </c>
      <c r="D464">
        <v>8837</v>
      </c>
      <c r="E464">
        <v>8846</v>
      </c>
      <c r="F464">
        <v>8836</v>
      </c>
      <c r="G464">
        <v>8842</v>
      </c>
      <c r="H464">
        <v>21500</v>
      </c>
    </row>
    <row r="465" spans="2:8">
      <c r="B465" t="s">
        <v>442</v>
      </c>
      <c r="C465" t="s">
        <v>296</v>
      </c>
      <c r="D465">
        <v>8841</v>
      </c>
      <c r="E465">
        <v>8842</v>
      </c>
      <c r="F465">
        <v>8839</v>
      </c>
      <c r="G465">
        <v>8842</v>
      </c>
      <c r="H465">
        <v>8900</v>
      </c>
    </row>
    <row r="466" spans="2:8">
      <c r="B466" t="s">
        <v>442</v>
      </c>
      <c r="C466" t="s">
        <v>297</v>
      </c>
      <c r="D466">
        <v>8841</v>
      </c>
      <c r="E466">
        <v>8855</v>
      </c>
      <c r="F466">
        <v>8841</v>
      </c>
      <c r="G466">
        <v>8853</v>
      </c>
      <c r="H466">
        <v>59900</v>
      </c>
    </row>
    <row r="467" spans="2:8">
      <c r="B467" t="s">
        <v>442</v>
      </c>
      <c r="C467" t="s">
        <v>298</v>
      </c>
      <c r="D467">
        <v>8852</v>
      </c>
      <c r="E467">
        <v>8857</v>
      </c>
      <c r="F467">
        <v>8849</v>
      </c>
      <c r="G467">
        <v>8855</v>
      </c>
      <c r="H467">
        <v>21800</v>
      </c>
    </row>
    <row r="468" spans="2:8">
      <c r="B468" t="s">
        <v>442</v>
      </c>
      <c r="C468" t="s">
        <v>299</v>
      </c>
      <c r="D468">
        <v>8855</v>
      </c>
      <c r="E468">
        <v>8856</v>
      </c>
      <c r="F468">
        <v>8848</v>
      </c>
      <c r="G468">
        <v>8853</v>
      </c>
      <c r="H468">
        <v>29400</v>
      </c>
    </row>
    <row r="469" spans="2:8">
      <c r="B469" t="s">
        <v>442</v>
      </c>
      <c r="C469" t="s">
        <v>300</v>
      </c>
      <c r="D469">
        <v>8853</v>
      </c>
      <c r="E469">
        <v>8853</v>
      </c>
      <c r="F469">
        <v>8849</v>
      </c>
      <c r="G469">
        <v>8849</v>
      </c>
      <c r="H469">
        <v>9700</v>
      </c>
    </row>
    <row r="470" spans="2:8">
      <c r="B470" t="s">
        <v>442</v>
      </c>
      <c r="C470" t="s">
        <v>301</v>
      </c>
      <c r="D470">
        <v>8849</v>
      </c>
      <c r="E470">
        <v>8850</v>
      </c>
      <c r="F470">
        <v>8841</v>
      </c>
      <c r="G470">
        <v>8844</v>
      </c>
      <c r="H470">
        <v>22700</v>
      </c>
    </row>
    <row r="471" spans="2:8">
      <c r="B471" t="s">
        <v>442</v>
      </c>
      <c r="C471" t="s">
        <v>302</v>
      </c>
      <c r="D471">
        <v>8844</v>
      </c>
      <c r="E471">
        <v>8844</v>
      </c>
      <c r="F471">
        <v>8835</v>
      </c>
      <c r="G471">
        <v>8836</v>
      </c>
      <c r="H471">
        <v>23700</v>
      </c>
    </row>
    <row r="472" spans="2:8">
      <c r="B472" t="s">
        <v>442</v>
      </c>
      <c r="C472" t="s">
        <v>303</v>
      </c>
      <c r="D472">
        <v>8836</v>
      </c>
      <c r="E472">
        <v>8839</v>
      </c>
      <c r="F472">
        <v>8835</v>
      </c>
      <c r="G472">
        <v>8836</v>
      </c>
      <c r="H472">
        <v>17200</v>
      </c>
    </row>
    <row r="473" spans="2:8">
      <c r="B473" t="s">
        <v>442</v>
      </c>
      <c r="C473" t="s">
        <v>304</v>
      </c>
      <c r="D473">
        <v>8836</v>
      </c>
      <c r="E473">
        <v>8839</v>
      </c>
      <c r="F473">
        <v>8833</v>
      </c>
      <c r="G473">
        <v>8838</v>
      </c>
      <c r="H473">
        <v>25600</v>
      </c>
    </row>
    <row r="474" spans="2:8">
      <c r="B474" t="s">
        <v>442</v>
      </c>
      <c r="C474" t="s">
        <v>305</v>
      </c>
      <c r="D474">
        <v>8838</v>
      </c>
      <c r="E474">
        <v>8840</v>
      </c>
      <c r="F474">
        <v>8838</v>
      </c>
      <c r="G474">
        <v>8839</v>
      </c>
      <c r="H474">
        <v>7300</v>
      </c>
    </row>
    <row r="475" spans="2:8">
      <c r="B475" t="s">
        <v>442</v>
      </c>
      <c r="C475" t="s">
        <v>306</v>
      </c>
      <c r="D475">
        <v>8840</v>
      </c>
      <c r="E475">
        <v>8840</v>
      </c>
      <c r="F475">
        <v>8832</v>
      </c>
      <c r="G475">
        <v>8836</v>
      </c>
      <c r="H475">
        <v>45100</v>
      </c>
    </row>
    <row r="476" spans="2:8">
      <c r="B476" t="s">
        <v>442</v>
      </c>
      <c r="C476" t="s">
        <v>307</v>
      </c>
      <c r="D476">
        <v>8836</v>
      </c>
      <c r="E476">
        <v>8840</v>
      </c>
      <c r="F476">
        <v>8836</v>
      </c>
      <c r="G476">
        <v>8839</v>
      </c>
      <c r="H476">
        <v>9000</v>
      </c>
    </row>
    <row r="477" spans="2:8">
      <c r="B477" t="s">
        <v>442</v>
      </c>
      <c r="C477" t="s">
        <v>308</v>
      </c>
      <c r="D477">
        <v>8839</v>
      </c>
      <c r="E477">
        <v>8843</v>
      </c>
      <c r="F477">
        <v>8838</v>
      </c>
      <c r="G477">
        <v>8841</v>
      </c>
      <c r="H477">
        <v>13100</v>
      </c>
    </row>
    <row r="478" spans="2:8">
      <c r="B478" t="s">
        <v>442</v>
      </c>
      <c r="C478" t="s">
        <v>309</v>
      </c>
      <c r="D478">
        <v>8840</v>
      </c>
      <c r="E478">
        <v>8841</v>
      </c>
      <c r="F478">
        <v>8839</v>
      </c>
      <c r="G478">
        <v>8840</v>
      </c>
      <c r="H478">
        <v>4100</v>
      </c>
    </row>
    <row r="479" spans="2:8">
      <c r="B479" t="s">
        <v>442</v>
      </c>
      <c r="C479" t="s">
        <v>310</v>
      </c>
      <c r="D479">
        <v>8839</v>
      </c>
      <c r="E479">
        <v>8840</v>
      </c>
      <c r="F479">
        <v>8836</v>
      </c>
      <c r="G479">
        <v>8840</v>
      </c>
      <c r="H479">
        <v>4800</v>
      </c>
    </row>
    <row r="480" spans="2:8">
      <c r="B480" t="s">
        <v>442</v>
      </c>
      <c r="C480" t="s">
        <v>311</v>
      </c>
      <c r="D480">
        <v>8839</v>
      </c>
      <c r="E480">
        <v>8842</v>
      </c>
      <c r="F480">
        <v>8839</v>
      </c>
      <c r="G480">
        <v>8841</v>
      </c>
      <c r="H480">
        <v>5600</v>
      </c>
    </row>
    <row r="481" spans="2:8">
      <c r="B481" t="s">
        <v>442</v>
      </c>
      <c r="C481" t="s">
        <v>312</v>
      </c>
      <c r="D481">
        <v>8842</v>
      </c>
      <c r="E481">
        <v>8843</v>
      </c>
      <c r="F481">
        <v>8838</v>
      </c>
      <c r="G481">
        <v>8840</v>
      </c>
      <c r="H481">
        <v>11200</v>
      </c>
    </row>
    <row r="482" spans="2:8">
      <c r="B482" t="s">
        <v>442</v>
      </c>
      <c r="C482" t="s">
        <v>313</v>
      </c>
      <c r="D482">
        <v>8839</v>
      </c>
      <c r="E482">
        <v>8840</v>
      </c>
      <c r="F482">
        <v>8837</v>
      </c>
      <c r="G482">
        <v>8840</v>
      </c>
      <c r="H482">
        <v>4200</v>
      </c>
    </row>
    <row r="483" spans="2:8">
      <c r="B483" t="s">
        <v>442</v>
      </c>
      <c r="C483" t="s">
        <v>314</v>
      </c>
      <c r="D483">
        <v>8840</v>
      </c>
      <c r="E483">
        <v>8843</v>
      </c>
      <c r="F483">
        <v>8839</v>
      </c>
      <c r="G483">
        <v>8843</v>
      </c>
      <c r="H483">
        <v>7900</v>
      </c>
    </row>
    <row r="484" spans="2:8">
      <c r="B484" t="s">
        <v>442</v>
      </c>
      <c r="C484" t="s">
        <v>315</v>
      </c>
      <c r="D484">
        <v>8843</v>
      </c>
      <c r="E484">
        <v>8843</v>
      </c>
      <c r="F484">
        <v>8841</v>
      </c>
      <c r="G484">
        <v>8841</v>
      </c>
      <c r="H484">
        <v>11800</v>
      </c>
    </row>
    <row r="485" spans="2:8">
      <c r="B485" t="s">
        <v>442</v>
      </c>
      <c r="C485" t="s">
        <v>316</v>
      </c>
      <c r="D485">
        <v>8839</v>
      </c>
      <c r="E485">
        <v>8839</v>
      </c>
      <c r="F485">
        <v>8839</v>
      </c>
      <c r="G485">
        <v>8839</v>
      </c>
      <c r="H485">
        <v>20000</v>
      </c>
    </row>
    <row r="486" spans="2:8">
      <c r="B486" t="s">
        <v>442</v>
      </c>
      <c r="C486" t="s">
        <v>317</v>
      </c>
      <c r="D486">
        <v>8850</v>
      </c>
      <c r="E486">
        <v>8862</v>
      </c>
      <c r="F486">
        <v>8850</v>
      </c>
      <c r="G486">
        <v>8857</v>
      </c>
      <c r="H486">
        <v>107400</v>
      </c>
    </row>
    <row r="487" spans="2:8">
      <c r="B487" t="s">
        <v>442</v>
      </c>
      <c r="C487" t="s">
        <v>318</v>
      </c>
      <c r="D487">
        <v>8858</v>
      </c>
      <c r="E487">
        <v>8862</v>
      </c>
      <c r="F487">
        <v>8856</v>
      </c>
      <c r="G487">
        <v>8860</v>
      </c>
      <c r="H487">
        <v>56500</v>
      </c>
    </row>
    <row r="488" spans="2:8">
      <c r="B488" t="s">
        <v>442</v>
      </c>
      <c r="C488" t="s">
        <v>319</v>
      </c>
      <c r="D488">
        <v>8860</v>
      </c>
      <c r="E488">
        <v>8861</v>
      </c>
      <c r="F488">
        <v>8855</v>
      </c>
      <c r="G488">
        <v>8855</v>
      </c>
      <c r="H488">
        <v>45100</v>
      </c>
    </row>
    <row r="489" spans="2:8">
      <c r="B489" t="s">
        <v>442</v>
      </c>
      <c r="C489" t="s">
        <v>320</v>
      </c>
      <c r="D489">
        <v>8855</v>
      </c>
      <c r="E489">
        <v>8855</v>
      </c>
      <c r="F489">
        <v>8847</v>
      </c>
      <c r="G489">
        <v>8851</v>
      </c>
      <c r="H489">
        <v>32200</v>
      </c>
    </row>
    <row r="490" spans="2:8">
      <c r="B490" t="s">
        <v>442</v>
      </c>
      <c r="C490" t="s">
        <v>321</v>
      </c>
      <c r="D490">
        <v>8852</v>
      </c>
      <c r="E490">
        <v>8857</v>
      </c>
      <c r="F490">
        <v>8847</v>
      </c>
      <c r="G490">
        <v>8856</v>
      </c>
      <c r="H490">
        <v>27900</v>
      </c>
    </row>
    <row r="491" spans="2:8">
      <c r="B491" t="s">
        <v>442</v>
      </c>
      <c r="C491" t="s">
        <v>322</v>
      </c>
      <c r="D491">
        <v>8856</v>
      </c>
      <c r="E491">
        <v>8877</v>
      </c>
      <c r="F491">
        <v>8855</v>
      </c>
      <c r="G491">
        <v>8870</v>
      </c>
      <c r="H491">
        <v>108900</v>
      </c>
    </row>
    <row r="492" spans="2:8">
      <c r="B492" t="s">
        <v>442</v>
      </c>
      <c r="C492" t="s">
        <v>323</v>
      </c>
      <c r="D492">
        <v>8870</v>
      </c>
      <c r="E492">
        <v>8873</v>
      </c>
      <c r="F492">
        <v>8867</v>
      </c>
      <c r="G492">
        <v>8868</v>
      </c>
      <c r="H492">
        <v>42800</v>
      </c>
    </row>
    <row r="493" spans="2:8">
      <c r="B493" t="s">
        <v>442</v>
      </c>
      <c r="C493" t="s">
        <v>324</v>
      </c>
      <c r="D493">
        <v>8868</v>
      </c>
      <c r="E493">
        <v>8882</v>
      </c>
      <c r="F493">
        <v>8868</v>
      </c>
      <c r="G493">
        <v>8879</v>
      </c>
      <c r="H493">
        <v>100700</v>
      </c>
    </row>
    <row r="494" spans="2:8">
      <c r="B494" t="s">
        <v>442</v>
      </c>
      <c r="C494" t="s">
        <v>325</v>
      </c>
      <c r="D494">
        <v>8879</v>
      </c>
      <c r="E494">
        <v>8880</v>
      </c>
      <c r="F494">
        <v>8876</v>
      </c>
      <c r="G494">
        <v>8877</v>
      </c>
      <c r="H494">
        <v>48800</v>
      </c>
    </row>
    <row r="495" spans="2:8">
      <c r="B495" t="s">
        <v>442</v>
      </c>
      <c r="C495" t="s">
        <v>326</v>
      </c>
      <c r="D495">
        <v>8877</v>
      </c>
      <c r="E495">
        <v>8888</v>
      </c>
      <c r="F495">
        <v>8877</v>
      </c>
      <c r="G495">
        <v>8886</v>
      </c>
      <c r="H495">
        <v>102400</v>
      </c>
    </row>
    <row r="496" spans="2:8">
      <c r="B496" t="s">
        <v>442</v>
      </c>
      <c r="C496" t="s">
        <v>327</v>
      </c>
      <c r="D496">
        <v>8886</v>
      </c>
      <c r="E496">
        <v>8887</v>
      </c>
      <c r="F496">
        <v>8879</v>
      </c>
      <c r="G496">
        <v>8881</v>
      </c>
      <c r="H496">
        <v>53700</v>
      </c>
    </row>
    <row r="497" spans="2:8">
      <c r="B497" t="s">
        <v>442</v>
      </c>
      <c r="C497" t="s">
        <v>328</v>
      </c>
      <c r="D497">
        <v>8881</v>
      </c>
      <c r="E497">
        <v>8882</v>
      </c>
      <c r="F497">
        <v>8875</v>
      </c>
      <c r="G497">
        <v>8875</v>
      </c>
      <c r="H497">
        <v>33300</v>
      </c>
    </row>
    <row r="498" spans="2:8">
      <c r="B498" t="s">
        <v>442</v>
      </c>
      <c r="C498" t="s">
        <v>329</v>
      </c>
      <c r="D498">
        <v>8875</v>
      </c>
      <c r="E498">
        <v>8875</v>
      </c>
      <c r="F498">
        <v>8870</v>
      </c>
      <c r="G498">
        <v>8871</v>
      </c>
      <c r="H498">
        <v>35100</v>
      </c>
    </row>
    <row r="499" spans="2:8">
      <c r="B499" t="s">
        <v>442</v>
      </c>
      <c r="C499" t="s">
        <v>330</v>
      </c>
      <c r="D499">
        <v>8872</v>
      </c>
      <c r="E499">
        <v>8883</v>
      </c>
      <c r="F499">
        <v>8871</v>
      </c>
      <c r="G499">
        <v>8881</v>
      </c>
      <c r="H499">
        <v>40600</v>
      </c>
    </row>
    <row r="500" spans="2:8">
      <c r="B500" t="s">
        <v>442</v>
      </c>
      <c r="C500" t="s">
        <v>331</v>
      </c>
      <c r="D500">
        <v>8881</v>
      </c>
      <c r="E500">
        <v>8882</v>
      </c>
      <c r="F500">
        <v>8879</v>
      </c>
      <c r="G500">
        <v>8880</v>
      </c>
      <c r="H500">
        <v>12500</v>
      </c>
    </row>
    <row r="501" spans="2:8">
      <c r="B501" t="s">
        <v>442</v>
      </c>
      <c r="C501" t="s">
        <v>332</v>
      </c>
      <c r="D501">
        <v>8880</v>
      </c>
      <c r="E501">
        <v>8906</v>
      </c>
      <c r="F501">
        <v>8880</v>
      </c>
      <c r="G501">
        <v>8902</v>
      </c>
      <c r="H501">
        <v>270500</v>
      </c>
    </row>
    <row r="502" spans="2:8">
      <c r="B502" t="s">
        <v>442</v>
      </c>
      <c r="C502" t="s">
        <v>333</v>
      </c>
      <c r="D502">
        <v>8902</v>
      </c>
      <c r="E502">
        <v>8915</v>
      </c>
      <c r="F502">
        <v>8902</v>
      </c>
      <c r="G502">
        <v>8906</v>
      </c>
      <c r="H502">
        <v>142500</v>
      </c>
    </row>
    <row r="503" spans="2:8">
      <c r="B503" t="s">
        <v>442</v>
      </c>
      <c r="C503" t="s">
        <v>334</v>
      </c>
      <c r="D503">
        <v>8907</v>
      </c>
      <c r="E503">
        <v>8908</v>
      </c>
      <c r="F503">
        <v>8898</v>
      </c>
      <c r="G503">
        <v>8902</v>
      </c>
      <c r="H503">
        <v>70500</v>
      </c>
    </row>
    <row r="504" spans="2:8">
      <c r="B504" t="s">
        <v>442</v>
      </c>
      <c r="C504" t="s">
        <v>335</v>
      </c>
      <c r="D504">
        <v>8902</v>
      </c>
      <c r="E504">
        <v>8902</v>
      </c>
      <c r="F504">
        <v>8889</v>
      </c>
      <c r="G504">
        <v>8897</v>
      </c>
      <c r="H504">
        <v>62900</v>
      </c>
    </row>
    <row r="505" spans="2:8">
      <c r="B505" t="s">
        <v>442</v>
      </c>
      <c r="C505" t="s">
        <v>336</v>
      </c>
      <c r="D505">
        <v>8897</v>
      </c>
      <c r="E505">
        <v>8900</v>
      </c>
      <c r="F505">
        <v>8895</v>
      </c>
      <c r="G505">
        <v>8899</v>
      </c>
      <c r="H505">
        <v>29900</v>
      </c>
    </row>
    <row r="506" spans="2:8">
      <c r="B506" t="s">
        <v>442</v>
      </c>
      <c r="C506" t="s">
        <v>337</v>
      </c>
      <c r="D506">
        <v>8900</v>
      </c>
      <c r="E506">
        <v>8902</v>
      </c>
      <c r="F506">
        <v>8897</v>
      </c>
      <c r="G506">
        <v>8897</v>
      </c>
      <c r="H506">
        <v>26900</v>
      </c>
    </row>
    <row r="507" spans="2:8">
      <c r="B507" t="s">
        <v>442</v>
      </c>
      <c r="C507" t="s">
        <v>338</v>
      </c>
      <c r="D507">
        <v>8898</v>
      </c>
      <c r="E507">
        <v>8912</v>
      </c>
      <c r="F507">
        <v>8895</v>
      </c>
      <c r="G507">
        <v>8903</v>
      </c>
      <c r="H507">
        <v>115700</v>
      </c>
    </row>
    <row r="508" spans="2:8">
      <c r="B508" t="s">
        <v>442</v>
      </c>
      <c r="C508" t="s">
        <v>339</v>
      </c>
      <c r="D508">
        <v>8904</v>
      </c>
      <c r="E508">
        <v>8915</v>
      </c>
      <c r="F508">
        <v>8903</v>
      </c>
      <c r="G508">
        <v>8907</v>
      </c>
      <c r="H508">
        <v>92900</v>
      </c>
    </row>
    <row r="509" spans="2:8">
      <c r="B509" t="s">
        <v>442</v>
      </c>
      <c r="C509" t="s">
        <v>340</v>
      </c>
      <c r="D509">
        <v>8908</v>
      </c>
      <c r="E509">
        <v>8913</v>
      </c>
      <c r="F509">
        <v>8905</v>
      </c>
      <c r="G509">
        <v>8906</v>
      </c>
      <c r="H509">
        <v>52300</v>
      </c>
    </row>
    <row r="510" spans="2:8">
      <c r="B510" t="s">
        <v>442</v>
      </c>
      <c r="C510" t="s">
        <v>341</v>
      </c>
      <c r="D510">
        <v>8907</v>
      </c>
      <c r="E510">
        <v>8911</v>
      </c>
      <c r="F510">
        <v>8897</v>
      </c>
      <c r="G510">
        <v>8899</v>
      </c>
      <c r="H510">
        <v>68900</v>
      </c>
    </row>
    <row r="511" spans="2:8">
      <c r="B511" t="s">
        <v>442</v>
      </c>
      <c r="C511" t="s">
        <v>342</v>
      </c>
      <c r="D511">
        <v>8898</v>
      </c>
      <c r="E511">
        <v>8903</v>
      </c>
      <c r="F511">
        <v>8895</v>
      </c>
      <c r="G511">
        <v>8903</v>
      </c>
      <c r="H511">
        <v>40800</v>
      </c>
    </row>
    <row r="512" spans="2:8">
      <c r="B512" t="s">
        <v>442</v>
      </c>
      <c r="C512" t="s">
        <v>343</v>
      </c>
      <c r="D512">
        <v>8903</v>
      </c>
      <c r="E512">
        <v>8910</v>
      </c>
      <c r="F512">
        <v>8903</v>
      </c>
      <c r="G512">
        <v>8908</v>
      </c>
      <c r="H512">
        <v>41300</v>
      </c>
    </row>
    <row r="513" spans="2:8">
      <c r="B513" t="s">
        <v>442</v>
      </c>
      <c r="C513" t="s">
        <v>344</v>
      </c>
      <c r="D513">
        <v>8907</v>
      </c>
      <c r="E513">
        <v>8907</v>
      </c>
      <c r="F513">
        <v>8902</v>
      </c>
      <c r="G513">
        <v>8902</v>
      </c>
      <c r="H513">
        <v>26600</v>
      </c>
    </row>
    <row r="514" spans="2:8">
      <c r="B514" t="s">
        <v>442</v>
      </c>
      <c r="C514" t="s">
        <v>345</v>
      </c>
      <c r="D514">
        <v>8902</v>
      </c>
      <c r="E514">
        <v>8907</v>
      </c>
      <c r="F514">
        <v>8900</v>
      </c>
      <c r="G514">
        <v>8905</v>
      </c>
      <c r="H514">
        <v>24600</v>
      </c>
    </row>
    <row r="515" spans="2:8">
      <c r="B515" t="s">
        <v>442</v>
      </c>
      <c r="C515" t="s">
        <v>346</v>
      </c>
      <c r="D515">
        <v>8906</v>
      </c>
      <c r="E515">
        <v>8906</v>
      </c>
      <c r="F515">
        <v>8899</v>
      </c>
      <c r="G515">
        <v>8900</v>
      </c>
      <c r="H515">
        <v>16800</v>
      </c>
    </row>
    <row r="516" spans="2:8">
      <c r="B516" t="s">
        <v>442</v>
      </c>
      <c r="C516" t="s">
        <v>347</v>
      </c>
      <c r="D516">
        <v>8901</v>
      </c>
      <c r="E516">
        <v>8909</v>
      </c>
      <c r="F516">
        <v>8901</v>
      </c>
      <c r="G516">
        <v>8908</v>
      </c>
      <c r="H516">
        <v>40700</v>
      </c>
    </row>
    <row r="517" spans="2:8">
      <c r="B517" t="s">
        <v>442</v>
      </c>
      <c r="C517" t="s">
        <v>348</v>
      </c>
      <c r="D517">
        <v>8909</v>
      </c>
      <c r="E517">
        <v>8916</v>
      </c>
      <c r="F517">
        <v>8905</v>
      </c>
      <c r="G517">
        <v>8915</v>
      </c>
      <c r="H517">
        <v>85600</v>
      </c>
    </row>
    <row r="518" spans="2:8">
      <c r="B518" t="s">
        <v>442</v>
      </c>
      <c r="C518" t="s">
        <v>349</v>
      </c>
      <c r="D518">
        <v>8915</v>
      </c>
      <c r="E518">
        <v>8915</v>
      </c>
      <c r="F518">
        <v>8910</v>
      </c>
      <c r="G518">
        <v>8914</v>
      </c>
      <c r="H518">
        <v>37500</v>
      </c>
    </row>
    <row r="519" spans="2:8">
      <c r="B519" t="s">
        <v>442</v>
      </c>
      <c r="C519" t="s">
        <v>350</v>
      </c>
      <c r="D519">
        <v>8914</v>
      </c>
      <c r="E519">
        <v>8918</v>
      </c>
      <c r="F519">
        <v>8913</v>
      </c>
      <c r="G519">
        <v>8918</v>
      </c>
      <c r="H519">
        <v>48200</v>
      </c>
    </row>
    <row r="520" spans="2:8">
      <c r="B520" t="s">
        <v>442</v>
      </c>
      <c r="C520" t="s">
        <v>351</v>
      </c>
      <c r="D520">
        <v>8918</v>
      </c>
      <c r="E520">
        <v>8932</v>
      </c>
      <c r="F520">
        <v>8917</v>
      </c>
      <c r="G520">
        <v>8924</v>
      </c>
      <c r="H520">
        <v>212800</v>
      </c>
    </row>
    <row r="521" spans="2:8">
      <c r="B521" t="s">
        <v>442</v>
      </c>
      <c r="C521" t="s">
        <v>352</v>
      </c>
      <c r="D521">
        <v>8923</v>
      </c>
      <c r="E521">
        <v>8929</v>
      </c>
      <c r="F521">
        <v>8922</v>
      </c>
      <c r="G521">
        <v>8928</v>
      </c>
      <c r="H521">
        <v>48000</v>
      </c>
    </row>
    <row r="522" spans="2:8">
      <c r="B522" t="s">
        <v>442</v>
      </c>
      <c r="C522" t="s">
        <v>353</v>
      </c>
      <c r="D522">
        <v>8927</v>
      </c>
      <c r="E522">
        <v>8928</v>
      </c>
      <c r="F522">
        <v>8916</v>
      </c>
      <c r="G522">
        <v>8925</v>
      </c>
      <c r="H522">
        <v>88000</v>
      </c>
    </row>
    <row r="523" spans="2:8">
      <c r="B523" t="s">
        <v>442</v>
      </c>
      <c r="C523" t="s">
        <v>354</v>
      </c>
      <c r="D523">
        <v>8926</v>
      </c>
      <c r="E523">
        <v>8937</v>
      </c>
      <c r="F523">
        <v>8924</v>
      </c>
      <c r="G523">
        <v>8931</v>
      </c>
      <c r="H523">
        <v>94200</v>
      </c>
    </row>
    <row r="524" spans="2:8">
      <c r="B524" t="s">
        <v>442</v>
      </c>
      <c r="C524" t="s">
        <v>355</v>
      </c>
      <c r="D524">
        <v>8932</v>
      </c>
      <c r="E524">
        <v>8934</v>
      </c>
      <c r="F524">
        <v>8926</v>
      </c>
      <c r="G524">
        <v>8933</v>
      </c>
      <c r="H524">
        <v>62900</v>
      </c>
    </row>
    <row r="525" spans="2:8">
      <c r="B525" t="s">
        <v>442</v>
      </c>
      <c r="C525" t="s">
        <v>356</v>
      </c>
      <c r="D525">
        <v>8933</v>
      </c>
      <c r="E525">
        <v>8937</v>
      </c>
      <c r="F525">
        <v>8929</v>
      </c>
      <c r="G525">
        <v>8936</v>
      </c>
      <c r="H525">
        <v>73500</v>
      </c>
    </row>
    <row r="526" spans="2:8">
      <c r="B526" t="s">
        <v>442</v>
      </c>
      <c r="C526" t="s">
        <v>357</v>
      </c>
      <c r="D526">
        <v>8937</v>
      </c>
      <c r="E526">
        <v>8957</v>
      </c>
      <c r="F526">
        <v>8936</v>
      </c>
      <c r="G526">
        <v>8953</v>
      </c>
      <c r="H526">
        <v>245500</v>
      </c>
    </row>
    <row r="527" spans="2:8">
      <c r="B527" t="s">
        <v>442</v>
      </c>
      <c r="C527" t="s">
        <v>358</v>
      </c>
      <c r="D527">
        <v>8953</v>
      </c>
      <c r="E527">
        <v>8955</v>
      </c>
      <c r="F527">
        <v>8945</v>
      </c>
      <c r="G527">
        <v>8945</v>
      </c>
      <c r="H527">
        <v>88500</v>
      </c>
    </row>
    <row r="528" spans="2:8">
      <c r="B528" t="s">
        <v>442</v>
      </c>
      <c r="C528" t="s">
        <v>359</v>
      </c>
      <c r="D528">
        <v>8946</v>
      </c>
      <c r="E528">
        <v>8948</v>
      </c>
      <c r="F528">
        <v>8942</v>
      </c>
      <c r="G528">
        <v>8944</v>
      </c>
      <c r="H528">
        <v>51200</v>
      </c>
    </row>
    <row r="529" spans="2:8">
      <c r="B529" t="s">
        <v>442</v>
      </c>
      <c r="C529" t="s">
        <v>360</v>
      </c>
      <c r="D529">
        <v>8944</v>
      </c>
      <c r="E529">
        <v>8945</v>
      </c>
      <c r="F529">
        <v>8941</v>
      </c>
      <c r="G529">
        <v>8944</v>
      </c>
      <c r="H529">
        <v>27900</v>
      </c>
    </row>
    <row r="530" spans="2:8">
      <c r="B530" t="s">
        <v>442</v>
      </c>
      <c r="C530" t="s">
        <v>361</v>
      </c>
      <c r="D530">
        <v>8943</v>
      </c>
      <c r="E530">
        <v>8950</v>
      </c>
      <c r="F530">
        <v>8941</v>
      </c>
      <c r="G530">
        <v>8949</v>
      </c>
      <c r="H530">
        <v>50400</v>
      </c>
    </row>
    <row r="531" spans="2:8">
      <c r="B531" t="s">
        <v>442</v>
      </c>
      <c r="C531" t="s">
        <v>362</v>
      </c>
      <c r="D531">
        <v>8948</v>
      </c>
      <c r="E531">
        <v>8952</v>
      </c>
      <c r="F531">
        <v>8931</v>
      </c>
      <c r="G531">
        <v>8940</v>
      </c>
      <c r="H531">
        <v>111200</v>
      </c>
    </row>
    <row r="532" spans="2:8">
      <c r="B532" t="s">
        <v>442</v>
      </c>
      <c r="C532" t="s">
        <v>363</v>
      </c>
      <c r="D532">
        <v>8940</v>
      </c>
      <c r="E532">
        <v>8942</v>
      </c>
      <c r="F532">
        <v>8936</v>
      </c>
      <c r="G532">
        <v>8939</v>
      </c>
      <c r="H532">
        <v>26600</v>
      </c>
    </row>
    <row r="533" spans="2:8">
      <c r="B533" t="s">
        <v>442</v>
      </c>
      <c r="C533" t="s">
        <v>364</v>
      </c>
      <c r="D533">
        <v>8939</v>
      </c>
      <c r="E533">
        <v>8940</v>
      </c>
      <c r="F533">
        <v>8924</v>
      </c>
      <c r="G533">
        <v>8929</v>
      </c>
      <c r="H533">
        <v>64700</v>
      </c>
    </row>
    <row r="534" spans="2:8">
      <c r="B534" t="s">
        <v>442</v>
      </c>
      <c r="C534" t="s">
        <v>365</v>
      </c>
      <c r="D534">
        <v>8928</v>
      </c>
      <c r="E534">
        <v>8937</v>
      </c>
      <c r="F534">
        <v>8928</v>
      </c>
      <c r="G534">
        <v>8936</v>
      </c>
      <c r="H534">
        <v>40500</v>
      </c>
    </row>
    <row r="535" spans="2:8">
      <c r="B535" t="s">
        <v>442</v>
      </c>
      <c r="C535" t="s">
        <v>366</v>
      </c>
      <c r="D535">
        <v>8937</v>
      </c>
      <c r="E535">
        <v>8937</v>
      </c>
      <c r="F535">
        <v>8932</v>
      </c>
      <c r="G535">
        <v>8935</v>
      </c>
      <c r="H535">
        <v>23900</v>
      </c>
    </row>
    <row r="536" spans="2:8">
      <c r="B536" t="s">
        <v>442</v>
      </c>
      <c r="C536" t="s">
        <v>367</v>
      </c>
      <c r="D536">
        <v>8934</v>
      </c>
      <c r="E536">
        <v>8935</v>
      </c>
      <c r="F536">
        <v>8917</v>
      </c>
      <c r="G536">
        <v>8920</v>
      </c>
      <c r="H536">
        <v>87600</v>
      </c>
    </row>
    <row r="537" spans="2:8">
      <c r="B537" t="s">
        <v>442</v>
      </c>
      <c r="C537" t="s">
        <v>368</v>
      </c>
      <c r="D537">
        <v>8920</v>
      </c>
      <c r="E537">
        <v>8920</v>
      </c>
      <c r="F537">
        <v>8916</v>
      </c>
      <c r="G537">
        <v>8917</v>
      </c>
      <c r="H537">
        <v>36400</v>
      </c>
    </row>
    <row r="538" spans="2:8">
      <c r="B538" t="s">
        <v>442</v>
      </c>
      <c r="C538" t="s">
        <v>369</v>
      </c>
      <c r="D538">
        <v>8916</v>
      </c>
      <c r="E538">
        <v>8923</v>
      </c>
      <c r="F538">
        <v>8911</v>
      </c>
      <c r="G538">
        <v>8919</v>
      </c>
      <c r="H538">
        <v>69700</v>
      </c>
    </row>
    <row r="539" spans="2:8">
      <c r="B539" t="s">
        <v>442</v>
      </c>
      <c r="C539" t="s">
        <v>370</v>
      </c>
      <c r="D539">
        <v>8919</v>
      </c>
      <c r="E539">
        <v>8925</v>
      </c>
      <c r="F539">
        <v>8918</v>
      </c>
      <c r="G539">
        <v>8922</v>
      </c>
      <c r="H539">
        <v>31100</v>
      </c>
    </row>
    <row r="540" spans="2:8">
      <c r="B540" t="s">
        <v>442</v>
      </c>
      <c r="C540" t="s">
        <v>371</v>
      </c>
      <c r="D540">
        <v>8923</v>
      </c>
      <c r="E540">
        <v>8929</v>
      </c>
      <c r="F540">
        <v>8923</v>
      </c>
      <c r="G540">
        <v>8925</v>
      </c>
      <c r="H540">
        <v>32100</v>
      </c>
    </row>
    <row r="541" spans="2:8">
      <c r="B541" t="s">
        <v>442</v>
      </c>
      <c r="C541" t="s">
        <v>372</v>
      </c>
      <c r="D541">
        <v>8925</v>
      </c>
      <c r="E541">
        <v>8925</v>
      </c>
      <c r="F541">
        <v>8920</v>
      </c>
      <c r="G541">
        <v>8924</v>
      </c>
      <c r="H541">
        <v>30100</v>
      </c>
    </row>
    <row r="542" spans="2:8">
      <c r="B542" t="s">
        <v>442</v>
      </c>
      <c r="C542" t="s">
        <v>373</v>
      </c>
      <c r="D542">
        <v>8924</v>
      </c>
      <c r="E542">
        <v>8929</v>
      </c>
      <c r="F542">
        <v>8923</v>
      </c>
      <c r="G542">
        <v>8927</v>
      </c>
      <c r="H542">
        <v>17100</v>
      </c>
    </row>
    <row r="543" spans="2:8">
      <c r="B543" t="s">
        <v>442</v>
      </c>
      <c r="C543" t="s">
        <v>374</v>
      </c>
      <c r="D543">
        <v>8927</v>
      </c>
      <c r="E543">
        <v>8936</v>
      </c>
      <c r="F543">
        <v>8927</v>
      </c>
      <c r="G543">
        <v>8935</v>
      </c>
      <c r="H543">
        <v>42600</v>
      </c>
    </row>
    <row r="544" spans="2:8">
      <c r="B544" t="s">
        <v>442</v>
      </c>
      <c r="C544" t="s">
        <v>375</v>
      </c>
      <c r="D544">
        <v>8935</v>
      </c>
      <c r="E544">
        <v>8935</v>
      </c>
      <c r="F544">
        <v>8928</v>
      </c>
      <c r="G544">
        <v>8932</v>
      </c>
      <c r="H544">
        <v>43400</v>
      </c>
    </row>
    <row r="545" spans="2:8">
      <c r="B545" t="s">
        <v>442</v>
      </c>
      <c r="C545" t="s">
        <v>376</v>
      </c>
      <c r="D545">
        <v>8932</v>
      </c>
      <c r="E545">
        <v>8934</v>
      </c>
      <c r="F545">
        <v>8930</v>
      </c>
      <c r="G545">
        <v>8931</v>
      </c>
      <c r="H545">
        <v>20200</v>
      </c>
    </row>
    <row r="546" spans="2:8">
      <c r="B546" t="s">
        <v>442</v>
      </c>
      <c r="C546" t="s">
        <v>377</v>
      </c>
      <c r="D546">
        <v>8930</v>
      </c>
      <c r="E546">
        <v>8940</v>
      </c>
      <c r="F546">
        <v>8930</v>
      </c>
      <c r="G546">
        <v>8939</v>
      </c>
      <c r="H546">
        <v>41000</v>
      </c>
    </row>
    <row r="547" spans="2:8">
      <c r="B547" t="s">
        <v>442</v>
      </c>
      <c r="C547" t="s">
        <v>378</v>
      </c>
      <c r="D547">
        <v>8938</v>
      </c>
      <c r="E547">
        <v>8940</v>
      </c>
      <c r="F547">
        <v>8936</v>
      </c>
      <c r="G547">
        <v>8940</v>
      </c>
      <c r="H547">
        <v>28000</v>
      </c>
    </row>
    <row r="548" spans="2:8">
      <c r="B548" t="s">
        <v>442</v>
      </c>
      <c r="C548" t="s">
        <v>379</v>
      </c>
      <c r="D548">
        <v>8940</v>
      </c>
      <c r="E548">
        <v>8942</v>
      </c>
      <c r="F548">
        <v>8936</v>
      </c>
      <c r="G548">
        <v>8939</v>
      </c>
      <c r="H548">
        <v>51200</v>
      </c>
    </row>
    <row r="549" spans="2:8">
      <c r="B549" t="s">
        <v>442</v>
      </c>
      <c r="C549" t="s">
        <v>380</v>
      </c>
      <c r="D549">
        <v>8939</v>
      </c>
      <c r="E549">
        <v>8939</v>
      </c>
      <c r="F549">
        <v>8934</v>
      </c>
      <c r="G549">
        <v>8935</v>
      </c>
      <c r="H549">
        <v>31700</v>
      </c>
    </row>
    <row r="550" spans="2:8">
      <c r="B550" t="s">
        <v>442</v>
      </c>
      <c r="C550" t="s">
        <v>381</v>
      </c>
      <c r="D550">
        <v>8935</v>
      </c>
      <c r="E550">
        <v>8937</v>
      </c>
      <c r="F550">
        <v>8934</v>
      </c>
      <c r="G550">
        <v>8934</v>
      </c>
      <c r="H550">
        <v>20900</v>
      </c>
    </row>
    <row r="551" spans="2:8">
      <c r="B551" t="s">
        <v>442</v>
      </c>
      <c r="C551" t="s">
        <v>382</v>
      </c>
      <c r="D551">
        <v>8934</v>
      </c>
      <c r="E551">
        <v>8938</v>
      </c>
      <c r="F551">
        <v>8933</v>
      </c>
      <c r="G551">
        <v>8937</v>
      </c>
      <c r="H551">
        <v>15500</v>
      </c>
    </row>
    <row r="552" spans="2:8">
      <c r="B552" t="s">
        <v>442</v>
      </c>
      <c r="C552" t="s">
        <v>383</v>
      </c>
      <c r="D552">
        <v>8937</v>
      </c>
      <c r="E552">
        <v>8943</v>
      </c>
      <c r="F552">
        <v>8936</v>
      </c>
      <c r="G552">
        <v>8940</v>
      </c>
      <c r="H552">
        <v>33300</v>
      </c>
    </row>
    <row r="553" spans="2:8">
      <c r="B553" t="s">
        <v>442</v>
      </c>
      <c r="C553" t="s">
        <v>384</v>
      </c>
      <c r="D553">
        <v>8940</v>
      </c>
      <c r="E553">
        <v>8940</v>
      </c>
      <c r="F553">
        <v>8938</v>
      </c>
      <c r="G553">
        <v>8939</v>
      </c>
      <c r="H553">
        <v>8200</v>
      </c>
    </row>
    <row r="554" spans="2:8">
      <c r="B554" t="s">
        <v>442</v>
      </c>
      <c r="C554" t="s">
        <v>385</v>
      </c>
      <c r="D554">
        <v>8939</v>
      </c>
      <c r="E554">
        <v>8939</v>
      </c>
      <c r="F554">
        <v>8933</v>
      </c>
      <c r="G554">
        <v>8936</v>
      </c>
      <c r="H554">
        <v>17200</v>
      </c>
    </row>
    <row r="555" spans="2:8">
      <c r="B555" t="s">
        <v>442</v>
      </c>
      <c r="C555" t="s">
        <v>386</v>
      </c>
      <c r="D555">
        <v>8937</v>
      </c>
      <c r="E555">
        <v>8937</v>
      </c>
      <c r="F555">
        <v>8931</v>
      </c>
      <c r="G555">
        <v>8933</v>
      </c>
      <c r="H555">
        <v>20400</v>
      </c>
    </row>
    <row r="556" spans="2:8">
      <c r="B556" t="s">
        <v>442</v>
      </c>
      <c r="C556" t="s">
        <v>387</v>
      </c>
      <c r="D556">
        <v>8932</v>
      </c>
      <c r="E556">
        <v>8932</v>
      </c>
      <c r="F556">
        <v>8923</v>
      </c>
      <c r="G556">
        <v>8923</v>
      </c>
      <c r="H556">
        <v>34400</v>
      </c>
    </row>
    <row r="557" spans="2:8">
      <c r="B557" t="s">
        <v>442</v>
      </c>
      <c r="C557" t="s">
        <v>388</v>
      </c>
      <c r="D557">
        <v>8924</v>
      </c>
      <c r="E557">
        <v>8925</v>
      </c>
      <c r="F557">
        <v>8921</v>
      </c>
      <c r="G557">
        <v>8923</v>
      </c>
      <c r="H557">
        <v>27400</v>
      </c>
    </row>
    <row r="558" spans="2:8">
      <c r="B558" t="s">
        <v>442</v>
      </c>
      <c r="C558" t="s">
        <v>389</v>
      </c>
      <c r="D558">
        <v>8922</v>
      </c>
      <c r="E558">
        <v>8925</v>
      </c>
      <c r="F558">
        <v>8921</v>
      </c>
      <c r="G558">
        <v>8921</v>
      </c>
      <c r="H558">
        <v>17600</v>
      </c>
    </row>
    <row r="559" spans="2:8">
      <c r="B559" t="s">
        <v>442</v>
      </c>
      <c r="C559" t="s">
        <v>390</v>
      </c>
      <c r="D559">
        <v>8923</v>
      </c>
      <c r="E559">
        <v>8924</v>
      </c>
      <c r="F559">
        <v>8917</v>
      </c>
      <c r="G559">
        <v>8918</v>
      </c>
      <c r="H559">
        <v>39300</v>
      </c>
    </row>
    <row r="560" spans="2:8">
      <c r="B560" t="s">
        <v>442</v>
      </c>
      <c r="C560" t="s">
        <v>391</v>
      </c>
      <c r="D560">
        <v>8918</v>
      </c>
      <c r="E560">
        <v>8927</v>
      </c>
      <c r="F560">
        <v>8918</v>
      </c>
      <c r="G560">
        <v>8926</v>
      </c>
      <c r="H560">
        <v>22600</v>
      </c>
    </row>
    <row r="561" spans="2:8">
      <c r="B561" t="s">
        <v>442</v>
      </c>
      <c r="C561" t="s">
        <v>392</v>
      </c>
      <c r="D561">
        <v>8925</v>
      </c>
      <c r="E561">
        <v>8930</v>
      </c>
      <c r="F561">
        <v>8925</v>
      </c>
      <c r="G561">
        <v>8929</v>
      </c>
      <c r="H561">
        <v>27900</v>
      </c>
    </row>
    <row r="562" spans="2:8">
      <c r="B562" t="s">
        <v>442</v>
      </c>
      <c r="C562" t="s">
        <v>393</v>
      </c>
      <c r="D562">
        <v>8929</v>
      </c>
      <c r="E562">
        <v>8929</v>
      </c>
      <c r="F562">
        <v>8925</v>
      </c>
      <c r="G562">
        <v>8925</v>
      </c>
      <c r="H562">
        <v>13900</v>
      </c>
    </row>
    <row r="563" spans="2:8">
      <c r="B563" t="s">
        <v>442</v>
      </c>
      <c r="C563" t="s">
        <v>394</v>
      </c>
      <c r="D563">
        <v>8925</v>
      </c>
      <c r="E563">
        <v>8925</v>
      </c>
      <c r="F563">
        <v>8919</v>
      </c>
      <c r="G563">
        <v>8921</v>
      </c>
      <c r="H563">
        <v>22000</v>
      </c>
    </row>
    <row r="564" spans="2:8">
      <c r="B564" t="s">
        <v>442</v>
      </c>
      <c r="C564" t="s">
        <v>395</v>
      </c>
      <c r="D564">
        <v>8920</v>
      </c>
      <c r="E564">
        <v>8928</v>
      </c>
      <c r="F564">
        <v>8920</v>
      </c>
      <c r="G564">
        <v>8927</v>
      </c>
      <c r="H564">
        <v>16400</v>
      </c>
    </row>
    <row r="565" spans="2:8">
      <c r="B565" t="s">
        <v>442</v>
      </c>
      <c r="C565" t="s">
        <v>396</v>
      </c>
      <c r="D565">
        <v>8929</v>
      </c>
      <c r="E565">
        <v>8929</v>
      </c>
      <c r="F565">
        <v>8923</v>
      </c>
      <c r="G565">
        <v>8924</v>
      </c>
      <c r="H565">
        <v>8600</v>
      </c>
    </row>
    <row r="566" spans="2:8">
      <c r="B566" t="s">
        <v>442</v>
      </c>
      <c r="C566" t="s">
        <v>397</v>
      </c>
      <c r="D566">
        <v>8924</v>
      </c>
      <c r="E566">
        <v>8925</v>
      </c>
      <c r="F566">
        <v>8923</v>
      </c>
      <c r="G566">
        <v>8924</v>
      </c>
      <c r="H566">
        <v>5900</v>
      </c>
    </row>
    <row r="567" spans="2:8">
      <c r="B567" t="s">
        <v>442</v>
      </c>
      <c r="C567" t="s">
        <v>398</v>
      </c>
      <c r="D567">
        <v>8924</v>
      </c>
      <c r="E567">
        <v>8924</v>
      </c>
      <c r="F567">
        <v>8918</v>
      </c>
      <c r="G567">
        <v>8922</v>
      </c>
      <c r="H567">
        <v>28900</v>
      </c>
    </row>
    <row r="568" spans="2:8">
      <c r="B568" t="s">
        <v>442</v>
      </c>
      <c r="C568" t="s">
        <v>399</v>
      </c>
      <c r="D568">
        <v>8922</v>
      </c>
      <c r="E568">
        <v>8928</v>
      </c>
      <c r="F568">
        <v>8921</v>
      </c>
      <c r="G568">
        <v>8928</v>
      </c>
      <c r="H568">
        <v>13700</v>
      </c>
    </row>
    <row r="569" spans="2:8">
      <c r="B569" t="s">
        <v>442</v>
      </c>
      <c r="C569" t="s">
        <v>400</v>
      </c>
      <c r="D569">
        <v>8928</v>
      </c>
      <c r="E569">
        <v>8930</v>
      </c>
      <c r="F569">
        <v>8919</v>
      </c>
      <c r="G569">
        <v>8927</v>
      </c>
      <c r="H569">
        <v>31400</v>
      </c>
    </row>
    <row r="570" spans="2:8">
      <c r="B570" t="s">
        <v>442</v>
      </c>
      <c r="C570" t="s">
        <v>401</v>
      </c>
      <c r="D570">
        <v>8927</v>
      </c>
      <c r="E570">
        <v>8929</v>
      </c>
      <c r="F570">
        <v>8925</v>
      </c>
      <c r="G570">
        <v>8927</v>
      </c>
      <c r="H570">
        <v>10200</v>
      </c>
    </row>
    <row r="571" spans="2:8">
      <c r="B571" t="s">
        <v>442</v>
      </c>
      <c r="C571" t="s">
        <v>402</v>
      </c>
      <c r="D571">
        <v>8926</v>
      </c>
      <c r="E571">
        <v>8927</v>
      </c>
      <c r="F571">
        <v>8923</v>
      </c>
      <c r="G571">
        <v>8923</v>
      </c>
      <c r="H571">
        <v>6900</v>
      </c>
    </row>
    <row r="572" spans="2:8">
      <c r="B572" t="s">
        <v>442</v>
      </c>
      <c r="C572" t="s">
        <v>403</v>
      </c>
      <c r="D572">
        <v>8923</v>
      </c>
      <c r="E572">
        <v>8924</v>
      </c>
      <c r="F572">
        <v>8916</v>
      </c>
      <c r="G572">
        <v>8921</v>
      </c>
      <c r="H572">
        <v>33300</v>
      </c>
    </row>
    <row r="573" spans="2:8">
      <c r="B573" t="s">
        <v>442</v>
      </c>
      <c r="C573" t="s">
        <v>404</v>
      </c>
      <c r="D573">
        <v>8921</v>
      </c>
      <c r="E573">
        <v>8922</v>
      </c>
      <c r="F573">
        <v>8917</v>
      </c>
      <c r="G573">
        <v>8919</v>
      </c>
      <c r="H573">
        <v>13500</v>
      </c>
    </row>
    <row r="574" spans="2:8">
      <c r="B574" t="s">
        <v>442</v>
      </c>
      <c r="C574" t="s">
        <v>405</v>
      </c>
      <c r="D574">
        <v>8920</v>
      </c>
      <c r="E574">
        <v>8921</v>
      </c>
      <c r="F574">
        <v>8919</v>
      </c>
      <c r="G574">
        <v>8920</v>
      </c>
      <c r="H574">
        <v>8200</v>
      </c>
    </row>
    <row r="575" spans="2:8">
      <c r="B575" t="s">
        <v>442</v>
      </c>
      <c r="C575" t="s">
        <v>406</v>
      </c>
      <c r="D575">
        <v>8919</v>
      </c>
      <c r="E575">
        <v>8921</v>
      </c>
      <c r="F575">
        <v>8919</v>
      </c>
      <c r="G575">
        <v>8920</v>
      </c>
      <c r="H575">
        <v>6900</v>
      </c>
    </row>
    <row r="576" spans="2:8">
      <c r="B576" t="s">
        <v>442</v>
      </c>
      <c r="C576" t="s">
        <v>407</v>
      </c>
      <c r="D576">
        <v>8919</v>
      </c>
      <c r="E576">
        <v>8924</v>
      </c>
      <c r="F576">
        <v>8918</v>
      </c>
      <c r="G576">
        <v>8923</v>
      </c>
      <c r="H576">
        <v>21500</v>
      </c>
    </row>
    <row r="577" spans="2:8">
      <c r="B577" t="s">
        <v>442</v>
      </c>
      <c r="C577" t="s">
        <v>408</v>
      </c>
      <c r="D577">
        <v>8923</v>
      </c>
      <c r="E577">
        <v>8929</v>
      </c>
      <c r="F577">
        <v>8923</v>
      </c>
      <c r="G577">
        <v>8928</v>
      </c>
      <c r="H577">
        <v>23000</v>
      </c>
    </row>
    <row r="578" spans="2:8">
      <c r="B578" t="s">
        <v>442</v>
      </c>
      <c r="C578" t="s">
        <v>409</v>
      </c>
      <c r="D578">
        <v>8928</v>
      </c>
      <c r="E578">
        <v>8935</v>
      </c>
      <c r="F578">
        <v>8928</v>
      </c>
      <c r="G578">
        <v>8932</v>
      </c>
      <c r="H578">
        <v>35400</v>
      </c>
    </row>
    <row r="579" spans="2:8">
      <c r="B579" t="s">
        <v>442</v>
      </c>
      <c r="C579" t="s">
        <v>410</v>
      </c>
      <c r="D579">
        <v>8932</v>
      </c>
      <c r="E579">
        <v>8932</v>
      </c>
      <c r="F579">
        <v>8926</v>
      </c>
      <c r="G579">
        <v>8929</v>
      </c>
      <c r="H579">
        <v>20600</v>
      </c>
    </row>
    <row r="580" spans="2:8">
      <c r="B580" t="s">
        <v>442</v>
      </c>
      <c r="C580" t="s">
        <v>411</v>
      </c>
      <c r="D580">
        <v>8929</v>
      </c>
      <c r="E580">
        <v>8929</v>
      </c>
      <c r="F580">
        <v>8928</v>
      </c>
      <c r="G580">
        <v>8928</v>
      </c>
      <c r="H580">
        <v>5100</v>
      </c>
    </row>
    <row r="581" spans="2:8">
      <c r="B581" t="s">
        <v>442</v>
      </c>
      <c r="C581" t="s">
        <v>412</v>
      </c>
      <c r="D581">
        <v>8929</v>
      </c>
      <c r="E581">
        <v>8935</v>
      </c>
      <c r="F581">
        <v>8928</v>
      </c>
      <c r="G581">
        <v>8935</v>
      </c>
      <c r="H581">
        <v>18000</v>
      </c>
    </row>
    <row r="582" spans="2:8">
      <c r="B582" t="s">
        <v>442</v>
      </c>
      <c r="C582" t="s">
        <v>413</v>
      </c>
      <c r="D582">
        <v>8935</v>
      </c>
      <c r="E582">
        <v>8938</v>
      </c>
      <c r="F582">
        <v>8931</v>
      </c>
      <c r="G582">
        <v>8933</v>
      </c>
      <c r="H582">
        <v>34000</v>
      </c>
    </row>
    <row r="583" spans="2:8">
      <c r="B583" t="s">
        <v>442</v>
      </c>
      <c r="C583" t="s">
        <v>414</v>
      </c>
      <c r="D583">
        <v>8932</v>
      </c>
      <c r="E583">
        <v>8932</v>
      </c>
      <c r="F583">
        <v>8929</v>
      </c>
      <c r="G583">
        <v>8930</v>
      </c>
      <c r="H583">
        <v>13200</v>
      </c>
    </row>
    <row r="584" spans="2:8">
      <c r="B584" t="s">
        <v>442</v>
      </c>
      <c r="C584" t="s">
        <v>415</v>
      </c>
      <c r="D584">
        <v>8930</v>
      </c>
      <c r="E584">
        <v>8932</v>
      </c>
      <c r="F584">
        <v>8930</v>
      </c>
      <c r="G584">
        <v>8931</v>
      </c>
      <c r="H584">
        <v>6500</v>
      </c>
    </row>
    <row r="585" spans="2:8">
      <c r="B585" t="s">
        <v>442</v>
      </c>
      <c r="C585" t="s">
        <v>416</v>
      </c>
      <c r="D585">
        <v>8932</v>
      </c>
      <c r="E585">
        <v>8935</v>
      </c>
      <c r="F585">
        <v>8932</v>
      </c>
      <c r="G585">
        <v>8934</v>
      </c>
      <c r="H585">
        <v>13100</v>
      </c>
    </row>
    <row r="586" spans="2:8">
      <c r="B586" t="s">
        <v>442</v>
      </c>
      <c r="C586" t="s">
        <v>417</v>
      </c>
      <c r="D586">
        <v>8933</v>
      </c>
      <c r="E586">
        <v>8934</v>
      </c>
      <c r="F586">
        <v>8931</v>
      </c>
      <c r="G586">
        <v>8934</v>
      </c>
      <c r="H586">
        <v>18000</v>
      </c>
    </row>
    <row r="587" spans="2:8">
      <c r="B587" t="s">
        <v>442</v>
      </c>
      <c r="C587" t="s">
        <v>418</v>
      </c>
      <c r="D587">
        <v>8934</v>
      </c>
      <c r="E587">
        <v>8935</v>
      </c>
      <c r="F587">
        <v>8932</v>
      </c>
      <c r="G587">
        <v>8933</v>
      </c>
      <c r="H587">
        <v>10100</v>
      </c>
    </row>
    <row r="588" spans="2:8">
      <c r="B588" t="s">
        <v>442</v>
      </c>
      <c r="C588" t="s">
        <v>419</v>
      </c>
      <c r="D588">
        <v>8932</v>
      </c>
      <c r="E588">
        <v>8934</v>
      </c>
      <c r="F588">
        <v>8932</v>
      </c>
      <c r="G588">
        <v>8934</v>
      </c>
      <c r="H588">
        <v>5900</v>
      </c>
    </row>
    <row r="589" spans="2:8">
      <c r="B589" t="s">
        <v>442</v>
      </c>
      <c r="C589" t="s">
        <v>420</v>
      </c>
      <c r="D589">
        <v>8934</v>
      </c>
      <c r="E589">
        <v>8935</v>
      </c>
      <c r="F589">
        <v>8932</v>
      </c>
      <c r="G589">
        <v>8934</v>
      </c>
      <c r="H589">
        <v>10000</v>
      </c>
    </row>
    <row r="590" spans="2:8">
      <c r="B590" t="s">
        <v>442</v>
      </c>
      <c r="C590" t="s">
        <v>421</v>
      </c>
      <c r="D590">
        <v>8934</v>
      </c>
      <c r="E590">
        <v>8934</v>
      </c>
      <c r="F590">
        <v>8920</v>
      </c>
      <c r="G590">
        <v>8921</v>
      </c>
      <c r="H590">
        <v>55900</v>
      </c>
    </row>
    <row r="591" spans="2:8">
      <c r="B591" t="s">
        <v>442</v>
      </c>
      <c r="C591" t="s">
        <v>422</v>
      </c>
      <c r="D591">
        <v>8921</v>
      </c>
      <c r="E591">
        <v>8922</v>
      </c>
      <c r="F591">
        <v>8914</v>
      </c>
      <c r="G591">
        <v>8920</v>
      </c>
      <c r="H591">
        <v>44800</v>
      </c>
    </row>
    <row r="592" spans="2:8">
      <c r="B592" t="s">
        <v>442</v>
      </c>
      <c r="C592" t="s">
        <v>423</v>
      </c>
      <c r="D592">
        <v>8920</v>
      </c>
      <c r="E592">
        <v>8921</v>
      </c>
      <c r="F592">
        <v>8917</v>
      </c>
      <c r="G592">
        <v>8919</v>
      </c>
      <c r="H592">
        <v>12800</v>
      </c>
    </row>
    <row r="593" spans="2:8">
      <c r="B593" t="s">
        <v>442</v>
      </c>
      <c r="C593" t="s">
        <v>424</v>
      </c>
      <c r="D593">
        <v>8919</v>
      </c>
      <c r="E593">
        <v>8922</v>
      </c>
      <c r="F593">
        <v>8918</v>
      </c>
      <c r="G593">
        <v>8921</v>
      </c>
      <c r="H593">
        <v>9600</v>
      </c>
    </row>
    <row r="594" spans="2:8">
      <c r="B594" t="s">
        <v>442</v>
      </c>
      <c r="C594" t="s">
        <v>425</v>
      </c>
      <c r="D594">
        <v>8921</v>
      </c>
      <c r="E594">
        <v>8923</v>
      </c>
      <c r="F594">
        <v>8920</v>
      </c>
      <c r="G594">
        <v>8921</v>
      </c>
      <c r="H594">
        <v>14100</v>
      </c>
    </row>
    <row r="595" spans="2:8">
      <c r="B595" t="s">
        <v>442</v>
      </c>
      <c r="C595" t="s">
        <v>426</v>
      </c>
      <c r="D595">
        <v>8922</v>
      </c>
      <c r="E595">
        <v>8922</v>
      </c>
      <c r="F595">
        <v>8920</v>
      </c>
      <c r="G595">
        <v>8922</v>
      </c>
      <c r="H595">
        <v>10600</v>
      </c>
    </row>
    <row r="596" spans="2:8">
      <c r="B596" t="s">
        <v>442</v>
      </c>
      <c r="C596" t="s">
        <v>427</v>
      </c>
      <c r="D596">
        <v>8922</v>
      </c>
      <c r="E596">
        <v>8927</v>
      </c>
      <c r="F596">
        <v>8919</v>
      </c>
      <c r="G596">
        <v>8927</v>
      </c>
      <c r="H596">
        <v>18900</v>
      </c>
    </row>
    <row r="597" spans="2:8">
      <c r="B597" t="s">
        <v>442</v>
      </c>
      <c r="C597" t="s">
        <v>428</v>
      </c>
      <c r="D597">
        <v>8927</v>
      </c>
      <c r="E597">
        <v>8932</v>
      </c>
      <c r="F597">
        <v>8926</v>
      </c>
      <c r="G597">
        <v>8929</v>
      </c>
      <c r="H597">
        <v>20300</v>
      </c>
    </row>
    <row r="598" spans="2:8">
      <c r="B598" t="s">
        <v>442</v>
      </c>
      <c r="C598" t="s">
        <v>429</v>
      </c>
      <c r="D598">
        <v>8930</v>
      </c>
      <c r="E598">
        <v>8930</v>
      </c>
      <c r="F598">
        <v>8921</v>
      </c>
      <c r="G598">
        <v>8921</v>
      </c>
      <c r="H598">
        <v>17300</v>
      </c>
    </row>
    <row r="599" spans="2:8">
      <c r="B599" t="s">
        <v>442</v>
      </c>
      <c r="C599" t="s">
        <v>430</v>
      </c>
      <c r="D599">
        <v>8921</v>
      </c>
      <c r="E599">
        <v>8924</v>
      </c>
      <c r="F599">
        <v>8920</v>
      </c>
      <c r="G599">
        <v>8922</v>
      </c>
      <c r="H599">
        <v>11900</v>
      </c>
    </row>
    <row r="600" spans="2:8">
      <c r="B600" t="s">
        <v>442</v>
      </c>
      <c r="C600" t="s">
        <v>431</v>
      </c>
      <c r="D600">
        <v>8922</v>
      </c>
      <c r="E600">
        <v>8929</v>
      </c>
      <c r="F600">
        <v>8922</v>
      </c>
      <c r="G600">
        <v>8926</v>
      </c>
      <c r="H600">
        <v>16400</v>
      </c>
    </row>
    <row r="601" spans="2:8">
      <c r="B601" t="s">
        <v>442</v>
      </c>
      <c r="C601" t="s">
        <v>9</v>
      </c>
      <c r="D601">
        <v>8925</v>
      </c>
      <c r="E601">
        <v>8926</v>
      </c>
      <c r="F601">
        <v>8923</v>
      </c>
      <c r="G601">
        <v>8925</v>
      </c>
      <c r="H601">
        <v>8400</v>
      </c>
    </row>
    <row r="602" spans="2:8">
      <c r="B602" t="s">
        <v>442</v>
      </c>
      <c r="C602" t="s">
        <v>10</v>
      </c>
      <c r="D602">
        <v>8925</v>
      </c>
      <c r="E602">
        <v>8929</v>
      </c>
      <c r="F602">
        <v>8925</v>
      </c>
      <c r="G602">
        <v>8929</v>
      </c>
      <c r="H602">
        <v>11800</v>
      </c>
    </row>
    <row r="603" spans="2:8">
      <c r="B603" t="s">
        <v>442</v>
      </c>
      <c r="C603" t="s">
        <v>11</v>
      </c>
      <c r="D603">
        <v>8928</v>
      </c>
      <c r="E603">
        <v>8930</v>
      </c>
      <c r="F603">
        <v>8922</v>
      </c>
      <c r="G603">
        <v>8922</v>
      </c>
      <c r="H603">
        <v>32200</v>
      </c>
    </row>
    <row r="604" spans="2:8">
      <c r="B604" t="s">
        <v>442</v>
      </c>
      <c r="C604" t="s">
        <v>12</v>
      </c>
      <c r="D604">
        <v>8921</v>
      </c>
      <c r="E604">
        <v>8925</v>
      </c>
      <c r="F604">
        <v>8921</v>
      </c>
      <c r="G604">
        <v>8923</v>
      </c>
      <c r="H604">
        <v>11800</v>
      </c>
    </row>
    <row r="605" spans="2:8">
      <c r="B605" t="s">
        <v>442</v>
      </c>
      <c r="C605" t="s">
        <v>13</v>
      </c>
      <c r="D605">
        <v>8923</v>
      </c>
      <c r="E605">
        <v>8926</v>
      </c>
      <c r="F605">
        <v>8923</v>
      </c>
      <c r="G605">
        <v>8925</v>
      </c>
      <c r="H605">
        <v>5900</v>
      </c>
    </row>
    <row r="606" spans="2:8">
      <c r="B606" t="s">
        <v>442</v>
      </c>
      <c r="C606" t="s">
        <v>14</v>
      </c>
      <c r="D606">
        <v>8925</v>
      </c>
      <c r="E606">
        <v>8925</v>
      </c>
      <c r="F606">
        <v>8906</v>
      </c>
      <c r="G606">
        <v>8913</v>
      </c>
      <c r="H606">
        <v>87100</v>
      </c>
    </row>
    <row r="607" spans="2:8">
      <c r="B607" t="s">
        <v>442</v>
      </c>
      <c r="C607" t="s">
        <v>15</v>
      </c>
      <c r="D607">
        <v>8913</v>
      </c>
      <c r="E607">
        <v>8917</v>
      </c>
      <c r="F607">
        <v>8904</v>
      </c>
      <c r="G607">
        <v>8908</v>
      </c>
      <c r="H607">
        <v>50000</v>
      </c>
    </row>
    <row r="608" spans="2:8">
      <c r="B608" t="s">
        <v>442</v>
      </c>
      <c r="C608" t="s">
        <v>16</v>
      </c>
      <c r="D608">
        <v>8909</v>
      </c>
      <c r="E608">
        <v>8913</v>
      </c>
      <c r="F608">
        <v>8908</v>
      </c>
      <c r="G608">
        <v>8913</v>
      </c>
      <c r="H608">
        <v>16100</v>
      </c>
    </row>
    <row r="609" spans="2:8">
      <c r="B609" t="s">
        <v>442</v>
      </c>
      <c r="C609" t="s">
        <v>17</v>
      </c>
      <c r="D609">
        <v>8913</v>
      </c>
      <c r="E609">
        <v>8918</v>
      </c>
      <c r="F609">
        <v>8913</v>
      </c>
      <c r="G609">
        <v>8916</v>
      </c>
      <c r="H609">
        <v>23300</v>
      </c>
    </row>
    <row r="610" spans="2:8">
      <c r="B610" t="s">
        <v>442</v>
      </c>
      <c r="C610" t="s">
        <v>18</v>
      </c>
      <c r="D610">
        <v>8915</v>
      </c>
      <c r="E610">
        <v>8916</v>
      </c>
      <c r="F610">
        <v>8913</v>
      </c>
      <c r="G610">
        <v>8913</v>
      </c>
      <c r="H610">
        <v>11700</v>
      </c>
    </row>
    <row r="611" spans="2:8">
      <c r="B611" t="s">
        <v>442</v>
      </c>
      <c r="C611" t="s">
        <v>19</v>
      </c>
      <c r="D611">
        <v>8914</v>
      </c>
      <c r="E611">
        <v>8914</v>
      </c>
      <c r="F611">
        <v>8910</v>
      </c>
      <c r="G611">
        <v>8914</v>
      </c>
      <c r="H611">
        <v>16500</v>
      </c>
    </row>
    <row r="612" spans="2:8">
      <c r="B612" t="s">
        <v>442</v>
      </c>
      <c r="C612" t="s">
        <v>20</v>
      </c>
      <c r="D612">
        <v>8915</v>
      </c>
      <c r="E612">
        <v>8915</v>
      </c>
      <c r="F612">
        <v>8908</v>
      </c>
      <c r="G612">
        <v>8909</v>
      </c>
      <c r="H612">
        <v>16400</v>
      </c>
    </row>
    <row r="613" spans="2:8">
      <c r="B613" t="s">
        <v>442</v>
      </c>
      <c r="C613" t="s">
        <v>21</v>
      </c>
      <c r="D613">
        <v>8909</v>
      </c>
      <c r="E613">
        <v>8911</v>
      </c>
      <c r="F613">
        <v>8908</v>
      </c>
      <c r="G613">
        <v>8909</v>
      </c>
      <c r="H613">
        <v>10400</v>
      </c>
    </row>
    <row r="614" spans="2:8">
      <c r="B614" t="s">
        <v>442</v>
      </c>
      <c r="C614" t="s">
        <v>22</v>
      </c>
      <c r="D614">
        <v>8909</v>
      </c>
      <c r="E614">
        <v>8909</v>
      </c>
      <c r="F614">
        <v>8895</v>
      </c>
      <c r="G614">
        <v>8899</v>
      </c>
      <c r="H614">
        <v>72000</v>
      </c>
    </row>
    <row r="615" spans="2:8">
      <c r="B615" t="s">
        <v>442</v>
      </c>
      <c r="C615" t="s">
        <v>23</v>
      </c>
      <c r="D615">
        <v>8899</v>
      </c>
      <c r="E615">
        <v>8902</v>
      </c>
      <c r="F615">
        <v>8898</v>
      </c>
      <c r="G615">
        <v>8901</v>
      </c>
      <c r="H615">
        <v>19900</v>
      </c>
    </row>
    <row r="616" spans="2:8">
      <c r="B616" t="s">
        <v>442</v>
      </c>
      <c r="C616" t="s">
        <v>24</v>
      </c>
      <c r="D616">
        <v>8901</v>
      </c>
      <c r="E616">
        <v>8908</v>
      </c>
      <c r="F616">
        <v>8900</v>
      </c>
      <c r="G616">
        <v>8907</v>
      </c>
      <c r="H616">
        <v>22100</v>
      </c>
    </row>
    <row r="617" spans="2:8">
      <c r="B617" t="s">
        <v>442</v>
      </c>
      <c r="C617" t="s">
        <v>25</v>
      </c>
      <c r="D617">
        <v>8907</v>
      </c>
      <c r="E617">
        <v>8910</v>
      </c>
      <c r="F617">
        <v>8905</v>
      </c>
      <c r="G617">
        <v>8909</v>
      </c>
      <c r="H617">
        <v>13300</v>
      </c>
    </row>
    <row r="618" spans="2:8">
      <c r="B618" t="s">
        <v>442</v>
      </c>
      <c r="C618" t="s">
        <v>26</v>
      </c>
      <c r="D618">
        <v>8909</v>
      </c>
      <c r="E618">
        <v>8909</v>
      </c>
      <c r="F618">
        <v>8901</v>
      </c>
      <c r="G618">
        <v>8903</v>
      </c>
      <c r="H618">
        <v>18800</v>
      </c>
    </row>
    <row r="619" spans="2:8">
      <c r="B619" t="s">
        <v>442</v>
      </c>
      <c r="C619" t="s">
        <v>27</v>
      </c>
      <c r="D619">
        <v>8902</v>
      </c>
      <c r="E619">
        <v>8905</v>
      </c>
      <c r="F619">
        <v>8901</v>
      </c>
      <c r="G619">
        <v>8905</v>
      </c>
      <c r="H619">
        <v>15900</v>
      </c>
    </row>
    <row r="620" spans="2:8">
      <c r="B620" t="s">
        <v>442</v>
      </c>
      <c r="C620" t="s">
        <v>28</v>
      </c>
      <c r="D620">
        <v>8905</v>
      </c>
      <c r="E620">
        <v>8907</v>
      </c>
      <c r="F620">
        <v>8905</v>
      </c>
      <c r="G620">
        <v>8906</v>
      </c>
      <c r="H620">
        <v>3800</v>
      </c>
    </row>
    <row r="621" spans="2:8">
      <c r="B621" t="s">
        <v>442</v>
      </c>
      <c r="C621" t="s">
        <v>29</v>
      </c>
      <c r="D621">
        <v>8906</v>
      </c>
      <c r="E621">
        <v>8910</v>
      </c>
      <c r="F621">
        <v>8906</v>
      </c>
      <c r="G621">
        <v>8910</v>
      </c>
      <c r="H621">
        <v>11000</v>
      </c>
    </row>
    <row r="622" spans="2:8">
      <c r="B622" t="s">
        <v>442</v>
      </c>
      <c r="C622" t="s">
        <v>30</v>
      </c>
      <c r="D622">
        <v>8910</v>
      </c>
      <c r="E622">
        <v>8914</v>
      </c>
      <c r="F622">
        <v>8909</v>
      </c>
      <c r="G622">
        <v>8912</v>
      </c>
      <c r="H622">
        <v>26300</v>
      </c>
    </row>
    <row r="623" spans="2:8">
      <c r="B623" t="s">
        <v>442</v>
      </c>
      <c r="C623" t="s">
        <v>31</v>
      </c>
      <c r="D623">
        <v>8912</v>
      </c>
      <c r="E623">
        <v>8913</v>
      </c>
      <c r="F623">
        <v>8906</v>
      </c>
      <c r="G623">
        <v>8912</v>
      </c>
      <c r="H623">
        <v>21900</v>
      </c>
    </row>
    <row r="624" spans="2:8">
      <c r="B624" t="s">
        <v>442</v>
      </c>
      <c r="C624" t="s">
        <v>32</v>
      </c>
      <c r="D624">
        <v>8913</v>
      </c>
      <c r="E624">
        <v>8919</v>
      </c>
      <c r="F624">
        <v>8912</v>
      </c>
      <c r="G624">
        <v>8916</v>
      </c>
      <c r="H624">
        <v>34200</v>
      </c>
    </row>
    <row r="625" spans="2:8">
      <c r="B625" t="s">
        <v>442</v>
      </c>
      <c r="C625" t="s">
        <v>33</v>
      </c>
      <c r="D625">
        <v>8916</v>
      </c>
      <c r="E625">
        <v>8923</v>
      </c>
      <c r="F625">
        <v>8916</v>
      </c>
      <c r="G625">
        <v>8919</v>
      </c>
      <c r="H625">
        <v>36100</v>
      </c>
    </row>
    <row r="626" spans="2:8">
      <c r="B626" t="s">
        <v>442</v>
      </c>
      <c r="C626" t="s">
        <v>34</v>
      </c>
      <c r="D626">
        <v>8919</v>
      </c>
      <c r="E626">
        <v>8919</v>
      </c>
      <c r="F626">
        <v>8912</v>
      </c>
      <c r="G626">
        <v>8917</v>
      </c>
      <c r="H626">
        <v>19000</v>
      </c>
    </row>
    <row r="627" spans="2:8">
      <c r="B627" t="s">
        <v>442</v>
      </c>
      <c r="C627" t="s">
        <v>35</v>
      </c>
      <c r="D627">
        <v>8918</v>
      </c>
      <c r="E627">
        <v>8919</v>
      </c>
      <c r="F627">
        <v>8913</v>
      </c>
      <c r="G627">
        <v>8919</v>
      </c>
      <c r="H627">
        <v>18100</v>
      </c>
    </row>
    <row r="628" spans="2:8">
      <c r="B628" t="s">
        <v>442</v>
      </c>
      <c r="C628" t="s">
        <v>36</v>
      </c>
      <c r="D628">
        <v>8918</v>
      </c>
      <c r="E628">
        <v>8919</v>
      </c>
      <c r="F628">
        <v>8915</v>
      </c>
      <c r="G628">
        <v>8915</v>
      </c>
      <c r="H628">
        <v>9300</v>
      </c>
    </row>
    <row r="629" spans="2:8">
      <c r="B629" t="s">
        <v>442</v>
      </c>
      <c r="C629" t="s">
        <v>37</v>
      </c>
      <c r="D629">
        <v>8917</v>
      </c>
      <c r="E629">
        <v>8918</v>
      </c>
      <c r="F629">
        <v>8913</v>
      </c>
      <c r="G629">
        <v>8913</v>
      </c>
      <c r="H629">
        <v>14000</v>
      </c>
    </row>
    <row r="630" spans="2:8">
      <c r="B630" t="s">
        <v>442</v>
      </c>
      <c r="C630" t="s">
        <v>38</v>
      </c>
      <c r="D630">
        <v>8913</v>
      </c>
      <c r="E630">
        <v>8919</v>
      </c>
      <c r="F630">
        <v>8913</v>
      </c>
      <c r="G630">
        <v>8918</v>
      </c>
      <c r="H630">
        <v>14300</v>
      </c>
    </row>
    <row r="631" spans="2:8">
      <c r="B631" t="s">
        <v>442</v>
      </c>
      <c r="C631" t="s">
        <v>39</v>
      </c>
      <c r="D631">
        <v>8918</v>
      </c>
      <c r="E631">
        <v>8921</v>
      </c>
      <c r="F631">
        <v>8915</v>
      </c>
      <c r="G631">
        <v>8919</v>
      </c>
      <c r="H631">
        <v>19500</v>
      </c>
    </row>
    <row r="632" spans="2:8">
      <c r="B632" t="s">
        <v>442</v>
      </c>
      <c r="C632" t="s">
        <v>40</v>
      </c>
      <c r="D632">
        <v>8919</v>
      </c>
      <c r="E632">
        <v>8921</v>
      </c>
      <c r="F632">
        <v>8919</v>
      </c>
      <c r="G632">
        <v>8919</v>
      </c>
      <c r="H632">
        <v>9400</v>
      </c>
    </row>
    <row r="633" spans="2:8">
      <c r="B633" t="s">
        <v>442</v>
      </c>
      <c r="C633" t="s">
        <v>41</v>
      </c>
      <c r="D633">
        <v>8920</v>
      </c>
      <c r="E633">
        <v>8922</v>
      </c>
      <c r="F633">
        <v>8917</v>
      </c>
      <c r="G633">
        <v>8920</v>
      </c>
      <c r="H633">
        <v>17800</v>
      </c>
    </row>
    <row r="634" spans="2:8">
      <c r="B634" t="s">
        <v>442</v>
      </c>
      <c r="C634" t="s">
        <v>42</v>
      </c>
      <c r="D634">
        <v>8920</v>
      </c>
      <c r="E634">
        <v>8921</v>
      </c>
      <c r="F634">
        <v>8919</v>
      </c>
      <c r="G634">
        <v>8920</v>
      </c>
      <c r="H634">
        <v>5900</v>
      </c>
    </row>
    <row r="635" spans="2:8">
      <c r="B635" t="s">
        <v>442</v>
      </c>
      <c r="C635" t="s">
        <v>43</v>
      </c>
      <c r="D635">
        <v>8920</v>
      </c>
      <c r="E635">
        <v>8921</v>
      </c>
      <c r="F635">
        <v>8913</v>
      </c>
      <c r="G635">
        <v>8913</v>
      </c>
      <c r="H635">
        <v>24100</v>
      </c>
    </row>
    <row r="636" spans="2:8">
      <c r="B636" t="s">
        <v>442</v>
      </c>
      <c r="C636" t="s">
        <v>44</v>
      </c>
      <c r="D636">
        <v>8913</v>
      </c>
      <c r="E636">
        <v>8916</v>
      </c>
      <c r="F636">
        <v>8912</v>
      </c>
      <c r="G636">
        <v>8913</v>
      </c>
      <c r="H636">
        <v>14700</v>
      </c>
    </row>
    <row r="637" spans="2:8">
      <c r="B637" t="s">
        <v>442</v>
      </c>
      <c r="C637" t="s">
        <v>45</v>
      </c>
      <c r="D637">
        <v>8913</v>
      </c>
      <c r="E637">
        <v>8925</v>
      </c>
      <c r="F637">
        <v>8912</v>
      </c>
      <c r="G637">
        <v>8925</v>
      </c>
      <c r="H637">
        <v>45900</v>
      </c>
    </row>
    <row r="638" spans="2:8">
      <c r="B638" t="s">
        <v>442</v>
      </c>
      <c r="C638" t="s">
        <v>46</v>
      </c>
      <c r="D638">
        <v>8925</v>
      </c>
      <c r="E638">
        <v>8927</v>
      </c>
      <c r="F638">
        <v>8922</v>
      </c>
      <c r="G638">
        <v>8923</v>
      </c>
      <c r="H638">
        <v>21600</v>
      </c>
    </row>
    <row r="639" spans="2:8">
      <c r="B639" t="s">
        <v>442</v>
      </c>
      <c r="C639" t="s">
        <v>47</v>
      </c>
      <c r="D639">
        <v>8923</v>
      </c>
      <c r="E639">
        <v>8923</v>
      </c>
      <c r="F639">
        <v>8920</v>
      </c>
      <c r="G639">
        <v>8922</v>
      </c>
      <c r="H639">
        <v>16200</v>
      </c>
    </row>
    <row r="640" spans="2:8">
      <c r="B640" t="s">
        <v>442</v>
      </c>
      <c r="C640" t="s">
        <v>48</v>
      </c>
      <c r="D640">
        <v>8922</v>
      </c>
      <c r="E640">
        <v>8927</v>
      </c>
      <c r="F640">
        <v>8922</v>
      </c>
      <c r="G640">
        <v>8927</v>
      </c>
      <c r="H640">
        <v>17300</v>
      </c>
    </row>
    <row r="641" spans="2:8">
      <c r="B641" t="s">
        <v>442</v>
      </c>
      <c r="C641" t="s">
        <v>49</v>
      </c>
      <c r="D641">
        <v>8927</v>
      </c>
      <c r="E641">
        <v>8928</v>
      </c>
      <c r="F641">
        <v>8924</v>
      </c>
      <c r="G641">
        <v>8927</v>
      </c>
      <c r="H641">
        <v>17100</v>
      </c>
    </row>
    <row r="642" spans="2:8">
      <c r="B642" t="s">
        <v>442</v>
      </c>
      <c r="C642" t="s">
        <v>50</v>
      </c>
      <c r="D642">
        <v>8928</v>
      </c>
      <c r="E642">
        <v>8929</v>
      </c>
      <c r="F642">
        <v>8924</v>
      </c>
      <c r="G642">
        <v>8926</v>
      </c>
      <c r="H642">
        <v>34500</v>
      </c>
    </row>
    <row r="643" spans="2:8">
      <c r="B643" t="s">
        <v>442</v>
      </c>
      <c r="C643" t="s">
        <v>51</v>
      </c>
      <c r="D643">
        <v>8926</v>
      </c>
      <c r="E643">
        <v>8926</v>
      </c>
      <c r="F643">
        <v>8924</v>
      </c>
      <c r="G643">
        <v>8925</v>
      </c>
      <c r="H643">
        <v>10100</v>
      </c>
    </row>
    <row r="644" spans="2:8">
      <c r="B644" t="s">
        <v>442</v>
      </c>
      <c r="C644" t="s">
        <v>52</v>
      </c>
      <c r="D644">
        <v>8925</v>
      </c>
      <c r="E644">
        <v>8926</v>
      </c>
      <c r="F644">
        <v>8921</v>
      </c>
      <c r="G644">
        <v>8921</v>
      </c>
      <c r="H644">
        <v>14300</v>
      </c>
    </row>
    <row r="645" spans="2:8">
      <c r="B645" t="s">
        <v>442</v>
      </c>
      <c r="C645" t="s">
        <v>53</v>
      </c>
      <c r="D645">
        <v>8922</v>
      </c>
      <c r="E645">
        <v>8922</v>
      </c>
      <c r="F645">
        <v>8920</v>
      </c>
      <c r="G645">
        <v>8921</v>
      </c>
      <c r="H645">
        <v>7300</v>
      </c>
    </row>
    <row r="646" spans="2:8">
      <c r="B646" t="s">
        <v>442</v>
      </c>
      <c r="C646" t="s">
        <v>54</v>
      </c>
      <c r="D646">
        <v>8920</v>
      </c>
      <c r="E646">
        <v>8927</v>
      </c>
      <c r="F646">
        <v>8920</v>
      </c>
      <c r="G646">
        <v>8926</v>
      </c>
      <c r="H646">
        <v>11900</v>
      </c>
    </row>
    <row r="647" spans="2:8">
      <c r="B647" t="s">
        <v>442</v>
      </c>
      <c r="C647" t="s">
        <v>55</v>
      </c>
      <c r="D647">
        <v>8926</v>
      </c>
      <c r="E647">
        <v>8927</v>
      </c>
      <c r="F647">
        <v>8923</v>
      </c>
      <c r="G647">
        <v>8923</v>
      </c>
      <c r="H647">
        <v>12500</v>
      </c>
    </row>
    <row r="648" spans="2:8">
      <c r="B648" t="s">
        <v>442</v>
      </c>
      <c r="C648" t="s">
        <v>56</v>
      </c>
      <c r="D648">
        <v>8923</v>
      </c>
      <c r="E648">
        <v>8930</v>
      </c>
      <c r="F648">
        <v>8920</v>
      </c>
      <c r="G648">
        <v>8930</v>
      </c>
      <c r="H648">
        <v>50400</v>
      </c>
    </row>
    <row r="649" spans="2:8">
      <c r="B649" t="s">
        <v>442</v>
      </c>
      <c r="C649" t="s">
        <v>57</v>
      </c>
      <c r="D649">
        <v>8929</v>
      </c>
      <c r="E649">
        <v>8935</v>
      </c>
      <c r="F649">
        <v>8926</v>
      </c>
      <c r="G649">
        <v>8927</v>
      </c>
      <c r="H649">
        <v>60000</v>
      </c>
    </row>
    <row r="650" spans="2:8">
      <c r="B650" t="s">
        <v>442</v>
      </c>
      <c r="C650" t="s">
        <v>58</v>
      </c>
      <c r="D650">
        <v>8927</v>
      </c>
      <c r="E650">
        <v>8928</v>
      </c>
      <c r="F650">
        <v>8923</v>
      </c>
      <c r="G650">
        <v>8926</v>
      </c>
      <c r="H650">
        <v>16400</v>
      </c>
    </row>
    <row r="651" spans="2:8">
      <c r="B651" t="s">
        <v>442</v>
      </c>
      <c r="C651" t="s">
        <v>59</v>
      </c>
      <c r="D651">
        <v>8926</v>
      </c>
      <c r="E651">
        <v>8928</v>
      </c>
      <c r="F651">
        <v>8926</v>
      </c>
      <c r="G651">
        <v>8927</v>
      </c>
      <c r="H651">
        <v>10300</v>
      </c>
    </row>
    <row r="652" spans="2:8">
      <c r="B652" t="s">
        <v>442</v>
      </c>
      <c r="C652" t="s">
        <v>60</v>
      </c>
      <c r="D652">
        <v>8927</v>
      </c>
      <c r="E652">
        <v>8927</v>
      </c>
      <c r="F652">
        <v>8923</v>
      </c>
      <c r="G652">
        <v>8925</v>
      </c>
      <c r="H652">
        <v>12500</v>
      </c>
    </row>
    <row r="653" spans="2:8">
      <c r="B653" t="s">
        <v>442</v>
      </c>
      <c r="C653" t="s">
        <v>61</v>
      </c>
      <c r="D653">
        <v>8925</v>
      </c>
      <c r="E653">
        <v>8927</v>
      </c>
      <c r="F653">
        <v>8920</v>
      </c>
      <c r="G653">
        <v>8920</v>
      </c>
      <c r="H653">
        <v>33700</v>
      </c>
    </row>
    <row r="654" spans="2:8">
      <c r="B654" t="s">
        <v>442</v>
      </c>
      <c r="C654" t="s">
        <v>62</v>
      </c>
      <c r="D654">
        <v>8920</v>
      </c>
      <c r="E654">
        <v>8921</v>
      </c>
      <c r="F654">
        <v>8911</v>
      </c>
      <c r="G654">
        <v>8918</v>
      </c>
      <c r="H654">
        <v>41900</v>
      </c>
    </row>
    <row r="655" spans="2:8">
      <c r="B655" t="s">
        <v>442</v>
      </c>
      <c r="C655" t="s">
        <v>63</v>
      </c>
      <c r="D655">
        <v>8918</v>
      </c>
      <c r="E655">
        <v>8925</v>
      </c>
      <c r="F655">
        <v>8915</v>
      </c>
      <c r="G655">
        <v>8925</v>
      </c>
      <c r="H655">
        <v>19900</v>
      </c>
    </row>
    <row r="656" spans="2:8">
      <c r="B656" t="s">
        <v>442</v>
      </c>
      <c r="C656" t="s">
        <v>64</v>
      </c>
      <c r="D656">
        <v>8924</v>
      </c>
      <c r="E656">
        <v>8932</v>
      </c>
      <c r="F656">
        <v>8923</v>
      </c>
      <c r="G656">
        <v>8931</v>
      </c>
      <c r="H656">
        <v>47800</v>
      </c>
    </row>
    <row r="657" spans="2:8">
      <c r="B657" t="s">
        <v>442</v>
      </c>
      <c r="C657" t="s">
        <v>65</v>
      </c>
      <c r="D657">
        <v>8931</v>
      </c>
      <c r="E657">
        <v>8935</v>
      </c>
      <c r="F657">
        <v>8931</v>
      </c>
      <c r="G657">
        <v>8933</v>
      </c>
      <c r="H657">
        <v>54100</v>
      </c>
    </row>
    <row r="658" spans="2:8">
      <c r="B658" t="s">
        <v>442</v>
      </c>
      <c r="C658" t="s">
        <v>66</v>
      </c>
      <c r="D658">
        <v>8934</v>
      </c>
      <c r="E658">
        <v>8935</v>
      </c>
      <c r="F658">
        <v>8930</v>
      </c>
      <c r="G658">
        <v>8933</v>
      </c>
      <c r="H658">
        <v>34400</v>
      </c>
    </row>
    <row r="659" spans="2:8">
      <c r="B659" t="s">
        <v>442</v>
      </c>
      <c r="C659" t="s">
        <v>164</v>
      </c>
      <c r="D659">
        <v>8934</v>
      </c>
      <c r="E659">
        <v>8940</v>
      </c>
      <c r="F659">
        <v>8933</v>
      </c>
      <c r="G659">
        <v>8938</v>
      </c>
      <c r="H659">
        <v>58300</v>
      </c>
    </row>
    <row r="660" spans="2:8">
      <c r="B660" t="s">
        <v>442</v>
      </c>
      <c r="C660" t="s">
        <v>165</v>
      </c>
      <c r="D660">
        <v>8938</v>
      </c>
      <c r="E660">
        <v>8941</v>
      </c>
      <c r="F660">
        <v>8935</v>
      </c>
      <c r="G660">
        <v>8941</v>
      </c>
      <c r="H660">
        <v>56300</v>
      </c>
    </row>
    <row r="661" spans="2:8">
      <c r="B661" t="s">
        <v>442</v>
      </c>
      <c r="C661" t="s">
        <v>67</v>
      </c>
      <c r="D661" t="s">
        <v>8</v>
      </c>
      <c r="E661" t="s">
        <v>8</v>
      </c>
      <c r="F661" t="s">
        <v>8</v>
      </c>
      <c r="G661" t="s">
        <v>8</v>
      </c>
      <c r="H661">
        <v>0</v>
      </c>
    </row>
    <row r="662" spans="2:8">
      <c r="B662" t="s">
        <v>442</v>
      </c>
      <c r="C662" t="s">
        <v>68</v>
      </c>
      <c r="D662" t="s">
        <v>8</v>
      </c>
      <c r="E662" t="s">
        <v>8</v>
      </c>
      <c r="F662" t="s">
        <v>8</v>
      </c>
      <c r="G662" t="s">
        <v>8</v>
      </c>
      <c r="H662">
        <v>0</v>
      </c>
    </row>
    <row r="663" spans="2:8">
      <c r="B663" t="s">
        <v>442</v>
      </c>
      <c r="C663" t="s">
        <v>69</v>
      </c>
      <c r="D663" t="s">
        <v>8</v>
      </c>
      <c r="E663" t="s">
        <v>8</v>
      </c>
      <c r="F663" t="s">
        <v>8</v>
      </c>
      <c r="G663" t="s">
        <v>8</v>
      </c>
      <c r="H663">
        <v>0</v>
      </c>
    </row>
    <row r="664" spans="2:8">
      <c r="B664" t="s">
        <v>442</v>
      </c>
      <c r="C664" t="s">
        <v>70</v>
      </c>
      <c r="D664" t="s">
        <v>8</v>
      </c>
      <c r="E664" t="s">
        <v>8</v>
      </c>
      <c r="F664" t="s">
        <v>8</v>
      </c>
      <c r="G664" t="s">
        <v>8</v>
      </c>
      <c r="H664">
        <v>0</v>
      </c>
    </row>
    <row r="665" spans="2:8">
      <c r="B665" t="s">
        <v>442</v>
      </c>
      <c r="C665" t="s">
        <v>71</v>
      </c>
      <c r="D665" t="s">
        <v>8</v>
      </c>
      <c r="E665" t="s">
        <v>8</v>
      </c>
      <c r="F665" t="s">
        <v>8</v>
      </c>
      <c r="G665" t="s">
        <v>8</v>
      </c>
      <c r="H665">
        <v>0</v>
      </c>
    </row>
    <row r="666" spans="2:8">
      <c r="B666" t="s">
        <v>442</v>
      </c>
      <c r="C666" t="s">
        <v>72</v>
      </c>
      <c r="D666">
        <v>8940</v>
      </c>
      <c r="E666">
        <v>8940</v>
      </c>
      <c r="F666">
        <v>8940</v>
      </c>
      <c r="G666">
        <v>8940</v>
      </c>
      <c r="H666">
        <v>402100</v>
      </c>
    </row>
    <row r="667" spans="2:8">
      <c r="B667" t="s">
        <v>443</v>
      </c>
      <c r="C667" t="s">
        <v>166</v>
      </c>
      <c r="D667" t="s">
        <v>8</v>
      </c>
      <c r="E667" t="s">
        <v>8</v>
      </c>
      <c r="F667" t="s">
        <v>8</v>
      </c>
      <c r="G667" t="s">
        <v>8</v>
      </c>
      <c r="H667">
        <v>0</v>
      </c>
    </row>
    <row r="668" spans="2:8">
      <c r="B668" t="s">
        <v>443</v>
      </c>
      <c r="C668" t="s">
        <v>167</v>
      </c>
      <c r="D668" t="s">
        <v>8</v>
      </c>
      <c r="E668" t="s">
        <v>8</v>
      </c>
      <c r="F668" t="s">
        <v>8</v>
      </c>
      <c r="G668" t="s">
        <v>8</v>
      </c>
      <c r="H668">
        <v>0</v>
      </c>
    </row>
    <row r="669" spans="2:8">
      <c r="B669" t="s">
        <v>443</v>
      </c>
      <c r="C669" t="s">
        <v>168</v>
      </c>
      <c r="D669" t="s">
        <v>8</v>
      </c>
      <c r="E669" t="s">
        <v>8</v>
      </c>
      <c r="F669" t="s">
        <v>8</v>
      </c>
      <c r="G669" t="s">
        <v>8</v>
      </c>
      <c r="H669">
        <v>0</v>
      </c>
    </row>
    <row r="670" spans="2:8">
      <c r="B670" t="s">
        <v>443</v>
      </c>
      <c r="C670" t="s">
        <v>169</v>
      </c>
      <c r="D670" t="s">
        <v>8</v>
      </c>
      <c r="E670" t="s">
        <v>8</v>
      </c>
      <c r="F670" t="s">
        <v>8</v>
      </c>
      <c r="G670" t="s">
        <v>8</v>
      </c>
      <c r="H670">
        <v>0</v>
      </c>
    </row>
    <row r="671" spans="2:8">
      <c r="B671" t="s">
        <v>443</v>
      </c>
      <c r="C671" t="s">
        <v>170</v>
      </c>
      <c r="D671" t="s">
        <v>8</v>
      </c>
      <c r="E671" t="s">
        <v>8</v>
      </c>
      <c r="F671" t="s">
        <v>8</v>
      </c>
      <c r="G671" t="s">
        <v>8</v>
      </c>
      <c r="H671">
        <v>0</v>
      </c>
    </row>
    <row r="672" spans="2:8">
      <c r="B672" t="s">
        <v>443</v>
      </c>
      <c r="C672" t="s">
        <v>171</v>
      </c>
      <c r="D672" t="s">
        <v>8</v>
      </c>
      <c r="E672" t="s">
        <v>8</v>
      </c>
      <c r="F672" t="s">
        <v>8</v>
      </c>
      <c r="G672" t="s">
        <v>8</v>
      </c>
      <c r="H672">
        <v>0</v>
      </c>
    </row>
    <row r="673" spans="2:8">
      <c r="B673" t="s">
        <v>443</v>
      </c>
      <c r="C673" t="s">
        <v>172</v>
      </c>
      <c r="D673">
        <v>9358</v>
      </c>
      <c r="E673">
        <v>9544</v>
      </c>
      <c r="F673">
        <v>9301</v>
      </c>
      <c r="G673">
        <v>9532</v>
      </c>
      <c r="H673">
        <v>1430500</v>
      </c>
    </row>
    <row r="674" spans="2:8">
      <c r="B674" t="s">
        <v>443</v>
      </c>
      <c r="C674" t="s">
        <v>173</v>
      </c>
      <c r="D674">
        <v>9529</v>
      </c>
      <c r="E674">
        <v>9531</v>
      </c>
      <c r="F674">
        <v>9428</v>
      </c>
      <c r="G674">
        <v>9441</v>
      </c>
      <c r="H674">
        <v>441300</v>
      </c>
    </row>
    <row r="675" spans="2:8">
      <c r="B675" t="s">
        <v>443</v>
      </c>
      <c r="C675" t="s">
        <v>174</v>
      </c>
      <c r="D675">
        <v>9443</v>
      </c>
      <c r="E675">
        <v>9515</v>
      </c>
      <c r="F675">
        <v>9435</v>
      </c>
      <c r="G675">
        <v>9507</v>
      </c>
      <c r="H675">
        <v>440400</v>
      </c>
    </row>
    <row r="676" spans="2:8">
      <c r="B676" t="s">
        <v>443</v>
      </c>
      <c r="C676" t="s">
        <v>175</v>
      </c>
      <c r="D676">
        <v>9509</v>
      </c>
      <c r="E676">
        <v>9562</v>
      </c>
      <c r="F676">
        <v>9487</v>
      </c>
      <c r="G676">
        <v>9555</v>
      </c>
      <c r="H676">
        <v>430700</v>
      </c>
    </row>
    <row r="677" spans="2:8">
      <c r="B677" t="s">
        <v>443</v>
      </c>
      <c r="C677" t="s">
        <v>176</v>
      </c>
      <c r="D677">
        <v>9554</v>
      </c>
      <c r="E677">
        <v>9559</v>
      </c>
      <c r="F677">
        <v>9507</v>
      </c>
      <c r="G677">
        <v>9536</v>
      </c>
      <c r="H677">
        <v>294800</v>
      </c>
    </row>
    <row r="678" spans="2:8">
      <c r="B678" t="s">
        <v>443</v>
      </c>
      <c r="C678" t="s">
        <v>177</v>
      </c>
      <c r="D678">
        <v>9536</v>
      </c>
      <c r="E678">
        <v>9660</v>
      </c>
      <c r="F678">
        <v>9532</v>
      </c>
      <c r="G678">
        <v>9659</v>
      </c>
      <c r="H678">
        <v>461300</v>
      </c>
    </row>
    <row r="679" spans="2:8">
      <c r="B679" t="s">
        <v>443</v>
      </c>
      <c r="C679" t="s">
        <v>178</v>
      </c>
      <c r="D679">
        <v>9655</v>
      </c>
      <c r="E679">
        <v>9769</v>
      </c>
      <c r="F679">
        <v>9649</v>
      </c>
      <c r="G679">
        <v>9758</v>
      </c>
      <c r="H679">
        <v>551600</v>
      </c>
    </row>
    <row r="680" spans="2:8">
      <c r="B680" t="s">
        <v>443</v>
      </c>
      <c r="C680" t="s">
        <v>179</v>
      </c>
      <c r="D680">
        <v>9757</v>
      </c>
      <c r="E680">
        <v>9763</v>
      </c>
      <c r="F680">
        <v>9705</v>
      </c>
      <c r="G680">
        <v>9718</v>
      </c>
      <c r="H680">
        <v>446000</v>
      </c>
    </row>
    <row r="681" spans="2:8">
      <c r="B681" t="s">
        <v>443</v>
      </c>
      <c r="C681" t="s">
        <v>180</v>
      </c>
      <c r="D681">
        <v>9718</v>
      </c>
      <c r="E681">
        <v>9739</v>
      </c>
      <c r="F681">
        <v>9685</v>
      </c>
      <c r="G681">
        <v>9694</v>
      </c>
      <c r="H681">
        <v>436600</v>
      </c>
    </row>
    <row r="682" spans="2:8">
      <c r="B682" t="s">
        <v>443</v>
      </c>
      <c r="C682" t="s">
        <v>181</v>
      </c>
      <c r="D682">
        <v>9698</v>
      </c>
      <c r="E682">
        <v>9735</v>
      </c>
      <c r="F682">
        <v>9666</v>
      </c>
      <c r="G682">
        <v>9713</v>
      </c>
      <c r="H682">
        <v>320300</v>
      </c>
    </row>
    <row r="683" spans="2:8">
      <c r="B683" t="s">
        <v>443</v>
      </c>
      <c r="C683" t="s">
        <v>182</v>
      </c>
      <c r="D683">
        <v>9712</v>
      </c>
      <c r="E683">
        <v>9730</v>
      </c>
      <c r="F683">
        <v>9675</v>
      </c>
      <c r="G683">
        <v>9688</v>
      </c>
      <c r="H683">
        <v>261100</v>
      </c>
    </row>
    <row r="684" spans="2:8">
      <c r="B684" t="s">
        <v>443</v>
      </c>
      <c r="C684" t="s">
        <v>183</v>
      </c>
      <c r="D684">
        <v>9691</v>
      </c>
      <c r="E684">
        <v>9710</v>
      </c>
      <c r="F684">
        <v>9678</v>
      </c>
      <c r="G684">
        <v>9688</v>
      </c>
      <c r="H684">
        <v>189300</v>
      </c>
    </row>
    <row r="685" spans="2:8">
      <c r="B685" t="s">
        <v>443</v>
      </c>
      <c r="C685" t="s">
        <v>184</v>
      </c>
      <c r="D685">
        <v>9688</v>
      </c>
      <c r="E685">
        <v>9692</v>
      </c>
      <c r="F685">
        <v>9661</v>
      </c>
      <c r="G685">
        <v>9671</v>
      </c>
      <c r="H685">
        <v>208600</v>
      </c>
    </row>
    <row r="686" spans="2:8">
      <c r="B686" t="s">
        <v>443</v>
      </c>
      <c r="C686" t="s">
        <v>185</v>
      </c>
      <c r="D686">
        <v>9672</v>
      </c>
      <c r="E686">
        <v>9707</v>
      </c>
      <c r="F686">
        <v>9672</v>
      </c>
      <c r="G686">
        <v>9695</v>
      </c>
      <c r="H686">
        <v>190800</v>
      </c>
    </row>
    <row r="687" spans="2:8">
      <c r="B687" t="s">
        <v>443</v>
      </c>
      <c r="C687" t="s">
        <v>186</v>
      </c>
      <c r="D687">
        <v>9697</v>
      </c>
      <c r="E687">
        <v>9713</v>
      </c>
      <c r="F687">
        <v>9696</v>
      </c>
      <c r="G687">
        <v>9704</v>
      </c>
      <c r="H687">
        <v>152100</v>
      </c>
    </row>
    <row r="688" spans="2:8">
      <c r="B688" t="s">
        <v>443</v>
      </c>
      <c r="C688" t="s">
        <v>187</v>
      </c>
      <c r="D688">
        <v>9704</v>
      </c>
      <c r="E688">
        <v>9760</v>
      </c>
      <c r="F688">
        <v>9700</v>
      </c>
      <c r="G688">
        <v>9735</v>
      </c>
      <c r="H688">
        <v>354900</v>
      </c>
    </row>
    <row r="689" spans="2:8">
      <c r="B689" t="s">
        <v>443</v>
      </c>
      <c r="C689" t="s">
        <v>188</v>
      </c>
      <c r="D689">
        <v>9735</v>
      </c>
      <c r="E689">
        <v>9746</v>
      </c>
      <c r="F689">
        <v>9732</v>
      </c>
      <c r="G689">
        <v>9735</v>
      </c>
      <c r="H689">
        <v>108300</v>
      </c>
    </row>
    <row r="690" spans="2:8">
      <c r="B690" t="s">
        <v>443</v>
      </c>
      <c r="C690" t="s">
        <v>189</v>
      </c>
      <c r="D690">
        <v>9735</v>
      </c>
      <c r="E690">
        <v>9737</v>
      </c>
      <c r="F690">
        <v>9691</v>
      </c>
      <c r="G690">
        <v>9700</v>
      </c>
      <c r="H690">
        <v>197100</v>
      </c>
    </row>
    <row r="691" spans="2:8">
      <c r="B691" t="s">
        <v>443</v>
      </c>
      <c r="C691" t="s">
        <v>190</v>
      </c>
      <c r="D691">
        <v>9697</v>
      </c>
      <c r="E691">
        <v>9705</v>
      </c>
      <c r="F691">
        <v>9680</v>
      </c>
      <c r="G691">
        <v>9683</v>
      </c>
      <c r="H691">
        <v>160800</v>
      </c>
    </row>
    <row r="692" spans="2:8">
      <c r="B692" t="s">
        <v>443</v>
      </c>
      <c r="C692" t="s">
        <v>191</v>
      </c>
      <c r="D692">
        <v>9684</v>
      </c>
      <c r="E692">
        <v>9694</v>
      </c>
      <c r="F692">
        <v>9636</v>
      </c>
      <c r="G692">
        <v>9647</v>
      </c>
      <c r="H692">
        <v>216300</v>
      </c>
    </row>
    <row r="693" spans="2:8">
      <c r="B693" t="s">
        <v>443</v>
      </c>
      <c r="C693" t="s">
        <v>192</v>
      </c>
      <c r="D693">
        <v>9647</v>
      </c>
      <c r="E693">
        <v>9672</v>
      </c>
      <c r="F693">
        <v>9627</v>
      </c>
      <c r="G693">
        <v>9659</v>
      </c>
      <c r="H693">
        <v>238900</v>
      </c>
    </row>
    <row r="694" spans="2:8">
      <c r="B694" t="s">
        <v>443</v>
      </c>
      <c r="C694" t="s">
        <v>193</v>
      </c>
      <c r="D694">
        <v>9661</v>
      </c>
      <c r="E694">
        <v>9661</v>
      </c>
      <c r="F694">
        <v>9643</v>
      </c>
      <c r="G694">
        <v>9654</v>
      </c>
      <c r="H694">
        <v>108800</v>
      </c>
    </row>
    <row r="695" spans="2:8">
      <c r="B695" t="s">
        <v>443</v>
      </c>
      <c r="C695" t="s">
        <v>194</v>
      </c>
      <c r="D695">
        <v>9653</v>
      </c>
      <c r="E695">
        <v>9653</v>
      </c>
      <c r="F695">
        <v>9610</v>
      </c>
      <c r="G695">
        <v>9622</v>
      </c>
      <c r="H695">
        <v>217100</v>
      </c>
    </row>
    <row r="696" spans="2:8">
      <c r="B696" t="s">
        <v>443</v>
      </c>
      <c r="C696" t="s">
        <v>195</v>
      </c>
      <c r="D696">
        <v>9622</v>
      </c>
      <c r="E696">
        <v>9631</v>
      </c>
      <c r="F696">
        <v>9615</v>
      </c>
      <c r="G696">
        <v>9618</v>
      </c>
      <c r="H696">
        <v>131700</v>
      </c>
    </row>
    <row r="697" spans="2:8">
      <c r="B697" t="s">
        <v>443</v>
      </c>
      <c r="C697" t="s">
        <v>196</v>
      </c>
      <c r="D697">
        <v>9619</v>
      </c>
      <c r="E697">
        <v>9621</v>
      </c>
      <c r="F697">
        <v>9583</v>
      </c>
      <c r="G697">
        <v>9595</v>
      </c>
      <c r="H697">
        <v>283400</v>
      </c>
    </row>
    <row r="698" spans="2:8">
      <c r="B698" t="s">
        <v>443</v>
      </c>
      <c r="C698" t="s">
        <v>197</v>
      </c>
      <c r="D698">
        <v>9595</v>
      </c>
      <c r="E698">
        <v>9609</v>
      </c>
      <c r="F698">
        <v>9593</v>
      </c>
      <c r="G698">
        <v>9602</v>
      </c>
      <c r="H698">
        <v>118300</v>
      </c>
    </row>
    <row r="699" spans="2:8">
      <c r="B699" t="s">
        <v>443</v>
      </c>
      <c r="C699" t="s">
        <v>198</v>
      </c>
      <c r="D699">
        <v>9603</v>
      </c>
      <c r="E699">
        <v>9630</v>
      </c>
      <c r="F699">
        <v>9587</v>
      </c>
      <c r="G699">
        <v>9588</v>
      </c>
      <c r="H699">
        <v>205400</v>
      </c>
    </row>
    <row r="700" spans="2:8">
      <c r="B700" t="s">
        <v>443</v>
      </c>
      <c r="C700" t="s">
        <v>199</v>
      </c>
      <c r="D700">
        <v>9589</v>
      </c>
      <c r="E700">
        <v>9595</v>
      </c>
      <c r="F700">
        <v>9555</v>
      </c>
      <c r="G700">
        <v>9560</v>
      </c>
      <c r="H700">
        <v>216000</v>
      </c>
    </row>
    <row r="701" spans="2:8">
      <c r="B701" t="s">
        <v>443</v>
      </c>
      <c r="C701" t="s">
        <v>200</v>
      </c>
      <c r="D701">
        <v>9560</v>
      </c>
      <c r="E701">
        <v>9574</v>
      </c>
      <c r="F701">
        <v>9544</v>
      </c>
      <c r="G701">
        <v>9562</v>
      </c>
      <c r="H701">
        <v>197700</v>
      </c>
    </row>
    <row r="702" spans="2:8">
      <c r="B702" t="s">
        <v>443</v>
      </c>
      <c r="C702" t="s">
        <v>201</v>
      </c>
      <c r="D702">
        <v>9562</v>
      </c>
      <c r="E702">
        <v>9574</v>
      </c>
      <c r="F702">
        <v>9560</v>
      </c>
      <c r="G702">
        <v>9570</v>
      </c>
      <c r="H702">
        <v>114200</v>
      </c>
    </row>
    <row r="703" spans="2:8">
      <c r="B703" t="s">
        <v>443</v>
      </c>
      <c r="C703" t="s">
        <v>202</v>
      </c>
      <c r="D703">
        <v>9571</v>
      </c>
      <c r="E703">
        <v>9613</v>
      </c>
      <c r="F703">
        <v>9571</v>
      </c>
      <c r="G703">
        <v>9604</v>
      </c>
      <c r="H703">
        <v>254700</v>
      </c>
    </row>
    <row r="704" spans="2:8">
      <c r="B704" t="s">
        <v>443</v>
      </c>
      <c r="C704" t="s">
        <v>203</v>
      </c>
      <c r="D704">
        <v>9604</v>
      </c>
      <c r="E704">
        <v>9634</v>
      </c>
      <c r="F704">
        <v>9602</v>
      </c>
      <c r="G704">
        <v>9629</v>
      </c>
      <c r="H704">
        <v>144500</v>
      </c>
    </row>
    <row r="705" spans="2:8">
      <c r="B705" t="s">
        <v>443</v>
      </c>
      <c r="C705" t="s">
        <v>204</v>
      </c>
      <c r="D705">
        <v>9630</v>
      </c>
      <c r="E705">
        <v>9647</v>
      </c>
      <c r="F705">
        <v>9615</v>
      </c>
      <c r="G705">
        <v>9624</v>
      </c>
      <c r="H705">
        <v>187000</v>
      </c>
    </row>
    <row r="706" spans="2:8">
      <c r="B706" t="s">
        <v>443</v>
      </c>
      <c r="C706" t="s">
        <v>205</v>
      </c>
      <c r="D706">
        <v>9624</v>
      </c>
      <c r="E706">
        <v>9634</v>
      </c>
      <c r="F706">
        <v>9611</v>
      </c>
      <c r="G706">
        <v>9617</v>
      </c>
      <c r="H706">
        <v>118000</v>
      </c>
    </row>
    <row r="707" spans="2:8">
      <c r="B707" t="s">
        <v>443</v>
      </c>
      <c r="C707" t="s">
        <v>206</v>
      </c>
      <c r="D707">
        <v>9615</v>
      </c>
      <c r="E707">
        <v>9637</v>
      </c>
      <c r="F707">
        <v>9615</v>
      </c>
      <c r="G707">
        <v>9621</v>
      </c>
      <c r="H707">
        <v>115400</v>
      </c>
    </row>
    <row r="708" spans="2:8">
      <c r="B708" t="s">
        <v>443</v>
      </c>
      <c r="C708" t="s">
        <v>207</v>
      </c>
      <c r="D708">
        <v>9620</v>
      </c>
      <c r="E708">
        <v>9625</v>
      </c>
      <c r="F708">
        <v>9612</v>
      </c>
      <c r="G708">
        <v>9620</v>
      </c>
      <c r="H708">
        <v>84300</v>
      </c>
    </row>
    <row r="709" spans="2:8">
      <c r="B709" t="s">
        <v>443</v>
      </c>
      <c r="C709" t="s">
        <v>208</v>
      </c>
      <c r="D709">
        <v>9620</v>
      </c>
      <c r="E709">
        <v>9622</v>
      </c>
      <c r="F709">
        <v>9585</v>
      </c>
      <c r="G709">
        <v>9586</v>
      </c>
      <c r="H709">
        <v>165700</v>
      </c>
    </row>
    <row r="710" spans="2:8">
      <c r="B710" t="s">
        <v>443</v>
      </c>
      <c r="C710" t="s">
        <v>209</v>
      </c>
      <c r="D710">
        <v>9586</v>
      </c>
      <c r="E710">
        <v>9594</v>
      </c>
      <c r="F710">
        <v>9564</v>
      </c>
      <c r="G710">
        <v>9568</v>
      </c>
      <c r="H710">
        <v>130900</v>
      </c>
    </row>
    <row r="711" spans="2:8">
      <c r="B711" t="s">
        <v>443</v>
      </c>
      <c r="C711" t="s">
        <v>210</v>
      </c>
      <c r="D711">
        <v>9567</v>
      </c>
      <c r="E711">
        <v>9613</v>
      </c>
      <c r="F711">
        <v>9566</v>
      </c>
      <c r="G711">
        <v>9607</v>
      </c>
      <c r="H711">
        <v>138600</v>
      </c>
    </row>
    <row r="712" spans="2:8">
      <c r="B712" t="s">
        <v>443</v>
      </c>
      <c r="C712" t="s">
        <v>211</v>
      </c>
      <c r="D712">
        <v>9607</v>
      </c>
      <c r="E712">
        <v>9625</v>
      </c>
      <c r="F712">
        <v>9606</v>
      </c>
      <c r="G712">
        <v>9618</v>
      </c>
      <c r="H712">
        <v>103800</v>
      </c>
    </row>
    <row r="713" spans="2:8">
      <c r="B713" t="s">
        <v>443</v>
      </c>
      <c r="C713" t="s">
        <v>212</v>
      </c>
      <c r="D713">
        <v>9618</v>
      </c>
      <c r="E713">
        <v>9625</v>
      </c>
      <c r="F713">
        <v>9615</v>
      </c>
      <c r="G713">
        <v>9616</v>
      </c>
      <c r="H713">
        <v>77600</v>
      </c>
    </row>
    <row r="714" spans="2:8">
      <c r="B714" t="s">
        <v>443</v>
      </c>
      <c r="C714" t="s">
        <v>213</v>
      </c>
      <c r="D714">
        <v>9616</v>
      </c>
      <c r="E714">
        <v>9621</v>
      </c>
      <c r="F714">
        <v>9615</v>
      </c>
      <c r="G714">
        <v>9617</v>
      </c>
      <c r="H714">
        <v>49500</v>
      </c>
    </row>
    <row r="715" spans="2:8">
      <c r="B715" t="s">
        <v>443</v>
      </c>
      <c r="C715" t="s">
        <v>214</v>
      </c>
      <c r="D715">
        <v>9618</v>
      </c>
      <c r="E715">
        <v>9644</v>
      </c>
      <c r="F715">
        <v>9618</v>
      </c>
      <c r="G715">
        <v>9642</v>
      </c>
      <c r="H715">
        <v>167200</v>
      </c>
    </row>
    <row r="716" spans="2:8">
      <c r="B716" t="s">
        <v>443</v>
      </c>
      <c r="C716" t="s">
        <v>215</v>
      </c>
      <c r="D716">
        <v>9642</v>
      </c>
      <c r="E716">
        <v>9642</v>
      </c>
      <c r="F716">
        <v>9616</v>
      </c>
      <c r="G716">
        <v>9628</v>
      </c>
      <c r="H716">
        <v>91400</v>
      </c>
    </row>
    <row r="717" spans="2:8">
      <c r="B717" t="s">
        <v>443</v>
      </c>
      <c r="C717" t="s">
        <v>216</v>
      </c>
      <c r="D717">
        <v>9627</v>
      </c>
      <c r="E717">
        <v>9633</v>
      </c>
      <c r="F717">
        <v>9620</v>
      </c>
      <c r="G717">
        <v>9626</v>
      </c>
      <c r="H717">
        <v>77400</v>
      </c>
    </row>
    <row r="718" spans="2:8">
      <c r="B718" t="s">
        <v>443</v>
      </c>
      <c r="C718" t="s">
        <v>217</v>
      </c>
      <c r="D718">
        <v>9628</v>
      </c>
      <c r="E718">
        <v>9647</v>
      </c>
      <c r="F718">
        <v>9628</v>
      </c>
      <c r="G718">
        <v>9643</v>
      </c>
      <c r="H718">
        <v>131200</v>
      </c>
    </row>
    <row r="719" spans="2:8">
      <c r="B719" t="s">
        <v>443</v>
      </c>
      <c r="C719" t="s">
        <v>218</v>
      </c>
      <c r="D719">
        <v>9643</v>
      </c>
      <c r="E719">
        <v>9672</v>
      </c>
      <c r="F719">
        <v>9641</v>
      </c>
      <c r="G719">
        <v>9665</v>
      </c>
      <c r="H719">
        <v>206400</v>
      </c>
    </row>
    <row r="720" spans="2:8">
      <c r="B720" t="s">
        <v>443</v>
      </c>
      <c r="C720" t="s">
        <v>219</v>
      </c>
      <c r="D720">
        <v>9664</v>
      </c>
      <c r="E720">
        <v>9666</v>
      </c>
      <c r="F720">
        <v>9651</v>
      </c>
      <c r="G720">
        <v>9652</v>
      </c>
      <c r="H720">
        <v>116200</v>
      </c>
    </row>
    <row r="721" spans="2:8">
      <c r="B721" t="s">
        <v>443</v>
      </c>
      <c r="C721" t="s">
        <v>220</v>
      </c>
      <c r="D721">
        <v>9652</v>
      </c>
      <c r="E721">
        <v>9653</v>
      </c>
      <c r="F721">
        <v>9637</v>
      </c>
      <c r="G721">
        <v>9646</v>
      </c>
      <c r="H721">
        <v>75700</v>
      </c>
    </row>
    <row r="722" spans="2:8">
      <c r="B722" t="s">
        <v>443</v>
      </c>
      <c r="C722" t="s">
        <v>221</v>
      </c>
      <c r="D722">
        <v>9646</v>
      </c>
      <c r="E722">
        <v>9659</v>
      </c>
      <c r="F722">
        <v>9639</v>
      </c>
      <c r="G722">
        <v>9646</v>
      </c>
      <c r="H722">
        <v>111500</v>
      </c>
    </row>
    <row r="723" spans="2:8">
      <c r="B723" t="s">
        <v>443</v>
      </c>
      <c r="C723" t="s">
        <v>222</v>
      </c>
      <c r="D723">
        <v>9646</v>
      </c>
      <c r="E723">
        <v>9681</v>
      </c>
      <c r="F723">
        <v>9642</v>
      </c>
      <c r="G723">
        <v>9678</v>
      </c>
      <c r="H723">
        <v>186200</v>
      </c>
    </row>
    <row r="724" spans="2:8">
      <c r="B724" t="s">
        <v>443</v>
      </c>
      <c r="C724" t="s">
        <v>223</v>
      </c>
      <c r="D724">
        <v>9678</v>
      </c>
      <c r="E724">
        <v>9680</v>
      </c>
      <c r="F724">
        <v>9665</v>
      </c>
      <c r="G724">
        <v>9666</v>
      </c>
      <c r="H724">
        <v>78800</v>
      </c>
    </row>
    <row r="725" spans="2:8">
      <c r="B725" t="s">
        <v>443</v>
      </c>
      <c r="C725" t="s">
        <v>224</v>
      </c>
      <c r="D725">
        <v>9667</v>
      </c>
      <c r="E725">
        <v>9671</v>
      </c>
      <c r="F725">
        <v>9653</v>
      </c>
      <c r="G725">
        <v>9670</v>
      </c>
      <c r="H725">
        <v>106900</v>
      </c>
    </row>
    <row r="726" spans="2:8">
      <c r="B726" t="s">
        <v>443</v>
      </c>
      <c r="C726" t="s">
        <v>225</v>
      </c>
      <c r="D726">
        <v>9671</v>
      </c>
      <c r="E726">
        <v>9676</v>
      </c>
      <c r="F726">
        <v>9665</v>
      </c>
      <c r="G726">
        <v>9676</v>
      </c>
      <c r="H726">
        <v>85900</v>
      </c>
    </row>
    <row r="727" spans="2:8">
      <c r="B727" t="s">
        <v>443</v>
      </c>
      <c r="C727" t="s">
        <v>226</v>
      </c>
      <c r="D727">
        <v>9675</v>
      </c>
      <c r="E727">
        <v>9675</v>
      </c>
      <c r="F727">
        <v>9651</v>
      </c>
      <c r="G727">
        <v>9652</v>
      </c>
      <c r="H727">
        <v>97100</v>
      </c>
    </row>
    <row r="728" spans="2:8">
      <c r="B728" t="s">
        <v>443</v>
      </c>
      <c r="C728" t="s">
        <v>227</v>
      </c>
      <c r="D728">
        <v>9651</v>
      </c>
      <c r="E728">
        <v>9667</v>
      </c>
      <c r="F728">
        <v>9640</v>
      </c>
      <c r="G728">
        <v>9664</v>
      </c>
      <c r="H728">
        <v>124600</v>
      </c>
    </row>
    <row r="729" spans="2:8">
      <c r="B729" t="s">
        <v>443</v>
      </c>
      <c r="C729" t="s">
        <v>228</v>
      </c>
      <c r="D729">
        <v>9664</v>
      </c>
      <c r="E729">
        <v>9710</v>
      </c>
      <c r="F729">
        <v>9664</v>
      </c>
      <c r="G729">
        <v>9707</v>
      </c>
      <c r="H729">
        <v>243800</v>
      </c>
    </row>
    <row r="730" spans="2:8">
      <c r="B730" t="s">
        <v>443</v>
      </c>
      <c r="C730" t="s">
        <v>229</v>
      </c>
      <c r="D730">
        <v>9708</v>
      </c>
      <c r="E730">
        <v>9714</v>
      </c>
      <c r="F730">
        <v>9698</v>
      </c>
      <c r="G730">
        <v>9700</v>
      </c>
      <c r="H730">
        <v>121600</v>
      </c>
    </row>
    <row r="731" spans="2:8">
      <c r="B731" t="s">
        <v>443</v>
      </c>
      <c r="C731" t="s">
        <v>230</v>
      </c>
      <c r="D731">
        <v>9701</v>
      </c>
      <c r="E731">
        <v>9702</v>
      </c>
      <c r="F731">
        <v>9691</v>
      </c>
      <c r="G731">
        <v>9696</v>
      </c>
      <c r="H731">
        <v>80200</v>
      </c>
    </row>
    <row r="732" spans="2:8">
      <c r="B732" t="s">
        <v>443</v>
      </c>
      <c r="C732" t="s">
        <v>231</v>
      </c>
      <c r="D732">
        <v>9695</v>
      </c>
      <c r="E732">
        <v>9696</v>
      </c>
      <c r="F732">
        <v>9672</v>
      </c>
      <c r="G732">
        <v>9694</v>
      </c>
      <c r="H732">
        <v>125600</v>
      </c>
    </row>
    <row r="733" spans="2:8">
      <c r="B733" t="s">
        <v>443</v>
      </c>
      <c r="C733" t="s">
        <v>232</v>
      </c>
      <c r="D733">
        <v>9695</v>
      </c>
      <c r="E733">
        <v>9707</v>
      </c>
      <c r="F733">
        <v>9686</v>
      </c>
      <c r="G733">
        <v>9687</v>
      </c>
      <c r="H733">
        <v>149200</v>
      </c>
    </row>
    <row r="734" spans="2:8">
      <c r="B734" t="s">
        <v>443</v>
      </c>
      <c r="C734" t="s">
        <v>233</v>
      </c>
      <c r="D734">
        <v>9686</v>
      </c>
      <c r="E734">
        <v>9695</v>
      </c>
      <c r="F734">
        <v>9670</v>
      </c>
      <c r="G734">
        <v>9688</v>
      </c>
      <c r="H734">
        <v>151800</v>
      </c>
    </row>
    <row r="735" spans="2:8">
      <c r="B735" t="s">
        <v>443</v>
      </c>
      <c r="C735" t="s">
        <v>234</v>
      </c>
      <c r="D735">
        <v>9688</v>
      </c>
      <c r="E735">
        <v>9698</v>
      </c>
      <c r="F735">
        <v>9684</v>
      </c>
      <c r="G735">
        <v>9694</v>
      </c>
      <c r="H735">
        <v>62700</v>
      </c>
    </row>
    <row r="736" spans="2:8">
      <c r="B736" t="s">
        <v>443</v>
      </c>
      <c r="C736" t="s">
        <v>235</v>
      </c>
      <c r="D736">
        <v>9693</v>
      </c>
      <c r="E736">
        <v>9695</v>
      </c>
      <c r="F736">
        <v>9686</v>
      </c>
      <c r="G736">
        <v>9686</v>
      </c>
      <c r="H736">
        <v>61400</v>
      </c>
    </row>
    <row r="737" spans="2:8">
      <c r="B737" t="s">
        <v>443</v>
      </c>
      <c r="C737" t="s">
        <v>236</v>
      </c>
      <c r="D737">
        <v>9686</v>
      </c>
      <c r="E737">
        <v>9711</v>
      </c>
      <c r="F737">
        <v>9684</v>
      </c>
      <c r="G737">
        <v>9692</v>
      </c>
      <c r="H737">
        <v>136900</v>
      </c>
    </row>
    <row r="738" spans="2:8">
      <c r="B738" t="s">
        <v>443</v>
      </c>
      <c r="C738" t="s">
        <v>237</v>
      </c>
      <c r="D738">
        <v>9692</v>
      </c>
      <c r="E738">
        <v>9710</v>
      </c>
      <c r="F738">
        <v>9689</v>
      </c>
      <c r="G738">
        <v>9708</v>
      </c>
      <c r="H738">
        <v>65100</v>
      </c>
    </row>
    <row r="739" spans="2:8">
      <c r="B739" t="s">
        <v>443</v>
      </c>
      <c r="C739" t="s">
        <v>238</v>
      </c>
      <c r="D739">
        <v>9708</v>
      </c>
      <c r="E739">
        <v>9718</v>
      </c>
      <c r="F739">
        <v>9705</v>
      </c>
      <c r="G739">
        <v>9711</v>
      </c>
      <c r="H739">
        <v>119900</v>
      </c>
    </row>
    <row r="740" spans="2:8">
      <c r="B740" t="s">
        <v>443</v>
      </c>
      <c r="C740" t="s">
        <v>239</v>
      </c>
      <c r="D740">
        <v>9711</v>
      </c>
      <c r="E740">
        <v>9728</v>
      </c>
      <c r="F740">
        <v>9711</v>
      </c>
      <c r="G740">
        <v>9720</v>
      </c>
      <c r="H740">
        <v>120200</v>
      </c>
    </row>
    <row r="741" spans="2:8">
      <c r="B741" t="s">
        <v>443</v>
      </c>
      <c r="C741" t="s">
        <v>240</v>
      </c>
      <c r="D741">
        <v>9719</v>
      </c>
      <c r="E741">
        <v>9728</v>
      </c>
      <c r="F741">
        <v>9700</v>
      </c>
      <c r="G741">
        <v>9706</v>
      </c>
      <c r="H741">
        <v>125700</v>
      </c>
    </row>
    <row r="742" spans="2:8">
      <c r="B742" t="s">
        <v>443</v>
      </c>
      <c r="C742" t="s">
        <v>241</v>
      </c>
      <c r="D742">
        <v>9707</v>
      </c>
      <c r="E742">
        <v>9713</v>
      </c>
      <c r="F742">
        <v>9702</v>
      </c>
      <c r="G742">
        <v>9704</v>
      </c>
      <c r="H742">
        <v>57700</v>
      </c>
    </row>
    <row r="743" spans="2:8">
      <c r="B743" t="s">
        <v>443</v>
      </c>
      <c r="C743" t="s">
        <v>242</v>
      </c>
      <c r="D743">
        <v>9704</v>
      </c>
      <c r="E743">
        <v>9715</v>
      </c>
      <c r="F743">
        <v>9698</v>
      </c>
      <c r="G743">
        <v>9713</v>
      </c>
      <c r="H743">
        <v>78900</v>
      </c>
    </row>
    <row r="744" spans="2:8">
      <c r="B744" t="s">
        <v>443</v>
      </c>
      <c r="C744" t="s">
        <v>243</v>
      </c>
      <c r="D744">
        <v>9713</v>
      </c>
      <c r="E744">
        <v>9753</v>
      </c>
      <c r="F744">
        <v>9710</v>
      </c>
      <c r="G744">
        <v>9743</v>
      </c>
      <c r="H744">
        <v>267900</v>
      </c>
    </row>
    <row r="745" spans="2:8">
      <c r="B745" t="s">
        <v>443</v>
      </c>
      <c r="C745" t="s">
        <v>244</v>
      </c>
      <c r="D745">
        <v>9744</v>
      </c>
      <c r="E745">
        <v>9750</v>
      </c>
      <c r="F745">
        <v>9740</v>
      </c>
      <c r="G745">
        <v>9750</v>
      </c>
      <c r="H745">
        <v>70200</v>
      </c>
    </row>
    <row r="746" spans="2:8">
      <c r="B746" t="s">
        <v>443</v>
      </c>
      <c r="C746" t="s">
        <v>245</v>
      </c>
      <c r="D746">
        <v>9750</v>
      </c>
      <c r="E746">
        <v>9755</v>
      </c>
      <c r="F746">
        <v>9744</v>
      </c>
      <c r="G746">
        <v>9752</v>
      </c>
      <c r="H746">
        <v>93900</v>
      </c>
    </row>
    <row r="747" spans="2:8">
      <c r="B747" t="s">
        <v>443</v>
      </c>
      <c r="C747" t="s">
        <v>246</v>
      </c>
      <c r="D747">
        <v>9750</v>
      </c>
      <c r="E747">
        <v>9769</v>
      </c>
      <c r="F747">
        <v>9750</v>
      </c>
      <c r="G747">
        <v>9760</v>
      </c>
      <c r="H747">
        <v>194100</v>
      </c>
    </row>
    <row r="748" spans="2:8">
      <c r="B748" t="s">
        <v>443</v>
      </c>
      <c r="C748" t="s">
        <v>247</v>
      </c>
      <c r="D748">
        <v>9759</v>
      </c>
      <c r="E748">
        <v>9789</v>
      </c>
      <c r="F748">
        <v>9755</v>
      </c>
      <c r="G748">
        <v>9784</v>
      </c>
      <c r="H748">
        <v>229000</v>
      </c>
    </row>
    <row r="749" spans="2:8">
      <c r="B749" t="s">
        <v>443</v>
      </c>
      <c r="C749" t="s">
        <v>248</v>
      </c>
      <c r="D749">
        <v>9784</v>
      </c>
      <c r="E749">
        <v>9794</v>
      </c>
      <c r="F749">
        <v>9777</v>
      </c>
      <c r="G749">
        <v>9783</v>
      </c>
      <c r="H749">
        <v>207400</v>
      </c>
    </row>
    <row r="750" spans="2:8">
      <c r="B750" t="s">
        <v>443</v>
      </c>
      <c r="C750" t="s">
        <v>249</v>
      </c>
      <c r="D750">
        <v>9782</v>
      </c>
      <c r="E750">
        <v>9787</v>
      </c>
      <c r="F750">
        <v>9771</v>
      </c>
      <c r="G750">
        <v>9784</v>
      </c>
      <c r="H750">
        <v>131700</v>
      </c>
    </row>
    <row r="751" spans="2:8">
      <c r="B751" t="s">
        <v>443</v>
      </c>
      <c r="C751" t="s">
        <v>250</v>
      </c>
      <c r="D751">
        <v>9786</v>
      </c>
      <c r="E751">
        <v>9788</v>
      </c>
      <c r="F751">
        <v>9763</v>
      </c>
      <c r="G751">
        <v>9775</v>
      </c>
      <c r="H751">
        <v>132200</v>
      </c>
    </row>
    <row r="752" spans="2:8">
      <c r="B752" t="s">
        <v>443</v>
      </c>
      <c r="C752" t="s">
        <v>251</v>
      </c>
      <c r="D752">
        <v>9776</v>
      </c>
      <c r="E752">
        <v>9806</v>
      </c>
      <c r="F752">
        <v>9775</v>
      </c>
      <c r="G752">
        <v>9786</v>
      </c>
      <c r="H752">
        <v>260100</v>
      </c>
    </row>
    <row r="753" spans="2:8">
      <c r="B753" t="s">
        <v>443</v>
      </c>
      <c r="C753" t="s">
        <v>252</v>
      </c>
      <c r="D753">
        <v>9786</v>
      </c>
      <c r="E753">
        <v>9786</v>
      </c>
      <c r="F753">
        <v>9775</v>
      </c>
      <c r="G753">
        <v>9777</v>
      </c>
      <c r="H753">
        <v>95200</v>
      </c>
    </row>
    <row r="754" spans="2:8">
      <c r="B754" t="s">
        <v>443</v>
      </c>
      <c r="C754" t="s">
        <v>253</v>
      </c>
      <c r="D754">
        <v>9779</v>
      </c>
      <c r="E754">
        <v>9786</v>
      </c>
      <c r="F754">
        <v>9745</v>
      </c>
      <c r="G754">
        <v>9752</v>
      </c>
      <c r="H754">
        <v>177500</v>
      </c>
    </row>
    <row r="755" spans="2:8">
      <c r="B755" t="s">
        <v>443</v>
      </c>
      <c r="C755" t="s">
        <v>254</v>
      </c>
      <c r="D755">
        <v>9752</v>
      </c>
      <c r="E755">
        <v>9759</v>
      </c>
      <c r="F755">
        <v>9737</v>
      </c>
      <c r="G755">
        <v>9758</v>
      </c>
      <c r="H755">
        <v>111700</v>
      </c>
    </row>
    <row r="756" spans="2:8">
      <c r="B756" t="s">
        <v>443</v>
      </c>
      <c r="C756" t="s">
        <v>255</v>
      </c>
      <c r="D756">
        <v>9759</v>
      </c>
      <c r="E756">
        <v>9764</v>
      </c>
      <c r="F756">
        <v>9756</v>
      </c>
      <c r="G756">
        <v>9762</v>
      </c>
      <c r="H756">
        <v>55100</v>
      </c>
    </row>
    <row r="757" spans="2:8">
      <c r="B757" t="s">
        <v>443</v>
      </c>
      <c r="C757" t="s">
        <v>256</v>
      </c>
      <c r="D757">
        <v>9763</v>
      </c>
      <c r="E757">
        <v>9764</v>
      </c>
      <c r="F757">
        <v>9754</v>
      </c>
      <c r="G757">
        <v>9759</v>
      </c>
      <c r="H757">
        <v>64300</v>
      </c>
    </row>
    <row r="758" spans="2:8">
      <c r="B758" t="s">
        <v>443</v>
      </c>
      <c r="C758" t="s">
        <v>257</v>
      </c>
      <c r="D758">
        <v>9759</v>
      </c>
      <c r="E758">
        <v>9765</v>
      </c>
      <c r="F758">
        <v>9751</v>
      </c>
      <c r="G758">
        <v>9754</v>
      </c>
      <c r="H758">
        <v>82400</v>
      </c>
    </row>
    <row r="759" spans="2:8">
      <c r="B759" t="s">
        <v>443</v>
      </c>
      <c r="C759" t="s">
        <v>258</v>
      </c>
      <c r="D759">
        <v>9754</v>
      </c>
      <c r="E759">
        <v>9775</v>
      </c>
      <c r="F759">
        <v>9754</v>
      </c>
      <c r="G759">
        <v>9762</v>
      </c>
      <c r="H759">
        <v>88400</v>
      </c>
    </row>
    <row r="760" spans="2:8">
      <c r="B760" t="s">
        <v>443</v>
      </c>
      <c r="C760" t="s">
        <v>259</v>
      </c>
      <c r="D760">
        <v>9763</v>
      </c>
      <c r="E760">
        <v>9775</v>
      </c>
      <c r="F760">
        <v>9763</v>
      </c>
      <c r="G760">
        <v>9769</v>
      </c>
      <c r="H760">
        <v>69700</v>
      </c>
    </row>
    <row r="761" spans="2:8">
      <c r="B761" t="s">
        <v>443</v>
      </c>
      <c r="C761" t="s">
        <v>260</v>
      </c>
      <c r="D761">
        <v>9768</v>
      </c>
      <c r="E761">
        <v>9782</v>
      </c>
      <c r="F761">
        <v>9767</v>
      </c>
      <c r="G761">
        <v>9773</v>
      </c>
      <c r="H761">
        <v>75800</v>
      </c>
    </row>
    <row r="762" spans="2:8">
      <c r="B762" t="s">
        <v>443</v>
      </c>
      <c r="C762" t="s">
        <v>261</v>
      </c>
      <c r="D762">
        <v>9772</v>
      </c>
      <c r="E762">
        <v>9777</v>
      </c>
      <c r="F762">
        <v>9770</v>
      </c>
      <c r="G762">
        <v>9775</v>
      </c>
      <c r="H762">
        <v>46100</v>
      </c>
    </row>
    <row r="763" spans="2:8">
      <c r="B763" t="s">
        <v>443</v>
      </c>
      <c r="C763" t="s">
        <v>262</v>
      </c>
      <c r="D763">
        <v>9776</v>
      </c>
      <c r="E763">
        <v>9780</v>
      </c>
      <c r="F763">
        <v>9756</v>
      </c>
      <c r="G763">
        <v>9756</v>
      </c>
      <c r="H763">
        <v>98400</v>
      </c>
    </row>
    <row r="764" spans="2:8">
      <c r="B764" t="s">
        <v>443</v>
      </c>
      <c r="C764" t="s">
        <v>263</v>
      </c>
      <c r="D764">
        <v>9758</v>
      </c>
      <c r="E764">
        <v>9771</v>
      </c>
      <c r="F764">
        <v>9754</v>
      </c>
      <c r="G764">
        <v>9771</v>
      </c>
      <c r="H764">
        <v>49900</v>
      </c>
    </row>
    <row r="765" spans="2:8">
      <c r="B765" t="s">
        <v>443</v>
      </c>
      <c r="C765" t="s">
        <v>264</v>
      </c>
      <c r="D765">
        <v>9772</v>
      </c>
      <c r="E765">
        <v>9778</v>
      </c>
      <c r="F765">
        <v>9770</v>
      </c>
      <c r="G765">
        <v>9771</v>
      </c>
      <c r="H765">
        <v>46300</v>
      </c>
    </row>
    <row r="766" spans="2:8">
      <c r="B766" t="s">
        <v>443</v>
      </c>
      <c r="C766" t="s">
        <v>265</v>
      </c>
      <c r="D766">
        <v>9771</v>
      </c>
      <c r="E766">
        <v>9772</v>
      </c>
      <c r="F766">
        <v>9763</v>
      </c>
      <c r="G766">
        <v>9767</v>
      </c>
      <c r="H766">
        <v>41700</v>
      </c>
    </row>
    <row r="767" spans="2:8">
      <c r="B767" t="s">
        <v>443</v>
      </c>
      <c r="C767" t="s">
        <v>266</v>
      </c>
      <c r="D767">
        <v>9767</v>
      </c>
      <c r="E767">
        <v>9767</v>
      </c>
      <c r="F767">
        <v>9758</v>
      </c>
      <c r="G767">
        <v>9767</v>
      </c>
      <c r="H767">
        <v>38500</v>
      </c>
    </row>
    <row r="768" spans="2:8">
      <c r="B768" t="s">
        <v>443</v>
      </c>
      <c r="C768" t="s">
        <v>267</v>
      </c>
      <c r="D768">
        <v>9767</v>
      </c>
      <c r="E768">
        <v>9780</v>
      </c>
      <c r="F768">
        <v>9764</v>
      </c>
      <c r="G768">
        <v>9777</v>
      </c>
      <c r="H768">
        <v>62000</v>
      </c>
    </row>
    <row r="769" spans="2:8">
      <c r="B769" t="s">
        <v>443</v>
      </c>
      <c r="C769" t="s">
        <v>268</v>
      </c>
      <c r="D769">
        <v>9778</v>
      </c>
      <c r="E769">
        <v>9781</v>
      </c>
      <c r="F769">
        <v>9770</v>
      </c>
      <c r="G769">
        <v>9771</v>
      </c>
      <c r="H769">
        <v>41900</v>
      </c>
    </row>
    <row r="770" spans="2:8">
      <c r="B770" t="s">
        <v>443</v>
      </c>
      <c r="C770" t="s">
        <v>269</v>
      </c>
      <c r="D770">
        <v>9771</v>
      </c>
      <c r="E770">
        <v>9773</v>
      </c>
      <c r="F770">
        <v>9767</v>
      </c>
      <c r="G770">
        <v>9767</v>
      </c>
      <c r="H770">
        <v>32900</v>
      </c>
    </row>
    <row r="771" spans="2:8">
      <c r="B771" t="s">
        <v>443</v>
      </c>
      <c r="C771" t="s">
        <v>270</v>
      </c>
      <c r="D771">
        <v>9767</v>
      </c>
      <c r="E771">
        <v>9770</v>
      </c>
      <c r="F771">
        <v>9754</v>
      </c>
      <c r="G771">
        <v>9758</v>
      </c>
      <c r="H771">
        <v>58900</v>
      </c>
    </row>
    <row r="772" spans="2:8">
      <c r="B772" t="s">
        <v>443</v>
      </c>
      <c r="C772" t="s">
        <v>271</v>
      </c>
      <c r="D772">
        <v>9759</v>
      </c>
      <c r="E772">
        <v>9769</v>
      </c>
      <c r="F772">
        <v>9759</v>
      </c>
      <c r="G772">
        <v>9763</v>
      </c>
      <c r="H772">
        <v>33600</v>
      </c>
    </row>
    <row r="773" spans="2:8">
      <c r="B773" t="s">
        <v>443</v>
      </c>
      <c r="C773" t="s">
        <v>272</v>
      </c>
      <c r="D773">
        <v>9764</v>
      </c>
      <c r="E773">
        <v>9776</v>
      </c>
      <c r="F773">
        <v>9763</v>
      </c>
      <c r="G773">
        <v>9775</v>
      </c>
      <c r="H773">
        <v>40700</v>
      </c>
    </row>
    <row r="774" spans="2:8">
      <c r="B774" t="s">
        <v>443</v>
      </c>
      <c r="C774" t="s">
        <v>273</v>
      </c>
      <c r="D774">
        <v>9776</v>
      </c>
      <c r="E774">
        <v>9778</v>
      </c>
      <c r="F774">
        <v>9770</v>
      </c>
      <c r="G774">
        <v>9775</v>
      </c>
      <c r="H774">
        <v>28900</v>
      </c>
    </row>
    <row r="775" spans="2:8">
      <c r="B775" t="s">
        <v>443</v>
      </c>
      <c r="C775" t="s">
        <v>274</v>
      </c>
      <c r="D775">
        <v>9775</v>
      </c>
      <c r="E775">
        <v>9775</v>
      </c>
      <c r="F775">
        <v>9762</v>
      </c>
      <c r="G775">
        <v>9772</v>
      </c>
      <c r="H775">
        <v>49500</v>
      </c>
    </row>
    <row r="776" spans="2:8">
      <c r="B776" t="s">
        <v>443</v>
      </c>
      <c r="C776" t="s">
        <v>275</v>
      </c>
      <c r="D776">
        <v>9772</v>
      </c>
      <c r="E776">
        <v>9772</v>
      </c>
      <c r="F776">
        <v>9762</v>
      </c>
      <c r="G776">
        <v>9766</v>
      </c>
      <c r="H776">
        <v>36300</v>
      </c>
    </row>
    <row r="777" spans="2:8">
      <c r="B777" t="s">
        <v>443</v>
      </c>
      <c r="C777" t="s">
        <v>276</v>
      </c>
      <c r="D777">
        <v>9766</v>
      </c>
      <c r="E777">
        <v>9770</v>
      </c>
      <c r="F777">
        <v>9762</v>
      </c>
      <c r="G777">
        <v>9763</v>
      </c>
      <c r="H777">
        <v>27400</v>
      </c>
    </row>
    <row r="778" spans="2:8">
      <c r="B778" t="s">
        <v>443</v>
      </c>
      <c r="C778" t="s">
        <v>277</v>
      </c>
      <c r="D778">
        <v>9763</v>
      </c>
      <c r="E778">
        <v>9769</v>
      </c>
      <c r="F778">
        <v>9763</v>
      </c>
      <c r="G778">
        <v>9767</v>
      </c>
      <c r="H778">
        <v>29500</v>
      </c>
    </row>
    <row r="779" spans="2:8">
      <c r="B779" t="s">
        <v>443</v>
      </c>
      <c r="C779" t="s">
        <v>278</v>
      </c>
      <c r="D779">
        <v>9766</v>
      </c>
      <c r="E779">
        <v>9769</v>
      </c>
      <c r="F779">
        <v>9762</v>
      </c>
      <c r="G779">
        <v>9763</v>
      </c>
      <c r="H779">
        <v>23900</v>
      </c>
    </row>
    <row r="780" spans="2:8">
      <c r="B780" t="s">
        <v>443</v>
      </c>
      <c r="C780" t="s">
        <v>279</v>
      </c>
      <c r="D780">
        <v>9763</v>
      </c>
      <c r="E780">
        <v>9765</v>
      </c>
      <c r="F780">
        <v>9758</v>
      </c>
      <c r="G780">
        <v>9763</v>
      </c>
      <c r="H780">
        <v>40100</v>
      </c>
    </row>
    <row r="781" spans="2:8">
      <c r="B781" t="s">
        <v>443</v>
      </c>
      <c r="C781" t="s">
        <v>280</v>
      </c>
      <c r="D781">
        <v>9764</v>
      </c>
      <c r="E781">
        <v>9765</v>
      </c>
      <c r="F781">
        <v>9752</v>
      </c>
      <c r="G781">
        <v>9761</v>
      </c>
      <c r="H781">
        <v>63100</v>
      </c>
    </row>
    <row r="782" spans="2:8">
      <c r="B782" t="s">
        <v>443</v>
      </c>
      <c r="C782" t="s">
        <v>281</v>
      </c>
      <c r="D782">
        <v>9761</v>
      </c>
      <c r="E782">
        <v>9763</v>
      </c>
      <c r="F782">
        <v>9760</v>
      </c>
      <c r="G782">
        <v>9762</v>
      </c>
      <c r="H782">
        <v>24000</v>
      </c>
    </row>
    <row r="783" spans="2:8">
      <c r="B783" t="s">
        <v>443</v>
      </c>
      <c r="C783" t="s">
        <v>282</v>
      </c>
      <c r="D783">
        <v>9762</v>
      </c>
      <c r="E783">
        <v>9767</v>
      </c>
      <c r="F783">
        <v>9756</v>
      </c>
      <c r="G783">
        <v>9764</v>
      </c>
      <c r="H783">
        <v>33000</v>
      </c>
    </row>
    <row r="784" spans="2:8">
      <c r="B784" t="s">
        <v>443</v>
      </c>
      <c r="C784" t="s">
        <v>283</v>
      </c>
      <c r="D784">
        <v>9764</v>
      </c>
      <c r="E784">
        <v>9775</v>
      </c>
      <c r="F784">
        <v>9760</v>
      </c>
      <c r="G784">
        <v>9762</v>
      </c>
      <c r="H784">
        <v>71500</v>
      </c>
    </row>
    <row r="785" spans="2:8">
      <c r="B785" t="s">
        <v>443</v>
      </c>
      <c r="C785" t="s">
        <v>284</v>
      </c>
      <c r="D785">
        <v>9764</v>
      </c>
      <c r="E785">
        <v>9767</v>
      </c>
      <c r="F785">
        <v>9760</v>
      </c>
      <c r="G785">
        <v>9764</v>
      </c>
      <c r="H785">
        <v>22300</v>
      </c>
    </row>
    <row r="786" spans="2:8">
      <c r="B786" t="s">
        <v>443</v>
      </c>
      <c r="C786" t="s">
        <v>285</v>
      </c>
      <c r="D786">
        <v>9763</v>
      </c>
      <c r="E786">
        <v>9763</v>
      </c>
      <c r="F786">
        <v>9748</v>
      </c>
      <c r="G786">
        <v>9751</v>
      </c>
      <c r="H786">
        <v>72000</v>
      </c>
    </row>
    <row r="787" spans="2:8">
      <c r="B787" t="s">
        <v>443</v>
      </c>
      <c r="C787" t="s">
        <v>286</v>
      </c>
      <c r="D787">
        <v>9752</v>
      </c>
      <c r="E787">
        <v>9770</v>
      </c>
      <c r="F787">
        <v>9751</v>
      </c>
      <c r="G787">
        <v>9770</v>
      </c>
      <c r="H787">
        <v>59600</v>
      </c>
    </row>
    <row r="788" spans="2:8">
      <c r="B788" t="s">
        <v>443</v>
      </c>
      <c r="C788" t="s">
        <v>287</v>
      </c>
      <c r="D788">
        <v>9770</v>
      </c>
      <c r="E788">
        <v>9772</v>
      </c>
      <c r="F788">
        <v>9765</v>
      </c>
      <c r="G788">
        <v>9768</v>
      </c>
      <c r="H788">
        <v>31600</v>
      </c>
    </row>
    <row r="789" spans="2:8">
      <c r="B789" t="s">
        <v>443</v>
      </c>
      <c r="C789" t="s">
        <v>288</v>
      </c>
      <c r="D789">
        <v>9767</v>
      </c>
      <c r="E789">
        <v>9772</v>
      </c>
      <c r="F789">
        <v>9764</v>
      </c>
      <c r="G789">
        <v>9765</v>
      </c>
      <c r="H789">
        <v>31000</v>
      </c>
    </row>
    <row r="790" spans="2:8">
      <c r="B790" t="s">
        <v>443</v>
      </c>
      <c r="C790" t="s">
        <v>289</v>
      </c>
      <c r="D790">
        <v>9765</v>
      </c>
      <c r="E790">
        <v>9765</v>
      </c>
      <c r="F790">
        <v>9748</v>
      </c>
      <c r="G790">
        <v>9750</v>
      </c>
      <c r="H790">
        <v>65100</v>
      </c>
    </row>
    <row r="791" spans="2:8">
      <c r="B791" t="s">
        <v>443</v>
      </c>
      <c r="C791" t="s">
        <v>290</v>
      </c>
      <c r="D791">
        <v>9750</v>
      </c>
      <c r="E791">
        <v>9755</v>
      </c>
      <c r="F791">
        <v>9746</v>
      </c>
      <c r="G791">
        <v>9746</v>
      </c>
      <c r="H791">
        <v>44000</v>
      </c>
    </row>
    <row r="792" spans="2:8">
      <c r="B792" t="s">
        <v>443</v>
      </c>
      <c r="C792" t="s">
        <v>291</v>
      </c>
      <c r="D792">
        <v>9746</v>
      </c>
      <c r="E792">
        <v>9748</v>
      </c>
      <c r="F792">
        <v>9739</v>
      </c>
      <c r="G792">
        <v>9745</v>
      </c>
      <c r="H792">
        <v>60100</v>
      </c>
    </row>
    <row r="793" spans="2:8">
      <c r="B793" t="s">
        <v>443</v>
      </c>
      <c r="C793" t="s">
        <v>292</v>
      </c>
      <c r="D793">
        <v>9745</v>
      </c>
      <c r="E793">
        <v>9761</v>
      </c>
      <c r="F793">
        <v>9741</v>
      </c>
      <c r="G793">
        <v>9761</v>
      </c>
      <c r="H793">
        <v>68400</v>
      </c>
    </row>
    <row r="794" spans="2:8">
      <c r="B794" t="s">
        <v>443</v>
      </c>
      <c r="C794" t="s">
        <v>293</v>
      </c>
      <c r="D794">
        <v>9762</v>
      </c>
      <c r="E794">
        <v>9765</v>
      </c>
      <c r="F794">
        <v>9755</v>
      </c>
      <c r="G794">
        <v>9761</v>
      </c>
      <c r="H794">
        <v>55900</v>
      </c>
    </row>
    <row r="795" spans="2:8">
      <c r="B795" t="s">
        <v>443</v>
      </c>
      <c r="C795" t="s">
        <v>294</v>
      </c>
      <c r="D795">
        <v>9761</v>
      </c>
      <c r="E795">
        <v>9776</v>
      </c>
      <c r="F795">
        <v>9761</v>
      </c>
      <c r="G795">
        <v>9772</v>
      </c>
      <c r="H795">
        <v>105800</v>
      </c>
    </row>
    <row r="796" spans="2:8">
      <c r="B796" t="s">
        <v>443</v>
      </c>
      <c r="C796" t="s">
        <v>295</v>
      </c>
      <c r="D796">
        <v>9772</v>
      </c>
      <c r="E796">
        <v>9789</v>
      </c>
      <c r="F796">
        <v>9766</v>
      </c>
      <c r="G796">
        <v>9789</v>
      </c>
      <c r="H796">
        <v>109300</v>
      </c>
    </row>
    <row r="797" spans="2:8">
      <c r="B797" t="s">
        <v>443</v>
      </c>
      <c r="C797" t="s">
        <v>296</v>
      </c>
      <c r="D797">
        <v>9788</v>
      </c>
      <c r="E797">
        <v>9794</v>
      </c>
      <c r="F797">
        <v>9781</v>
      </c>
      <c r="G797">
        <v>9781</v>
      </c>
      <c r="H797">
        <v>73800</v>
      </c>
    </row>
    <row r="798" spans="2:8">
      <c r="B798" t="s">
        <v>443</v>
      </c>
      <c r="C798" t="s">
        <v>297</v>
      </c>
      <c r="D798">
        <v>9781</v>
      </c>
      <c r="E798">
        <v>9786</v>
      </c>
      <c r="F798">
        <v>9772</v>
      </c>
      <c r="G798">
        <v>9774</v>
      </c>
      <c r="H798">
        <v>62300</v>
      </c>
    </row>
    <row r="799" spans="2:8">
      <c r="B799" t="s">
        <v>443</v>
      </c>
      <c r="C799" t="s">
        <v>298</v>
      </c>
      <c r="D799">
        <v>9774</v>
      </c>
      <c r="E799">
        <v>9776</v>
      </c>
      <c r="F799">
        <v>9759</v>
      </c>
      <c r="G799">
        <v>9759</v>
      </c>
      <c r="H799">
        <v>67300</v>
      </c>
    </row>
    <row r="800" spans="2:8">
      <c r="B800" t="s">
        <v>443</v>
      </c>
      <c r="C800" t="s">
        <v>299</v>
      </c>
      <c r="D800">
        <v>9759</v>
      </c>
      <c r="E800">
        <v>9770</v>
      </c>
      <c r="F800">
        <v>9691</v>
      </c>
      <c r="G800">
        <v>9708</v>
      </c>
      <c r="H800">
        <v>321300</v>
      </c>
    </row>
    <row r="801" spans="2:8">
      <c r="B801" t="s">
        <v>443</v>
      </c>
      <c r="C801" t="s">
        <v>300</v>
      </c>
      <c r="D801">
        <v>9706</v>
      </c>
      <c r="E801">
        <v>9737</v>
      </c>
      <c r="F801">
        <v>9702</v>
      </c>
      <c r="G801">
        <v>9720</v>
      </c>
      <c r="H801">
        <v>136200</v>
      </c>
    </row>
    <row r="802" spans="2:8">
      <c r="B802" t="s">
        <v>443</v>
      </c>
      <c r="C802" t="s">
        <v>301</v>
      </c>
      <c r="D802">
        <v>9721</v>
      </c>
      <c r="E802">
        <v>9730</v>
      </c>
      <c r="F802">
        <v>9706</v>
      </c>
      <c r="G802">
        <v>9727</v>
      </c>
      <c r="H802">
        <v>80000</v>
      </c>
    </row>
    <row r="803" spans="2:8">
      <c r="B803" t="s">
        <v>443</v>
      </c>
      <c r="C803" t="s">
        <v>302</v>
      </c>
      <c r="D803">
        <v>9727</v>
      </c>
      <c r="E803">
        <v>9730</v>
      </c>
      <c r="F803">
        <v>9693</v>
      </c>
      <c r="G803">
        <v>9694</v>
      </c>
      <c r="H803">
        <v>107100</v>
      </c>
    </row>
    <row r="804" spans="2:8">
      <c r="B804" t="s">
        <v>443</v>
      </c>
      <c r="C804" t="s">
        <v>303</v>
      </c>
      <c r="D804">
        <v>9692</v>
      </c>
      <c r="E804">
        <v>9703</v>
      </c>
      <c r="F804">
        <v>9684</v>
      </c>
      <c r="G804">
        <v>9697</v>
      </c>
      <c r="H804">
        <v>106300</v>
      </c>
    </row>
    <row r="805" spans="2:8">
      <c r="B805" t="s">
        <v>443</v>
      </c>
      <c r="C805" t="s">
        <v>304</v>
      </c>
      <c r="D805">
        <v>9694</v>
      </c>
      <c r="E805">
        <v>9703</v>
      </c>
      <c r="F805">
        <v>9692</v>
      </c>
      <c r="G805">
        <v>9696</v>
      </c>
      <c r="H805">
        <v>53100</v>
      </c>
    </row>
    <row r="806" spans="2:8">
      <c r="B806" t="s">
        <v>443</v>
      </c>
      <c r="C806" t="s">
        <v>305</v>
      </c>
      <c r="D806">
        <v>9695</v>
      </c>
      <c r="E806">
        <v>9699</v>
      </c>
      <c r="F806">
        <v>9677</v>
      </c>
      <c r="G806">
        <v>9684</v>
      </c>
      <c r="H806">
        <v>84000</v>
      </c>
    </row>
    <row r="807" spans="2:8">
      <c r="B807" t="s">
        <v>443</v>
      </c>
      <c r="C807" t="s">
        <v>306</v>
      </c>
      <c r="D807">
        <v>9685</v>
      </c>
      <c r="E807">
        <v>9707</v>
      </c>
      <c r="F807">
        <v>9685</v>
      </c>
      <c r="G807">
        <v>9704</v>
      </c>
      <c r="H807">
        <v>66500</v>
      </c>
    </row>
    <row r="808" spans="2:8">
      <c r="B808" t="s">
        <v>443</v>
      </c>
      <c r="C808" t="s">
        <v>307</v>
      </c>
      <c r="D808">
        <v>9704</v>
      </c>
      <c r="E808">
        <v>9728</v>
      </c>
      <c r="F808">
        <v>9702</v>
      </c>
      <c r="G808">
        <v>9722</v>
      </c>
      <c r="H808">
        <v>84100</v>
      </c>
    </row>
    <row r="809" spans="2:8">
      <c r="B809" t="s">
        <v>443</v>
      </c>
      <c r="C809" t="s">
        <v>308</v>
      </c>
      <c r="D809">
        <v>9723</v>
      </c>
      <c r="E809">
        <v>9727</v>
      </c>
      <c r="F809">
        <v>9692</v>
      </c>
      <c r="G809">
        <v>9694</v>
      </c>
      <c r="H809">
        <v>99000</v>
      </c>
    </row>
    <row r="810" spans="2:8">
      <c r="B810" t="s">
        <v>443</v>
      </c>
      <c r="C810" t="s">
        <v>309</v>
      </c>
      <c r="D810">
        <v>9692</v>
      </c>
      <c r="E810">
        <v>9703</v>
      </c>
      <c r="F810">
        <v>9683</v>
      </c>
      <c r="G810">
        <v>9702</v>
      </c>
      <c r="H810">
        <v>76600</v>
      </c>
    </row>
    <row r="811" spans="2:8">
      <c r="B811" t="s">
        <v>443</v>
      </c>
      <c r="C811" t="s">
        <v>310</v>
      </c>
      <c r="D811">
        <v>9703</v>
      </c>
      <c r="E811">
        <v>9736</v>
      </c>
      <c r="F811">
        <v>9700</v>
      </c>
      <c r="G811">
        <v>9735</v>
      </c>
      <c r="H811">
        <v>122600</v>
      </c>
    </row>
    <row r="812" spans="2:8">
      <c r="B812" t="s">
        <v>443</v>
      </c>
      <c r="C812" t="s">
        <v>311</v>
      </c>
      <c r="D812">
        <v>9735</v>
      </c>
      <c r="E812">
        <v>9737</v>
      </c>
      <c r="F812">
        <v>9722</v>
      </c>
      <c r="G812">
        <v>9727</v>
      </c>
      <c r="H812">
        <v>54100</v>
      </c>
    </row>
    <row r="813" spans="2:8">
      <c r="B813" t="s">
        <v>443</v>
      </c>
      <c r="C813" t="s">
        <v>312</v>
      </c>
      <c r="D813">
        <v>9728</v>
      </c>
      <c r="E813">
        <v>9730</v>
      </c>
      <c r="F813">
        <v>9724</v>
      </c>
      <c r="G813">
        <v>9727</v>
      </c>
      <c r="H813">
        <v>24200</v>
      </c>
    </row>
    <row r="814" spans="2:8">
      <c r="B814" t="s">
        <v>443</v>
      </c>
      <c r="C814" t="s">
        <v>313</v>
      </c>
      <c r="D814">
        <v>9726</v>
      </c>
      <c r="E814">
        <v>9732</v>
      </c>
      <c r="F814">
        <v>9721</v>
      </c>
      <c r="G814">
        <v>9725</v>
      </c>
      <c r="H814">
        <v>40500</v>
      </c>
    </row>
    <row r="815" spans="2:8">
      <c r="B815" t="s">
        <v>443</v>
      </c>
      <c r="C815" t="s">
        <v>314</v>
      </c>
      <c r="D815">
        <v>9725</v>
      </c>
      <c r="E815">
        <v>9731</v>
      </c>
      <c r="F815">
        <v>9711</v>
      </c>
      <c r="G815">
        <v>9718</v>
      </c>
      <c r="H815">
        <v>60800</v>
      </c>
    </row>
    <row r="816" spans="2:8">
      <c r="B816" t="s">
        <v>443</v>
      </c>
      <c r="C816" t="s">
        <v>315</v>
      </c>
      <c r="D816">
        <v>9718</v>
      </c>
      <c r="E816">
        <v>9731</v>
      </c>
      <c r="F816">
        <v>9717</v>
      </c>
      <c r="G816">
        <v>9727</v>
      </c>
      <c r="H816">
        <v>48200</v>
      </c>
    </row>
    <row r="817" spans="2:8">
      <c r="B817" t="s">
        <v>443</v>
      </c>
      <c r="C817" t="s">
        <v>316</v>
      </c>
      <c r="D817">
        <v>9733</v>
      </c>
      <c r="E817">
        <v>9733</v>
      </c>
      <c r="F817">
        <v>9733</v>
      </c>
      <c r="G817">
        <v>9733</v>
      </c>
      <c r="H817">
        <v>24300</v>
      </c>
    </row>
    <row r="818" spans="2:8">
      <c r="B818" t="s">
        <v>443</v>
      </c>
      <c r="C818" t="s">
        <v>317</v>
      </c>
      <c r="D818">
        <v>9704</v>
      </c>
      <c r="E818">
        <v>9729</v>
      </c>
      <c r="F818">
        <v>9698</v>
      </c>
      <c r="G818">
        <v>9724</v>
      </c>
      <c r="H818">
        <v>209900</v>
      </c>
    </row>
    <row r="819" spans="2:8">
      <c r="B819" t="s">
        <v>443</v>
      </c>
      <c r="C819" t="s">
        <v>318</v>
      </c>
      <c r="D819">
        <v>9726</v>
      </c>
      <c r="E819">
        <v>9750</v>
      </c>
      <c r="F819">
        <v>9720</v>
      </c>
      <c r="G819">
        <v>9742</v>
      </c>
      <c r="H819">
        <v>133000</v>
      </c>
    </row>
    <row r="820" spans="2:8">
      <c r="B820" t="s">
        <v>443</v>
      </c>
      <c r="C820" t="s">
        <v>319</v>
      </c>
      <c r="D820">
        <v>9743</v>
      </c>
      <c r="E820">
        <v>9754</v>
      </c>
      <c r="F820">
        <v>9740</v>
      </c>
      <c r="G820">
        <v>9748</v>
      </c>
      <c r="H820">
        <v>75200</v>
      </c>
    </row>
    <row r="821" spans="2:8">
      <c r="B821" t="s">
        <v>443</v>
      </c>
      <c r="C821" t="s">
        <v>320</v>
      </c>
      <c r="D821">
        <v>9749</v>
      </c>
      <c r="E821">
        <v>9768</v>
      </c>
      <c r="F821">
        <v>9747</v>
      </c>
      <c r="G821">
        <v>9764</v>
      </c>
      <c r="H821">
        <v>85700</v>
      </c>
    </row>
    <row r="822" spans="2:8">
      <c r="B822" t="s">
        <v>443</v>
      </c>
      <c r="C822" t="s">
        <v>321</v>
      </c>
      <c r="D822">
        <v>9764</v>
      </c>
      <c r="E822">
        <v>9765</v>
      </c>
      <c r="F822">
        <v>9754</v>
      </c>
      <c r="G822">
        <v>9758</v>
      </c>
      <c r="H822">
        <v>75200</v>
      </c>
    </row>
    <row r="823" spans="2:8">
      <c r="B823" t="s">
        <v>443</v>
      </c>
      <c r="C823" t="s">
        <v>322</v>
      </c>
      <c r="D823">
        <v>9759</v>
      </c>
      <c r="E823">
        <v>9781</v>
      </c>
      <c r="F823">
        <v>9759</v>
      </c>
      <c r="G823">
        <v>9776</v>
      </c>
      <c r="H823">
        <v>131000</v>
      </c>
    </row>
    <row r="824" spans="2:8">
      <c r="B824" t="s">
        <v>443</v>
      </c>
      <c r="C824" t="s">
        <v>323</v>
      </c>
      <c r="D824">
        <v>9777</v>
      </c>
      <c r="E824">
        <v>9777</v>
      </c>
      <c r="F824">
        <v>9762</v>
      </c>
      <c r="G824">
        <v>9773</v>
      </c>
      <c r="H824">
        <v>80600</v>
      </c>
    </row>
    <row r="825" spans="2:8">
      <c r="B825" t="s">
        <v>443</v>
      </c>
      <c r="C825" t="s">
        <v>324</v>
      </c>
      <c r="D825">
        <v>9774</v>
      </c>
      <c r="E825">
        <v>9792</v>
      </c>
      <c r="F825">
        <v>9774</v>
      </c>
      <c r="G825">
        <v>9776</v>
      </c>
      <c r="H825">
        <v>168800</v>
      </c>
    </row>
    <row r="826" spans="2:8">
      <c r="B826" t="s">
        <v>443</v>
      </c>
      <c r="C826" t="s">
        <v>325</v>
      </c>
      <c r="D826">
        <v>9776</v>
      </c>
      <c r="E826">
        <v>9779</v>
      </c>
      <c r="F826">
        <v>9762</v>
      </c>
      <c r="G826">
        <v>9769</v>
      </c>
      <c r="H826">
        <v>81300</v>
      </c>
    </row>
    <row r="827" spans="2:8">
      <c r="B827" t="s">
        <v>443</v>
      </c>
      <c r="C827" t="s">
        <v>326</v>
      </c>
      <c r="D827">
        <v>9767</v>
      </c>
      <c r="E827">
        <v>9769</v>
      </c>
      <c r="F827">
        <v>9757</v>
      </c>
      <c r="G827">
        <v>9767</v>
      </c>
      <c r="H827">
        <v>71100</v>
      </c>
    </row>
    <row r="828" spans="2:8">
      <c r="B828" t="s">
        <v>443</v>
      </c>
      <c r="C828" t="s">
        <v>327</v>
      </c>
      <c r="D828">
        <v>9766</v>
      </c>
      <c r="E828">
        <v>9770</v>
      </c>
      <c r="F828">
        <v>9760</v>
      </c>
      <c r="G828">
        <v>9768</v>
      </c>
      <c r="H828">
        <v>55200</v>
      </c>
    </row>
    <row r="829" spans="2:8">
      <c r="B829" t="s">
        <v>443</v>
      </c>
      <c r="C829" t="s">
        <v>328</v>
      </c>
      <c r="D829">
        <v>9769</v>
      </c>
      <c r="E829">
        <v>9775</v>
      </c>
      <c r="F829">
        <v>9767</v>
      </c>
      <c r="G829">
        <v>9773</v>
      </c>
      <c r="H829">
        <v>67600</v>
      </c>
    </row>
    <row r="830" spans="2:8">
      <c r="B830" t="s">
        <v>443</v>
      </c>
      <c r="C830" t="s">
        <v>329</v>
      </c>
      <c r="D830">
        <v>9773</v>
      </c>
      <c r="E830">
        <v>9782</v>
      </c>
      <c r="F830">
        <v>9765</v>
      </c>
      <c r="G830">
        <v>9768</v>
      </c>
      <c r="H830">
        <v>89800</v>
      </c>
    </row>
    <row r="831" spans="2:8">
      <c r="B831" t="s">
        <v>443</v>
      </c>
      <c r="C831" t="s">
        <v>330</v>
      </c>
      <c r="D831">
        <v>9768</v>
      </c>
      <c r="E831">
        <v>9778</v>
      </c>
      <c r="F831">
        <v>9764</v>
      </c>
      <c r="G831">
        <v>9777</v>
      </c>
      <c r="H831">
        <v>48800</v>
      </c>
    </row>
    <row r="832" spans="2:8">
      <c r="B832" t="s">
        <v>443</v>
      </c>
      <c r="C832" t="s">
        <v>331</v>
      </c>
      <c r="D832">
        <v>9777</v>
      </c>
      <c r="E832">
        <v>9783</v>
      </c>
      <c r="F832">
        <v>9774</v>
      </c>
      <c r="G832">
        <v>9783</v>
      </c>
      <c r="H832">
        <v>47900</v>
      </c>
    </row>
    <row r="833" spans="2:8">
      <c r="B833" t="s">
        <v>443</v>
      </c>
      <c r="C833" t="s">
        <v>332</v>
      </c>
      <c r="D833">
        <v>9782</v>
      </c>
      <c r="E833">
        <v>9784</v>
      </c>
      <c r="F833">
        <v>9779</v>
      </c>
      <c r="G833">
        <v>9784</v>
      </c>
      <c r="H833">
        <v>43000</v>
      </c>
    </row>
    <row r="834" spans="2:8">
      <c r="B834" t="s">
        <v>443</v>
      </c>
      <c r="C834" t="s">
        <v>333</v>
      </c>
      <c r="D834">
        <v>9784</v>
      </c>
      <c r="E834">
        <v>9785</v>
      </c>
      <c r="F834">
        <v>9780</v>
      </c>
      <c r="G834">
        <v>9783</v>
      </c>
      <c r="H834">
        <v>44300</v>
      </c>
    </row>
    <row r="835" spans="2:8">
      <c r="B835" t="s">
        <v>443</v>
      </c>
      <c r="C835" t="s">
        <v>334</v>
      </c>
      <c r="D835">
        <v>9783</v>
      </c>
      <c r="E835">
        <v>9808</v>
      </c>
      <c r="F835">
        <v>9783</v>
      </c>
      <c r="G835">
        <v>9799</v>
      </c>
      <c r="H835">
        <v>292400</v>
      </c>
    </row>
    <row r="836" spans="2:8">
      <c r="B836" t="s">
        <v>443</v>
      </c>
      <c r="C836" t="s">
        <v>335</v>
      </c>
      <c r="D836">
        <v>9799</v>
      </c>
      <c r="E836">
        <v>9800</v>
      </c>
      <c r="F836">
        <v>9789</v>
      </c>
      <c r="G836">
        <v>9799</v>
      </c>
      <c r="H836">
        <v>94000</v>
      </c>
    </row>
    <row r="837" spans="2:8">
      <c r="B837" t="s">
        <v>443</v>
      </c>
      <c r="C837" t="s">
        <v>336</v>
      </c>
      <c r="D837">
        <v>9798</v>
      </c>
      <c r="E837">
        <v>9800</v>
      </c>
      <c r="F837">
        <v>9772</v>
      </c>
      <c r="G837">
        <v>9783</v>
      </c>
      <c r="H837">
        <v>109300</v>
      </c>
    </row>
    <row r="838" spans="2:8">
      <c r="B838" t="s">
        <v>443</v>
      </c>
      <c r="C838" t="s">
        <v>337</v>
      </c>
      <c r="D838">
        <v>9784</v>
      </c>
      <c r="E838">
        <v>9791</v>
      </c>
      <c r="F838">
        <v>9782</v>
      </c>
      <c r="G838">
        <v>9788</v>
      </c>
      <c r="H838">
        <v>43500</v>
      </c>
    </row>
    <row r="839" spans="2:8">
      <c r="B839" t="s">
        <v>443</v>
      </c>
      <c r="C839" t="s">
        <v>338</v>
      </c>
      <c r="D839">
        <v>9787</v>
      </c>
      <c r="E839">
        <v>9796</v>
      </c>
      <c r="F839">
        <v>9785</v>
      </c>
      <c r="G839">
        <v>9793</v>
      </c>
      <c r="H839">
        <v>61400</v>
      </c>
    </row>
    <row r="840" spans="2:8">
      <c r="B840" t="s">
        <v>443</v>
      </c>
      <c r="C840" t="s">
        <v>339</v>
      </c>
      <c r="D840">
        <v>9793</v>
      </c>
      <c r="E840">
        <v>9798</v>
      </c>
      <c r="F840">
        <v>9791</v>
      </c>
      <c r="G840">
        <v>9796</v>
      </c>
      <c r="H840">
        <v>37400</v>
      </c>
    </row>
    <row r="841" spans="2:8">
      <c r="B841" t="s">
        <v>443</v>
      </c>
      <c r="C841" t="s">
        <v>340</v>
      </c>
      <c r="D841">
        <v>9797</v>
      </c>
      <c r="E841">
        <v>9812</v>
      </c>
      <c r="F841">
        <v>9796</v>
      </c>
      <c r="G841">
        <v>9808</v>
      </c>
      <c r="H841">
        <v>137600</v>
      </c>
    </row>
    <row r="842" spans="2:8">
      <c r="B842" t="s">
        <v>443</v>
      </c>
      <c r="C842" t="s">
        <v>341</v>
      </c>
      <c r="D842">
        <v>9809</v>
      </c>
      <c r="E842">
        <v>9813</v>
      </c>
      <c r="F842">
        <v>9779</v>
      </c>
      <c r="G842">
        <v>9786</v>
      </c>
      <c r="H842">
        <v>165300</v>
      </c>
    </row>
    <row r="843" spans="2:8">
      <c r="B843" t="s">
        <v>443</v>
      </c>
      <c r="C843" t="s">
        <v>342</v>
      </c>
      <c r="D843">
        <v>9787</v>
      </c>
      <c r="E843">
        <v>9792</v>
      </c>
      <c r="F843">
        <v>9785</v>
      </c>
      <c r="G843">
        <v>9789</v>
      </c>
      <c r="H843">
        <v>60800</v>
      </c>
    </row>
    <row r="844" spans="2:8">
      <c r="B844" t="s">
        <v>443</v>
      </c>
      <c r="C844" t="s">
        <v>343</v>
      </c>
      <c r="D844">
        <v>9789</v>
      </c>
      <c r="E844">
        <v>9789</v>
      </c>
      <c r="F844">
        <v>9778</v>
      </c>
      <c r="G844">
        <v>9788</v>
      </c>
      <c r="H844">
        <v>74100</v>
      </c>
    </row>
    <row r="845" spans="2:8">
      <c r="B845" t="s">
        <v>443</v>
      </c>
      <c r="C845" t="s">
        <v>344</v>
      </c>
      <c r="D845">
        <v>9788</v>
      </c>
      <c r="E845">
        <v>9797</v>
      </c>
      <c r="F845">
        <v>9788</v>
      </c>
      <c r="G845">
        <v>9794</v>
      </c>
      <c r="H845">
        <v>56100</v>
      </c>
    </row>
    <row r="846" spans="2:8">
      <c r="B846" t="s">
        <v>443</v>
      </c>
      <c r="C846" t="s">
        <v>345</v>
      </c>
      <c r="D846">
        <v>9794</v>
      </c>
      <c r="E846">
        <v>9797</v>
      </c>
      <c r="F846">
        <v>9775</v>
      </c>
      <c r="G846">
        <v>9777</v>
      </c>
      <c r="H846">
        <v>81300</v>
      </c>
    </row>
    <row r="847" spans="2:8">
      <c r="B847" t="s">
        <v>443</v>
      </c>
      <c r="C847" t="s">
        <v>346</v>
      </c>
      <c r="D847">
        <v>9777</v>
      </c>
      <c r="E847">
        <v>9780</v>
      </c>
      <c r="F847">
        <v>9765</v>
      </c>
      <c r="G847">
        <v>9768</v>
      </c>
      <c r="H847">
        <v>76600</v>
      </c>
    </row>
    <row r="848" spans="2:8">
      <c r="B848" t="s">
        <v>443</v>
      </c>
      <c r="C848" t="s">
        <v>347</v>
      </c>
      <c r="D848">
        <v>9768</v>
      </c>
      <c r="E848">
        <v>9779</v>
      </c>
      <c r="F848">
        <v>9761</v>
      </c>
      <c r="G848">
        <v>9771</v>
      </c>
      <c r="H848">
        <v>66000</v>
      </c>
    </row>
    <row r="849" spans="2:8">
      <c r="B849" t="s">
        <v>443</v>
      </c>
      <c r="C849" t="s">
        <v>348</v>
      </c>
      <c r="D849">
        <v>9771</v>
      </c>
      <c r="E849">
        <v>9775</v>
      </c>
      <c r="F849">
        <v>9770</v>
      </c>
      <c r="G849">
        <v>9770</v>
      </c>
      <c r="H849">
        <v>38600</v>
      </c>
    </row>
    <row r="850" spans="2:8">
      <c r="B850" t="s">
        <v>443</v>
      </c>
      <c r="C850" t="s">
        <v>349</v>
      </c>
      <c r="D850">
        <v>9771</v>
      </c>
      <c r="E850">
        <v>9773</v>
      </c>
      <c r="F850">
        <v>9763</v>
      </c>
      <c r="G850">
        <v>9768</v>
      </c>
      <c r="H850">
        <v>56500</v>
      </c>
    </row>
    <row r="851" spans="2:8">
      <c r="B851" t="s">
        <v>443</v>
      </c>
      <c r="C851" t="s">
        <v>350</v>
      </c>
      <c r="D851">
        <v>9769</v>
      </c>
      <c r="E851">
        <v>9779</v>
      </c>
      <c r="F851">
        <v>9767</v>
      </c>
      <c r="G851">
        <v>9776</v>
      </c>
      <c r="H851">
        <v>52300</v>
      </c>
    </row>
    <row r="852" spans="2:8">
      <c r="B852" t="s">
        <v>443</v>
      </c>
      <c r="C852" t="s">
        <v>351</v>
      </c>
      <c r="D852">
        <v>9777</v>
      </c>
      <c r="E852">
        <v>9779</v>
      </c>
      <c r="F852">
        <v>9774</v>
      </c>
      <c r="G852">
        <v>9776</v>
      </c>
      <c r="H852">
        <v>32700</v>
      </c>
    </row>
    <row r="853" spans="2:8">
      <c r="B853" t="s">
        <v>443</v>
      </c>
      <c r="C853" t="s">
        <v>352</v>
      </c>
      <c r="D853">
        <v>9776</v>
      </c>
      <c r="E853">
        <v>9779</v>
      </c>
      <c r="F853">
        <v>9773</v>
      </c>
      <c r="G853">
        <v>9777</v>
      </c>
      <c r="H853">
        <v>21100</v>
      </c>
    </row>
    <row r="854" spans="2:8">
      <c r="B854" t="s">
        <v>443</v>
      </c>
      <c r="C854" t="s">
        <v>353</v>
      </c>
      <c r="D854">
        <v>9777</v>
      </c>
      <c r="E854">
        <v>9778</v>
      </c>
      <c r="F854">
        <v>9773</v>
      </c>
      <c r="G854">
        <v>9778</v>
      </c>
      <c r="H854">
        <v>20800</v>
      </c>
    </row>
    <row r="855" spans="2:8">
      <c r="B855" t="s">
        <v>443</v>
      </c>
      <c r="C855" t="s">
        <v>354</v>
      </c>
      <c r="D855">
        <v>9777</v>
      </c>
      <c r="E855">
        <v>9783</v>
      </c>
      <c r="F855">
        <v>9771</v>
      </c>
      <c r="G855">
        <v>9772</v>
      </c>
      <c r="H855">
        <v>47800</v>
      </c>
    </row>
    <row r="856" spans="2:8">
      <c r="B856" t="s">
        <v>443</v>
      </c>
      <c r="C856" t="s">
        <v>355</v>
      </c>
      <c r="D856">
        <v>9772</v>
      </c>
      <c r="E856">
        <v>9775</v>
      </c>
      <c r="F856">
        <v>9761</v>
      </c>
      <c r="G856">
        <v>9764</v>
      </c>
      <c r="H856">
        <v>57100</v>
      </c>
    </row>
    <row r="857" spans="2:8">
      <c r="B857" t="s">
        <v>443</v>
      </c>
      <c r="C857" t="s">
        <v>356</v>
      </c>
      <c r="D857">
        <v>9763</v>
      </c>
      <c r="E857">
        <v>9766</v>
      </c>
      <c r="F857">
        <v>9762</v>
      </c>
      <c r="G857">
        <v>9766</v>
      </c>
      <c r="H857">
        <v>25900</v>
      </c>
    </row>
    <row r="858" spans="2:8">
      <c r="B858" t="s">
        <v>443</v>
      </c>
      <c r="C858" t="s">
        <v>357</v>
      </c>
      <c r="D858">
        <v>9765</v>
      </c>
      <c r="E858">
        <v>9774</v>
      </c>
      <c r="F858">
        <v>9761</v>
      </c>
      <c r="G858">
        <v>9772</v>
      </c>
      <c r="H858">
        <v>56600</v>
      </c>
    </row>
    <row r="859" spans="2:8">
      <c r="B859" t="s">
        <v>443</v>
      </c>
      <c r="C859" t="s">
        <v>358</v>
      </c>
      <c r="D859">
        <v>9773</v>
      </c>
      <c r="E859">
        <v>9773</v>
      </c>
      <c r="F859">
        <v>9771</v>
      </c>
      <c r="G859">
        <v>9772</v>
      </c>
      <c r="H859">
        <v>8000</v>
      </c>
    </row>
    <row r="860" spans="2:8">
      <c r="B860" t="s">
        <v>443</v>
      </c>
      <c r="C860" t="s">
        <v>359</v>
      </c>
      <c r="D860">
        <v>9773</v>
      </c>
      <c r="E860">
        <v>9777</v>
      </c>
      <c r="F860">
        <v>9763</v>
      </c>
      <c r="G860">
        <v>9764</v>
      </c>
      <c r="H860">
        <v>69800</v>
      </c>
    </row>
    <row r="861" spans="2:8">
      <c r="B861" t="s">
        <v>443</v>
      </c>
      <c r="C861" t="s">
        <v>360</v>
      </c>
      <c r="D861">
        <v>9764</v>
      </c>
      <c r="E861">
        <v>9768</v>
      </c>
      <c r="F861">
        <v>9762</v>
      </c>
      <c r="G861">
        <v>9766</v>
      </c>
      <c r="H861">
        <v>14600</v>
      </c>
    </row>
    <row r="862" spans="2:8">
      <c r="B862" t="s">
        <v>443</v>
      </c>
      <c r="C862" t="s">
        <v>361</v>
      </c>
      <c r="D862">
        <v>9766</v>
      </c>
      <c r="E862">
        <v>9766</v>
      </c>
      <c r="F862">
        <v>9751</v>
      </c>
      <c r="G862">
        <v>9755</v>
      </c>
      <c r="H862">
        <v>76300</v>
      </c>
    </row>
    <row r="863" spans="2:8">
      <c r="B863" t="s">
        <v>443</v>
      </c>
      <c r="C863" t="s">
        <v>362</v>
      </c>
      <c r="D863">
        <v>9754</v>
      </c>
      <c r="E863">
        <v>9754</v>
      </c>
      <c r="F863">
        <v>9745</v>
      </c>
      <c r="G863">
        <v>9752</v>
      </c>
      <c r="H863">
        <v>72800</v>
      </c>
    </row>
    <row r="864" spans="2:8">
      <c r="B864" t="s">
        <v>443</v>
      </c>
      <c r="C864" t="s">
        <v>363</v>
      </c>
      <c r="D864">
        <v>9753</v>
      </c>
      <c r="E864">
        <v>9755</v>
      </c>
      <c r="F864">
        <v>9749</v>
      </c>
      <c r="G864">
        <v>9753</v>
      </c>
      <c r="H864">
        <v>34300</v>
      </c>
    </row>
    <row r="865" spans="2:8">
      <c r="B865" t="s">
        <v>443</v>
      </c>
      <c r="C865" t="s">
        <v>364</v>
      </c>
      <c r="D865">
        <v>9753</v>
      </c>
      <c r="E865">
        <v>9765</v>
      </c>
      <c r="F865">
        <v>9749</v>
      </c>
      <c r="G865">
        <v>9759</v>
      </c>
      <c r="H865">
        <v>71500</v>
      </c>
    </row>
    <row r="866" spans="2:8">
      <c r="B866" t="s">
        <v>443</v>
      </c>
      <c r="C866" t="s">
        <v>365</v>
      </c>
      <c r="D866">
        <v>9759</v>
      </c>
      <c r="E866">
        <v>9760</v>
      </c>
      <c r="F866">
        <v>9751</v>
      </c>
      <c r="G866">
        <v>9751</v>
      </c>
      <c r="H866">
        <v>19100</v>
      </c>
    </row>
    <row r="867" spans="2:8">
      <c r="B867" t="s">
        <v>443</v>
      </c>
      <c r="C867" t="s">
        <v>366</v>
      </c>
      <c r="D867">
        <v>9751</v>
      </c>
      <c r="E867">
        <v>9751</v>
      </c>
      <c r="F867">
        <v>9745</v>
      </c>
      <c r="G867">
        <v>9747</v>
      </c>
      <c r="H867">
        <v>36200</v>
      </c>
    </row>
    <row r="868" spans="2:8">
      <c r="B868" t="s">
        <v>443</v>
      </c>
      <c r="C868" t="s">
        <v>367</v>
      </c>
      <c r="D868">
        <v>9748</v>
      </c>
      <c r="E868">
        <v>9750</v>
      </c>
      <c r="F868">
        <v>9746</v>
      </c>
      <c r="G868">
        <v>9747</v>
      </c>
      <c r="H868">
        <v>25400</v>
      </c>
    </row>
    <row r="869" spans="2:8">
      <c r="B869" t="s">
        <v>443</v>
      </c>
      <c r="C869" t="s">
        <v>368</v>
      </c>
      <c r="D869">
        <v>9748</v>
      </c>
      <c r="E869">
        <v>9753</v>
      </c>
      <c r="F869">
        <v>9748</v>
      </c>
      <c r="G869">
        <v>9749</v>
      </c>
      <c r="H869">
        <v>37800</v>
      </c>
    </row>
    <row r="870" spans="2:8">
      <c r="B870" t="s">
        <v>443</v>
      </c>
      <c r="C870" t="s">
        <v>369</v>
      </c>
      <c r="D870">
        <v>9749</v>
      </c>
      <c r="E870">
        <v>9751</v>
      </c>
      <c r="F870">
        <v>9735</v>
      </c>
      <c r="G870">
        <v>9742</v>
      </c>
      <c r="H870">
        <v>69000</v>
      </c>
    </row>
    <row r="871" spans="2:8">
      <c r="B871" t="s">
        <v>443</v>
      </c>
      <c r="C871" t="s">
        <v>370</v>
      </c>
      <c r="D871">
        <v>9742</v>
      </c>
      <c r="E871">
        <v>9746</v>
      </c>
      <c r="F871">
        <v>9741</v>
      </c>
      <c r="G871">
        <v>9742</v>
      </c>
      <c r="H871">
        <v>19200</v>
      </c>
    </row>
    <row r="872" spans="2:8">
      <c r="B872" t="s">
        <v>443</v>
      </c>
      <c r="C872" t="s">
        <v>371</v>
      </c>
      <c r="D872">
        <v>9742</v>
      </c>
      <c r="E872">
        <v>9744</v>
      </c>
      <c r="F872">
        <v>9731</v>
      </c>
      <c r="G872">
        <v>9734</v>
      </c>
      <c r="H872">
        <v>42900</v>
      </c>
    </row>
    <row r="873" spans="2:8">
      <c r="B873" t="s">
        <v>443</v>
      </c>
      <c r="C873" t="s">
        <v>372</v>
      </c>
      <c r="D873">
        <v>9735</v>
      </c>
      <c r="E873">
        <v>9743</v>
      </c>
      <c r="F873">
        <v>9732</v>
      </c>
      <c r="G873">
        <v>9736</v>
      </c>
      <c r="H873">
        <v>36800</v>
      </c>
    </row>
    <row r="874" spans="2:8">
      <c r="B874" t="s">
        <v>443</v>
      </c>
      <c r="C874" t="s">
        <v>373</v>
      </c>
      <c r="D874">
        <v>9736</v>
      </c>
      <c r="E874">
        <v>9743</v>
      </c>
      <c r="F874">
        <v>9735</v>
      </c>
      <c r="G874">
        <v>9743</v>
      </c>
      <c r="H874">
        <v>31700</v>
      </c>
    </row>
    <row r="875" spans="2:8">
      <c r="B875" t="s">
        <v>443</v>
      </c>
      <c r="C875" t="s">
        <v>374</v>
      </c>
      <c r="D875">
        <v>9743</v>
      </c>
      <c r="E875">
        <v>9750</v>
      </c>
      <c r="F875">
        <v>9743</v>
      </c>
      <c r="G875">
        <v>9749</v>
      </c>
      <c r="H875">
        <v>54400</v>
      </c>
    </row>
    <row r="876" spans="2:8">
      <c r="B876" t="s">
        <v>443</v>
      </c>
      <c r="C876" t="s">
        <v>375</v>
      </c>
      <c r="D876">
        <v>9749</v>
      </c>
      <c r="E876">
        <v>9749</v>
      </c>
      <c r="F876">
        <v>9738</v>
      </c>
      <c r="G876">
        <v>9740</v>
      </c>
      <c r="H876">
        <v>39500</v>
      </c>
    </row>
    <row r="877" spans="2:8">
      <c r="B877" t="s">
        <v>443</v>
      </c>
      <c r="C877" t="s">
        <v>376</v>
      </c>
      <c r="D877">
        <v>9740</v>
      </c>
      <c r="E877">
        <v>9744</v>
      </c>
      <c r="F877">
        <v>9735</v>
      </c>
      <c r="G877">
        <v>9741</v>
      </c>
      <c r="H877">
        <v>28900</v>
      </c>
    </row>
    <row r="878" spans="2:8">
      <c r="B878" t="s">
        <v>443</v>
      </c>
      <c r="C878" t="s">
        <v>377</v>
      </c>
      <c r="D878">
        <v>9740</v>
      </c>
      <c r="E878">
        <v>9753</v>
      </c>
      <c r="F878">
        <v>9736</v>
      </c>
      <c r="G878">
        <v>9748</v>
      </c>
      <c r="H878">
        <v>65600</v>
      </c>
    </row>
    <row r="879" spans="2:8">
      <c r="B879" t="s">
        <v>443</v>
      </c>
      <c r="C879" t="s">
        <v>378</v>
      </c>
      <c r="D879">
        <v>9748</v>
      </c>
      <c r="E879">
        <v>9752</v>
      </c>
      <c r="F879">
        <v>9747</v>
      </c>
      <c r="G879">
        <v>9750</v>
      </c>
      <c r="H879">
        <v>28100</v>
      </c>
    </row>
    <row r="880" spans="2:8">
      <c r="B880" t="s">
        <v>443</v>
      </c>
      <c r="C880" t="s">
        <v>379</v>
      </c>
      <c r="D880">
        <v>9751</v>
      </c>
      <c r="E880">
        <v>9753</v>
      </c>
      <c r="F880">
        <v>9749</v>
      </c>
      <c r="G880">
        <v>9749</v>
      </c>
      <c r="H880">
        <v>27200</v>
      </c>
    </row>
    <row r="881" spans="2:8">
      <c r="B881" t="s">
        <v>443</v>
      </c>
      <c r="C881" t="s">
        <v>380</v>
      </c>
      <c r="D881">
        <v>9749</v>
      </c>
      <c r="E881">
        <v>9750</v>
      </c>
      <c r="F881">
        <v>9746</v>
      </c>
      <c r="G881">
        <v>9750</v>
      </c>
      <c r="H881">
        <v>25300</v>
      </c>
    </row>
    <row r="882" spans="2:8">
      <c r="B882" t="s">
        <v>443</v>
      </c>
      <c r="C882" t="s">
        <v>381</v>
      </c>
      <c r="D882">
        <v>9750</v>
      </c>
      <c r="E882">
        <v>9758</v>
      </c>
      <c r="F882">
        <v>9747</v>
      </c>
      <c r="G882">
        <v>9756</v>
      </c>
      <c r="H882">
        <v>45300</v>
      </c>
    </row>
    <row r="883" spans="2:8">
      <c r="B883" t="s">
        <v>443</v>
      </c>
      <c r="C883" t="s">
        <v>382</v>
      </c>
      <c r="D883">
        <v>9756</v>
      </c>
      <c r="E883">
        <v>9773</v>
      </c>
      <c r="F883">
        <v>9755</v>
      </c>
      <c r="G883">
        <v>9772</v>
      </c>
      <c r="H883">
        <v>88600</v>
      </c>
    </row>
    <row r="884" spans="2:8">
      <c r="B884" t="s">
        <v>443</v>
      </c>
      <c r="C884" t="s">
        <v>383</v>
      </c>
      <c r="D884">
        <v>9772</v>
      </c>
      <c r="E884">
        <v>9778</v>
      </c>
      <c r="F884">
        <v>9770</v>
      </c>
      <c r="G884">
        <v>9777</v>
      </c>
      <c r="H884">
        <v>42300</v>
      </c>
    </row>
    <row r="885" spans="2:8">
      <c r="B885" t="s">
        <v>443</v>
      </c>
      <c r="C885" t="s">
        <v>384</v>
      </c>
      <c r="D885">
        <v>9777</v>
      </c>
      <c r="E885">
        <v>9778</v>
      </c>
      <c r="F885">
        <v>9771</v>
      </c>
      <c r="G885">
        <v>9772</v>
      </c>
      <c r="H885">
        <v>47900</v>
      </c>
    </row>
    <row r="886" spans="2:8">
      <c r="B886" t="s">
        <v>443</v>
      </c>
      <c r="C886" t="s">
        <v>385</v>
      </c>
      <c r="D886">
        <v>9771</v>
      </c>
      <c r="E886">
        <v>9777</v>
      </c>
      <c r="F886">
        <v>9768</v>
      </c>
      <c r="G886">
        <v>9768</v>
      </c>
      <c r="H886">
        <v>33100</v>
      </c>
    </row>
    <row r="887" spans="2:8">
      <c r="B887" t="s">
        <v>443</v>
      </c>
      <c r="C887" t="s">
        <v>386</v>
      </c>
      <c r="D887">
        <v>9769</v>
      </c>
      <c r="E887">
        <v>9773</v>
      </c>
      <c r="F887">
        <v>9761</v>
      </c>
      <c r="G887">
        <v>9764</v>
      </c>
      <c r="H887">
        <v>41200</v>
      </c>
    </row>
    <row r="888" spans="2:8">
      <c r="B888" t="s">
        <v>443</v>
      </c>
      <c r="C888" t="s">
        <v>387</v>
      </c>
      <c r="D888">
        <v>9764</v>
      </c>
      <c r="E888">
        <v>9767</v>
      </c>
      <c r="F888">
        <v>9762</v>
      </c>
      <c r="G888">
        <v>9765</v>
      </c>
      <c r="H888">
        <v>25600</v>
      </c>
    </row>
    <row r="889" spans="2:8">
      <c r="B889" t="s">
        <v>443</v>
      </c>
      <c r="C889" t="s">
        <v>388</v>
      </c>
      <c r="D889">
        <v>9764</v>
      </c>
      <c r="E889">
        <v>9765</v>
      </c>
      <c r="F889">
        <v>9753</v>
      </c>
      <c r="G889">
        <v>9754</v>
      </c>
      <c r="H889">
        <v>48300</v>
      </c>
    </row>
    <row r="890" spans="2:8">
      <c r="B890" t="s">
        <v>443</v>
      </c>
      <c r="C890" t="s">
        <v>389</v>
      </c>
      <c r="D890">
        <v>9755</v>
      </c>
      <c r="E890">
        <v>9760</v>
      </c>
      <c r="F890">
        <v>9755</v>
      </c>
      <c r="G890">
        <v>9756</v>
      </c>
      <c r="H890">
        <v>26200</v>
      </c>
    </row>
    <row r="891" spans="2:8">
      <c r="B891" t="s">
        <v>443</v>
      </c>
      <c r="C891" t="s">
        <v>390</v>
      </c>
      <c r="D891">
        <v>9756</v>
      </c>
      <c r="E891">
        <v>9757</v>
      </c>
      <c r="F891">
        <v>9750</v>
      </c>
      <c r="G891">
        <v>9754</v>
      </c>
      <c r="H891">
        <v>28900</v>
      </c>
    </row>
    <row r="892" spans="2:8">
      <c r="B892" t="s">
        <v>443</v>
      </c>
      <c r="C892" t="s">
        <v>391</v>
      </c>
      <c r="D892">
        <v>9753</v>
      </c>
      <c r="E892">
        <v>9757</v>
      </c>
      <c r="F892">
        <v>9752</v>
      </c>
      <c r="G892">
        <v>9755</v>
      </c>
      <c r="H892">
        <v>15100</v>
      </c>
    </row>
    <row r="893" spans="2:8">
      <c r="B893" t="s">
        <v>443</v>
      </c>
      <c r="C893" t="s">
        <v>392</v>
      </c>
      <c r="D893">
        <v>9755</v>
      </c>
      <c r="E893">
        <v>9760</v>
      </c>
      <c r="F893">
        <v>9753</v>
      </c>
      <c r="G893">
        <v>9760</v>
      </c>
      <c r="H893">
        <v>32700</v>
      </c>
    </row>
    <row r="894" spans="2:8">
      <c r="B894" t="s">
        <v>443</v>
      </c>
      <c r="C894" t="s">
        <v>393</v>
      </c>
      <c r="D894">
        <v>9760</v>
      </c>
      <c r="E894">
        <v>9760</v>
      </c>
      <c r="F894">
        <v>9752</v>
      </c>
      <c r="G894">
        <v>9757</v>
      </c>
      <c r="H894">
        <v>33100</v>
      </c>
    </row>
    <row r="895" spans="2:8">
      <c r="B895" t="s">
        <v>443</v>
      </c>
      <c r="C895" t="s">
        <v>394</v>
      </c>
      <c r="D895">
        <v>9755</v>
      </c>
      <c r="E895">
        <v>9758</v>
      </c>
      <c r="F895">
        <v>9754</v>
      </c>
      <c r="G895">
        <v>9755</v>
      </c>
      <c r="H895">
        <v>11300</v>
      </c>
    </row>
    <row r="896" spans="2:8">
      <c r="B896" t="s">
        <v>443</v>
      </c>
      <c r="C896" t="s">
        <v>395</v>
      </c>
      <c r="D896">
        <v>9755</v>
      </c>
      <c r="E896">
        <v>9759</v>
      </c>
      <c r="F896">
        <v>9754</v>
      </c>
      <c r="G896">
        <v>9757</v>
      </c>
      <c r="H896">
        <v>11500</v>
      </c>
    </row>
    <row r="897" spans="2:8">
      <c r="B897" t="s">
        <v>443</v>
      </c>
      <c r="C897" t="s">
        <v>396</v>
      </c>
      <c r="D897">
        <v>9756</v>
      </c>
      <c r="E897">
        <v>9756</v>
      </c>
      <c r="F897">
        <v>9752</v>
      </c>
      <c r="G897">
        <v>9752</v>
      </c>
      <c r="H897">
        <v>9900</v>
      </c>
    </row>
    <row r="898" spans="2:8">
      <c r="B898" t="s">
        <v>443</v>
      </c>
      <c r="C898" t="s">
        <v>397</v>
      </c>
      <c r="D898">
        <v>9752</v>
      </c>
      <c r="E898">
        <v>9753</v>
      </c>
      <c r="F898">
        <v>9744</v>
      </c>
      <c r="G898">
        <v>9750</v>
      </c>
      <c r="H898">
        <v>44200</v>
      </c>
    </row>
    <row r="899" spans="2:8">
      <c r="B899" t="s">
        <v>443</v>
      </c>
      <c r="C899" t="s">
        <v>398</v>
      </c>
      <c r="D899">
        <v>9750</v>
      </c>
      <c r="E899">
        <v>9751</v>
      </c>
      <c r="F899">
        <v>9748</v>
      </c>
      <c r="G899">
        <v>9750</v>
      </c>
      <c r="H899">
        <v>12300</v>
      </c>
    </row>
    <row r="900" spans="2:8">
      <c r="B900" t="s">
        <v>443</v>
      </c>
      <c r="C900" t="s">
        <v>399</v>
      </c>
      <c r="D900">
        <v>9750</v>
      </c>
      <c r="E900">
        <v>9755</v>
      </c>
      <c r="F900">
        <v>9749</v>
      </c>
      <c r="G900">
        <v>9755</v>
      </c>
      <c r="H900">
        <v>18100</v>
      </c>
    </row>
    <row r="901" spans="2:8">
      <c r="B901" t="s">
        <v>443</v>
      </c>
      <c r="C901" t="s">
        <v>400</v>
      </c>
      <c r="D901">
        <v>9755</v>
      </c>
      <c r="E901">
        <v>9759</v>
      </c>
      <c r="F901">
        <v>9755</v>
      </c>
      <c r="G901">
        <v>9756</v>
      </c>
      <c r="H901">
        <v>20000</v>
      </c>
    </row>
    <row r="902" spans="2:8">
      <c r="B902" t="s">
        <v>443</v>
      </c>
      <c r="C902" t="s">
        <v>401</v>
      </c>
      <c r="D902">
        <v>9757</v>
      </c>
      <c r="E902">
        <v>9759</v>
      </c>
      <c r="F902">
        <v>9755</v>
      </c>
      <c r="G902">
        <v>9759</v>
      </c>
      <c r="H902">
        <v>11600</v>
      </c>
    </row>
    <row r="903" spans="2:8">
      <c r="B903" t="s">
        <v>443</v>
      </c>
      <c r="C903" t="s">
        <v>402</v>
      </c>
      <c r="D903">
        <v>9760</v>
      </c>
      <c r="E903">
        <v>9765</v>
      </c>
      <c r="F903">
        <v>9759</v>
      </c>
      <c r="G903">
        <v>9761</v>
      </c>
      <c r="H903">
        <v>34500</v>
      </c>
    </row>
    <row r="904" spans="2:8">
      <c r="B904" t="s">
        <v>443</v>
      </c>
      <c r="C904" t="s">
        <v>403</v>
      </c>
      <c r="D904">
        <v>9762</v>
      </c>
      <c r="E904">
        <v>9762</v>
      </c>
      <c r="F904">
        <v>9753</v>
      </c>
      <c r="G904">
        <v>9755</v>
      </c>
      <c r="H904">
        <v>29900</v>
      </c>
    </row>
    <row r="905" spans="2:8">
      <c r="B905" t="s">
        <v>443</v>
      </c>
      <c r="C905" t="s">
        <v>404</v>
      </c>
      <c r="D905">
        <v>9755</v>
      </c>
      <c r="E905">
        <v>9756</v>
      </c>
      <c r="F905">
        <v>9740</v>
      </c>
      <c r="G905">
        <v>9742</v>
      </c>
      <c r="H905">
        <v>64000</v>
      </c>
    </row>
    <row r="906" spans="2:8">
      <c r="B906" t="s">
        <v>443</v>
      </c>
      <c r="C906" t="s">
        <v>405</v>
      </c>
      <c r="D906">
        <v>9742</v>
      </c>
      <c r="E906">
        <v>9749</v>
      </c>
      <c r="F906">
        <v>9742</v>
      </c>
      <c r="G906">
        <v>9747</v>
      </c>
      <c r="H906">
        <v>20300</v>
      </c>
    </row>
    <row r="907" spans="2:8">
      <c r="B907" t="s">
        <v>443</v>
      </c>
      <c r="C907" t="s">
        <v>406</v>
      </c>
      <c r="D907">
        <v>9747</v>
      </c>
      <c r="E907">
        <v>9752</v>
      </c>
      <c r="F907">
        <v>9747</v>
      </c>
      <c r="G907">
        <v>9748</v>
      </c>
      <c r="H907">
        <v>27700</v>
      </c>
    </row>
    <row r="908" spans="2:8">
      <c r="B908" t="s">
        <v>443</v>
      </c>
      <c r="C908" t="s">
        <v>407</v>
      </c>
      <c r="D908">
        <v>9749</v>
      </c>
      <c r="E908">
        <v>9760</v>
      </c>
      <c r="F908">
        <v>9749</v>
      </c>
      <c r="G908">
        <v>9756</v>
      </c>
      <c r="H908">
        <v>45000</v>
      </c>
    </row>
    <row r="909" spans="2:8">
      <c r="B909" t="s">
        <v>443</v>
      </c>
      <c r="C909" t="s">
        <v>408</v>
      </c>
      <c r="D909">
        <v>9756</v>
      </c>
      <c r="E909">
        <v>9758</v>
      </c>
      <c r="F909">
        <v>9751</v>
      </c>
      <c r="G909">
        <v>9757</v>
      </c>
      <c r="H909">
        <v>18100</v>
      </c>
    </row>
    <row r="910" spans="2:8">
      <c r="B910" t="s">
        <v>443</v>
      </c>
      <c r="C910" t="s">
        <v>409</v>
      </c>
      <c r="D910">
        <v>9756</v>
      </c>
      <c r="E910">
        <v>9760</v>
      </c>
      <c r="F910">
        <v>9755</v>
      </c>
      <c r="G910">
        <v>9758</v>
      </c>
      <c r="H910">
        <v>21500</v>
      </c>
    </row>
    <row r="911" spans="2:8">
      <c r="B911" t="s">
        <v>443</v>
      </c>
      <c r="C911" t="s">
        <v>410</v>
      </c>
      <c r="D911">
        <v>9758</v>
      </c>
      <c r="E911">
        <v>9762</v>
      </c>
      <c r="F911">
        <v>9757</v>
      </c>
      <c r="G911">
        <v>9762</v>
      </c>
      <c r="H911">
        <v>13000</v>
      </c>
    </row>
    <row r="912" spans="2:8">
      <c r="B912" t="s">
        <v>443</v>
      </c>
      <c r="C912" t="s">
        <v>411</v>
      </c>
      <c r="D912">
        <v>9762</v>
      </c>
      <c r="E912">
        <v>9769</v>
      </c>
      <c r="F912">
        <v>9761</v>
      </c>
      <c r="G912">
        <v>9767</v>
      </c>
      <c r="H912">
        <v>39500</v>
      </c>
    </row>
    <row r="913" spans="2:8">
      <c r="B913" t="s">
        <v>443</v>
      </c>
      <c r="C913" t="s">
        <v>412</v>
      </c>
      <c r="D913">
        <v>9767</v>
      </c>
      <c r="E913">
        <v>9771</v>
      </c>
      <c r="F913">
        <v>9767</v>
      </c>
      <c r="G913">
        <v>9767</v>
      </c>
      <c r="H913">
        <v>33400</v>
      </c>
    </row>
    <row r="914" spans="2:8">
      <c r="B914" t="s">
        <v>443</v>
      </c>
      <c r="C914" t="s">
        <v>413</v>
      </c>
      <c r="D914">
        <v>9768</v>
      </c>
      <c r="E914">
        <v>9774</v>
      </c>
      <c r="F914">
        <v>9768</v>
      </c>
      <c r="G914">
        <v>9771</v>
      </c>
      <c r="H914">
        <v>25700</v>
      </c>
    </row>
    <row r="915" spans="2:8">
      <c r="B915" t="s">
        <v>443</v>
      </c>
      <c r="C915" t="s">
        <v>414</v>
      </c>
      <c r="D915">
        <v>9772</v>
      </c>
      <c r="E915">
        <v>9773</v>
      </c>
      <c r="F915">
        <v>9767</v>
      </c>
      <c r="G915">
        <v>9768</v>
      </c>
      <c r="H915">
        <v>35200</v>
      </c>
    </row>
    <row r="916" spans="2:8">
      <c r="B916" t="s">
        <v>443</v>
      </c>
      <c r="C916" t="s">
        <v>415</v>
      </c>
      <c r="D916">
        <v>9768</v>
      </c>
      <c r="E916">
        <v>9768</v>
      </c>
      <c r="F916">
        <v>9760</v>
      </c>
      <c r="G916">
        <v>9763</v>
      </c>
      <c r="H916">
        <v>30100</v>
      </c>
    </row>
    <row r="917" spans="2:8">
      <c r="B917" t="s">
        <v>443</v>
      </c>
      <c r="C917" t="s">
        <v>416</v>
      </c>
      <c r="D917">
        <v>9764</v>
      </c>
      <c r="E917">
        <v>9767</v>
      </c>
      <c r="F917">
        <v>9760</v>
      </c>
      <c r="G917">
        <v>9766</v>
      </c>
      <c r="H917">
        <v>28500</v>
      </c>
    </row>
    <row r="918" spans="2:8">
      <c r="B918" t="s">
        <v>443</v>
      </c>
      <c r="C918" t="s">
        <v>417</v>
      </c>
      <c r="D918">
        <v>9767</v>
      </c>
      <c r="E918">
        <v>9771</v>
      </c>
      <c r="F918">
        <v>9762</v>
      </c>
      <c r="G918">
        <v>9765</v>
      </c>
      <c r="H918">
        <v>33000</v>
      </c>
    </row>
    <row r="919" spans="2:8">
      <c r="B919" t="s">
        <v>443</v>
      </c>
      <c r="C919" t="s">
        <v>418</v>
      </c>
      <c r="D919">
        <v>9766</v>
      </c>
      <c r="E919">
        <v>9770</v>
      </c>
      <c r="F919">
        <v>9766</v>
      </c>
      <c r="G919">
        <v>9767</v>
      </c>
      <c r="H919">
        <v>17900</v>
      </c>
    </row>
    <row r="920" spans="2:8">
      <c r="B920" t="s">
        <v>443</v>
      </c>
      <c r="C920" t="s">
        <v>419</v>
      </c>
      <c r="D920">
        <v>9766</v>
      </c>
      <c r="E920">
        <v>9770</v>
      </c>
      <c r="F920">
        <v>9765</v>
      </c>
      <c r="G920">
        <v>9768</v>
      </c>
      <c r="H920">
        <v>33300</v>
      </c>
    </row>
    <row r="921" spans="2:8">
      <c r="B921" t="s">
        <v>443</v>
      </c>
      <c r="C921" t="s">
        <v>420</v>
      </c>
      <c r="D921">
        <v>9768</v>
      </c>
      <c r="E921">
        <v>9773</v>
      </c>
      <c r="F921">
        <v>9764</v>
      </c>
      <c r="G921">
        <v>9766</v>
      </c>
      <c r="H921">
        <v>30100</v>
      </c>
    </row>
    <row r="922" spans="2:8">
      <c r="B922" t="s">
        <v>443</v>
      </c>
      <c r="C922" t="s">
        <v>421</v>
      </c>
      <c r="D922">
        <v>9767</v>
      </c>
      <c r="E922">
        <v>9767</v>
      </c>
      <c r="F922">
        <v>9762</v>
      </c>
      <c r="G922">
        <v>9766</v>
      </c>
      <c r="H922">
        <v>21400</v>
      </c>
    </row>
    <row r="923" spans="2:8">
      <c r="B923" t="s">
        <v>443</v>
      </c>
      <c r="C923" t="s">
        <v>422</v>
      </c>
      <c r="D923">
        <v>9765</v>
      </c>
      <c r="E923">
        <v>9770</v>
      </c>
      <c r="F923">
        <v>9765</v>
      </c>
      <c r="G923">
        <v>9769</v>
      </c>
      <c r="H923">
        <v>12700</v>
      </c>
    </row>
    <row r="924" spans="2:8">
      <c r="B924" t="s">
        <v>443</v>
      </c>
      <c r="C924" t="s">
        <v>423</v>
      </c>
      <c r="D924">
        <v>9770</v>
      </c>
      <c r="E924">
        <v>9773</v>
      </c>
      <c r="F924">
        <v>9767</v>
      </c>
      <c r="G924">
        <v>9770</v>
      </c>
      <c r="H924">
        <v>23300</v>
      </c>
    </row>
    <row r="925" spans="2:8">
      <c r="B925" t="s">
        <v>443</v>
      </c>
      <c r="C925" t="s">
        <v>424</v>
      </c>
      <c r="D925">
        <v>9770</v>
      </c>
      <c r="E925">
        <v>9771</v>
      </c>
      <c r="F925">
        <v>9769</v>
      </c>
      <c r="G925">
        <v>9769</v>
      </c>
      <c r="H925">
        <v>7500</v>
      </c>
    </row>
    <row r="926" spans="2:8">
      <c r="B926" t="s">
        <v>443</v>
      </c>
      <c r="C926" t="s">
        <v>425</v>
      </c>
      <c r="D926">
        <v>9770</v>
      </c>
      <c r="E926">
        <v>9778</v>
      </c>
      <c r="F926">
        <v>9769</v>
      </c>
      <c r="G926">
        <v>9777</v>
      </c>
      <c r="H926">
        <v>47400</v>
      </c>
    </row>
    <row r="927" spans="2:8">
      <c r="B927" t="s">
        <v>443</v>
      </c>
      <c r="C927" t="s">
        <v>426</v>
      </c>
      <c r="D927">
        <v>9778</v>
      </c>
      <c r="E927">
        <v>9784</v>
      </c>
      <c r="F927">
        <v>9777</v>
      </c>
      <c r="G927">
        <v>9779</v>
      </c>
      <c r="H927">
        <v>49300</v>
      </c>
    </row>
    <row r="928" spans="2:8">
      <c r="B928" t="s">
        <v>443</v>
      </c>
      <c r="C928" t="s">
        <v>427</v>
      </c>
      <c r="D928">
        <v>9779</v>
      </c>
      <c r="E928">
        <v>9780</v>
      </c>
      <c r="F928">
        <v>9773</v>
      </c>
      <c r="G928">
        <v>9777</v>
      </c>
      <c r="H928">
        <v>35800</v>
      </c>
    </row>
    <row r="929" spans="2:8">
      <c r="B929" t="s">
        <v>443</v>
      </c>
      <c r="C929" t="s">
        <v>428</v>
      </c>
      <c r="D929">
        <v>9777</v>
      </c>
      <c r="E929">
        <v>9778</v>
      </c>
      <c r="F929">
        <v>9773</v>
      </c>
      <c r="G929">
        <v>9774</v>
      </c>
      <c r="H929">
        <v>19700</v>
      </c>
    </row>
    <row r="930" spans="2:8">
      <c r="B930" t="s">
        <v>443</v>
      </c>
      <c r="C930" t="s">
        <v>429</v>
      </c>
      <c r="D930">
        <v>9774</v>
      </c>
      <c r="E930">
        <v>9775</v>
      </c>
      <c r="F930">
        <v>9770</v>
      </c>
      <c r="G930">
        <v>9774</v>
      </c>
      <c r="H930">
        <v>14000</v>
      </c>
    </row>
    <row r="931" spans="2:8">
      <c r="B931" t="s">
        <v>443</v>
      </c>
      <c r="C931" t="s">
        <v>430</v>
      </c>
      <c r="D931">
        <v>9773</v>
      </c>
      <c r="E931">
        <v>9779</v>
      </c>
      <c r="F931">
        <v>9773</v>
      </c>
      <c r="G931">
        <v>9778</v>
      </c>
      <c r="H931">
        <v>47300</v>
      </c>
    </row>
    <row r="932" spans="2:8">
      <c r="B932" t="s">
        <v>443</v>
      </c>
      <c r="C932" t="s">
        <v>431</v>
      </c>
      <c r="D932">
        <v>9779</v>
      </c>
      <c r="E932">
        <v>9779</v>
      </c>
      <c r="F932">
        <v>9769</v>
      </c>
      <c r="G932">
        <v>9769</v>
      </c>
      <c r="H932">
        <v>30600</v>
      </c>
    </row>
    <row r="933" spans="2:8">
      <c r="B933" t="s">
        <v>443</v>
      </c>
      <c r="C933" t="s">
        <v>9</v>
      </c>
      <c r="D933">
        <v>9770</v>
      </c>
      <c r="E933">
        <v>9770</v>
      </c>
      <c r="F933">
        <v>9763</v>
      </c>
      <c r="G933">
        <v>9767</v>
      </c>
      <c r="H933">
        <v>37800</v>
      </c>
    </row>
    <row r="934" spans="2:8">
      <c r="B934" t="s">
        <v>443</v>
      </c>
      <c r="C934" t="s">
        <v>10</v>
      </c>
      <c r="D934">
        <v>9767</v>
      </c>
      <c r="E934">
        <v>9770</v>
      </c>
      <c r="F934">
        <v>9762</v>
      </c>
      <c r="G934">
        <v>9763</v>
      </c>
      <c r="H934">
        <v>23600</v>
      </c>
    </row>
    <row r="935" spans="2:8">
      <c r="B935" t="s">
        <v>443</v>
      </c>
      <c r="C935" t="s">
        <v>11</v>
      </c>
      <c r="D935">
        <v>9763</v>
      </c>
      <c r="E935">
        <v>9763</v>
      </c>
      <c r="F935">
        <v>9758</v>
      </c>
      <c r="G935">
        <v>9760</v>
      </c>
      <c r="H935">
        <v>23700</v>
      </c>
    </row>
    <row r="936" spans="2:8">
      <c r="B936" t="s">
        <v>443</v>
      </c>
      <c r="C936" t="s">
        <v>12</v>
      </c>
      <c r="D936">
        <v>9761</v>
      </c>
      <c r="E936">
        <v>9769</v>
      </c>
      <c r="F936">
        <v>9761</v>
      </c>
      <c r="G936">
        <v>9767</v>
      </c>
      <c r="H936">
        <v>28200</v>
      </c>
    </row>
    <row r="937" spans="2:8">
      <c r="B937" t="s">
        <v>443</v>
      </c>
      <c r="C937" t="s">
        <v>13</v>
      </c>
      <c r="D937">
        <v>9767</v>
      </c>
      <c r="E937">
        <v>9768</v>
      </c>
      <c r="F937">
        <v>9765</v>
      </c>
      <c r="G937">
        <v>9767</v>
      </c>
      <c r="H937">
        <v>12900</v>
      </c>
    </row>
    <row r="938" spans="2:8">
      <c r="B938" t="s">
        <v>443</v>
      </c>
      <c r="C938" t="s">
        <v>14</v>
      </c>
      <c r="D938">
        <v>9768</v>
      </c>
      <c r="E938">
        <v>9769</v>
      </c>
      <c r="F938">
        <v>9765</v>
      </c>
      <c r="G938">
        <v>9769</v>
      </c>
      <c r="H938">
        <v>21700</v>
      </c>
    </row>
    <row r="939" spans="2:8">
      <c r="B939" t="s">
        <v>443</v>
      </c>
      <c r="C939" t="s">
        <v>15</v>
      </c>
      <c r="D939">
        <v>9768</v>
      </c>
      <c r="E939">
        <v>9776</v>
      </c>
      <c r="F939">
        <v>9766</v>
      </c>
      <c r="G939">
        <v>9776</v>
      </c>
      <c r="H939">
        <v>41000</v>
      </c>
    </row>
    <row r="940" spans="2:8">
      <c r="B940" t="s">
        <v>443</v>
      </c>
      <c r="C940" t="s">
        <v>16</v>
      </c>
      <c r="D940">
        <v>9776</v>
      </c>
      <c r="E940">
        <v>9778</v>
      </c>
      <c r="F940">
        <v>9772</v>
      </c>
      <c r="G940">
        <v>9774</v>
      </c>
      <c r="H940">
        <v>26400</v>
      </c>
    </row>
    <row r="941" spans="2:8">
      <c r="B941" t="s">
        <v>443</v>
      </c>
      <c r="C941" t="s">
        <v>17</v>
      </c>
      <c r="D941">
        <v>9776</v>
      </c>
      <c r="E941">
        <v>9778</v>
      </c>
      <c r="F941">
        <v>9774</v>
      </c>
      <c r="G941">
        <v>9775</v>
      </c>
      <c r="H941">
        <v>10500</v>
      </c>
    </row>
    <row r="942" spans="2:8">
      <c r="B942" t="s">
        <v>443</v>
      </c>
      <c r="C942" t="s">
        <v>18</v>
      </c>
      <c r="D942">
        <v>9775</v>
      </c>
      <c r="E942">
        <v>9775</v>
      </c>
      <c r="F942">
        <v>9770</v>
      </c>
      <c r="G942">
        <v>9771</v>
      </c>
      <c r="H942">
        <v>19600</v>
      </c>
    </row>
    <row r="943" spans="2:8">
      <c r="B943" t="s">
        <v>443</v>
      </c>
      <c r="C943" t="s">
        <v>19</v>
      </c>
      <c r="D943">
        <v>9771</v>
      </c>
      <c r="E943">
        <v>9772</v>
      </c>
      <c r="F943">
        <v>9769</v>
      </c>
      <c r="G943">
        <v>9769</v>
      </c>
      <c r="H943">
        <v>22400</v>
      </c>
    </row>
    <row r="944" spans="2:8">
      <c r="B944" t="s">
        <v>443</v>
      </c>
      <c r="C944" t="s">
        <v>20</v>
      </c>
      <c r="D944">
        <v>9770</v>
      </c>
      <c r="E944">
        <v>9772</v>
      </c>
      <c r="F944">
        <v>9768</v>
      </c>
      <c r="G944">
        <v>9771</v>
      </c>
      <c r="H944">
        <v>15800</v>
      </c>
    </row>
    <row r="945" spans="2:8">
      <c r="B945" t="s">
        <v>443</v>
      </c>
      <c r="C945" t="s">
        <v>21</v>
      </c>
      <c r="D945">
        <v>9771</v>
      </c>
      <c r="E945">
        <v>9775</v>
      </c>
      <c r="F945">
        <v>9770</v>
      </c>
      <c r="G945">
        <v>9773</v>
      </c>
      <c r="H945">
        <v>23200</v>
      </c>
    </row>
    <row r="946" spans="2:8">
      <c r="B946" t="s">
        <v>443</v>
      </c>
      <c r="C946" t="s">
        <v>22</v>
      </c>
      <c r="D946">
        <v>9773</v>
      </c>
      <c r="E946">
        <v>9773</v>
      </c>
      <c r="F946">
        <v>9771</v>
      </c>
      <c r="G946">
        <v>9772</v>
      </c>
      <c r="H946">
        <v>7000</v>
      </c>
    </row>
    <row r="947" spans="2:8">
      <c r="B947" t="s">
        <v>443</v>
      </c>
      <c r="C947" t="s">
        <v>23</v>
      </c>
      <c r="D947">
        <v>9772</v>
      </c>
      <c r="E947">
        <v>9776</v>
      </c>
      <c r="F947">
        <v>9772</v>
      </c>
      <c r="G947">
        <v>9776</v>
      </c>
      <c r="H947">
        <v>21800</v>
      </c>
    </row>
    <row r="948" spans="2:8">
      <c r="B948" t="s">
        <v>443</v>
      </c>
      <c r="C948" t="s">
        <v>24</v>
      </c>
      <c r="D948">
        <v>9777</v>
      </c>
      <c r="E948">
        <v>9782</v>
      </c>
      <c r="F948">
        <v>9775</v>
      </c>
      <c r="G948">
        <v>9781</v>
      </c>
      <c r="H948">
        <v>39200</v>
      </c>
    </row>
    <row r="949" spans="2:8">
      <c r="B949" t="s">
        <v>443</v>
      </c>
      <c r="C949" t="s">
        <v>25</v>
      </c>
      <c r="D949">
        <v>9781</v>
      </c>
      <c r="E949">
        <v>9783</v>
      </c>
      <c r="F949">
        <v>9780</v>
      </c>
      <c r="G949">
        <v>9781</v>
      </c>
      <c r="H949">
        <v>21800</v>
      </c>
    </row>
    <row r="950" spans="2:8">
      <c r="B950" t="s">
        <v>443</v>
      </c>
      <c r="C950" t="s">
        <v>26</v>
      </c>
      <c r="D950">
        <v>9781</v>
      </c>
      <c r="E950">
        <v>9782</v>
      </c>
      <c r="F950">
        <v>9777</v>
      </c>
      <c r="G950">
        <v>9778</v>
      </c>
      <c r="H950">
        <v>20200</v>
      </c>
    </row>
    <row r="951" spans="2:8">
      <c r="B951" t="s">
        <v>443</v>
      </c>
      <c r="C951" t="s">
        <v>27</v>
      </c>
      <c r="D951">
        <v>9777</v>
      </c>
      <c r="E951">
        <v>9777</v>
      </c>
      <c r="F951">
        <v>9768</v>
      </c>
      <c r="G951">
        <v>9772</v>
      </c>
      <c r="H951">
        <v>49300</v>
      </c>
    </row>
    <row r="952" spans="2:8">
      <c r="B952" t="s">
        <v>443</v>
      </c>
      <c r="C952" t="s">
        <v>28</v>
      </c>
      <c r="D952">
        <v>9772</v>
      </c>
      <c r="E952">
        <v>9775</v>
      </c>
      <c r="F952">
        <v>9770</v>
      </c>
      <c r="G952">
        <v>9772</v>
      </c>
      <c r="H952">
        <v>17900</v>
      </c>
    </row>
    <row r="953" spans="2:8">
      <c r="B953" t="s">
        <v>443</v>
      </c>
      <c r="C953" t="s">
        <v>29</v>
      </c>
      <c r="D953">
        <v>9771</v>
      </c>
      <c r="E953">
        <v>9772</v>
      </c>
      <c r="F953">
        <v>9767</v>
      </c>
      <c r="G953">
        <v>9770</v>
      </c>
      <c r="H953">
        <v>15900</v>
      </c>
    </row>
    <row r="954" spans="2:8">
      <c r="B954" t="s">
        <v>443</v>
      </c>
      <c r="C954" t="s">
        <v>30</v>
      </c>
      <c r="D954">
        <v>9771</v>
      </c>
      <c r="E954">
        <v>9772</v>
      </c>
      <c r="F954">
        <v>9769</v>
      </c>
      <c r="G954">
        <v>9769</v>
      </c>
      <c r="H954">
        <v>10600</v>
      </c>
    </row>
    <row r="955" spans="2:8">
      <c r="B955" t="s">
        <v>443</v>
      </c>
      <c r="C955" t="s">
        <v>31</v>
      </c>
      <c r="D955">
        <v>9769</v>
      </c>
      <c r="E955">
        <v>9772</v>
      </c>
      <c r="F955">
        <v>9769</v>
      </c>
      <c r="G955">
        <v>9772</v>
      </c>
      <c r="H955">
        <v>18200</v>
      </c>
    </row>
    <row r="956" spans="2:8">
      <c r="B956" t="s">
        <v>443</v>
      </c>
      <c r="C956" t="s">
        <v>32</v>
      </c>
      <c r="D956">
        <v>9772</v>
      </c>
      <c r="E956">
        <v>9772</v>
      </c>
      <c r="F956">
        <v>9765</v>
      </c>
      <c r="G956">
        <v>9771</v>
      </c>
      <c r="H956">
        <v>32600</v>
      </c>
    </row>
    <row r="957" spans="2:8">
      <c r="B957" t="s">
        <v>443</v>
      </c>
      <c r="C957" t="s">
        <v>33</v>
      </c>
      <c r="D957">
        <v>9772</v>
      </c>
      <c r="E957">
        <v>9773</v>
      </c>
      <c r="F957">
        <v>9769</v>
      </c>
      <c r="G957">
        <v>9770</v>
      </c>
      <c r="H957">
        <v>19900</v>
      </c>
    </row>
    <row r="958" spans="2:8">
      <c r="B958" t="s">
        <v>443</v>
      </c>
      <c r="C958" t="s">
        <v>34</v>
      </c>
      <c r="D958">
        <v>9770</v>
      </c>
      <c r="E958">
        <v>9772</v>
      </c>
      <c r="F958">
        <v>9767</v>
      </c>
      <c r="G958">
        <v>9769</v>
      </c>
      <c r="H958">
        <v>21200</v>
      </c>
    </row>
    <row r="959" spans="2:8">
      <c r="B959" t="s">
        <v>443</v>
      </c>
      <c r="C959" t="s">
        <v>35</v>
      </c>
      <c r="D959">
        <v>9769</v>
      </c>
      <c r="E959">
        <v>9769</v>
      </c>
      <c r="F959">
        <v>9765</v>
      </c>
      <c r="G959">
        <v>9767</v>
      </c>
      <c r="H959">
        <v>19700</v>
      </c>
    </row>
    <row r="960" spans="2:8">
      <c r="B960" t="s">
        <v>443</v>
      </c>
      <c r="C960" t="s">
        <v>36</v>
      </c>
      <c r="D960">
        <v>9767</v>
      </c>
      <c r="E960">
        <v>9770</v>
      </c>
      <c r="F960">
        <v>9766</v>
      </c>
      <c r="G960">
        <v>9768</v>
      </c>
      <c r="H960">
        <v>12300</v>
      </c>
    </row>
    <row r="961" spans="2:8">
      <c r="B961" t="s">
        <v>443</v>
      </c>
      <c r="C961" t="s">
        <v>37</v>
      </c>
      <c r="D961">
        <v>9768</v>
      </c>
      <c r="E961">
        <v>9769</v>
      </c>
      <c r="F961">
        <v>9766</v>
      </c>
      <c r="G961">
        <v>9767</v>
      </c>
      <c r="H961">
        <v>21100</v>
      </c>
    </row>
    <row r="962" spans="2:8">
      <c r="B962" t="s">
        <v>443</v>
      </c>
      <c r="C962" t="s">
        <v>38</v>
      </c>
      <c r="D962">
        <v>9767</v>
      </c>
      <c r="E962">
        <v>9767</v>
      </c>
      <c r="F962">
        <v>9757</v>
      </c>
      <c r="G962">
        <v>9759</v>
      </c>
      <c r="H962">
        <v>51600</v>
      </c>
    </row>
    <row r="963" spans="2:8">
      <c r="B963" t="s">
        <v>443</v>
      </c>
      <c r="C963" t="s">
        <v>39</v>
      </c>
      <c r="D963">
        <v>9758</v>
      </c>
      <c r="E963">
        <v>9764</v>
      </c>
      <c r="F963">
        <v>9754</v>
      </c>
      <c r="G963">
        <v>9762</v>
      </c>
      <c r="H963">
        <v>32700</v>
      </c>
    </row>
    <row r="964" spans="2:8">
      <c r="B964" t="s">
        <v>443</v>
      </c>
      <c r="C964" t="s">
        <v>40</v>
      </c>
      <c r="D964">
        <v>9762</v>
      </c>
      <c r="E964">
        <v>9764</v>
      </c>
      <c r="F964">
        <v>9761</v>
      </c>
      <c r="G964">
        <v>9763</v>
      </c>
      <c r="H964">
        <v>20400</v>
      </c>
    </row>
    <row r="965" spans="2:8">
      <c r="B965" t="s">
        <v>443</v>
      </c>
      <c r="C965" t="s">
        <v>41</v>
      </c>
      <c r="D965">
        <v>9763</v>
      </c>
      <c r="E965">
        <v>9764</v>
      </c>
      <c r="F965">
        <v>9756</v>
      </c>
      <c r="G965">
        <v>9762</v>
      </c>
      <c r="H965">
        <v>27100</v>
      </c>
    </row>
    <row r="966" spans="2:8">
      <c r="B966" t="s">
        <v>443</v>
      </c>
      <c r="C966" t="s">
        <v>42</v>
      </c>
      <c r="D966">
        <v>9762</v>
      </c>
      <c r="E966">
        <v>9762</v>
      </c>
      <c r="F966">
        <v>9758</v>
      </c>
      <c r="G966">
        <v>9759</v>
      </c>
      <c r="H966">
        <v>19200</v>
      </c>
    </row>
    <row r="967" spans="2:8">
      <c r="B967" t="s">
        <v>443</v>
      </c>
      <c r="C967" t="s">
        <v>43</v>
      </c>
      <c r="D967">
        <v>9759</v>
      </c>
      <c r="E967">
        <v>9759</v>
      </c>
      <c r="F967">
        <v>9727</v>
      </c>
      <c r="G967">
        <v>9735</v>
      </c>
      <c r="H967">
        <v>106400</v>
      </c>
    </row>
    <row r="968" spans="2:8">
      <c r="B968" t="s">
        <v>443</v>
      </c>
      <c r="C968" t="s">
        <v>44</v>
      </c>
      <c r="D968">
        <v>9736</v>
      </c>
      <c r="E968">
        <v>9736</v>
      </c>
      <c r="F968">
        <v>9706</v>
      </c>
      <c r="G968">
        <v>9722</v>
      </c>
      <c r="H968">
        <v>127500</v>
      </c>
    </row>
    <row r="969" spans="2:8">
      <c r="B969" t="s">
        <v>443</v>
      </c>
      <c r="C969" t="s">
        <v>45</v>
      </c>
      <c r="D969">
        <v>9722</v>
      </c>
      <c r="E969">
        <v>9766</v>
      </c>
      <c r="F969">
        <v>9719</v>
      </c>
      <c r="G969">
        <v>9743</v>
      </c>
      <c r="H969">
        <v>137900</v>
      </c>
    </row>
    <row r="970" spans="2:8">
      <c r="B970" t="s">
        <v>443</v>
      </c>
      <c r="C970" t="s">
        <v>46</v>
      </c>
      <c r="D970">
        <v>9741</v>
      </c>
      <c r="E970">
        <v>9741</v>
      </c>
      <c r="F970">
        <v>9716</v>
      </c>
      <c r="G970">
        <v>9716</v>
      </c>
      <c r="H970">
        <v>74000</v>
      </c>
    </row>
    <row r="971" spans="2:8">
      <c r="B971" t="s">
        <v>443</v>
      </c>
      <c r="C971" t="s">
        <v>47</v>
      </c>
      <c r="D971">
        <v>9717</v>
      </c>
      <c r="E971">
        <v>9725</v>
      </c>
      <c r="F971">
        <v>9716</v>
      </c>
      <c r="G971">
        <v>9718</v>
      </c>
      <c r="H971">
        <v>39100</v>
      </c>
    </row>
    <row r="972" spans="2:8">
      <c r="B972" t="s">
        <v>443</v>
      </c>
      <c r="C972" t="s">
        <v>48</v>
      </c>
      <c r="D972">
        <v>9717</v>
      </c>
      <c r="E972">
        <v>9718</v>
      </c>
      <c r="F972">
        <v>9691</v>
      </c>
      <c r="G972">
        <v>9697</v>
      </c>
      <c r="H972">
        <v>154300</v>
      </c>
    </row>
    <row r="973" spans="2:8">
      <c r="B973" t="s">
        <v>443</v>
      </c>
      <c r="C973" t="s">
        <v>49</v>
      </c>
      <c r="D973">
        <v>9698</v>
      </c>
      <c r="E973">
        <v>9701</v>
      </c>
      <c r="F973">
        <v>9680</v>
      </c>
      <c r="G973">
        <v>9685</v>
      </c>
      <c r="H973">
        <v>98500</v>
      </c>
    </row>
    <row r="974" spans="2:8">
      <c r="B974" t="s">
        <v>443</v>
      </c>
      <c r="C974" t="s">
        <v>50</v>
      </c>
      <c r="D974">
        <v>9682</v>
      </c>
      <c r="E974">
        <v>9701</v>
      </c>
      <c r="F974">
        <v>9682</v>
      </c>
      <c r="G974">
        <v>9695</v>
      </c>
      <c r="H974">
        <v>70700</v>
      </c>
    </row>
    <row r="975" spans="2:8">
      <c r="B975" t="s">
        <v>443</v>
      </c>
      <c r="C975" t="s">
        <v>51</v>
      </c>
      <c r="D975">
        <v>9696</v>
      </c>
      <c r="E975">
        <v>9707</v>
      </c>
      <c r="F975">
        <v>9695</v>
      </c>
      <c r="G975">
        <v>9698</v>
      </c>
      <c r="H975">
        <v>62500</v>
      </c>
    </row>
    <row r="976" spans="2:8">
      <c r="B976" t="s">
        <v>443</v>
      </c>
      <c r="C976" t="s">
        <v>52</v>
      </c>
      <c r="D976">
        <v>9699</v>
      </c>
      <c r="E976">
        <v>9720</v>
      </c>
      <c r="F976">
        <v>9699</v>
      </c>
      <c r="G976">
        <v>9709</v>
      </c>
      <c r="H976">
        <v>65600</v>
      </c>
    </row>
    <row r="977" spans="2:8">
      <c r="B977" t="s">
        <v>443</v>
      </c>
      <c r="C977" t="s">
        <v>53</v>
      </c>
      <c r="D977">
        <v>9711</v>
      </c>
      <c r="E977">
        <v>9718</v>
      </c>
      <c r="F977">
        <v>9710</v>
      </c>
      <c r="G977">
        <v>9713</v>
      </c>
      <c r="H977">
        <v>43900</v>
      </c>
    </row>
    <row r="978" spans="2:8">
      <c r="B978" t="s">
        <v>443</v>
      </c>
      <c r="C978" t="s">
        <v>54</v>
      </c>
      <c r="D978">
        <v>9713</v>
      </c>
      <c r="E978">
        <v>9715</v>
      </c>
      <c r="F978">
        <v>9705</v>
      </c>
      <c r="G978">
        <v>9711</v>
      </c>
      <c r="H978">
        <v>35000</v>
      </c>
    </row>
    <row r="979" spans="2:8">
      <c r="B979" t="s">
        <v>443</v>
      </c>
      <c r="C979" t="s">
        <v>55</v>
      </c>
      <c r="D979">
        <v>9708</v>
      </c>
      <c r="E979">
        <v>9718</v>
      </c>
      <c r="F979">
        <v>9705</v>
      </c>
      <c r="G979">
        <v>9709</v>
      </c>
      <c r="H979">
        <v>50500</v>
      </c>
    </row>
    <row r="980" spans="2:8">
      <c r="B980" t="s">
        <v>443</v>
      </c>
      <c r="C980" t="s">
        <v>56</v>
      </c>
      <c r="D980">
        <v>9709</v>
      </c>
      <c r="E980">
        <v>9709</v>
      </c>
      <c r="F980">
        <v>9700</v>
      </c>
      <c r="G980">
        <v>9703</v>
      </c>
      <c r="H980">
        <v>33400</v>
      </c>
    </row>
    <row r="981" spans="2:8">
      <c r="B981" t="s">
        <v>443</v>
      </c>
      <c r="C981" t="s">
        <v>57</v>
      </c>
      <c r="D981">
        <v>9702</v>
      </c>
      <c r="E981">
        <v>9702</v>
      </c>
      <c r="F981">
        <v>9693</v>
      </c>
      <c r="G981">
        <v>9698</v>
      </c>
      <c r="H981">
        <v>42900</v>
      </c>
    </row>
    <row r="982" spans="2:8">
      <c r="B982" t="s">
        <v>443</v>
      </c>
      <c r="C982" t="s">
        <v>58</v>
      </c>
      <c r="D982">
        <v>9699</v>
      </c>
      <c r="E982">
        <v>9706</v>
      </c>
      <c r="F982">
        <v>9697</v>
      </c>
      <c r="G982">
        <v>9704</v>
      </c>
      <c r="H982">
        <v>42000</v>
      </c>
    </row>
    <row r="983" spans="2:8">
      <c r="B983" t="s">
        <v>443</v>
      </c>
      <c r="C983" t="s">
        <v>59</v>
      </c>
      <c r="D983">
        <v>9703</v>
      </c>
      <c r="E983">
        <v>9716</v>
      </c>
      <c r="F983">
        <v>9702</v>
      </c>
      <c r="G983">
        <v>9715</v>
      </c>
      <c r="H983">
        <v>53500</v>
      </c>
    </row>
    <row r="984" spans="2:8">
      <c r="B984" t="s">
        <v>443</v>
      </c>
      <c r="C984" t="s">
        <v>60</v>
      </c>
      <c r="D984">
        <v>9715</v>
      </c>
      <c r="E984">
        <v>9729</v>
      </c>
      <c r="F984">
        <v>9713</v>
      </c>
      <c r="G984">
        <v>9718</v>
      </c>
      <c r="H984">
        <v>80900</v>
      </c>
    </row>
    <row r="985" spans="2:8">
      <c r="B985" t="s">
        <v>443</v>
      </c>
      <c r="C985" t="s">
        <v>61</v>
      </c>
      <c r="D985">
        <v>9719</v>
      </c>
      <c r="E985">
        <v>9722</v>
      </c>
      <c r="F985">
        <v>9717</v>
      </c>
      <c r="G985">
        <v>9718</v>
      </c>
      <c r="H985">
        <v>41200</v>
      </c>
    </row>
    <row r="986" spans="2:8">
      <c r="B986" t="s">
        <v>443</v>
      </c>
      <c r="C986" t="s">
        <v>62</v>
      </c>
      <c r="D986">
        <v>9718</v>
      </c>
      <c r="E986">
        <v>9729</v>
      </c>
      <c r="F986">
        <v>9713</v>
      </c>
      <c r="G986">
        <v>9729</v>
      </c>
      <c r="H986">
        <v>53700</v>
      </c>
    </row>
    <row r="987" spans="2:8">
      <c r="B987" t="s">
        <v>443</v>
      </c>
      <c r="C987" t="s">
        <v>63</v>
      </c>
      <c r="D987">
        <v>9729</v>
      </c>
      <c r="E987">
        <v>9741</v>
      </c>
      <c r="F987">
        <v>9726</v>
      </c>
      <c r="G987">
        <v>9735</v>
      </c>
      <c r="H987">
        <v>73300</v>
      </c>
    </row>
    <row r="988" spans="2:8">
      <c r="B988" t="s">
        <v>443</v>
      </c>
      <c r="C988" t="s">
        <v>64</v>
      </c>
      <c r="D988">
        <v>9735</v>
      </c>
      <c r="E988">
        <v>9750</v>
      </c>
      <c r="F988">
        <v>9734</v>
      </c>
      <c r="G988">
        <v>9749</v>
      </c>
      <c r="H988">
        <v>87000</v>
      </c>
    </row>
    <row r="989" spans="2:8">
      <c r="B989" t="s">
        <v>443</v>
      </c>
      <c r="C989" t="s">
        <v>65</v>
      </c>
      <c r="D989">
        <v>9750</v>
      </c>
      <c r="E989">
        <v>9750</v>
      </c>
      <c r="F989">
        <v>9742</v>
      </c>
      <c r="G989">
        <v>9748</v>
      </c>
      <c r="H989">
        <v>49900</v>
      </c>
    </row>
    <row r="990" spans="2:8">
      <c r="B990" t="s">
        <v>443</v>
      </c>
      <c r="C990" t="s">
        <v>66</v>
      </c>
      <c r="D990">
        <v>9749</v>
      </c>
      <c r="E990">
        <v>9749</v>
      </c>
      <c r="F990">
        <v>9739</v>
      </c>
      <c r="G990">
        <v>9743</v>
      </c>
      <c r="H990">
        <v>49900</v>
      </c>
    </row>
    <row r="991" spans="2:8">
      <c r="B991" t="s">
        <v>443</v>
      </c>
      <c r="C991" t="s">
        <v>164</v>
      </c>
      <c r="D991">
        <v>9743</v>
      </c>
      <c r="E991">
        <v>9748</v>
      </c>
      <c r="F991">
        <v>9740</v>
      </c>
      <c r="G991">
        <v>9741</v>
      </c>
      <c r="H991">
        <v>62200</v>
      </c>
    </row>
    <row r="992" spans="2:8">
      <c r="B992" t="s">
        <v>443</v>
      </c>
      <c r="C992" t="s">
        <v>165</v>
      </c>
      <c r="D992">
        <v>9741</v>
      </c>
      <c r="E992">
        <v>9743</v>
      </c>
      <c r="F992">
        <v>9734</v>
      </c>
      <c r="G992">
        <v>9738</v>
      </c>
      <c r="H992">
        <v>73800</v>
      </c>
    </row>
    <row r="993" spans="2:8">
      <c r="B993" t="s">
        <v>443</v>
      </c>
      <c r="C993" t="s">
        <v>67</v>
      </c>
      <c r="D993" t="s">
        <v>8</v>
      </c>
      <c r="E993" t="s">
        <v>8</v>
      </c>
      <c r="F993" t="s">
        <v>8</v>
      </c>
      <c r="G993" t="s">
        <v>8</v>
      </c>
      <c r="H993">
        <v>0</v>
      </c>
    </row>
    <row r="994" spans="2:8">
      <c r="B994" t="s">
        <v>443</v>
      </c>
      <c r="C994" t="s">
        <v>68</v>
      </c>
      <c r="D994" t="s">
        <v>8</v>
      </c>
      <c r="E994" t="s">
        <v>8</v>
      </c>
      <c r="F994" t="s">
        <v>8</v>
      </c>
      <c r="G994" t="s">
        <v>8</v>
      </c>
      <c r="H994">
        <v>0</v>
      </c>
    </row>
    <row r="995" spans="2:8">
      <c r="B995" t="s">
        <v>443</v>
      </c>
      <c r="C995" t="s">
        <v>69</v>
      </c>
      <c r="D995" t="s">
        <v>8</v>
      </c>
      <c r="E995" t="s">
        <v>8</v>
      </c>
      <c r="F995" t="s">
        <v>8</v>
      </c>
      <c r="G995" t="s">
        <v>8</v>
      </c>
      <c r="H995">
        <v>0</v>
      </c>
    </row>
    <row r="996" spans="2:8">
      <c r="B996" t="s">
        <v>443</v>
      </c>
      <c r="C996" t="s">
        <v>70</v>
      </c>
      <c r="D996" t="s">
        <v>8</v>
      </c>
      <c r="E996" t="s">
        <v>8</v>
      </c>
      <c r="F996" t="s">
        <v>8</v>
      </c>
      <c r="G996" t="s">
        <v>8</v>
      </c>
      <c r="H996">
        <v>0</v>
      </c>
    </row>
    <row r="997" spans="2:8">
      <c r="B997" t="s">
        <v>443</v>
      </c>
      <c r="C997" t="s">
        <v>71</v>
      </c>
      <c r="D997" t="s">
        <v>8</v>
      </c>
      <c r="E997" t="s">
        <v>8</v>
      </c>
      <c r="F997" t="s">
        <v>8</v>
      </c>
      <c r="G997" t="s">
        <v>8</v>
      </c>
      <c r="H997">
        <v>0</v>
      </c>
    </row>
    <row r="998" spans="2:8">
      <c r="B998" t="s">
        <v>443</v>
      </c>
      <c r="C998" t="s">
        <v>72</v>
      </c>
      <c r="D998">
        <v>9736</v>
      </c>
      <c r="E998">
        <v>9736</v>
      </c>
      <c r="F998">
        <v>9736</v>
      </c>
      <c r="G998">
        <v>9736</v>
      </c>
      <c r="H998">
        <v>547800</v>
      </c>
    </row>
    <row r="999" spans="2:8">
      <c r="B999" t="s">
        <v>463</v>
      </c>
      <c r="C999" t="s">
        <v>166</v>
      </c>
      <c r="D999" t="s">
        <v>8</v>
      </c>
      <c r="E999" t="s">
        <v>8</v>
      </c>
      <c r="F999" t="s">
        <v>8</v>
      </c>
      <c r="G999" t="s">
        <v>8</v>
      </c>
      <c r="H999">
        <v>0</v>
      </c>
    </row>
    <row r="1000" spans="2:8">
      <c r="B1000" t="s">
        <v>463</v>
      </c>
      <c r="C1000" t="s">
        <v>167</v>
      </c>
      <c r="D1000" t="s">
        <v>8</v>
      </c>
      <c r="E1000" t="s">
        <v>8</v>
      </c>
      <c r="F1000" t="s">
        <v>8</v>
      </c>
      <c r="G1000" t="s">
        <v>8</v>
      </c>
      <c r="H1000">
        <v>0</v>
      </c>
    </row>
    <row r="1001" spans="2:8">
      <c r="B1001" t="s">
        <v>463</v>
      </c>
      <c r="C1001" t="s">
        <v>168</v>
      </c>
      <c r="D1001" t="s">
        <v>8</v>
      </c>
      <c r="E1001" t="s">
        <v>8</v>
      </c>
      <c r="F1001" t="s">
        <v>8</v>
      </c>
      <c r="G1001" t="s">
        <v>8</v>
      </c>
      <c r="H1001">
        <v>0</v>
      </c>
    </row>
    <row r="1002" spans="2:8">
      <c r="B1002" t="s">
        <v>463</v>
      </c>
      <c r="C1002" t="s">
        <v>169</v>
      </c>
      <c r="D1002">
        <v>9968</v>
      </c>
      <c r="E1002">
        <v>10240</v>
      </c>
      <c r="F1002">
        <v>9960</v>
      </c>
      <c r="G1002">
        <v>10185</v>
      </c>
      <c r="H1002">
        <v>1371600</v>
      </c>
    </row>
    <row r="1003" spans="2:8">
      <c r="B1003" t="s">
        <v>463</v>
      </c>
      <c r="C1003" t="s">
        <v>170</v>
      </c>
      <c r="D1003">
        <v>10185</v>
      </c>
      <c r="E1003">
        <v>10270</v>
      </c>
      <c r="F1003">
        <v>10150</v>
      </c>
      <c r="G1003">
        <v>10225</v>
      </c>
      <c r="H1003">
        <v>416000</v>
      </c>
    </row>
    <row r="1004" spans="2:8">
      <c r="B1004" t="s">
        <v>463</v>
      </c>
      <c r="C1004" t="s">
        <v>171</v>
      </c>
      <c r="D1004">
        <v>10220</v>
      </c>
      <c r="E1004">
        <v>10250</v>
      </c>
      <c r="F1004">
        <v>10155</v>
      </c>
      <c r="G1004">
        <v>10205</v>
      </c>
      <c r="H1004">
        <v>322400</v>
      </c>
    </row>
    <row r="1005" spans="2:8">
      <c r="B1005" t="s">
        <v>463</v>
      </c>
      <c r="C1005" t="s">
        <v>172</v>
      </c>
      <c r="D1005">
        <v>10205</v>
      </c>
      <c r="E1005">
        <v>10300</v>
      </c>
      <c r="F1005">
        <v>10180</v>
      </c>
      <c r="G1005">
        <v>10255</v>
      </c>
      <c r="H1005">
        <v>452300</v>
      </c>
    </row>
    <row r="1006" spans="2:8">
      <c r="B1006" t="s">
        <v>463</v>
      </c>
      <c r="C1006" t="s">
        <v>173</v>
      </c>
      <c r="D1006">
        <v>10260</v>
      </c>
      <c r="E1006">
        <v>10275</v>
      </c>
      <c r="F1006">
        <v>10235</v>
      </c>
      <c r="G1006">
        <v>10275</v>
      </c>
      <c r="H1006">
        <v>198300</v>
      </c>
    </row>
    <row r="1007" spans="2:8">
      <c r="B1007" t="s">
        <v>463</v>
      </c>
      <c r="C1007" t="s">
        <v>174</v>
      </c>
      <c r="D1007">
        <v>10270</v>
      </c>
      <c r="E1007">
        <v>10315</v>
      </c>
      <c r="F1007">
        <v>10270</v>
      </c>
      <c r="G1007">
        <v>10285</v>
      </c>
      <c r="H1007">
        <v>331500</v>
      </c>
    </row>
    <row r="1008" spans="2:8">
      <c r="B1008" t="s">
        <v>463</v>
      </c>
      <c r="C1008" t="s">
        <v>175</v>
      </c>
      <c r="D1008">
        <v>10290</v>
      </c>
      <c r="E1008">
        <v>10320</v>
      </c>
      <c r="F1008">
        <v>10265</v>
      </c>
      <c r="G1008">
        <v>10300</v>
      </c>
      <c r="H1008">
        <v>257800</v>
      </c>
    </row>
    <row r="1009" spans="2:8">
      <c r="B1009" t="s">
        <v>463</v>
      </c>
      <c r="C1009" t="s">
        <v>176</v>
      </c>
      <c r="D1009">
        <v>10305</v>
      </c>
      <c r="E1009">
        <v>10325</v>
      </c>
      <c r="F1009">
        <v>10270</v>
      </c>
      <c r="G1009">
        <v>10300</v>
      </c>
      <c r="H1009">
        <v>269500</v>
      </c>
    </row>
    <row r="1010" spans="2:8">
      <c r="B1010" t="s">
        <v>463</v>
      </c>
      <c r="C1010" t="s">
        <v>177</v>
      </c>
      <c r="D1010">
        <v>10300</v>
      </c>
      <c r="E1010">
        <v>10345</v>
      </c>
      <c r="F1010">
        <v>10270</v>
      </c>
      <c r="G1010">
        <v>10335</v>
      </c>
      <c r="H1010">
        <v>284800</v>
      </c>
    </row>
    <row r="1011" spans="2:8">
      <c r="B1011" t="s">
        <v>463</v>
      </c>
      <c r="C1011" t="s">
        <v>178</v>
      </c>
      <c r="D1011">
        <v>10330</v>
      </c>
      <c r="E1011">
        <v>10340</v>
      </c>
      <c r="F1011">
        <v>10270</v>
      </c>
      <c r="G1011">
        <v>10280</v>
      </c>
      <c r="H1011">
        <v>211900</v>
      </c>
    </row>
    <row r="1012" spans="2:8">
      <c r="B1012" t="s">
        <v>463</v>
      </c>
      <c r="C1012" t="s">
        <v>179</v>
      </c>
      <c r="D1012">
        <v>10280</v>
      </c>
      <c r="E1012">
        <v>10295</v>
      </c>
      <c r="F1012">
        <v>10265</v>
      </c>
      <c r="G1012">
        <v>10290</v>
      </c>
      <c r="H1012">
        <v>158800</v>
      </c>
    </row>
    <row r="1013" spans="2:8">
      <c r="B1013" t="s">
        <v>463</v>
      </c>
      <c r="C1013" t="s">
        <v>180</v>
      </c>
      <c r="D1013">
        <v>10290</v>
      </c>
      <c r="E1013">
        <v>10335</v>
      </c>
      <c r="F1013">
        <v>10280</v>
      </c>
      <c r="G1013">
        <v>10320</v>
      </c>
      <c r="H1013">
        <v>201700</v>
      </c>
    </row>
    <row r="1014" spans="2:8">
      <c r="B1014" t="s">
        <v>463</v>
      </c>
      <c r="C1014" t="s">
        <v>181</v>
      </c>
      <c r="D1014">
        <v>10315</v>
      </c>
      <c r="E1014">
        <v>10325</v>
      </c>
      <c r="F1014">
        <v>10250</v>
      </c>
      <c r="G1014">
        <v>10255</v>
      </c>
      <c r="H1014">
        <v>223300</v>
      </c>
    </row>
    <row r="1015" spans="2:8">
      <c r="B1015" t="s">
        <v>463</v>
      </c>
      <c r="C1015" t="s">
        <v>182</v>
      </c>
      <c r="D1015">
        <v>10260</v>
      </c>
      <c r="E1015">
        <v>10280</v>
      </c>
      <c r="F1015">
        <v>10240</v>
      </c>
      <c r="G1015">
        <v>10250</v>
      </c>
      <c r="H1015">
        <v>153800</v>
      </c>
    </row>
    <row r="1016" spans="2:8">
      <c r="B1016" t="s">
        <v>463</v>
      </c>
      <c r="C1016" t="s">
        <v>183</v>
      </c>
      <c r="D1016">
        <v>10255</v>
      </c>
      <c r="E1016">
        <v>10270</v>
      </c>
      <c r="F1016">
        <v>10235</v>
      </c>
      <c r="G1016">
        <v>10255</v>
      </c>
      <c r="H1016">
        <v>115100</v>
      </c>
    </row>
    <row r="1017" spans="2:8">
      <c r="B1017" t="s">
        <v>463</v>
      </c>
      <c r="C1017" t="s">
        <v>184</v>
      </c>
      <c r="D1017">
        <v>10260</v>
      </c>
      <c r="E1017">
        <v>10275</v>
      </c>
      <c r="F1017">
        <v>10250</v>
      </c>
      <c r="G1017">
        <v>10250</v>
      </c>
      <c r="H1017">
        <v>88800</v>
      </c>
    </row>
    <row r="1018" spans="2:8">
      <c r="B1018" t="s">
        <v>463</v>
      </c>
      <c r="C1018" t="s">
        <v>185</v>
      </c>
      <c r="D1018">
        <v>10250</v>
      </c>
      <c r="E1018">
        <v>10260</v>
      </c>
      <c r="F1018">
        <v>10235</v>
      </c>
      <c r="G1018">
        <v>10245</v>
      </c>
      <c r="H1018">
        <v>66100</v>
      </c>
    </row>
    <row r="1019" spans="2:8">
      <c r="B1019" t="s">
        <v>463</v>
      </c>
      <c r="C1019" t="s">
        <v>186</v>
      </c>
      <c r="D1019">
        <v>10245</v>
      </c>
      <c r="E1019">
        <v>10270</v>
      </c>
      <c r="F1019">
        <v>10230</v>
      </c>
      <c r="G1019">
        <v>10235</v>
      </c>
      <c r="H1019">
        <v>118900</v>
      </c>
    </row>
    <row r="1020" spans="2:8">
      <c r="B1020" t="s">
        <v>463</v>
      </c>
      <c r="C1020" t="s">
        <v>187</v>
      </c>
      <c r="D1020">
        <v>10235</v>
      </c>
      <c r="E1020">
        <v>10265</v>
      </c>
      <c r="F1020">
        <v>10235</v>
      </c>
      <c r="G1020">
        <v>10265</v>
      </c>
      <c r="H1020">
        <v>59800</v>
      </c>
    </row>
    <row r="1021" spans="2:8">
      <c r="B1021" t="s">
        <v>463</v>
      </c>
      <c r="C1021" t="s">
        <v>188</v>
      </c>
      <c r="D1021">
        <v>10270</v>
      </c>
      <c r="E1021">
        <v>10320</v>
      </c>
      <c r="F1021">
        <v>10270</v>
      </c>
      <c r="G1021">
        <v>10315</v>
      </c>
      <c r="H1021">
        <v>212400</v>
      </c>
    </row>
    <row r="1022" spans="2:8">
      <c r="B1022" t="s">
        <v>463</v>
      </c>
      <c r="C1022" t="s">
        <v>189</v>
      </c>
      <c r="D1022">
        <v>10310</v>
      </c>
      <c r="E1022">
        <v>10330</v>
      </c>
      <c r="F1022">
        <v>10305</v>
      </c>
      <c r="G1022">
        <v>10320</v>
      </c>
      <c r="H1022">
        <v>88100</v>
      </c>
    </row>
    <row r="1023" spans="2:8">
      <c r="B1023" t="s">
        <v>463</v>
      </c>
      <c r="C1023" t="s">
        <v>190</v>
      </c>
      <c r="D1023">
        <v>10325</v>
      </c>
      <c r="E1023">
        <v>10340</v>
      </c>
      <c r="F1023">
        <v>10305</v>
      </c>
      <c r="G1023">
        <v>10315</v>
      </c>
      <c r="H1023">
        <v>158200</v>
      </c>
    </row>
    <row r="1024" spans="2:8">
      <c r="B1024" t="s">
        <v>463</v>
      </c>
      <c r="C1024" t="s">
        <v>191</v>
      </c>
      <c r="D1024">
        <v>10315</v>
      </c>
      <c r="E1024">
        <v>10320</v>
      </c>
      <c r="F1024">
        <v>10275</v>
      </c>
      <c r="G1024">
        <v>10290</v>
      </c>
      <c r="H1024">
        <v>143300</v>
      </c>
    </row>
    <row r="1025" spans="2:8">
      <c r="B1025" t="s">
        <v>463</v>
      </c>
      <c r="C1025" t="s">
        <v>192</v>
      </c>
      <c r="D1025">
        <v>10290</v>
      </c>
      <c r="E1025">
        <v>10300</v>
      </c>
      <c r="F1025">
        <v>10275</v>
      </c>
      <c r="G1025">
        <v>10275</v>
      </c>
      <c r="H1025">
        <v>45900</v>
      </c>
    </row>
    <row r="1026" spans="2:8">
      <c r="B1026" t="s">
        <v>463</v>
      </c>
      <c r="C1026" t="s">
        <v>193</v>
      </c>
      <c r="D1026">
        <v>10275</v>
      </c>
      <c r="E1026">
        <v>10280</v>
      </c>
      <c r="F1026">
        <v>10250</v>
      </c>
      <c r="G1026">
        <v>10265</v>
      </c>
      <c r="H1026">
        <v>99500</v>
      </c>
    </row>
    <row r="1027" spans="2:8">
      <c r="B1027" t="s">
        <v>463</v>
      </c>
      <c r="C1027" t="s">
        <v>194</v>
      </c>
      <c r="D1027">
        <v>10265</v>
      </c>
      <c r="E1027">
        <v>10275</v>
      </c>
      <c r="F1027">
        <v>10245</v>
      </c>
      <c r="G1027">
        <v>10260</v>
      </c>
      <c r="H1027">
        <v>115200</v>
      </c>
    </row>
    <row r="1028" spans="2:8">
      <c r="B1028" t="s">
        <v>463</v>
      </c>
      <c r="C1028" t="s">
        <v>195</v>
      </c>
      <c r="D1028">
        <v>10255</v>
      </c>
      <c r="E1028">
        <v>10285</v>
      </c>
      <c r="F1028">
        <v>10255</v>
      </c>
      <c r="G1028">
        <v>10275</v>
      </c>
      <c r="H1028">
        <v>74300</v>
      </c>
    </row>
    <row r="1029" spans="2:8">
      <c r="B1029" t="s">
        <v>463</v>
      </c>
      <c r="C1029" t="s">
        <v>196</v>
      </c>
      <c r="D1029">
        <v>10270</v>
      </c>
      <c r="E1029">
        <v>10335</v>
      </c>
      <c r="F1029">
        <v>10270</v>
      </c>
      <c r="G1029">
        <v>10310</v>
      </c>
      <c r="H1029">
        <v>170100</v>
      </c>
    </row>
    <row r="1030" spans="2:8">
      <c r="B1030" t="s">
        <v>463</v>
      </c>
      <c r="C1030" t="s">
        <v>197</v>
      </c>
      <c r="D1030">
        <v>10310</v>
      </c>
      <c r="E1030">
        <v>10320</v>
      </c>
      <c r="F1030">
        <v>10305</v>
      </c>
      <c r="G1030">
        <v>10320</v>
      </c>
      <c r="H1030">
        <v>48400</v>
      </c>
    </row>
    <row r="1031" spans="2:8">
      <c r="B1031" t="s">
        <v>463</v>
      </c>
      <c r="C1031" t="s">
        <v>198</v>
      </c>
      <c r="D1031">
        <v>10315</v>
      </c>
      <c r="E1031">
        <v>10325</v>
      </c>
      <c r="F1031">
        <v>10310</v>
      </c>
      <c r="G1031">
        <v>10315</v>
      </c>
      <c r="H1031">
        <v>74500</v>
      </c>
    </row>
    <row r="1032" spans="2:8">
      <c r="B1032" t="s">
        <v>463</v>
      </c>
      <c r="C1032" t="s">
        <v>199</v>
      </c>
      <c r="D1032">
        <v>10320</v>
      </c>
      <c r="E1032">
        <v>10330</v>
      </c>
      <c r="F1032">
        <v>10310</v>
      </c>
      <c r="G1032">
        <v>10325</v>
      </c>
      <c r="H1032">
        <v>43100</v>
      </c>
    </row>
    <row r="1033" spans="2:8">
      <c r="B1033" t="s">
        <v>463</v>
      </c>
      <c r="C1033" t="s">
        <v>200</v>
      </c>
      <c r="D1033">
        <v>10330</v>
      </c>
      <c r="E1033">
        <v>10335</v>
      </c>
      <c r="F1033">
        <v>10305</v>
      </c>
      <c r="G1033">
        <v>10325</v>
      </c>
      <c r="H1033">
        <v>123100</v>
      </c>
    </row>
    <row r="1034" spans="2:8">
      <c r="B1034" t="s">
        <v>463</v>
      </c>
      <c r="C1034" t="s">
        <v>201</v>
      </c>
      <c r="D1034">
        <v>10325</v>
      </c>
      <c r="E1034">
        <v>10340</v>
      </c>
      <c r="F1034">
        <v>10325</v>
      </c>
      <c r="G1034">
        <v>10330</v>
      </c>
      <c r="H1034">
        <v>50800</v>
      </c>
    </row>
    <row r="1035" spans="2:8">
      <c r="B1035" t="s">
        <v>463</v>
      </c>
      <c r="C1035" t="s">
        <v>202</v>
      </c>
      <c r="D1035">
        <v>10330</v>
      </c>
      <c r="E1035">
        <v>10335</v>
      </c>
      <c r="F1035">
        <v>10305</v>
      </c>
      <c r="G1035">
        <v>10315</v>
      </c>
      <c r="H1035">
        <v>69200</v>
      </c>
    </row>
    <row r="1036" spans="2:8">
      <c r="B1036" t="s">
        <v>463</v>
      </c>
      <c r="C1036" t="s">
        <v>203</v>
      </c>
      <c r="D1036">
        <v>10310</v>
      </c>
      <c r="E1036">
        <v>10330</v>
      </c>
      <c r="F1036">
        <v>10310</v>
      </c>
      <c r="G1036">
        <v>10325</v>
      </c>
      <c r="H1036">
        <v>33900</v>
      </c>
    </row>
    <row r="1037" spans="2:8">
      <c r="B1037" t="s">
        <v>463</v>
      </c>
      <c r="C1037" t="s">
        <v>204</v>
      </c>
      <c r="D1037">
        <v>10320</v>
      </c>
      <c r="E1037">
        <v>10330</v>
      </c>
      <c r="F1037">
        <v>10315</v>
      </c>
      <c r="G1037">
        <v>10315</v>
      </c>
      <c r="H1037">
        <v>37500</v>
      </c>
    </row>
    <row r="1038" spans="2:8">
      <c r="B1038" t="s">
        <v>463</v>
      </c>
      <c r="C1038" t="s">
        <v>205</v>
      </c>
      <c r="D1038">
        <v>10310</v>
      </c>
      <c r="E1038">
        <v>10335</v>
      </c>
      <c r="F1038">
        <v>10310</v>
      </c>
      <c r="G1038">
        <v>10335</v>
      </c>
      <c r="H1038">
        <v>106600</v>
      </c>
    </row>
    <row r="1039" spans="2:8">
      <c r="B1039" t="s">
        <v>463</v>
      </c>
      <c r="C1039" t="s">
        <v>206</v>
      </c>
      <c r="D1039">
        <v>10335</v>
      </c>
      <c r="E1039">
        <v>10370</v>
      </c>
      <c r="F1039">
        <v>10335</v>
      </c>
      <c r="G1039">
        <v>10355</v>
      </c>
      <c r="H1039">
        <v>199100</v>
      </c>
    </row>
    <row r="1040" spans="2:8">
      <c r="B1040" t="s">
        <v>463</v>
      </c>
      <c r="C1040" t="s">
        <v>207</v>
      </c>
      <c r="D1040">
        <v>10350</v>
      </c>
      <c r="E1040">
        <v>10355</v>
      </c>
      <c r="F1040">
        <v>10280</v>
      </c>
      <c r="G1040">
        <v>10290</v>
      </c>
      <c r="H1040">
        <v>197500</v>
      </c>
    </row>
    <row r="1041" spans="2:8">
      <c r="B1041" t="s">
        <v>463</v>
      </c>
      <c r="C1041" t="s">
        <v>208</v>
      </c>
      <c r="D1041">
        <v>10290</v>
      </c>
      <c r="E1041">
        <v>10320</v>
      </c>
      <c r="F1041">
        <v>10290</v>
      </c>
      <c r="G1041">
        <v>10305</v>
      </c>
      <c r="H1041">
        <v>68600</v>
      </c>
    </row>
    <row r="1042" spans="2:8">
      <c r="B1042" t="s">
        <v>463</v>
      </c>
      <c r="C1042" t="s">
        <v>209</v>
      </c>
      <c r="D1042">
        <v>10305</v>
      </c>
      <c r="E1042">
        <v>10340</v>
      </c>
      <c r="F1042">
        <v>10300</v>
      </c>
      <c r="G1042">
        <v>10340</v>
      </c>
      <c r="H1042">
        <v>55500</v>
      </c>
    </row>
    <row r="1043" spans="2:8">
      <c r="B1043" t="s">
        <v>463</v>
      </c>
      <c r="C1043" t="s">
        <v>210</v>
      </c>
      <c r="D1043">
        <v>10335</v>
      </c>
      <c r="E1043">
        <v>10340</v>
      </c>
      <c r="F1043">
        <v>10325</v>
      </c>
      <c r="G1043">
        <v>10335</v>
      </c>
      <c r="H1043">
        <v>30800</v>
      </c>
    </row>
    <row r="1044" spans="2:8">
      <c r="B1044" t="s">
        <v>463</v>
      </c>
      <c r="C1044" t="s">
        <v>211</v>
      </c>
      <c r="D1044">
        <v>10330</v>
      </c>
      <c r="E1044">
        <v>10335</v>
      </c>
      <c r="F1044">
        <v>10325</v>
      </c>
      <c r="G1044">
        <v>10330</v>
      </c>
      <c r="H1044">
        <v>34100</v>
      </c>
    </row>
    <row r="1045" spans="2:8">
      <c r="B1045" t="s">
        <v>463</v>
      </c>
      <c r="C1045" t="s">
        <v>212</v>
      </c>
      <c r="D1045">
        <v>10330</v>
      </c>
      <c r="E1045">
        <v>10330</v>
      </c>
      <c r="F1045">
        <v>10310</v>
      </c>
      <c r="G1045">
        <v>10315</v>
      </c>
      <c r="H1045">
        <v>41000</v>
      </c>
    </row>
    <row r="1046" spans="2:8">
      <c r="B1046" t="s">
        <v>463</v>
      </c>
      <c r="C1046" t="s">
        <v>213</v>
      </c>
      <c r="D1046">
        <v>10315</v>
      </c>
      <c r="E1046">
        <v>10335</v>
      </c>
      <c r="F1046">
        <v>10310</v>
      </c>
      <c r="G1046">
        <v>10330</v>
      </c>
      <c r="H1046">
        <v>42100</v>
      </c>
    </row>
    <row r="1047" spans="2:8">
      <c r="B1047" t="s">
        <v>463</v>
      </c>
      <c r="C1047" t="s">
        <v>214</v>
      </c>
      <c r="D1047">
        <v>10330</v>
      </c>
      <c r="E1047">
        <v>10330</v>
      </c>
      <c r="F1047">
        <v>10320</v>
      </c>
      <c r="G1047">
        <v>10325</v>
      </c>
      <c r="H1047">
        <v>22800</v>
      </c>
    </row>
    <row r="1048" spans="2:8">
      <c r="B1048" t="s">
        <v>463</v>
      </c>
      <c r="C1048" t="s">
        <v>215</v>
      </c>
      <c r="D1048">
        <v>10325</v>
      </c>
      <c r="E1048">
        <v>10330</v>
      </c>
      <c r="F1048">
        <v>10310</v>
      </c>
      <c r="G1048">
        <v>10330</v>
      </c>
      <c r="H1048">
        <v>84400</v>
      </c>
    </row>
    <row r="1049" spans="2:8">
      <c r="B1049" t="s">
        <v>463</v>
      </c>
      <c r="C1049" t="s">
        <v>216</v>
      </c>
      <c r="D1049">
        <v>10335</v>
      </c>
      <c r="E1049">
        <v>10350</v>
      </c>
      <c r="F1049">
        <v>10335</v>
      </c>
      <c r="G1049">
        <v>10345</v>
      </c>
      <c r="H1049">
        <v>70500</v>
      </c>
    </row>
    <row r="1050" spans="2:8">
      <c r="B1050" t="s">
        <v>463</v>
      </c>
      <c r="C1050" t="s">
        <v>217</v>
      </c>
      <c r="D1050">
        <v>10345</v>
      </c>
      <c r="E1050">
        <v>10350</v>
      </c>
      <c r="F1050">
        <v>10335</v>
      </c>
      <c r="G1050">
        <v>10345</v>
      </c>
      <c r="H1050">
        <v>47700</v>
      </c>
    </row>
    <row r="1051" spans="2:8">
      <c r="B1051" t="s">
        <v>463</v>
      </c>
      <c r="C1051" t="s">
        <v>218</v>
      </c>
      <c r="D1051">
        <v>10345</v>
      </c>
      <c r="E1051">
        <v>10355</v>
      </c>
      <c r="F1051">
        <v>10345</v>
      </c>
      <c r="G1051">
        <v>10355</v>
      </c>
      <c r="H1051">
        <v>57200</v>
      </c>
    </row>
    <row r="1052" spans="2:8">
      <c r="B1052" t="s">
        <v>463</v>
      </c>
      <c r="C1052" t="s">
        <v>219</v>
      </c>
      <c r="D1052">
        <v>10355</v>
      </c>
      <c r="E1052">
        <v>10355</v>
      </c>
      <c r="F1052">
        <v>10345</v>
      </c>
      <c r="G1052">
        <v>10345</v>
      </c>
      <c r="H1052">
        <v>31100</v>
      </c>
    </row>
    <row r="1053" spans="2:8">
      <c r="B1053" t="s">
        <v>463</v>
      </c>
      <c r="C1053" t="s">
        <v>220</v>
      </c>
      <c r="D1053">
        <v>10345</v>
      </c>
      <c r="E1053">
        <v>10375</v>
      </c>
      <c r="F1053">
        <v>10345</v>
      </c>
      <c r="G1053">
        <v>10370</v>
      </c>
      <c r="H1053">
        <v>96800</v>
      </c>
    </row>
    <row r="1054" spans="2:8">
      <c r="B1054" t="s">
        <v>463</v>
      </c>
      <c r="C1054" t="s">
        <v>221</v>
      </c>
      <c r="D1054">
        <v>10375</v>
      </c>
      <c r="E1054">
        <v>10375</v>
      </c>
      <c r="F1054">
        <v>10340</v>
      </c>
      <c r="G1054">
        <v>10345</v>
      </c>
      <c r="H1054">
        <v>95400</v>
      </c>
    </row>
    <row r="1055" spans="2:8">
      <c r="B1055" t="s">
        <v>463</v>
      </c>
      <c r="C1055" t="s">
        <v>222</v>
      </c>
      <c r="D1055">
        <v>10340</v>
      </c>
      <c r="E1055">
        <v>10375</v>
      </c>
      <c r="F1055">
        <v>10335</v>
      </c>
      <c r="G1055">
        <v>10360</v>
      </c>
      <c r="H1055">
        <v>105700</v>
      </c>
    </row>
    <row r="1056" spans="2:8">
      <c r="B1056" t="s">
        <v>463</v>
      </c>
      <c r="C1056" t="s">
        <v>223</v>
      </c>
      <c r="D1056">
        <v>10360</v>
      </c>
      <c r="E1056">
        <v>10360</v>
      </c>
      <c r="F1056">
        <v>10340</v>
      </c>
      <c r="G1056">
        <v>10350</v>
      </c>
      <c r="H1056">
        <v>39500</v>
      </c>
    </row>
    <row r="1057" spans="2:8">
      <c r="B1057" t="s">
        <v>463</v>
      </c>
      <c r="C1057" t="s">
        <v>224</v>
      </c>
      <c r="D1057">
        <v>10345</v>
      </c>
      <c r="E1057">
        <v>10360</v>
      </c>
      <c r="F1057">
        <v>10345</v>
      </c>
      <c r="G1057">
        <v>10355</v>
      </c>
      <c r="H1057">
        <v>39800</v>
      </c>
    </row>
    <row r="1058" spans="2:8">
      <c r="B1058" t="s">
        <v>463</v>
      </c>
      <c r="C1058" t="s">
        <v>225</v>
      </c>
      <c r="D1058">
        <v>10355</v>
      </c>
      <c r="E1058">
        <v>10390</v>
      </c>
      <c r="F1058">
        <v>10355</v>
      </c>
      <c r="G1058">
        <v>10390</v>
      </c>
      <c r="H1058">
        <v>99800</v>
      </c>
    </row>
    <row r="1059" spans="2:8">
      <c r="B1059" t="s">
        <v>463</v>
      </c>
      <c r="C1059" t="s">
        <v>226</v>
      </c>
      <c r="D1059">
        <v>10385</v>
      </c>
      <c r="E1059">
        <v>10390</v>
      </c>
      <c r="F1059">
        <v>10375</v>
      </c>
      <c r="G1059">
        <v>10375</v>
      </c>
      <c r="H1059">
        <v>56100</v>
      </c>
    </row>
    <row r="1060" spans="2:8">
      <c r="B1060" t="s">
        <v>463</v>
      </c>
      <c r="C1060" t="s">
        <v>227</v>
      </c>
      <c r="D1060">
        <v>10375</v>
      </c>
      <c r="E1060">
        <v>10380</v>
      </c>
      <c r="F1060">
        <v>10340</v>
      </c>
      <c r="G1060">
        <v>10360</v>
      </c>
      <c r="H1060">
        <v>142800</v>
      </c>
    </row>
    <row r="1061" spans="2:8">
      <c r="B1061" t="s">
        <v>463</v>
      </c>
      <c r="C1061" t="s">
        <v>228</v>
      </c>
      <c r="D1061">
        <v>10355</v>
      </c>
      <c r="E1061">
        <v>10360</v>
      </c>
      <c r="F1061">
        <v>10350</v>
      </c>
      <c r="G1061">
        <v>10350</v>
      </c>
      <c r="H1061">
        <v>54500</v>
      </c>
    </row>
    <row r="1062" spans="2:8">
      <c r="B1062" t="s">
        <v>463</v>
      </c>
      <c r="C1062" t="s">
        <v>229</v>
      </c>
      <c r="D1062">
        <v>10350</v>
      </c>
      <c r="E1062">
        <v>10370</v>
      </c>
      <c r="F1062">
        <v>10350</v>
      </c>
      <c r="G1062">
        <v>10365</v>
      </c>
      <c r="H1062">
        <v>61900</v>
      </c>
    </row>
    <row r="1063" spans="2:8">
      <c r="B1063" t="s">
        <v>463</v>
      </c>
      <c r="C1063" t="s">
        <v>230</v>
      </c>
      <c r="D1063">
        <v>10365</v>
      </c>
      <c r="E1063">
        <v>10370</v>
      </c>
      <c r="F1063">
        <v>10350</v>
      </c>
      <c r="G1063">
        <v>10355</v>
      </c>
      <c r="H1063">
        <v>47200</v>
      </c>
    </row>
    <row r="1064" spans="2:8">
      <c r="B1064" t="s">
        <v>463</v>
      </c>
      <c r="C1064" t="s">
        <v>231</v>
      </c>
      <c r="D1064">
        <v>10355</v>
      </c>
      <c r="E1064">
        <v>10355</v>
      </c>
      <c r="F1064">
        <v>10345</v>
      </c>
      <c r="G1064">
        <v>10355</v>
      </c>
      <c r="H1064">
        <v>30600</v>
      </c>
    </row>
    <row r="1065" spans="2:8">
      <c r="B1065" t="s">
        <v>463</v>
      </c>
      <c r="C1065" t="s">
        <v>232</v>
      </c>
      <c r="D1065">
        <v>10350</v>
      </c>
      <c r="E1065">
        <v>10370</v>
      </c>
      <c r="F1065">
        <v>10350</v>
      </c>
      <c r="G1065">
        <v>10365</v>
      </c>
      <c r="H1065">
        <v>33300</v>
      </c>
    </row>
    <row r="1066" spans="2:8">
      <c r="B1066" t="s">
        <v>463</v>
      </c>
      <c r="C1066" t="s">
        <v>233</v>
      </c>
      <c r="D1066">
        <v>10365</v>
      </c>
      <c r="E1066">
        <v>10380</v>
      </c>
      <c r="F1066">
        <v>10360</v>
      </c>
      <c r="G1066">
        <v>10375</v>
      </c>
      <c r="H1066">
        <v>59700</v>
      </c>
    </row>
    <row r="1067" spans="2:8">
      <c r="B1067" t="s">
        <v>463</v>
      </c>
      <c r="C1067" t="s">
        <v>234</v>
      </c>
      <c r="D1067">
        <v>10375</v>
      </c>
      <c r="E1067">
        <v>10400</v>
      </c>
      <c r="F1067">
        <v>10375</v>
      </c>
      <c r="G1067">
        <v>10390</v>
      </c>
      <c r="H1067">
        <v>111100</v>
      </c>
    </row>
    <row r="1068" spans="2:8">
      <c r="B1068" t="s">
        <v>463</v>
      </c>
      <c r="C1068" t="s">
        <v>235</v>
      </c>
      <c r="D1068">
        <v>10395</v>
      </c>
      <c r="E1068">
        <v>10400</v>
      </c>
      <c r="F1068">
        <v>10375</v>
      </c>
      <c r="G1068">
        <v>10380</v>
      </c>
      <c r="H1068">
        <v>108700</v>
      </c>
    </row>
    <row r="1069" spans="2:8">
      <c r="B1069" t="s">
        <v>463</v>
      </c>
      <c r="C1069" t="s">
        <v>236</v>
      </c>
      <c r="D1069">
        <v>10385</v>
      </c>
      <c r="E1069">
        <v>10385</v>
      </c>
      <c r="F1069">
        <v>10375</v>
      </c>
      <c r="G1069">
        <v>10385</v>
      </c>
      <c r="H1069">
        <v>36300</v>
      </c>
    </row>
    <row r="1070" spans="2:8">
      <c r="B1070" t="s">
        <v>463</v>
      </c>
      <c r="C1070" t="s">
        <v>237</v>
      </c>
      <c r="D1070">
        <v>10380</v>
      </c>
      <c r="E1070">
        <v>10395</v>
      </c>
      <c r="F1070">
        <v>10375</v>
      </c>
      <c r="G1070">
        <v>10375</v>
      </c>
      <c r="H1070">
        <v>62900</v>
      </c>
    </row>
    <row r="1071" spans="2:8">
      <c r="B1071" t="s">
        <v>463</v>
      </c>
      <c r="C1071" t="s">
        <v>238</v>
      </c>
      <c r="D1071">
        <v>10375</v>
      </c>
      <c r="E1071">
        <v>10390</v>
      </c>
      <c r="F1071">
        <v>10375</v>
      </c>
      <c r="G1071">
        <v>10390</v>
      </c>
      <c r="H1071">
        <v>25000</v>
      </c>
    </row>
    <row r="1072" spans="2:8">
      <c r="B1072" t="s">
        <v>463</v>
      </c>
      <c r="C1072" t="s">
        <v>239</v>
      </c>
      <c r="D1072">
        <v>10390</v>
      </c>
      <c r="E1072">
        <v>10390</v>
      </c>
      <c r="F1072">
        <v>10350</v>
      </c>
      <c r="G1072">
        <v>10355</v>
      </c>
      <c r="H1072">
        <v>155700</v>
      </c>
    </row>
    <row r="1073" spans="2:8">
      <c r="B1073" t="s">
        <v>463</v>
      </c>
      <c r="C1073" t="s">
        <v>240</v>
      </c>
      <c r="D1073">
        <v>10350</v>
      </c>
      <c r="E1073">
        <v>10360</v>
      </c>
      <c r="F1073">
        <v>10345</v>
      </c>
      <c r="G1073">
        <v>10350</v>
      </c>
      <c r="H1073">
        <v>78100</v>
      </c>
    </row>
    <row r="1074" spans="2:8">
      <c r="B1074" t="s">
        <v>463</v>
      </c>
      <c r="C1074" t="s">
        <v>241</v>
      </c>
      <c r="D1074">
        <v>10345</v>
      </c>
      <c r="E1074">
        <v>10360</v>
      </c>
      <c r="F1074">
        <v>10345</v>
      </c>
      <c r="G1074">
        <v>10360</v>
      </c>
      <c r="H1074">
        <v>62400</v>
      </c>
    </row>
    <row r="1075" spans="2:8">
      <c r="B1075" t="s">
        <v>463</v>
      </c>
      <c r="C1075" t="s">
        <v>242</v>
      </c>
      <c r="D1075">
        <v>10355</v>
      </c>
      <c r="E1075">
        <v>10385</v>
      </c>
      <c r="F1075">
        <v>10355</v>
      </c>
      <c r="G1075">
        <v>10380</v>
      </c>
      <c r="H1075">
        <v>52900</v>
      </c>
    </row>
    <row r="1076" spans="2:8">
      <c r="B1076" t="s">
        <v>463</v>
      </c>
      <c r="C1076" t="s">
        <v>243</v>
      </c>
      <c r="D1076">
        <v>10380</v>
      </c>
      <c r="E1076">
        <v>10380</v>
      </c>
      <c r="F1076">
        <v>10365</v>
      </c>
      <c r="G1076">
        <v>10370</v>
      </c>
      <c r="H1076">
        <v>28300</v>
      </c>
    </row>
    <row r="1077" spans="2:8">
      <c r="B1077" t="s">
        <v>463</v>
      </c>
      <c r="C1077" t="s">
        <v>244</v>
      </c>
      <c r="D1077">
        <v>10370</v>
      </c>
      <c r="E1077">
        <v>10370</v>
      </c>
      <c r="F1077">
        <v>10350</v>
      </c>
      <c r="G1077">
        <v>10355</v>
      </c>
      <c r="H1077">
        <v>42000</v>
      </c>
    </row>
    <row r="1078" spans="2:8">
      <c r="B1078" t="s">
        <v>463</v>
      </c>
      <c r="C1078" t="s">
        <v>245</v>
      </c>
      <c r="D1078">
        <v>10355</v>
      </c>
      <c r="E1078">
        <v>10365</v>
      </c>
      <c r="F1078">
        <v>10355</v>
      </c>
      <c r="G1078">
        <v>10355</v>
      </c>
      <c r="H1078">
        <v>22900</v>
      </c>
    </row>
    <row r="1079" spans="2:8">
      <c r="B1079" t="s">
        <v>463</v>
      </c>
      <c r="C1079" t="s">
        <v>246</v>
      </c>
      <c r="D1079">
        <v>10360</v>
      </c>
      <c r="E1079">
        <v>10370</v>
      </c>
      <c r="F1079">
        <v>10355</v>
      </c>
      <c r="G1079">
        <v>10370</v>
      </c>
      <c r="H1079">
        <v>22500</v>
      </c>
    </row>
    <row r="1080" spans="2:8">
      <c r="B1080" t="s">
        <v>463</v>
      </c>
      <c r="C1080" t="s">
        <v>247</v>
      </c>
      <c r="D1080">
        <v>10370</v>
      </c>
      <c r="E1080">
        <v>10375</v>
      </c>
      <c r="F1080">
        <v>10365</v>
      </c>
      <c r="G1080">
        <v>10375</v>
      </c>
      <c r="H1080">
        <v>19300</v>
      </c>
    </row>
    <row r="1081" spans="2:8">
      <c r="B1081" t="s">
        <v>463</v>
      </c>
      <c r="C1081" t="s">
        <v>248</v>
      </c>
      <c r="D1081">
        <v>10370</v>
      </c>
      <c r="E1081">
        <v>10375</v>
      </c>
      <c r="F1081">
        <v>10365</v>
      </c>
      <c r="G1081">
        <v>10375</v>
      </c>
      <c r="H1081">
        <v>37800</v>
      </c>
    </row>
    <row r="1082" spans="2:8">
      <c r="B1082" t="s">
        <v>463</v>
      </c>
      <c r="C1082" t="s">
        <v>249</v>
      </c>
      <c r="D1082">
        <v>10375</v>
      </c>
      <c r="E1082">
        <v>10385</v>
      </c>
      <c r="F1082">
        <v>10365</v>
      </c>
      <c r="G1082">
        <v>10375</v>
      </c>
      <c r="H1082">
        <v>42700</v>
      </c>
    </row>
    <row r="1083" spans="2:8">
      <c r="B1083" t="s">
        <v>463</v>
      </c>
      <c r="C1083" t="s">
        <v>250</v>
      </c>
      <c r="D1083">
        <v>10375</v>
      </c>
      <c r="E1083">
        <v>10375</v>
      </c>
      <c r="F1083">
        <v>10360</v>
      </c>
      <c r="G1083">
        <v>10365</v>
      </c>
      <c r="H1083">
        <v>25800</v>
      </c>
    </row>
    <row r="1084" spans="2:8">
      <c r="B1084" t="s">
        <v>463</v>
      </c>
      <c r="C1084" t="s">
        <v>251</v>
      </c>
      <c r="D1084">
        <v>10365</v>
      </c>
      <c r="E1084">
        <v>10365</v>
      </c>
      <c r="F1084">
        <v>10340</v>
      </c>
      <c r="G1084">
        <v>10350</v>
      </c>
      <c r="H1084">
        <v>76600</v>
      </c>
    </row>
    <row r="1085" spans="2:8">
      <c r="B1085" t="s">
        <v>463</v>
      </c>
      <c r="C1085" t="s">
        <v>252</v>
      </c>
      <c r="D1085">
        <v>10350</v>
      </c>
      <c r="E1085">
        <v>10350</v>
      </c>
      <c r="F1085">
        <v>10325</v>
      </c>
      <c r="G1085">
        <v>10325</v>
      </c>
      <c r="H1085">
        <v>75300</v>
      </c>
    </row>
    <row r="1086" spans="2:8">
      <c r="B1086" t="s">
        <v>463</v>
      </c>
      <c r="C1086" t="s">
        <v>253</v>
      </c>
      <c r="D1086">
        <v>10325</v>
      </c>
      <c r="E1086">
        <v>10340</v>
      </c>
      <c r="F1086">
        <v>10320</v>
      </c>
      <c r="G1086">
        <v>10335</v>
      </c>
      <c r="H1086">
        <v>47100</v>
      </c>
    </row>
    <row r="1087" spans="2:8">
      <c r="B1087" t="s">
        <v>463</v>
      </c>
      <c r="C1087" t="s">
        <v>254</v>
      </c>
      <c r="D1087">
        <v>10335</v>
      </c>
      <c r="E1087">
        <v>10340</v>
      </c>
      <c r="F1087">
        <v>10330</v>
      </c>
      <c r="G1087">
        <v>10335</v>
      </c>
      <c r="H1087">
        <v>17800</v>
      </c>
    </row>
    <row r="1088" spans="2:8">
      <c r="B1088" t="s">
        <v>463</v>
      </c>
      <c r="C1088" t="s">
        <v>255</v>
      </c>
      <c r="D1088">
        <v>10335</v>
      </c>
      <c r="E1088">
        <v>10350</v>
      </c>
      <c r="F1088">
        <v>10330</v>
      </c>
      <c r="G1088">
        <v>10340</v>
      </c>
      <c r="H1088">
        <v>24800</v>
      </c>
    </row>
    <row r="1089" spans="2:8">
      <c r="B1089" t="s">
        <v>463</v>
      </c>
      <c r="C1089" t="s">
        <v>256</v>
      </c>
      <c r="D1089">
        <v>10340</v>
      </c>
      <c r="E1089">
        <v>10345</v>
      </c>
      <c r="F1089">
        <v>10320</v>
      </c>
      <c r="G1089">
        <v>10320</v>
      </c>
      <c r="H1089">
        <v>58700</v>
      </c>
    </row>
    <row r="1090" spans="2:8">
      <c r="B1090" t="s">
        <v>463</v>
      </c>
      <c r="C1090" t="s">
        <v>257</v>
      </c>
      <c r="D1090">
        <v>10320</v>
      </c>
      <c r="E1090">
        <v>10330</v>
      </c>
      <c r="F1090">
        <v>10290</v>
      </c>
      <c r="G1090">
        <v>10295</v>
      </c>
      <c r="H1090">
        <v>116400</v>
      </c>
    </row>
    <row r="1091" spans="2:8">
      <c r="B1091" t="s">
        <v>463</v>
      </c>
      <c r="C1091" t="s">
        <v>258</v>
      </c>
      <c r="D1091">
        <v>10290</v>
      </c>
      <c r="E1091">
        <v>10320</v>
      </c>
      <c r="F1091">
        <v>10290</v>
      </c>
      <c r="G1091">
        <v>10320</v>
      </c>
      <c r="H1091">
        <v>36800</v>
      </c>
    </row>
    <row r="1092" spans="2:8">
      <c r="B1092" t="s">
        <v>463</v>
      </c>
      <c r="C1092" t="s">
        <v>259</v>
      </c>
      <c r="D1092">
        <v>10315</v>
      </c>
      <c r="E1092">
        <v>10330</v>
      </c>
      <c r="F1092">
        <v>10315</v>
      </c>
      <c r="G1092">
        <v>10325</v>
      </c>
      <c r="H1092">
        <v>36500</v>
      </c>
    </row>
    <row r="1093" spans="2:8">
      <c r="B1093" t="s">
        <v>463</v>
      </c>
      <c r="C1093" t="s">
        <v>260</v>
      </c>
      <c r="D1093">
        <v>10320</v>
      </c>
      <c r="E1093">
        <v>10325</v>
      </c>
      <c r="F1093">
        <v>10315</v>
      </c>
      <c r="G1093">
        <v>10320</v>
      </c>
      <c r="H1093">
        <v>15900</v>
      </c>
    </row>
    <row r="1094" spans="2:8">
      <c r="B1094" t="s">
        <v>463</v>
      </c>
      <c r="C1094" t="s">
        <v>261</v>
      </c>
      <c r="D1094">
        <v>10315</v>
      </c>
      <c r="E1094">
        <v>10330</v>
      </c>
      <c r="F1094">
        <v>10310</v>
      </c>
      <c r="G1094">
        <v>10330</v>
      </c>
      <c r="H1094">
        <v>37800</v>
      </c>
    </row>
    <row r="1095" spans="2:8">
      <c r="B1095" t="s">
        <v>463</v>
      </c>
      <c r="C1095" t="s">
        <v>262</v>
      </c>
      <c r="D1095">
        <v>10330</v>
      </c>
      <c r="E1095">
        <v>10330</v>
      </c>
      <c r="F1095">
        <v>10320</v>
      </c>
      <c r="G1095">
        <v>10325</v>
      </c>
      <c r="H1095">
        <v>9600</v>
      </c>
    </row>
    <row r="1096" spans="2:8">
      <c r="B1096" t="s">
        <v>463</v>
      </c>
      <c r="C1096" t="s">
        <v>263</v>
      </c>
      <c r="D1096">
        <v>10325</v>
      </c>
      <c r="E1096">
        <v>10325</v>
      </c>
      <c r="F1096">
        <v>10315</v>
      </c>
      <c r="G1096">
        <v>10320</v>
      </c>
      <c r="H1096">
        <v>18200</v>
      </c>
    </row>
    <row r="1097" spans="2:8">
      <c r="B1097" t="s">
        <v>463</v>
      </c>
      <c r="C1097" t="s">
        <v>264</v>
      </c>
      <c r="D1097">
        <v>10315</v>
      </c>
      <c r="E1097">
        <v>10320</v>
      </c>
      <c r="F1097">
        <v>10270</v>
      </c>
      <c r="G1097">
        <v>10290</v>
      </c>
      <c r="H1097">
        <v>115300</v>
      </c>
    </row>
    <row r="1098" spans="2:8">
      <c r="B1098" t="s">
        <v>463</v>
      </c>
      <c r="C1098" t="s">
        <v>265</v>
      </c>
      <c r="D1098">
        <v>10290</v>
      </c>
      <c r="E1098">
        <v>10290</v>
      </c>
      <c r="F1098">
        <v>10265</v>
      </c>
      <c r="G1098">
        <v>10275</v>
      </c>
      <c r="H1098">
        <v>45400</v>
      </c>
    </row>
    <row r="1099" spans="2:8">
      <c r="B1099" t="s">
        <v>463</v>
      </c>
      <c r="C1099" t="s">
        <v>266</v>
      </c>
      <c r="D1099">
        <v>10275</v>
      </c>
      <c r="E1099">
        <v>10275</v>
      </c>
      <c r="F1099">
        <v>10255</v>
      </c>
      <c r="G1099">
        <v>10270</v>
      </c>
      <c r="H1099">
        <v>52700</v>
      </c>
    </row>
    <row r="1100" spans="2:8">
      <c r="B1100" t="s">
        <v>463</v>
      </c>
      <c r="C1100" t="s">
        <v>267</v>
      </c>
      <c r="D1100">
        <v>10265</v>
      </c>
      <c r="E1100">
        <v>10290</v>
      </c>
      <c r="F1100">
        <v>10260</v>
      </c>
      <c r="G1100">
        <v>10285</v>
      </c>
      <c r="H1100">
        <v>47500</v>
      </c>
    </row>
    <row r="1101" spans="2:8">
      <c r="B1101" t="s">
        <v>463</v>
      </c>
      <c r="C1101" t="s">
        <v>268</v>
      </c>
      <c r="D1101">
        <v>10290</v>
      </c>
      <c r="E1101">
        <v>10300</v>
      </c>
      <c r="F1101">
        <v>10280</v>
      </c>
      <c r="G1101">
        <v>10295</v>
      </c>
      <c r="H1101">
        <v>36700</v>
      </c>
    </row>
    <row r="1102" spans="2:8">
      <c r="B1102" t="s">
        <v>463</v>
      </c>
      <c r="C1102" t="s">
        <v>269</v>
      </c>
      <c r="D1102">
        <v>10300</v>
      </c>
      <c r="E1102">
        <v>10315</v>
      </c>
      <c r="F1102">
        <v>10290</v>
      </c>
      <c r="G1102">
        <v>10305</v>
      </c>
      <c r="H1102">
        <v>69200</v>
      </c>
    </row>
    <row r="1103" spans="2:8">
      <c r="B1103" t="s">
        <v>463</v>
      </c>
      <c r="C1103" t="s">
        <v>270</v>
      </c>
      <c r="D1103">
        <v>10305</v>
      </c>
      <c r="E1103">
        <v>10310</v>
      </c>
      <c r="F1103">
        <v>10300</v>
      </c>
      <c r="G1103">
        <v>10310</v>
      </c>
      <c r="H1103">
        <v>20100</v>
      </c>
    </row>
    <row r="1104" spans="2:8">
      <c r="B1104" t="s">
        <v>463</v>
      </c>
      <c r="C1104" t="s">
        <v>271</v>
      </c>
      <c r="D1104">
        <v>10305</v>
      </c>
      <c r="E1104">
        <v>10320</v>
      </c>
      <c r="F1104">
        <v>10290</v>
      </c>
      <c r="G1104">
        <v>10295</v>
      </c>
      <c r="H1104">
        <v>79500</v>
      </c>
    </row>
    <row r="1105" spans="2:8">
      <c r="B1105" t="s">
        <v>463</v>
      </c>
      <c r="C1105" t="s">
        <v>272</v>
      </c>
      <c r="D1105">
        <v>10295</v>
      </c>
      <c r="E1105">
        <v>10310</v>
      </c>
      <c r="F1105">
        <v>10285</v>
      </c>
      <c r="G1105">
        <v>10295</v>
      </c>
      <c r="H1105">
        <v>35300</v>
      </c>
    </row>
    <row r="1106" spans="2:8">
      <c r="B1106" t="s">
        <v>463</v>
      </c>
      <c r="C1106" t="s">
        <v>273</v>
      </c>
      <c r="D1106">
        <v>10295</v>
      </c>
      <c r="E1106">
        <v>10300</v>
      </c>
      <c r="F1106">
        <v>10285</v>
      </c>
      <c r="G1106">
        <v>10300</v>
      </c>
      <c r="H1106">
        <v>44100</v>
      </c>
    </row>
    <row r="1107" spans="2:8">
      <c r="B1107" t="s">
        <v>463</v>
      </c>
      <c r="C1107" t="s">
        <v>274</v>
      </c>
      <c r="D1107">
        <v>10305</v>
      </c>
      <c r="E1107">
        <v>10305</v>
      </c>
      <c r="F1107">
        <v>10285</v>
      </c>
      <c r="G1107">
        <v>10285</v>
      </c>
      <c r="H1107">
        <v>15900</v>
      </c>
    </row>
    <row r="1108" spans="2:8">
      <c r="B1108" t="s">
        <v>463</v>
      </c>
      <c r="C1108" t="s">
        <v>275</v>
      </c>
      <c r="D1108">
        <v>10290</v>
      </c>
      <c r="E1108">
        <v>10290</v>
      </c>
      <c r="F1108">
        <v>10285</v>
      </c>
      <c r="G1108">
        <v>10285</v>
      </c>
      <c r="H1108">
        <v>6100</v>
      </c>
    </row>
    <row r="1109" spans="2:8">
      <c r="B1109" t="s">
        <v>463</v>
      </c>
      <c r="C1109" t="s">
        <v>276</v>
      </c>
      <c r="D1109">
        <v>10290</v>
      </c>
      <c r="E1109">
        <v>10290</v>
      </c>
      <c r="F1109">
        <v>10275</v>
      </c>
      <c r="G1109">
        <v>10280</v>
      </c>
      <c r="H1109">
        <v>46200</v>
      </c>
    </row>
    <row r="1110" spans="2:8">
      <c r="B1110" t="s">
        <v>463</v>
      </c>
      <c r="C1110" t="s">
        <v>277</v>
      </c>
      <c r="D1110">
        <v>10275</v>
      </c>
      <c r="E1110">
        <v>10285</v>
      </c>
      <c r="F1110">
        <v>10270</v>
      </c>
      <c r="G1110">
        <v>10280</v>
      </c>
      <c r="H1110">
        <v>29500</v>
      </c>
    </row>
    <row r="1111" spans="2:8">
      <c r="B1111" t="s">
        <v>463</v>
      </c>
      <c r="C1111" t="s">
        <v>278</v>
      </c>
      <c r="D1111">
        <v>10285</v>
      </c>
      <c r="E1111">
        <v>10310</v>
      </c>
      <c r="F1111">
        <v>10285</v>
      </c>
      <c r="G1111">
        <v>10305</v>
      </c>
      <c r="H1111">
        <v>48000</v>
      </c>
    </row>
    <row r="1112" spans="2:8">
      <c r="B1112" t="s">
        <v>463</v>
      </c>
      <c r="C1112" t="s">
        <v>279</v>
      </c>
      <c r="D1112">
        <v>10305</v>
      </c>
      <c r="E1112">
        <v>10310</v>
      </c>
      <c r="F1112">
        <v>10305</v>
      </c>
      <c r="G1112">
        <v>10305</v>
      </c>
      <c r="H1112">
        <v>2700</v>
      </c>
    </row>
    <row r="1113" spans="2:8">
      <c r="B1113" t="s">
        <v>463</v>
      </c>
      <c r="C1113" t="s">
        <v>280</v>
      </c>
      <c r="D1113">
        <v>10310</v>
      </c>
      <c r="E1113">
        <v>10325</v>
      </c>
      <c r="F1113">
        <v>10310</v>
      </c>
      <c r="G1113">
        <v>10315</v>
      </c>
      <c r="H1113">
        <v>57900</v>
      </c>
    </row>
    <row r="1114" spans="2:8">
      <c r="B1114" t="s">
        <v>463</v>
      </c>
      <c r="C1114" t="s">
        <v>281</v>
      </c>
      <c r="D1114">
        <v>10320</v>
      </c>
      <c r="E1114">
        <v>10335</v>
      </c>
      <c r="F1114">
        <v>10315</v>
      </c>
      <c r="G1114">
        <v>10330</v>
      </c>
      <c r="H1114">
        <v>46300</v>
      </c>
    </row>
    <row r="1115" spans="2:8">
      <c r="B1115" t="s">
        <v>463</v>
      </c>
      <c r="C1115" t="s">
        <v>282</v>
      </c>
      <c r="D1115">
        <v>10335</v>
      </c>
      <c r="E1115">
        <v>10335</v>
      </c>
      <c r="F1115">
        <v>10320</v>
      </c>
      <c r="G1115">
        <v>10325</v>
      </c>
      <c r="H1115">
        <v>29600</v>
      </c>
    </row>
    <row r="1116" spans="2:8">
      <c r="B1116" t="s">
        <v>463</v>
      </c>
      <c r="C1116" t="s">
        <v>283</v>
      </c>
      <c r="D1116">
        <v>10325</v>
      </c>
      <c r="E1116">
        <v>10345</v>
      </c>
      <c r="F1116">
        <v>10320</v>
      </c>
      <c r="G1116">
        <v>10340</v>
      </c>
      <c r="H1116">
        <v>46700</v>
      </c>
    </row>
    <row r="1117" spans="2:8">
      <c r="B1117" t="s">
        <v>463</v>
      </c>
      <c r="C1117" t="s">
        <v>284</v>
      </c>
      <c r="D1117">
        <v>10340</v>
      </c>
      <c r="E1117">
        <v>10345</v>
      </c>
      <c r="F1117">
        <v>10340</v>
      </c>
      <c r="G1117">
        <v>10345</v>
      </c>
      <c r="H1117">
        <v>16800</v>
      </c>
    </row>
    <row r="1118" spans="2:8">
      <c r="B1118" t="s">
        <v>463</v>
      </c>
      <c r="C1118" t="s">
        <v>285</v>
      </c>
      <c r="D1118">
        <v>10345</v>
      </c>
      <c r="E1118">
        <v>10350</v>
      </c>
      <c r="F1118">
        <v>10330</v>
      </c>
      <c r="G1118">
        <v>10345</v>
      </c>
      <c r="H1118">
        <v>65300</v>
      </c>
    </row>
    <row r="1119" spans="2:8">
      <c r="B1119" t="s">
        <v>463</v>
      </c>
      <c r="C1119" t="s">
        <v>286</v>
      </c>
      <c r="D1119">
        <v>10345</v>
      </c>
      <c r="E1119">
        <v>10360</v>
      </c>
      <c r="F1119">
        <v>10340</v>
      </c>
      <c r="G1119">
        <v>10355</v>
      </c>
      <c r="H1119">
        <v>24100</v>
      </c>
    </row>
    <row r="1120" spans="2:8">
      <c r="B1120" t="s">
        <v>463</v>
      </c>
      <c r="C1120" t="s">
        <v>287</v>
      </c>
      <c r="D1120">
        <v>10355</v>
      </c>
      <c r="E1120">
        <v>10360</v>
      </c>
      <c r="F1120">
        <v>10345</v>
      </c>
      <c r="G1120">
        <v>10345</v>
      </c>
      <c r="H1120">
        <v>44000</v>
      </c>
    </row>
    <row r="1121" spans="2:8">
      <c r="B1121" t="s">
        <v>463</v>
      </c>
      <c r="C1121" t="s">
        <v>288</v>
      </c>
      <c r="D1121">
        <v>10350</v>
      </c>
      <c r="E1121">
        <v>10350</v>
      </c>
      <c r="F1121">
        <v>10340</v>
      </c>
      <c r="G1121">
        <v>10345</v>
      </c>
      <c r="H1121">
        <v>20000</v>
      </c>
    </row>
    <row r="1122" spans="2:8">
      <c r="B1122" t="s">
        <v>463</v>
      </c>
      <c r="C1122" t="s">
        <v>289</v>
      </c>
      <c r="D1122">
        <v>10345</v>
      </c>
      <c r="E1122">
        <v>10350</v>
      </c>
      <c r="F1122">
        <v>10340</v>
      </c>
      <c r="G1122">
        <v>10350</v>
      </c>
      <c r="H1122">
        <v>29900</v>
      </c>
    </row>
    <row r="1123" spans="2:8">
      <c r="B1123" t="s">
        <v>463</v>
      </c>
      <c r="C1123" t="s">
        <v>290</v>
      </c>
      <c r="D1123">
        <v>10350</v>
      </c>
      <c r="E1123">
        <v>10355</v>
      </c>
      <c r="F1123">
        <v>10345</v>
      </c>
      <c r="G1123">
        <v>10345</v>
      </c>
      <c r="H1123">
        <v>28500</v>
      </c>
    </row>
    <row r="1124" spans="2:8">
      <c r="B1124" t="s">
        <v>463</v>
      </c>
      <c r="C1124" t="s">
        <v>291</v>
      </c>
      <c r="D1124">
        <v>10345</v>
      </c>
      <c r="E1124">
        <v>10355</v>
      </c>
      <c r="F1124">
        <v>10345</v>
      </c>
      <c r="G1124">
        <v>10355</v>
      </c>
      <c r="H1124">
        <v>9400</v>
      </c>
    </row>
    <row r="1125" spans="2:8">
      <c r="B1125" t="s">
        <v>463</v>
      </c>
      <c r="C1125" t="s">
        <v>292</v>
      </c>
      <c r="D1125">
        <v>10355</v>
      </c>
      <c r="E1125">
        <v>10360</v>
      </c>
      <c r="F1125">
        <v>10345</v>
      </c>
      <c r="G1125">
        <v>10345</v>
      </c>
      <c r="H1125">
        <v>36100</v>
      </c>
    </row>
    <row r="1126" spans="2:8">
      <c r="B1126" t="s">
        <v>463</v>
      </c>
      <c r="C1126" t="s">
        <v>293</v>
      </c>
      <c r="D1126">
        <v>10350</v>
      </c>
      <c r="E1126">
        <v>10365</v>
      </c>
      <c r="F1126">
        <v>10345</v>
      </c>
      <c r="G1126">
        <v>10365</v>
      </c>
      <c r="H1126">
        <v>41800</v>
      </c>
    </row>
    <row r="1127" spans="2:8">
      <c r="B1127" t="s">
        <v>463</v>
      </c>
      <c r="C1127" t="s">
        <v>294</v>
      </c>
      <c r="D1127">
        <v>10365</v>
      </c>
      <c r="E1127">
        <v>10365</v>
      </c>
      <c r="F1127">
        <v>10350</v>
      </c>
      <c r="G1127">
        <v>10355</v>
      </c>
      <c r="H1127">
        <v>11200</v>
      </c>
    </row>
    <row r="1128" spans="2:8">
      <c r="B1128" t="s">
        <v>463</v>
      </c>
      <c r="C1128" t="s">
        <v>295</v>
      </c>
      <c r="D1128">
        <v>10360</v>
      </c>
      <c r="E1128">
        <v>10360</v>
      </c>
      <c r="F1128">
        <v>10350</v>
      </c>
      <c r="G1128">
        <v>10350</v>
      </c>
      <c r="H1128">
        <v>23600</v>
      </c>
    </row>
    <row r="1129" spans="2:8">
      <c r="B1129" t="s">
        <v>463</v>
      </c>
      <c r="C1129" t="s">
        <v>296</v>
      </c>
      <c r="D1129">
        <v>10350</v>
      </c>
      <c r="E1129">
        <v>10350</v>
      </c>
      <c r="F1129">
        <v>10325</v>
      </c>
      <c r="G1129">
        <v>10340</v>
      </c>
      <c r="H1129">
        <v>64100</v>
      </c>
    </row>
    <row r="1130" spans="2:8">
      <c r="B1130" t="s">
        <v>463</v>
      </c>
      <c r="C1130" t="s">
        <v>297</v>
      </c>
      <c r="D1130">
        <v>10340</v>
      </c>
      <c r="E1130">
        <v>10355</v>
      </c>
      <c r="F1130">
        <v>10340</v>
      </c>
      <c r="G1130">
        <v>10345</v>
      </c>
      <c r="H1130">
        <v>21600</v>
      </c>
    </row>
    <row r="1131" spans="2:8">
      <c r="B1131" t="s">
        <v>463</v>
      </c>
      <c r="C1131" t="s">
        <v>298</v>
      </c>
      <c r="D1131">
        <v>10350</v>
      </c>
      <c r="E1131">
        <v>10360</v>
      </c>
      <c r="F1131">
        <v>10350</v>
      </c>
      <c r="G1131">
        <v>10360</v>
      </c>
      <c r="H1131">
        <v>16000</v>
      </c>
    </row>
    <row r="1132" spans="2:8">
      <c r="B1132" t="s">
        <v>463</v>
      </c>
      <c r="C1132" t="s">
        <v>299</v>
      </c>
      <c r="D1132">
        <v>10360</v>
      </c>
      <c r="E1132">
        <v>10370</v>
      </c>
      <c r="F1132">
        <v>10360</v>
      </c>
      <c r="G1132">
        <v>10365</v>
      </c>
      <c r="H1132">
        <v>33600</v>
      </c>
    </row>
    <row r="1133" spans="2:8">
      <c r="B1133" t="s">
        <v>463</v>
      </c>
      <c r="C1133" t="s">
        <v>300</v>
      </c>
      <c r="D1133">
        <v>10365</v>
      </c>
      <c r="E1133">
        <v>10370</v>
      </c>
      <c r="F1133">
        <v>10360</v>
      </c>
      <c r="G1133">
        <v>10370</v>
      </c>
      <c r="H1133">
        <v>15600</v>
      </c>
    </row>
    <row r="1134" spans="2:8">
      <c r="B1134" t="s">
        <v>463</v>
      </c>
      <c r="C1134" t="s">
        <v>301</v>
      </c>
      <c r="D1134">
        <v>10365</v>
      </c>
      <c r="E1134">
        <v>10365</v>
      </c>
      <c r="F1134">
        <v>10355</v>
      </c>
      <c r="G1134">
        <v>10360</v>
      </c>
      <c r="H1134">
        <v>27600</v>
      </c>
    </row>
    <row r="1135" spans="2:8">
      <c r="B1135" t="s">
        <v>463</v>
      </c>
      <c r="C1135" t="s">
        <v>302</v>
      </c>
      <c r="D1135">
        <v>10360</v>
      </c>
      <c r="E1135">
        <v>10370</v>
      </c>
      <c r="F1135">
        <v>10360</v>
      </c>
      <c r="G1135">
        <v>10365</v>
      </c>
      <c r="H1135">
        <v>7700</v>
      </c>
    </row>
    <row r="1136" spans="2:8">
      <c r="B1136" t="s">
        <v>463</v>
      </c>
      <c r="C1136" t="s">
        <v>303</v>
      </c>
      <c r="D1136">
        <v>10370</v>
      </c>
      <c r="E1136">
        <v>10375</v>
      </c>
      <c r="F1136">
        <v>10370</v>
      </c>
      <c r="G1136">
        <v>10370</v>
      </c>
      <c r="H1136">
        <v>28300</v>
      </c>
    </row>
    <row r="1137" spans="2:8">
      <c r="B1137" t="s">
        <v>463</v>
      </c>
      <c r="C1137" t="s">
        <v>304</v>
      </c>
      <c r="D1137">
        <v>10370</v>
      </c>
      <c r="E1137">
        <v>10375</v>
      </c>
      <c r="F1137">
        <v>10370</v>
      </c>
      <c r="G1137">
        <v>10375</v>
      </c>
      <c r="H1137">
        <v>33000</v>
      </c>
    </row>
    <row r="1138" spans="2:8">
      <c r="B1138" t="s">
        <v>463</v>
      </c>
      <c r="C1138" t="s">
        <v>305</v>
      </c>
      <c r="D1138">
        <v>10375</v>
      </c>
      <c r="E1138">
        <v>10375</v>
      </c>
      <c r="F1138">
        <v>10360</v>
      </c>
      <c r="G1138">
        <v>10365</v>
      </c>
      <c r="H1138">
        <v>27100</v>
      </c>
    </row>
    <row r="1139" spans="2:8">
      <c r="B1139" t="s">
        <v>463</v>
      </c>
      <c r="C1139" t="s">
        <v>306</v>
      </c>
      <c r="D1139">
        <v>10365</v>
      </c>
      <c r="E1139">
        <v>10375</v>
      </c>
      <c r="F1139">
        <v>10365</v>
      </c>
      <c r="G1139">
        <v>10365</v>
      </c>
      <c r="H1139">
        <v>20000</v>
      </c>
    </row>
    <row r="1140" spans="2:8">
      <c r="B1140" t="s">
        <v>463</v>
      </c>
      <c r="C1140" t="s">
        <v>307</v>
      </c>
      <c r="D1140">
        <v>10370</v>
      </c>
      <c r="E1140">
        <v>10375</v>
      </c>
      <c r="F1140">
        <v>10365</v>
      </c>
      <c r="G1140">
        <v>10370</v>
      </c>
      <c r="H1140">
        <v>9700</v>
      </c>
    </row>
    <row r="1141" spans="2:8">
      <c r="B1141" t="s">
        <v>463</v>
      </c>
      <c r="C1141" t="s">
        <v>308</v>
      </c>
      <c r="D1141">
        <v>10370</v>
      </c>
      <c r="E1141">
        <v>10375</v>
      </c>
      <c r="F1141">
        <v>10370</v>
      </c>
      <c r="G1141">
        <v>10370</v>
      </c>
      <c r="H1141">
        <v>15300</v>
      </c>
    </row>
    <row r="1142" spans="2:8">
      <c r="B1142" t="s">
        <v>463</v>
      </c>
      <c r="C1142" t="s">
        <v>309</v>
      </c>
      <c r="D1142">
        <v>10365</v>
      </c>
      <c r="E1142">
        <v>10375</v>
      </c>
      <c r="F1142">
        <v>10365</v>
      </c>
      <c r="G1142">
        <v>10370</v>
      </c>
      <c r="H1142">
        <v>20900</v>
      </c>
    </row>
    <row r="1143" spans="2:8">
      <c r="B1143" t="s">
        <v>463</v>
      </c>
      <c r="C1143" t="s">
        <v>310</v>
      </c>
      <c r="D1143">
        <v>10370</v>
      </c>
      <c r="E1143">
        <v>10375</v>
      </c>
      <c r="F1143">
        <v>10370</v>
      </c>
      <c r="G1143">
        <v>10370</v>
      </c>
      <c r="H1143">
        <v>13900</v>
      </c>
    </row>
    <row r="1144" spans="2:8">
      <c r="B1144" t="s">
        <v>463</v>
      </c>
      <c r="C1144" t="s">
        <v>311</v>
      </c>
      <c r="D1144">
        <v>10370</v>
      </c>
      <c r="E1144">
        <v>10385</v>
      </c>
      <c r="F1144">
        <v>10370</v>
      </c>
      <c r="G1144">
        <v>10375</v>
      </c>
      <c r="H1144">
        <v>61400</v>
      </c>
    </row>
    <row r="1145" spans="2:8">
      <c r="B1145" t="s">
        <v>463</v>
      </c>
      <c r="C1145" t="s">
        <v>312</v>
      </c>
      <c r="D1145">
        <v>10380</v>
      </c>
      <c r="E1145">
        <v>10380</v>
      </c>
      <c r="F1145">
        <v>10375</v>
      </c>
      <c r="G1145">
        <v>10380</v>
      </c>
      <c r="H1145">
        <v>10800</v>
      </c>
    </row>
    <row r="1146" spans="2:8">
      <c r="B1146" t="s">
        <v>463</v>
      </c>
      <c r="C1146" t="s">
        <v>313</v>
      </c>
      <c r="D1146">
        <v>10380</v>
      </c>
      <c r="E1146">
        <v>10390</v>
      </c>
      <c r="F1146">
        <v>10375</v>
      </c>
      <c r="G1146">
        <v>10390</v>
      </c>
      <c r="H1146">
        <v>42100</v>
      </c>
    </row>
    <row r="1147" spans="2:8">
      <c r="B1147" t="s">
        <v>463</v>
      </c>
      <c r="C1147" t="s">
        <v>314</v>
      </c>
      <c r="D1147">
        <v>10385</v>
      </c>
      <c r="E1147">
        <v>10390</v>
      </c>
      <c r="F1147">
        <v>10385</v>
      </c>
      <c r="G1147">
        <v>10390</v>
      </c>
      <c r="H1147">
        <v>20500</v>
      </c>
    </row>
    <row r="1148" spans="2:8">
      <c r="B1148" t="s">
        <v>463</v>
      </c>
      <c r="C1148" t="s">
        <v>315</v>
      </c>
      <c r="D1148">
        <v>10390</v>
      </c>
      <c r="E1148">
        <v>10395</v>
      </c>
      <c r="F1148">
        <v>10380</v>
      </c>
      <c r="G1148">
        <v>10390</v>
      </c>
      <c r="H1148">
        <v>51900</v>
      </c>
    </row>
    <row r="1149" spans="2:8">
      <c r="B1149" t="s">
        <v>463</v>
      </c>
      <c r="C1149" t="s">
        <v>316</v>
      </c>
      <c r="D1149">
        <v>10395</v>
      </c>
      <c r="E1149">
        <v>10395</v>
      </c>
      <c r="F1149">
        <v>10395</v>
      </c>
      <c r="G1149">
        <v>10395</v>
      </c>
      <c r="H1149">
        <v>27100</v>
      </c>
    </row>
    <row r="1150" spans="2:8">
      <c r="B1150" t="s">
        <v>463</v>
      </c>
      <c r="C1150" t="s">
        <v>317</v>
      </c>
      <c r="D1150">
        <v>10390</v>
      </c>
      <c r="E1150">
        <v>10390</v>
      </c>
      <c r="F1150">
        <v>10335</v>
      </c>
      <c r="G1150">
        <v>10340</v>
      </c>
      <c r="H1150">
        <v>235800</v>
      </c>
    </row>
    <row r="1151" spans="2:8">
      <c r="B1151" t="s">
        <v>463</v>
      </c>
      <c r="C1151" t="s">
        <v>318</v>
      </c>
      <c r="D1151">
        <v>10345</v>
      </c>
      <c r="E1151">
        <v>10365</v>
      </c>
      <c r="F1151">
        <v>10335</v>
      </c>
      <c r="G1151">
        <v>10355</v>
      </c>
      <c r="H1151">
        <v>55600</v>
      </c>
    </row>
    <row r="1152" spans="2:8">
      <c r="B1152" t="s">
        <v>463</v>
      </c>
      <c r="C1152" t="s">
        <v>319</v>
      </c>
      <c r="D1152">
        <v>10350</v>
      </c>
      <c r="E1152">
        <v>10350</v>
      </c>
      <c r="F1152">
        <v>10320</v>
      </c>
      <c r="G1152">
        <v>10320</v>
      </c>
      <c r="H1152">
        <v>90200</v>
      </c>
    </row>
    <row r="1153" spans="2:8">
      <c r="B1153" t="s">
        <v>463</v>
      </c>
      <c r="C1153" t="s">
        <v>320</v>
      </c>
      <c r="D1153">
        <v>10325</v>
      </c>
      <c r="E1153">
        <v>10340</v>
      </c>
      <c r="F1153">
        <v>10320</v>
      </c>
      <c r="G1153">
        <v>10340</v>
      </c>
      <c r="H1153">
        <v>54400</v>
      </c>
    </row>
    <row r="1154" spans="2:8">
      <c r="B1154" t="s">
        <v>463</v>
      </c>
      <c r="C1154" t="s">
        <v>321</v>
      </c>
      <c r="D1154">
        <v>10340</v>
      </c>
      <c r="E1154">
        <v>10340</v>
      </c>
      <c r="F1154">
        <v>10330</v>
      </c>
      <c r="G1154">
        <v>10340</v>
      </c>
      <c r="H1154">
        <v>26400</v>
      </c>
    </row>
    <row r="1155" spans="2:8">
      <c r="B1155" t="s">
        <v>463</v>
      </c>
      <c r="C1155" t="s">
        <v>322</v>
      </c>
      <c r="D1155">
        <v>10340</v>
      </c>
      <c r="E1155">
        <v>10340</v>
      </c>
      <c r="F1155">
        <v>10305</v>
      </c>
      <c r="G1155">
        <v>10310</v>
      </c>
      <c r="H1155">
        <v>79800</v>
      </c>
    </row>
    <row r="1156" spans="2:8">
      <c r="B1156" t="s">
        <v>463</v>
      </c>
      <c r="C1156" t="s">
        <v>323</v>
      </c>
      <c r="D1156">
        <v>10315</v>
      </c>
      <c r="E1156">
        <v>10315</v>
      </c>
      <c r="F1156">
        <v>10290</v>
      </c>
      <c r="G1156">
        <v>10295</v>
      </c>
      <c r="H1156">
        <v>66300</v>
      </c>
    </row>
    <row r="1157" spans="2:8">
      <c r="B1157" t="s">
        <v>463</v>
      </c>
      <c r="C1157" t="s">
        <v>324</v>
      </c>
      <c r="D1157">
        <v>10295</v>
      </c>
      <c r="E1157">
        <v>10300</v>
      </c>
      <c r="F1157">
        <v>10285</v>
      </c>
      <c r="G1157">
        <v>10300</v>
      </c>
      <c r="H1157">
        <v>44200</v>
      </c>
    </row>
    <row r="1158" spans="2:8">
      <c r="B1158" t="s">
        <v>463</v>
      </c>
      <c r="C1158" t="s">
        <v>325</v>
      </c>
      <c r="D1158">
        <v>10300</v>
      </c>
      <c r="E1158">
        <v>10300</v>
      </c>
      <c r="F1158">
        <v>10285</v>
      </c>
      <c r="G1158">
        <v>10290</v>
      </c>
      <c r="H1158">
        <v>40300</v>
      </c>
    </row>
    <row r="1159" spans="2:8">
      <c r="B1159" t="s">
        <v>463</v>
      </c>
      <c r="C1159" t="s">
        <v>326</v>
      </c>
      <c r="D1159">
        <v>10290</v>
      </c>
      <c r="E1159">
        <v>10300</v>
      </c>
      <c r="F1159">
        <v>10290</v>
      </c>
      <c r="G1159">
        <v>10295</v>
      </c>
      <c r="H1159">
        <v>20700</v>
      </c>
    </row>
    <row r="1160" spans="2:8">
      <c r="B1160" t="s">
        <v>463</v>
      </c>
      <c r="C1160" t="s">
        <v>327</v>
      </c>
      <c r="D1160">
        <v>10300</v>
      </c>
      <c r="E1160">
        <v>10305</v>
      </c>
      <c r="F1160">
        <v>10280</v>
      </c>
      <c r="G1160">
        <v>10290</v>
      </c>
      <c r="H1160">
        <v>81100</v>
      </c>
    </row>
    <row r="1161" spans="2:8">
      <c r="B1161" t="s">
        <v>463</v>
      </c>
      <c r="C1161" t="s">
        <v>328</v>
      </c>
      <c r="D1161">
        <v>10290</v>
      </c>
      <c r="E1161">
        <v>10290</v>
      </c>
      <c r="F1161">
        <v>10265</v>
      </c>
      <c r="G1161">
        <v>10275</v>
      </c>
      <c r="H1161">
        <v>62100</v>
      </c>
    </row>
    <row r="1162" spans="2:8">
      <c r="B1162" t="s">
        <v>463</v>
      </c>
      <c r="C1162" t="s">
        <v>329</v>
      </c>
      <c r="D1162">
        <v>10270</v>
      </c>
      <c r="E1162">
        <v>10275</v>
      </c>
      <c r="F1162">
        <v>10240</v>
      </c>
      <c r="G1162">
        <v>10240</v>
      </c>
      <c r="H1162">
        <v>106900</v>
      </c>
    </row>
    <row r="1163" spans="2:8">
      <c r="B1163" t="s">
        <v>463</v>
      </c>
      <c r="C1163" t="s">
        <v>330</v>
      </c>
      <c r="D1163">
        <v>10240</v>
      </c>
      <c r="E1163">
        <v>10260</v>
      </c>
      <c r="F1163">
        <v>10235</v>
      </c>
      <c r="G1163">
        <v>10250</v>
      </c>
      <c r="H1163">
        <v>73500</v>
      </c>
    </row>
    <row r="1164" spans="2:8">
      <c r="B1164" t="s">
        <v>463</v>
      </c>
      <c r="C1164" t="s">
        <v>331</v>
      </c>
      <c r="D1164">
        <v>10250</v>
      </c>
      <c r="E1164">
        <v>10250</v>
      </c>
      <c r="F1164">
        <v>10240</v>
      </c>
      <c r="G1164">
        <v>10245</v>
      </c>
      <c r="H1164">
        <v>40000</v>
      </c>
    </row>
    <row r="1165" spans="2:8">
      <c r="B1165" t="s">
        <v>463</v>
      </c>
      <c r="C1165" t="s">
        <v>332</v>
      </c>
      <c r="D1165">
        <v>10245</v>
      </c>
      <c r="E1165">
        <v>10260</v>
      </c>
      <c r="F1165">
        <v>10240</v>
      </c>
      <c r="G1165">
        <v>10260</v>
      </c>
      <c r="H1165">
        <v>58200</v>
      </c>
    </row>
    <row r="1166" spans="2:8">
      <c r="B1166" t="s">
        <v>463</v>
      </c>
      <c r="C1166" t="s">
        <v>333</v>
      </c>
      <c r="D1166">
        <v>10260</v>
      </c>
      <c r="E1166">
        <v>10280</v>
      </c>
      <c r="F1166">
        <v>10260</v>
      </c>
      <c r="G1166">
        <v>10260</v>
      </c>
      <c r="H1166">
        <v>79900</v>
      </c>
    </row>
    <row r="1167" spans="2:8">
      <c r="B1167" t="s">
        <v>463</v>
      </c>
      <c r="C1167" t="s">
        <v>334</v>
      </c>
      <c r="D1167">
        <v>10265</v>
      </c>
      <c r="E1167">
        <v>10265</v>
      </c>
      <c r="F1167">
        <v>10250</v>
      </c>
      <c r="G1167">
        <v>10255</v>
      </c>
      <c r="H1167">
        <v>44300</v>
      </c>
    </row>
    <row r="1168" spans="2:8">
      <c r="B1168" t="s">
        <v>463</v>
      </c>
      <c r="C1168" t="s">
        <v>335</v>
      </c>
      <c r="D1168">
        <v>10255</v>
      </c>
      <c r="E1168">
        <v>10255</v>
      </c>
      <c r="F1168">
        <v>10225</v>
      </c>
      <c r="G1168">
        <v>10250</v>
      </c>
      <c r="H1168">
        <v>131100</v>
      </c>
    </row>
    <row r="1169" spans="2:8">
      <c r="B1169" t="s">
        <v>463</v>
      </c>
      <c r="C1169" t="s">
        <v>336</v>
      </c>
      <c r="D1169">
        <v>10250</v>
      </c>
      <c r="E1169">
        <v>10250</v>
      </c>
      <c r="F1169">
        <v>10240</v>
      </c>
      <c r="G1169">
        <v>10250</v>
      </c>
      <c r="H1169">
        <v>25500</v>
      </c>
    </row>
    <row r="1170" spans="2:8">
      <c r="B1170" t="s">
        <v>463</v>
      </c>
      <c r="C1170" t="s">
        <v>337</v>
      </c>
      <c r="D1170">
        <v>10245</v>
      </c>
      <c r="E1170">
        <v>10255</v>
      </c>
      <c r="F1170">
        <v>10235</v>
      </c>
      <c r="G1170">
        <v>10240</v>
      </c>
      <c r="H1170">
        <v>47600</v>
      </c>
    </row>
    <row r="1171" spans="2:8">
      <c r="B1171" t="s">
        <v>463</v>
      </c>
      <c r="C1171" t="s">
        <v>338</v>
      </c>
      <c r="D1171">
        <v>10245</v>
      </c>
      <c r="E1171">
        <v>10290</v>
      </c>
      <c r="F1171">
        <v>10245</v>
      </c>
      <c r="G1171">
        <v>10290</v>
      </c>
      <c r="H1171">
        <v>123200</v>
      </c>
    </row>
    <row r="1172" spans="2:8">
      <c r="B1172" t="s">
        <v>463</v>
      </c>
      <c r="C1172" t="s">
        <v>339</v>
      </c>
      <c r="D1172">
        <v>10290</v>
      </c>
      <c r="E1172">
        <v>10295</v>
      </c>
      <c r="F1172">
        <v>10285</v>
      </c>
      <c r="G1172">
        <v>10290</v>
      </c>
      <c r="H1172">
        <v>47100</v>
      </c>
    </row>
    <row r="1173" spans="2:8">
      <c r="B1173" t="s">
        <v>463</v>
      </c>
      <c r="C1173" t="s">
        <v>340</v>
      </c>
      <c r="D1173">
        <v>10290</v>
      </c>
      <c r="E1173">
        <v>10310</v>
      </c>
      <c r="F1173">
        <v>10285</v>
      </c>
      <c r="G1173">
        <v>10290</v>
      </c>
      <c r="H1173">
        <v>113400</v>
      </c>
    </row>
    <row r="1174" spans="2:8">
      <c r="B1174" t="s">
        <v>463</v>
      </c>
      <c r="C1174" t="s">
        <v>341</v>
      </c>
      <c r="D1174">
        <v>10295</v>
      </c>
      <c r="E1174">
        <v>10305</v>
      </c>
      <c r="F1174">
        <v>10295</v>
      </c>
      <c r="G1174">
        <v>10300</v>
      </c>
      <c r="H1174">
        <v>36700</v>
      </c>
    </row>
    <row r="1175" spans="2:8">
      <c r="B1175" t="s">
        <v>463</v>
      </c>
      <c r="C1175" t="s">
        <v>342</v>
      </c>
      <c r="D1175">
        <v>10300</v>
      </c>
      <c r="E1175">
        <v>10300</v>
      </c>
      <c r="F1175">
        <v>10295</v>
      </c>
      <c r="G1175">
        <v>10300</v>
      </c>
      <c r="H1175">
        <v>12800</v>
      </c>
    </row>
    <row r="1176" spans="2:8">
      <c r="B1176" t="s">
        <v>463</v>
      </c>
      <c r="C1176" t="s">
        <v>343</v>
      </c>
      <c r="D1176">
        <v>10295</v>
      </c>
      <c r="E1176">
        <v>10295</v>
      </c>
      <c r="F1176">
        <v>10285</v>
      </c>
      <c r="G1176">
        <v>10295</v>
      </c>
      <c r="H1176">
        <v>41500</v>
      </c>
    </row>
    <row r="1177" spans="2:8">
      <c r="B1177" t="s">
        <v>463</v>
      </c>
      <c r="C1177" t="s">
        <v>344</v>
      </c>
      <c r="D1177">
        <v>10295</v>
      </c>
      <c r="E1177">
        <v>10295</v>
      </c>
      <c r="F1177">
        <v>10280</v>
      </c>
      <c r="G1177">
        <v>10280</v>
      </c>
      <c r="H1177">
        <v>40500</v>
      </c>
    </row>
    <row r="1178" spans="2:8">
      <c r="B1178" t="s">
        <v>463</v>
      </c>
      <c r="C1178" t="s">
        <v>345</v>
      </c>
      <c r="D1178">
        <v>10280</v>
      </c>
      <c r="E1178">
        <v>10280</v>
      </c>
      <c r="F1178">
        <v>10260</v>
      </c>
      <c r="G1178">
        <v>10265</v>
      </c>
      <c r="H1178">
        <v>40400</v>
      </c>
    </row>
    <row r="1179" spans="2:8">
      <c r="B1179" t="s">
        <v>463</v>
      </c>
      <c r="C1179" t="s">
        <v>346</v>
      </c>
      <c r="D1179">
        <v>10270</v>
      </c>
      <c r="E1179">
        <v>10275</v>
      </c>
      <c r="F1179">
        <v>10255</v>
      </c>
      <c r="G1179">
        <v>10260</v>
      </c>
      <c r="H1179">
        <v>33300</v>
      </c>
    </row>
    <row r="1180" spans="2:8">
      <c r="B1180" t="s">
        <v>463</v>
      </c>
      <c r="C1180" t="s">
        <v>347</v>
      </c>
      <c r="D1180">
        <v>10260</v>
      </c>
      <c r="E1180">
        <v>10280</v>
      </c>
      <c r="F1180">
        <v>10260</v>
      </c>
      <c r="G1180">
        <v>10275</v>
      </c>
      <c r="H1180">
        <v>39000</v>
      </c>
    </row>
    <row r="1181" spans="2:8">
      <c r="B1181" t="s">
        <v>463</v>
      </c>
      <c r="C1181" t="s">
        <v>348</v>
      </c>
      <c r="D1181">
        <v>10275</v>
      </c>
      <c r="E1181">
        <v>10290</v>
      </c>
      <c r="F1181">
        <v>10260</v>
      </c>
      <c r="G1181">
        <v>10285</v>
      </c>
      <c r="H1181">
        <v>32400</v>
      </c>
    </row>
    <row r="1182" spans="2:8">
      <c r="B1182" t="s">
        <v>463</v>
      </c>
      <c r="C1182" t="s">
        <v>349</v>
      </c>
      <c r="D1182">
        <v>10285</v>
      </c>
      <c r="E1182">
        <v>10285</v>
      </c>
      <c r="F1182">
        <v>10265</v>
      </c>
      <c r="G1182">
        <v>10275</v>
      </c>
      <c r="H1182">
        <v>25300</v>
      </c>
    </row>
    <row r="1183" spans="2:8">
      <c r="B1183" t="s">
        <v>463</v>
      </c>
      <c r="C1183" t="s">
        <v>350</v>
      </c>
      <c r="D1183">
        <v>10270</v>
      </c>
      <c r="E1183">
        <v>10300</v>
      </c>
      <c r="F1183">
        <v>10270</v>
      </c>
      <c r="G1183">
        <v>10285</v>
      </c>
      <c r="H1183">
        <v>53900</v>
      </c>
    </row>
    <row r="1184" spans="2:8">
      <c r="B1184" t="s">
        <v>463</v>
      </c>
      <c r="C1184" t="s">
        <v>351</v>
      </c>
      <c r="D1184">
        <v>10285</v>
      </c>
      <c r="E1184">
        <v>10290</v>
      </c>
      <c r="F1184">
        <v>10280</v>
      </c>
      <c r="G1184">
        <v>10285</v>
      </c>
      <c r="H1184">
        <v>9500</v>
      </c>
    </row>
    <row r="1185" spans="2:8">
      <c r="B1185" t="s">
        <v>463</v>
      </c>
      <c r="C1185" t="s">
        <v>352</v>
      </c>
      <c r="D1185">
        <v>10280</v>
      </c>
      <c r="E1185">
        <v>10295</v>
      </c>
      <c r="F1185">
        <v>10280</v>
      </c>
      <c r="G1185">
        <v>10295</v>
      </c>
      <c r="H1185">
        <v>12500</v>
      </c>
    </row>
    <row r="1186" spans="2:8">
      <c r="B1186" t="s">
        <v>463</v>
      </c>
      <c r="C1186" t="s">
        <v>353</v>
      </c>
      <c r="D1186">
        <v>10295</v>
      </c>
      <c r="E1186">
        <v>10295</v>
      </c>
      <c r="F1186">
        <v>10280</v>
      </c>
      <c r="G1186">
        <v>10285</v>
      </c>
      <c r="H1186">
        <v>23300</v>
      </c>
    </row>
    <row r="1187" spans="2:8">
      <c r="B1187" t="s">
        <v>463</v>
      </c>
      <c r="C1187" t="s">
        <v>354</v>
      </c>
      <c r="D1187">
        <v>10285</v>
      </c>
      <c r="E1187">
        <v>10290</v>
      </c>
      <c r="F1187">
        <v>10270</v>
      </c>
      <c r="G1187">
        <v>10270</v>
      </c>
      <c r="H1187">
        <v>49000</v>
      </c>
    </row>
    <row r="1188" spans="2:8">
      <c r="B1188" t="s">
        <v>463</v>
      </c>
      <c r="C1188" t="s">
        <v>355</v>
      </c>
      <c r="D1188">
        <v>10270</v>
      </c>
      <c r="E1188">
        <v>10285</v>
      </c>
      <c r="F1188">
        <v>10265</v>
      </c>
      <c r="G1188">
        <v>10280</v>
      </c>
      <c r="H1188">
        <v>17000</v>
      </c>
    </row>
    <row r="1189" spans="2:8">
      <c r="B1189" t="s">
        <v>463</v>
      </c>
      <c r="C1189" t="s">
        <v>356</v>
      </c>
      <c r="D1189">
        <v>10275</v>
      </c>
      <c r="E1189">
        <v>10285</v>
      </c>
      <c r="F1189">
        <v>10275</v>
      </c>
      <c r="G1189">
        <v>10285</v>
      </c>
      <c r="H1189">
        <v>6100</v>
      </c>
    </row>
    <row r="1190" spans="2:8">
      <c r="B1190" t="s">
        <v>463</v>
      </c>
      <c r="C1190" t="s">
        <v>357</v>
      </c>
      <c r="D1190">
        <v>10285</v>
      </c>
      <c r="E1190">
        <v>10285</v>
      </c>
      <c r="F1190">
        <v>10255</v>
      </c>
      <c r="G1190">
        <v>10260</v>
      </c>
      <c r="H1190">
        <v>58100</v>
      </c>
    </row>
    <row r="1191" spans="2:8">
      <c r="B1191" t="s">
        <v>463</v>
      </c>
      <c r="C1191" t="s">
        <v>358</v>
      </c>
      <c r="D1191">
        <v>10255</v>
      </c>
      <c r="E1191">
        <v>10275</v>
      </c>
      <c r="F1191">
        <v>10250</v>
      </c>
      <c r="G1191">
        <v>10275</v>
      </c>
      <c r="H1191">
        <v>47800</v>
      </c>
    </row>
    <row r="1192" spans="2:8">
      <c r="B1192" t="s">
        <v>463</v>
      </c>
      <c r="C1192" t="s">
        <v>359</v>
      </c>
      <c r="D1192">
        <v>10270</v>
      </c>
      <c r="E1192">
        <v>10280</v>
      </c>
      <c r="F1192">
        <v>10270</v>
      </c>
      <c r="G1192">
        <v>10275</v>
      </c>
      <c r="H1192">
        <v>16600</v>
      </c>
    </row>
    <row r="1193" spans="2:8">
      <c r="B1193" t="s">
        <v>463</v>
      </c>
      <c r="C1193" t="s">
        <v>360</v>
      </c>
      <c r="D1193">
        <v>10280</v>
      </c>
      <c r="E1193">
        <v>10280</v>
      </c>
      <c r="F1193">
        <v>10275</v>
      </c>
      <c r="G1193">
        <v>10275</v>
      </c>
      <c r="H1193">
        <v>19800</v>
      </c>
    </row>
    <row r="1194" spans="2:8">
      <c r="B1194" t="s">
        <v>463</v>
      </c>
      <c r="C1194" t="s">
        <v>361</v>
      </c>
      <c r="D1194">
        <v>10280</v>
      </c>
      <c r="E1194">
        <v>10280</v>
      </c>
      <c r="F1194">
        <v>10275</v>
      </c>
      <c r="G1194">
        <v>10280</v>
      </c>
      <c r="H1194">
        <v>7400</v>
      </c>
    </row>
    <row r="1195" spans="2:8">
      <c r="B1195" t="s">
        <v>463</v>
      </c>
      <c r="C1195" t="s">
        <v>362</v>
      </c>
      <c r="D1195">
        <v>10280</v>
      </c>
      <c r="E1195">
        <v>10280</v>
      </c>
      <c r="F1195">
        <v>10255</v>
      </c>
      <c r="G1195">
        <v>10255</v>
      </c>
      <c r="H1195">
        <v>47200</v>
      </c>
    </row>
    <row r="1196" spans="2:8">
      <c r="B1196" t="s">
        <v>463</v>
      </c>
      <c r="C1196" t="s">
        <v>363</v>
      </c>
      <c r="D1196">
        <v>10255</v>
      </c>
      <c r="E1196">
        <v>10260</v>
      </c>
      <c r="F1196">
        <v>10240</v>
      </c>
      <c r="G1196">
        <v>10245</v>
      </c>
      <c r="H1196">
        <v>69800</v>
      </c>
    </row>
    <row r="1197" spans="2:8">
      <c r="B1197" t="s">
        <v>463</v>
      </c>
      <c r="C1197" t="s">
        <v>364</v>
      </c>
      <c r="D1197">
        <v>10245</v>
      </c>
      <c r="E1197">
        <v>10245</v>
      </c>
      <c r="F1197">
        <v>10240</v>
      </c>
      <c r="G1197">
        <v>10240</v>
      </c>
      <c r="H1197">
        <v>27200</v>
      </c>
    </row>
    <row r="1198" spans="2:8">
      <c r="B1198" t="s">
        <v>463</v>
      </c>
      <c r="C1198" t="s">
        <v>365</v>
      </c>
      <c r="D1198">
        <v>10240</v>
      </c>
      <c r="E1198">
        <v>10265</v>
      </c>
      <c r="F1198">
        <v>10235</v>
      </c>
      <c r="G1198">
        <v>10260</v>
      </c>
      <c r="H1198">
        <v>51000</v>
      </c>
    </row>
    <row r="1199" spans="2:8">
      <c r="B1199" t="s">
        <v>463</v>
      </c>
      <c r="C1199" t="s">
        <v>366</v>
      </c>
      <c r="D1199">
        <v>10255</v>
      </c>
      <c r="E1199">
        <v>10260</v>
      </c>
      <c r="F1199">
        <v>10250</v>
      </c>
      <c r="G1199">
        <v>10260</v>
      </c>
      <c r="H1199">
        <v>10400</v>
      </c>
    </row>
    <row r="1200" spans="2:8">
      <c r="B1200" t="s">
        <v>463</v>
      </c>
      <c r="C1200" t="s">
        <v>367</v>
      </c>
      <c r="D1200">
        <v>10255</v>
      </c>
      <c r="E1200">
        <v>10260</v>
      </c>
      <c r="F1200">
        <v>10245</v>
      </c>
      <c r="G1200">
        <v>10255</v>
      </c>
      <c r="H1200">
        <v>41900</v>
      </c>
    </row>
    <row r="1201" spans="2:8">
      <c r="B1201" t="s">
        <v>463</v>
      </c>
      <c r="C1201" t="s">
        <v>368</v>
      </c>
      <c r="D1201">
        <v>10255</v>
      </c>
      <c r="E1201">
        <v>10265</v>
      </c>
      <c r="F1201">
        <v>10250</v>
      </c>
      <c r="G1201">
        <v>10265</v>
      </c>
      <c r="H1201">
        <v>13600</v>
      </c>
    </row>
    <row r="1202" spans="2:8">
      <c r="B1202" t="s">
        <v>463</v>
      </c>
      <c r="C1202" t="s">
        <v>369</v>
      </c>
      <c r="D1202">
        <v>10265</v>
      </c>
      <c r="E1202">
        <v>10265</v>
      </c>
      <c r="F1202">
        <v>10250</v>
      </c>
      <c r="G1202">
        <v>10250</v>
      </c>
      <c r="H1202">
        <v>21100</v>
      </c>
    </row>
    <row r="1203" spans="2:8">
      <c r="B1203" t="s">
        <v>463</v>
      </c>
      <c r="C1203" t="s">
        <v>370</v>
      </c>
      <c r="D1203">
        <v>10250</v>
      </c>
      <c r="E1203">
        <v>10275</v>
      </c>
      <c r="F1203">
        <v>10250</v>
      </c>
      <c r="G1203">
        <v>10275</v>
      </c>
      <c r="H1203">
        <v>32100</v>
      </c>
    </row>
    <row r="1204" spans="2:8">
      <c r="B1204" t="s">
        <v>463</v>
      </c>
      <c r="C1204" t="s">
        <v>371</v>
      </c>
      <c r="D1204">
        <v>10270</v>
      </c>
      <c r="E1204">
        <v>10275</v>
      </c>
      <c r="F1204">
        <v>10265</v>
      </c>
      <c r="G1204">
        <v>10270</v>
      </c>
      <c r="H1204">
        <v>16100</v>
      </c>
    </row>
    <row r="1205" spans="2:8">
      <c r="B1205" t="s">
        <v>463</v>
      </c>
      <c r="C1205" t="s">
        <v>372</v>
      </c>
      <c r="D1205">
        <v>10270</v>
      </c>
      <c r="E1205">
        <v>10275</v>
      </c>
      <c r="F1205">
        <v>10250</v>
      </c>
      <c r="G1205">
        <v>10260</v>
      </c>
      <c r="H1205">
        <v>48100</v>
      </c>
    </row>
    <row r="1206" spans="2:8">
      <c r="B1206" t="s">
        <v>463</v>
      </c>
      <c r="C1206" t="s">
        <v>373</v>
      </c>
      <c r="D1206">
        <v>10255</v>
      </c>
      <c r="E1206">
        <v>10260</v>
      </c>
      <c r="F1206">
        <v>10245</v>
      </c>
      <c r="G1206">
        <v>10250</v>
      </c>
      <c r="H1206">
        <v>17000</v>
      </c>
    </row>
    <row r="1207" spans="2:8">
      <c r="B1207" t="s">
        <v>463</v>
      </c>
      <c r="C1207" t="s">
        <v>374</v>
      </c>
      <c r="D1207">
        <v>10250</v>
      </c>
      <c r="E1207">
        <v>10255</v>
      </c>
      <c r="F1207">
        <v>10245</v>
      </c>
      <c r="G1207">
        <v>10250</v>
      </c>
      <c r="H1207">
        <v>14100</v>
      </c>
    </row>
    <row r="1208" spans="2:8">
      <c r="B1208" t="s">
        <v>463</v>
      </c>
      <c r="C1208" t="s">
        <v>375</v>
      </c>
      <c r="D1208">
        <v>10250</v>
      </c>
      <c r="E1208">
        <v>10250</v>
      </c>
      <c r="F1208">
        <v>10245</v>
      </c>
      <c r="G1208">
        <v>10250</v>
      </c>
      <c r="H1208">
        <v>12000</v>
      </c>
    </row>
    <row r="1209" spans="2:8">
      <c r="B1209" t="s">
        <v>463</v>
      </c>
      <c r="C1209" t="s">
        <v>376</v>
      </c>
      <c r="D1209">
        <v>10250</v>
      </c>
      <c r="E1209">
        <v>10255</v>
      </c>
      <c r="F1209">
        <v>10245</v>
      </c>
      <c r="G1209">
        <v>10250</v>
      </c>
      <c r="H1209">
        <v>19000</v>
      </c>
    </row>
    <row r="1210" spans="2:8">
      <c r="B1210" t="s">
        <v>463</v>
      </c>
      <c r="C1210" t="s">
        <v>377</v>
      </c>
      <c r="D1210">
        <v>10245</v>
      </c>
      <c r="E1210">
        <v>10245</v>
      </c>
      <c r="F1210">
        <v>10235</v>
      </c>
      <c r="G1210">
        <v>10240</v>
      </c>
      <c r="H1210">
        <v>46200</v>
      </c>
    </row>
    <row r="1211" spans="2:8">
      <c r="B1211" t="s">
        <v>463</v>
      </c>
      <c r="C1211" t="s">
        <v>378</v>
      </c>
      <c r="D1211">
        <v>10240</v>
      </c>
      <c r="E1211">
        <v>10245</v>
      </c>
      <c r="F1211">
        <v>10235</v>
      </c>
      <c r="G1211">
        <v>10240</v>
      </c>
      <c r="H1211">
        <v>26300</v>
      </c>
    </row>
    <row r="1212" spans="2:8">
      <c r="B1212" t="s">
        <v>463</v>
      </c>
      <c r="C1212" t="s">
        <v>379</v>
      </c>
      <c r="D1212">
        <v>10240</v>
      </c>
      <c r="E1212">
        <v>10245</v>
      </c>
      <c r="F1212">
        <v>10240</v>
      </c>
      <c r="G1212">
        <v>10245</v>
      </c>
      <c r="H1212">
        <v>8000</v>
      </c>
    </row>
    <row r="1213" spans="2:8">
      <c r="B1213" t="s">
        <v>463</v>
      </c>
      <c r="C1213" t="s">
        <v>380</v>
      </c>
      <c r="D1213">
        <v>10245</v>
      </c>
      <c r="E1213">
        <v>10255</v>
      </c>
      <c r="F1213">
        <v>10245</v>
      </c>
      <c r="G1213">
        <v>10255</v>
      </c>
      <c r="H1213">
        <v>23400</v>
      </c>
    </row>
    <row r="1214" spans="2:8">
      <c r="B1214" t="s">
        <v>463</v>
      </c>
      <c r="C1214" t="s">
        <v>381</v>
      </c>
      <c r="D1214">
        <v>10255</v>
      </c>
      <c r="E1214">
        <v>10255</v>
      </c>
      <c r="F1214">
        <v>10250</v>
      </c>
      <c r="G1214">
        <v>10255</v>
      </c>
      <c r="H1214">
        <v>5900</v>
      </c>
    </row>
    <row r="1215" spans="2:8">
      <c r="B1215" t="s">
        <v>463</v>
      </c>
      <c r="C1215" t="s">
        <v>382</v>
      </c>
      <c r="D1215">
        <v>10255</v>
      </c>
      <c r="E1215">
        <v>10265</v>
      </c>
      <c r="F1215">
        <v>10250</v>
      </c>
      <c r="G1215">
        <v>10265</v>
      </c>
      <c r="H1215">
        <v>31000</v>
      </c>
    </row>
    <row r="1216" spans="2:8">
      <c r="B1216" t="s">
        <v>463</v>
      </c>
      <c r="C1216" t="s">
        <v>383</v>
      </c>
      <c r="D1216">
        <v>10260</v>
      </c>
      <c r="E1216">
        <v>10260</v>
      </c>
      <c r="F1216">
        <v>10250</v>
      </c>
      <c r="G1216">
        <v>10250</v>
      </c>
      <c r="H1216">
        <v>22000</v>
      </c>
    </row>
    <row r="1217" spans="2:8">
      <c r="B1217" t="s">
        <v>463</v>
      </c>
      <c r="C1217" t="s">
        <v>384</v>
      </c>
      <c r="D1217">
        <v>10250</v>
      </c>
      <c r="E1217">
        <v>10255</v>
      </c>
      <c r="F1217">
        <v>10240</v>
      </c>
      <c r="G1217">
        <v>10240</v>
      </c>
      <c r="H1217">
        <v>23400</v>
      </c>
    </row>
    <row r="1218" spans="2:8">
      <c r="B1218" t="s">
        <v>463</v>
      </c>
      <c r="C1218" t="s">
        <v>385</v>
      </c>
      <c r="D1218">
        <v>10240</v>
      </c>
      <c r="E1218">
        <v>10245</v>
      </c>
      <c r="F1218">
        <v>10210</v>
      </c>
      <c r="G1218">
        <v>10215</v>
      </c>
      <c r="H1218">
        <v>88800</v>
      </c>
    </row>
    <row r="1219" spans="2:8">
      <c r="B1219" t="s">
        <v>463</v>
      </c>
      <c r="C1219" t="s">
        <v>386</v>
      </c>
      <c r="D1219">
        <v>10220</v>
      </c>
      <c r="E1219">
        <v>10235</v>
      </c>
      <c r="F1219">
        <v>10205</v>
      </c>
      <c r="G1219">
        <v>10230</v>
      </c>
      <c r="H1219">
        <v>48800</v>
      </c>
    </row>
    <row r="1220" spans="2:8">
      <c r="B1220" t="s">
        <v>463</v>
      </c>
      <c r="C1220" t="s">
        <v>387</v>
      </c>
      <c r="D1220">
        <v>10235</v>
      </c>
      <c r="E1220">
        <v>10245</v>
      </c>
      <c r="F1220">
        <v>10230</v>
      </c>
      <c r="G1220">
        <v>10240</v>
      </c>
      <c r="H1220">
        <v>35600</v>
      </c>
    </row>
    <row r="1221" spans="2:8">
      <c r="B1221" t="s">
        <v>463</v>
      </c>
      <c r="C1221" t="s">
        <v>388</v>
      </c>
      <c r="D1221">
        <v>10240</v>
      </c>
      <c r="E1221">
        <v>10245</v>
      </c>
      <c r="F1221">
        <v>10235</v>
      </c>
      <c r="G1221">
        <v>10240</v>
      </c>
      <c r="H1221">
        <v>11400</v>
      </c>
    </row>
    <row r="1222" spans="2:8">
      <c r="B1222" t="s">
        <v>463</v>
      </c>
      <c r="C1222" t="s">
        <v>389</v>
      </c>
      <c r="D1222">
        <v>10240</v>
      </c>
      <c r="E1222">
        <v>10255</v>
      </c>
      <c r="F1222">
        <v>10240</v>
      </c>
      <c r="G1222">
        <v>10255</v>
      </c>
      <c r="H1222">
        <v>36300</v>
      </c>
    </row>
    <row r="1223" spans="2:8">
      <c r="B1223" t="s">
        <v>463</v>
      </c>
      <c r="C1223" t="s">
        <v>390</v>
      </c>
      <c r="D1223">
        <v>10260</v>
      </c>
      <c r="E1223">
        <v>10265</v>
      </c>
      <c r="F1223">
        <v>10250</v>
      </c>
      <c r="G1223">
        <v>10260</v>
      </c>
      <c r="H1223">
        <v>23200</v>
      </c>
    </row>
    <row r="1224" spans="2:8">
      <c r="B1224" t="s">
        <v>463</v>
      </c>
      <c r="C1224" t="s">
        <v>391</v>
      </c>
      <c r="D1224">
        <v>10260</v>
      </c>
      <c r="E1224">
        <v>10265</v>
      </c>
      <c r="F1224">
        <v>10260</v>
      </c>
      <c r="G1224">
        <v>10260</v>
      </c>
      <c r="H1224">
        <v>15400</v>
      </c>
    </row>
    <row r="1225" spans="2:8">
      <c r="B1225" t="s">
        <v>463</v>
      </c>
      <c r="C1225" t="s">
        <v>392</v>
      </c>
      <c r="D1225">
        <v>10260</v>
      </c>
      <c r="E1225">
        <v>10265</v>
      </c>
      <c r="F1225">
        <v>10255</v>
      </c>
      <c r="G1225">
        <v>10255</v>
      </c>
      <c r="H1225">
        <v>8800</v>
      </c>
    </row>
    <row r="1226" spans="2:8">
      <c r="B1226" t="s">
        <v>463</v>
      </c>
      <c r="C1226" t="s">
        <v>393</v>
      </c>
      <c r="D1226">
        <v>10255</v>
      </c>
      <c r="E1226">
        <v>10265</v>
      </c>
      <c r="F1226">
        <v>10255</v>
      </c>
      <c r="G1226">
        <v>10260</v>
      </c>
      <c r="H1226">
        <v>13800</v>
      </c>
    </row>
    <row r="1227" spans="2:8">
      <c r="B1227" t="s">
        <v>463</v>
      </c>
      <c r="C1227" t="s">
        <v>394</v>
      </c>
      <c r="D1227">
        <v>10260</v>
      </c>
      <c r="E1227">
        <v>10265</v>
      </c>
      <c r="F1227">
        <v>10240</v>
      </c>
      <c r="G1227">
        <v>10250</v>
      </c>
      <c r="H1227">
        <v>30100</v>
      </c>
    </row>
    <row r="1228" spans="2:8">
      <c r="B1228" t="s">
        <v>463</v>
      </c>
      <c r="C1228" t="s">
        <v>395</v>
      </c>
      <c r="D1228">
        <v>10245</v>
      </c>
      <c r="E1228">
        <v>10260</v>
      </c>
      <c r="F1228">
        <v>10245</v>
      </c>
      <c r="G1228">
        <v>10260</v>
      </c>
      <c r="H1228">
        <v>11600</v>
      </c>
    </row>
    <row r="1229" spans="2:8">
      <c r="B1229" t="s">
        <v>463</v>
      </c>
      <c r="C1229" t="s">
        <v>396</v>
      </c>
      <c r="D1229">
        <v>10260</v>
      </c>
      <c r="E1229">
        <v>10275</v>
      </c>
      <c r="F1229">
        <v>10260</v>
      </c>
      <c r="G1229">
        <v>10270</v>
      </c>
      <c r="H1229">
        <v>47100</v>
      </c>
    </row>
    <row r="1230" spans="2:8">
      <c r="B1230" t="s">
        <v>463</v>
      </c>
      <c r="C1230" t="s">
        <v>397</v>
      </c>
      <c r="D1230">
        <v>10265</v>
      </c>
      <c r="E1230">
        <v>10270</v>
      </c>
      <c r="F1230">
        <v>10265</v>
      </c>
      <c r="G1230">
        <v>10265</v>
      </c>
      <c r="H1230">
        <v>5400</v>
      </c>
    </row>
    <row r="1231" spans="2:8">
      <c r="B1231" t="s">
        <v>463</v>
      </c>
      <c r="C1231" t="s">
        <v>398</v>
      </c>
      <c r="D1231">
        <v>10265</v>
      </c>
      <c r="E1231">
        <v>10270</v>
      </c>
      <c r="F1231">
        <v>10245</v>
      </c>
      <c r="G1231">
        <v>10245</v>
      </c>
      <c r="H1231">
        <v>38600</v>
      </c>
    </row>
    <row r="1232" spans="2:8">
      <c r="B1232" t="s">
        <v>463</v>
      </c>
      <c r="C1232" t="s">
        <v>399</v>
      </c>
      <c r="D1232">
        <v>10250</v>
      </c>
      <c r="E1232">
        <v>10255</v>
      </c>
      <c r="F1232">
        <v>10245</v>
      </c>
      <c r="G1232">
        <v>10255</v>
      </c>
      <c r="H1232">
        <v>15100</v>
      </c>
    </row>
    <row r="1233" spans="2:8">
      <c r="B1233" t="s">
        <v>463</v>
      </c>
      <c r="C1233" t="s">
        <v>400</v>
      </c>
      <c r="D1233">
        <v>10255</v>
      </c>
      <c r="E1233">
        <v>10260</v>
      </c>
      <c r="F1233">
        <v>10250</v>
      </c>
      <c r="G1233">
        <v>10255</v>
      </c>
      <c r="H1233">
        <v>8000</v>
      </c>
    </row>
    <row r="1234" spans="2:8">
      <c r="B1234" t="s">
        <v>463</v>
      </c>
      <c r="C1234" t="s">
        <v>401</v>
      </c>
      <c r="D1234">
        <v>10250</v>
      </c>
      <c r="E1234">
        <v>10255</v>
      </c>
      <c r="F1234">
        <v>10245</v>
      </c>
      <c r="G1234">
        <v>10245</v>
      </c>
      <c r="H1234">
        <v>12100</v>
      </c>
    </row>
    <row r="1235" spans="2:8">
      <c r="B1235" t="s">
        <v>463</v>
      </c>
      <c r="C1235" t="s">
        <v>402</v>
      </c>
      <c r="D1235">
        <v>10245</v>
      </c>
      <c r="E1235">
        <v>10260</v>
      </c>
      <c r="F1235">
        <v>10245</v>
      </c>
      <c r="G1235">
        <v>10260</v>
      </c>
      <c r="H1235">
        <v>9400</v>
      </c>
    </row>
    <row r="1236" spans="2:8">
      <c r="B1236" t="s">
        <v>463</v>
      </c>
      <c r="C1236" t="s">
        <v>403</v>
      </c>
      <c r="D1236">
        <v>10260</v>
      </c>
      <c r="E1236">
        <v>10260</v>
      </c>
      <c r="F1236">
        <v>10250</v>
      </c>
      <c r="G1236">
        <v>10255</v>
      </c>
      <c r="H1236">
        <v>12000</v>
      </c>
    </row>
    <row r="1237" spans="2:8">
      <c r="B1237" t="s">
        <v>463</v>
      </c>
      <c r="C1237" t="s">
        <v>404</v>
      </c>
      <c r="D1237">
        <v>10255</v>
      </c>
      <c r="E1237">
        <v>10270</v>
      </c>
      <c r="F1237">
        <v>10255</v>
      </c>
      <c r="G1237">
        <v>10270</v>
      </c>
      <c r="H1237">
        <v>23200</v>
      </c>
    </row>
    <row r="1238" spans="2:8">
      <c r="B1238" t="s">
        <v>463</v>
      </c>
      <c r="C1238" t="s">
        <v>405</v>
      </c>
      <c r="D1238">
        <v>10265</v>
      </c>
      <c r="E1238">
        <v>10270</v>
      </c>
      <c r="F1238">
        <v>10265</v>
      </c>
      <c r="G1238">
        <v>10270</v>
      </c>
      <c r="H1238">
        <v>4200</v>
      </c>
    </row>
    <row r="1239" spans="2:8">
      <c r="B1239" t="s">
        <v>463</v>
      </c>
      <c r="C1239" t="s">
        <v>406</v>
      </c>
      <c r="D1239">
        <v>10265</v>
      </c>
      <c r="E1239">
        <v>10285</v>
      </c>
      <c r="F1239">
        <v>10265</v>
      </c>
      <c r="G1239">
        <v>10285</v>
      </c>
      <c r="H1239">
        <v>48800</v>
      </c>
    </row>
    <row r="1240" spans="2:8">
      <c r="B1240" t="s">
        <v>463</v>
      </c>
      <c r="C1240" t="s">
        <v>407</v>
      </c>
      <c r="D1240">
        <v>10280</v>
      </c>
      <c r="E1240">
        <v>10285</v>
      </c>
      <c r="F1240">
        <v>10280</v>
      </c>
      <c r="G1240">
        <v>10285</v>
      </c>
      <c r="H1240">
        <v>26400</v>
      </c>
    </row>
    <row r="1241" spans="2:8">
      <c r="B1241" t="s">
        <v>463</v>
      </c>
      <c r="C1241" t="s">
        <v>408</v>
      </c>
      <c r="D1241">
        <v>10285</v>
      </c>
      <c r="E1241">
        <v>10285</v>
      </c>
      <c r="F1241">
        <v>10270</v>
      </c>
      <c r="G1241">
        <v>10270</v>
      </c>
      <c r="H1241">
        <v>41300</v>
      </c>
    </row>
    <row r="1242" spans="2:8">
      <c r="B1242" t="s">
        <v>463</v>
      </c>
      <c r="C1242" t="s">
        <v>409</v>
      </c>
      <c r="D1242">
        <v>10270</v>
      </c>
      <c r="E1242">
        <v>10285</v>
      </c>
      <c r="F1242">
        <v>10270</v>
      </c>
      <c r="G1242">
        <v>10285</v>
      </c>
      <c r="H1242">
        <v>20300</v>
      </c>
    </row>
    <row r="1243" spans="2:8">
      <c r="B1243" t="s">
        <v>463</v>
      </c>
      <c r="C1243" t="s">
        <v>410</v>
      </c>
      <c r="D1243">
        <v>10285</v>
      </c>
      <c r="E1243">
        <v>10290</v>
      </c>
      <c r="F1243">
        <v>10280</v>
      </c>
      <c r="G1243">
        <v>10285</v>
      </c>
      <c r="H1243">
        <v>22600</v>
      </c>
    </row>
    <row r="1244" spans="2:8">
      <c r="B1244" t="s">
        <v>463</v>
      </c>
      <c r="C1244" t="s">
        <v>411</v>
      </c>
      <c r="D1244">
        <v>10285</v>
      </c>
      <c r="E1244">
        <v>10295</v>
      </c>
      <c r="F1244">
        <v>10285</v>
      </c>
      <c r="G1244">
        <v>10295</v>
      </c>
      <c r="H1244">
        <v>33500</v>
      </c>
    </row>
    <row r="1245" spans="2:8">
      <c r="B1245" t="s">
        <v>463</v>
      </c>
      <c r="C1245" t="s">
        <v>412</v>
      </c>
      <c r="D1245">
        <v>10295</v>
      </c>
      <c r="E1245">
        <v>10300</v>
      </c>
      <c r="F1245">
        <v>10290</v>
      </c>
      <c r="G1245">
        <v>10300</v>
      </c>
      <c r="H1245">
        <v>34700</v>
      </c>
    </row>
    <row r="1246" spans="2:8">
      <c r="B1246" t="s">
        <v>463</v>
      </c>
      <c r="C1246" t="s">
        <v>413</v>
      </c>
      <c r="D1246">
        <v>10300</v>
      </c>
      <c r="E1246">
        <v>10305</v>
      </c>
      <c r="F1246">
        <v>10295</v>
      </c>
      <c r="G1246">
        <v>10305</v>
      </c>
      <c r="H1246">
        <v>26800</v>
      </c>
    </row>
    <row r="1247" spans="2:8">
      <c r="B1247" t="s">
        <v>463</v>
      </c>
      <c r="C1247" t="s">
        <v>414</v>
      </c>
      <c r="D1247">
        <v>10305</v>
      </c>
      <c r="E1247">
        <v>10310</v>
      </c>
      <c r="F1247">
        <v>10300</v>
      </c>
      <c r="G1247">
        <v>10305</v>
      </c>
      <c r="H1247">
        <v>20600</v>
      </c>
    </row>
    <row r="1248" spans="2:8">
      <c r="B1248" t="s">
        <v>463</v>
      </c>
      <c r="C1248" t="s">
        <v>415</v>
      </c>
      <c r="D1248">
        <v>10305</v>
      </c>
      <c r="E1248">
        <v>10310</v>
      </c>
      <c r="F1248">
        <v>10285</v>
      </c>
      <c r="G1248">
        <v>10290</v>
      </c>
      <c r="H1248">
        <v>83400</v>
      </c>
    </row>
    <row r="1249" spans="2:8">
      <c r="B1249" t="s">
        <v>463</v>
      </c>
      <c r="C1249" t="s">
        <v>416</v>
      </c>
      <c r="D1249">
        <v>10290</v>
      </c>
      <c r="E1249">
        <v>10290</v>
      </c>
      <c r="F1249">
        <v>10285</v>
      </c>
      <c r="G1249">
        <v>10285</v>
      </c>
      <c r="H1249">
        <v>17600</v>
      </c>
    </row>
    <row r="1250" spans="2:8">
      <c r="B1250" t="s">
        <v>463</v>
      </c>
      <c r="C1250" t="s">
        <v>417</v>
      </c>
      <c r="D1250">
        <v>10285</v>
      </c>
      <c r="E1250">
        <v>10315</v>
      </c>
      <c r="F1250">
        <v>10280</v>
      </c>
      <c r="G1250">
        <v>10310</v>
      </c>
      <c r="H1250">
        <v>90200</v>
      </c>
    </row>
    <row r="1251" spans="2:8">
      <c r="B1251" t="s">
        <v>463</v>
      </c>
      <c r="C1251" t="s">
        <v>418</v>
      </c>
      <c r="D1251">
        <v>10310</v>
      </c>
      <c r="E1251">
        <v>10315</v>
      </c>
      <c r="F1251">
        <v>10305</v>
      </c>
      <c r="G1251">
        <v>10305</v>
      </c>
      <c r="H1251">
        <v>15000</v>
      </c>
    </row>
    <row r="1252" spans="2:8">
      <c r="B1252" t="s">
        <v>463</v>
      </c>
      <c r="C1252" t="s">
        <v>419</v>
      </c>
      <c r="D1252">
        <v>10310</v>
      </c>
      <c r="E1252">
        <v>10310</v>
      </c>
      <c r="F1252">
        <v>10300</v>
      </c>
      <c r="G1252">
        <v>10305</v>
      </c>
      <c r="H1252">
        <v>26100</v>
      </c>
    </row>
    <row r="1253" spans="2:8">
      <c r="B1253" t="s">
        <v>463</v>
      </c>
      <c r="C1253" t="s">
        <v>420</v>
      </c>
      <c r="D1253">
        <v>10300</v>
      </c>
      <c r="E1253">
        <v>10305</v>
      </c>
      <c r="F1253">
        <v>10300</v>
      </c>
      <c r="G1253">
        <v>10300</v>
      </c>
      <c r="H1253">
        <v>11400</v>
      </c>
    </row>
    <row r="1254" spans="2:8">
      <c r="B1254" t="s">
        <v>463</v>
      </c>
      <c r="C1254" t="s">
        <v>421</v>
      </c>
      <c r="D1254">
        <v>10300</v>
      </c>
      <c r="E1254">
        <v>10315</v>
      </c>
      <c r="F1254">
        <v>10300</v>
      </c>
      <c r="G1254">
        <v>10315</v>
      </c>
      <c r="H1254">
        <v>38700</v>
      </c>
    </row>
    <row r="1255" spans="2:8">
      <c r="B1255" t="s">
        <v>463</v>
      </c>
      <c r="C1255" t="s">
        <v>422</v>
      </c>
      <c r="D1255">
        <v>10310</v>
      </c>
      <c r="E1255">
        <v>10315</v>
      </c>
      <c r="F1255">
        <v>10305</v>
      </c>
      <c r="G1255">
        <v>10310</v>
      </c>
      <c r="H1255">
        <v>22400</v>
      </c>
    </row>
    <row r="1256" spans="2:8">
      <c r="B1256" t="s">
        <v>463</v>
      </c>
      <c r="C1256" t="s">
        <v>423</v>
      </c>
      <c r="D1256">
        <v>10315</v>
      </c>
      <c r="E1256">
        <v>10330</v>
      </c>
      <c r="F1256">
        <v>10315</v>
      </c>
      <c r="G1256">
        <v>10330</v>
      </c>
      <c r="H1256">
        <v>69300</v>
      </c>
    </row>
    <row r="1257" spans="2:8">
      <c r="B1257" t="s">
        <v>463</v>
      </c>
      <c r="C1257" t="s">
        <v>424</v>
      </c>
      <c r="D1257">
        <v>10330</v>
      </c>
      <c r="E1257">
        <v>10330</v>
      </c>
      <c r="F1257">
        <v>10320</v>
      </c>
      <c r="G1257">
        <v>10320</v>
      </c>
      <c r="H1257">
        <v>24000</v>
      </c>
    </row>
    <row r="1258" spans="2:8">
      <c r="B1258" t="s">
        <v>463</v>
      </c>
      <c r="C1258" t="s">
        <v>425</v>
      </c>
      <c r="D1258">
        <v>10320</v>
      </c>
      <c r="E1258">
        <v>10325</v>
      </c>
      <c r="F1258">
        <v>10305</v>
      </c>
      <c r="G1258">
        <v>10310</v>
      </c>
      <c r="H1258">
        <v>37400</v>
      </c>
    </row>
    <row r="1259" spans="2:8">
      <c r="B1259" t="s">
        <v>463</v>
      </c>
      <c r="C1259" t="s">
        <v>426</v>
      </c>
      <c r="D1259">
        <v>10310</v>
      </c>
      <c r="E1259">
        <v>10315</v>
      </c>
      <c r="F1259">
        <v>10300</v>
      </c>
      <c r="G1259">
        <v>10300</v>
      </c>
      <c r="H1259">
        <v>25100</v>
      </c>
    </row>
    <row r="1260" spans="2:8">
      <c r="B1260" t="s">
        <v>463</v>
      </c>
      <c r="C1260" t="s">
        <v>427</v>
      </c>
      <c r="D1260">
        <v>10305</v>
      </c>
      <c r="E1260">
        <v>10305</v>
      </c>
      <c r="F1260">
        <v>10290</v>
      </c>
      <c r="G1260">
        <v>10295</v>
      </c>
      <c r="H1260">
        <v>23600</v>
      </c>
    </row>
    <row r="1261" spans="2:8">
      <c r="B1261" t="s">
        <v>463</v>
      </c>
      <c r="C1261" t="s">
        <v>428</v>
      </c>
      <c r="D1261">
        <v>10295</v>
      </c>
      <c r="E1261">
        <v>10300</v>
      </c>
      <c r="F1261">
        <v>10290</v>
      </c>
      <c r="G1261">
        <v>10295</v>
      </c>
      <c r="H1261">
        <v>14400</v>
      </c>
    </row>
    <row r="1262" spans="2:8">
      <c r="B1262" t="s">
        <v>463</v>
      </c>
      <c r="C1262" t="s">
        <v>429</v>
      </c>
      <c r="D1262">
        <v>10295</v>
      </c>
      <c r="E1262">
        <v>10295</v>
      </c>
      <c r="F1262">
        <v>10285</v>
      </c>
      <c r="G1262">
        <v>10290</v>
      </c>
      <c r="H1262">
        <v>15500</v>
      </c>
    </row>
    <row r="1263" spans="2:8">
      <c r="B1263" t="s">
        <v>463</v>
      </c>
      <c r="C1263" t="s">
        <v>430</v>
      </c>
      <c r="D1263">
        <v>10285</v>
      </c>
      <c r="E1263">
        <v>10310</v>
      </c>
      <c r="F1263">
        <v>10285</v>
      </c>
      <c r="G1263">
        <v>10295</v>
      </c>
      <c r="H1263">
        <v>31600</v>
      </c>
    </row>
    <row r="1264" spans="2:8">
      <c r="B1264" t="s">
        <v>463</v>
      </c>
      <c r="C1264" t="s">
        <v>431</v>
      </c>
      <c r="D1264">
        <v>10300</v>
      </c>
      <c r="E1264">
        <v>10300</v>
      </c>
      <c r="F1264">
        <v>10290</v>
      </c>
      <c r="G1264">
        <v>10295</v>
      </c>
      <c r="H1264">
        <v>9600</v>
      </c>
    </row>
    <row r="1265" spans="2:8">
      <c r="B1265" t="s">
        <v>463</v>
      </c>
      <c r="C1265" t="s">
        <v>9</v>
      </c>
      <c r="D1265">
        <v>10295</v>
      </c>
      <c r="E1265">
        <v>10300</v>
      </c>
      <c r="F1265">
        <v>10295</v>
      </c>
      <c r="G1265">
        <v>10295</v>
      </c>
      <c r="H1265">
        <v>8200</v>
      </c>
    </row>
    <row r="1266" spans="2:8">
      <c r="B1266" t="s">
        <v>463</v>
      </c>
      <c r="C1266" t="s">
        <v>10</v>
      </c>
      <c r="D1266">
        <v>10300</v>
      </c>
      <c r="E1266">
        <v>10300</v>
      </c>
      <c r="F1266">
        <v>10295</v>
      </c>
      <c r="G1266">
        <v>10295</v>
      </c>
      <c r="H1266">
        <v>2800</v>
      </c>
    </row>
    <row r="1267" spans="2:8">
      <c r="B1267" t="s">
        <v>463</v>
      </c>
      <c r="C1267" t="s">
        <v>11</v>
      </c>
      <c r="D1267">
        <v>10300</v>
      </c>
      <c r="E1267">
        <v>10300</v>
      </c>
      <c r="F1267">
        <v>10270</v>
      </c>
      <c r="G1267">
        <v>10275</v>
      </c>
      <c r="H1267">
        <v>59800</v>
      </c>
    </row>
    <row r="1268" spans="2:8">
      <c r="B1268" t="s">
        <v>463</v>
      </c>
      <c r="C1268" t="s">
        <v>12</v>
      </c>
      <c r="D1268">
        <v>10270</v>
      </c>
      <c r="E1268">
        <v>10275</v>
      </c>
      <c r="F1268">
        <v>10270</v>
      </c>
      <c r="G1268">
        <v>10275</v>
      </c>
      <c r="H1268">
        <v>13500</v>
      </c>
    </row>
    <row r="1269" spans="2:8">
      <c r="B1269" t="s">
        <v>463</v>
      </c>
      <c r="C1269" t="s">
        <v>13</v>
      </c>
      <c r="D1269">
        <v>10270</v>
      </c>
      <c r="E1269">
        <v>10280</v>
      </c>
      <c r="F1269">
        <v>10270</v>
      </c>
      <c r="G1269">
        <v>10280</v>
      </c>
      <c r="H1269">
        <v>10400</v>
      </c>
    </row>
    <row r="1270" spans="2:8">
      <c r="B1270" t="s">
        <v>463</v>
      </c>
      <c r="C1270" t="s">
        <v>14</v>
      </c>
      <c r="D1270">
        <v>10275</v>
      </c>
      <c r="E1270">
        <v>10280</v>
      </c>
      <c r="F1270">
        <v>10275</v>
      </c>
      <c r="G1270">
        <v>10280</v>
      </c>
      <c r="H1270">
        <v>3000</v>
      </c>
    </row>
    <row r="1271" spans="2:8">
      <c r="B1271" t="s">
        <v>463</v>
      </c>
      <c r="C1271" t="s">
        <v>15</v>
      </c>
      <c r="D1271">
        <v>10280</v>
      </c>
      <c r="E1271">
        <v>10280</v>
      </c>
      <c r="F1271">
        <v>10270</v>
      </c>
      <c r="G1271">
        <v>10275</v>
      </c>
      <c r="H1271">
        <v>35100</v>
      </c>
    </row>
    <row r="1272" spans="2:8">
      <c r="B1272" t="s">
        <v>463</v>
      </c>
      <c r="C1272" t="s">
        <v>16</v>
      </c>
      <c r="D1272">
        <v>10275</v>
      </c>
      <c r="E1272">
        <v>10275</v>
      </c>
      <c r="F1272">
        <v>10260</v>
      </c>
      <c r="G1272">
        <v>10260</v>
      </c>
      <c r="H1272">
        <v>27500</v>
      </c>
    </row>
    <row r="1273" spans="2:8">
      <c r="B1273" t="s">
        <v>463</v>
      </c>
      <c r="C1273" t="s">
        <v>17</v>
      </c>
      <c r="D1273">
        <v>10260</v>
      </c>
      <c r="E1273">
        <v>10265</v>
      </c>
      <c r="F1273">
        <v>10255</v>
      </c>
      <c r="G1273">
        <v>10260</v>
      </c>
      <c r="H1273">
        <v>21600</v>
      </c>
    </row>
    <row r="1274" spans="2:8">
      <c r="B1274" t="s">
        <v>463</v>
      </c>
      <c r="C1274" t="s">
        <v>18</v>
      </c>
      <c r="D1274">
        <v>10255</v>
      </c>
      <c r="E1274">
        <v>10285</v>
      </c>
      <c r="F1274">
        <v>10255</v>
      </c>
      <c r="G1274">
        <v>10280</v>
      </c>
      <c r="H1274">
        <v>44700</v>
      </c>
    </row>
    <row r="1275" spans="2:8">
      <c r="B1275" t="s">
        <v>463</v>
      </c>
      <c r="C1275" t="s">
        <v>19</v>
      </c>
      <c r="D1275">
        <v>10280</v>
      </c>
      <c r="E1275">
        <v>10300</v>
      </c>
      <c r="F1275">
        <v>10275</v>
      </c>
      <c r="G1275">
        <v>10300</v>
      </c>
      <c r="H1275">
        <v>43700</v>
      </c>
    </row>
    <row r="1276" spans="2:8">
      <c r="B1276" t="s">
        <v>463</v>
      </c>
      <c r="C1276" t="s">
        <v>20</v>
      </c>
      <c r="D1276">
        <v>10300</v>
      </c>
      <c r="E1276">
        <v>10300</v>
      </c>
      <c r="F1276">
        <v>10285</v>
      </c>
      <c r="G1276">
        <v>10295</v>
      </c>
      <c r="H1276">
        <v>32900</v>
      </c>
    </row>
    <row r="1277" spans="2:8">
      <c r="B1277" t="s">
        <v>463</v>
      </c>
      <c r="C1277" t="s">
        <v>21</v>
      </c>
      <c r="D1277">
        <v>10290</v>
      </c>
      <c r="E1277">
        <v>10290</v>
      </c>
      <c r="F1277">
        <v>10280</v>
      </c>
      <c r="G1277">
        <v>10290</v>
      </c>
      <c r="H1277">
        <v>24800</v>
      </c>
    </row>
    <row r="1278" spans="2:8">
      <c r="B1278" t="s">
        <v>463</v>
      </c>
      <c r="C1278" t="s">
        <v>22</v>
      </c>
      <c r="D1278">
        <v>10290</v>
      </c>
      <c r="E1278">
        <v>10295</v>
      </c>
      <c r="F1278">
        <v>10290</v>
      </c>
      <c r="G1278">
        <v>10290</v>
      </c>
      <c r="H1278">
        <v>10100</v>
      </c>
    </row>
    <row r="1279" spans="2:8">
      <c r="B1279" t="s">
        <v>463</v>
      </c>
      <c r="C1279" t="s">
        <v>23</v>
      </c>
      <c r="D1279">
        <v>10290</v>
      </c>
      <c r="E1279">
        <v>10300</v>
      </c>
      <c r="F1279">
        <v>10290</v>
      </c>
      <c r="G1279">
        <v>10295</v>
      </c>
      <c r="H1279">
        <v>25700</v>
      </c>
    </row>
    <row r="1280" spans="2:8">
      <c r="B1280" t="s">
        <v>463</v>
      </c>
      <c r="C1280" t="s">
        <v>24</v>
      </c>
      <c r="D1280">
        <v>10295</v>
      </c>
      <c r="E1280">
        <v>10295</v>
      </c>
      <c r="F1280">
        <v>10290</v>
      </c>
      <c r="G1280">
        <v>10290</v>
      </c>
      <c r="H1280">
        <v>19200</v>
      </c>
    </row>
    <row r="1281" spans="2:8">
      <c r="B1281" t="s">
        <v>463</v>
      </c>
      <c r="C1281" t="s">
        <v>25</v>
      </c>
      <c r="D1281">
        <v>10290</v>
      </c>
      <c r="E1281">
        <v>10305</v>
      </c>
      <c r="F1281">
        <v>10285</v>
      </c>
      <c r="G1281">
        <v>10305</v>
      </c>
      <c r="H1281">
        <v>31400</v>
      </c>
    </row>
    <row r="1282" spans="2:8">
      <c r="B1282" t="s">
        <v>463</v>
      </c>
      <c r="C1282" t="s">
        <v>26</v>
      </c>
      <c r="D1282">
        <v>10300</v>
      </c>
      <c r="E1282">
        <v>10310</v>
      </c>
      <c r="F1282">
        <v>10300</v>
      </c>
      <c r="G1282">
        <v>10305</v>
      </c>
      <c r="H1282">
        <v>11000</v>
      </c>
    </row>
    <row r="1283" spans="2:8">
      <c r="B1283" t="s">
        <v>463</v>
      </c>
      <c r="C1283" t="s">
        <v>27</v>
      </c>
      <c r="D1283">
        <v>10310</v>
      </c>
      <c r="E1283">
        <v>10310</v>
      </c>
      <c r="F1283">
        <v>10300</v>
      </c>
      <c r="G1283">
        <v>10300</v>
      </c>
      <c r="H1283">
        <v>17300</v>
      </c>
    </row>
    <row r="1284" spans="2:8">
      <c r="B1284" t="s">
        <v>463</v>
      </c>
      <c r="C1284" t="s">
        <v>28</v>
      </c>
      <c r="D1284">
        <v>10305</v>
      </c>
      <c r="E1284">
        <v>10305</v>
      </c>
      <c r="F1284">
        <v>10300</v>
      </c>
      <c r="G1284">
        <v>10300</v>
      </c>
      <c r="H1284">
        <v>6900</v>
      </c>
    </row>
    <row r="1285" spans="2:8">
      <c r="B1285" t="s">
        <v>463</v>
      </c>
      <c r="C1285" t="s">
        <v>29</v>
      </c>
      <c r="D1285">
        <v>10305</v>
      </c>
      <c r="E1285">
        <v>10315</v>
      </c>
      <c r="F1285">
        <v>10300</v>
      </c>
      <c r="G1285">
        <v>10305</v>
      </c>
      <c r="H1285">
        <v>54100</v>
      </c>
    </row>
    <row r="1286" spans="2:8">
      <c r="B1286" t="s">
        <v>463</v>
      </c>
      <c r="C1286" t="s">
        <v>30</v>
      </c>
      <c r="D1286">
        <v>10300</v>
      </c>
      <c r="E1286">
        <v>10325</v>
      </c>
      <c r="F1286">
        <v>10300</v>
      </c>
      <c r="G1286">
        <v>10325</v>
      </c>
      <c r="H1286">
        <v>41000</v>
      </c>
    </row>
    <row r="1287" spans="2:8">
      <c r="B1287" t="s">
        <v>463</v>
      </c>
      <c r="C1287" t="s">
        <v>31</v>
      </c>
      <c r="D1287">
        <v>10320</v>
      </c>
      <c r="E1287">
        <v>10325</v>
      </c>
      <c r="F1287">
        <v>10315</v>
      </c>
      <c r="G1287">
        <v>10315</v>
      </c>
      <c r="H1287">
        <v>15700</v>
      </c>
    </row>
    <row r="1288" spans="2:8">
      <c r="B1288" t="s">
        <v>463</v>
      </c>
      <c r="C1288" t="s">
        <v>32</v>
      </c>
      <c r="D1288">
        <v>10320</v>
      </c>
      <c r="E1288">
        <v>10340</v>
      </c>
      <c r="F1288">
        <v>10315</v>
      </c>
      <c r="G1288">
        <v>10335</v>
      </c>
      <c r="H1288">
        <v>51000</v>
      </c>
    </row>
    <row r="1289" spans="2:8">
      <c r="B1289" t="s">
        <v>463</v>
      </c>
      <c r="C1289" t="s">
        <v>33</v>
      </c>
      <c r="D1289">
        <v>10340</v>
      </c>
      <c r="E1289">
        <v>10340</v>
      </c>
      <c r="F1289">
        <v>10335</v>
      </c>
      <c r="G1289">
        <v>10335</v>
      </c>
      <c r="H1289">
        <v>29500</v>
      </c>
    </row>
    <row r="1290" spans="2:8">
      <c r="B1290" t="s">
        <v>463</v>
      </c>
      <c r="C1290" t="s">
        <v>34</v>
      </c>
      <c r="D1290">
        <v>10330</v>
      </c>
      <c r="E1290">
        <v>10335</v>
      </c>
      <c r="F1290">
        <v>10315</v>
      </c>
      <c r="G1290">
        <v>10325</v>
      </c>
      <c r="H1290">
        <v>57500</v>
      </c>
    </row>
    <row r="1291" spans="2:8">
      <c r="B1291" t="s">
        <v>463</v>
      </c>
      <c r="C1291" t="s">
        <v>35</v>
      </c>
      <c r="D1291">
        <v>10320</v>
      </c>
      <c r="E1291">
        <v>10325</v>
      </c>
      <c r="F1291">
        <v>10315</v>
      </c>
      <c r="G1291">
        <v>10320</v>
      </c>
      <c r="H1291">
        <v>9500</v>
      </c>
    </row>
    <row r="1292" spans="2:8">
      <c r="B1292" t="s">
        <v>463</v>
      </c>
      <c r="C1292" t="s">
        <v>36</v>
      </c>
      <c r="D1292">
        <v>10320</v>
      </c>
      <c r="E1292">
        <v>10330</v>
      </c>
      <c r="F1292">
        <v>10315</v>
      </c>
      <c r="G1292">
        <v>10325</v>
      </c>
      <c r="H1292">
        <v>37100</v>
      </c>
    </row>
    <row r="1293" spans="2:8">
      <c r="B1293" t="s">
        <v>463</v>
      </c>
      <c r="C1293" t="s">
        <v>37</v>
      </c>
      <c r="D1293">
        <v>10325</v>
      </c>
      <c r="E1293">
        <v>10330</v>
      </c>
      <c r="F1293">
        <v>10315</v>
      </c>
      <c r="G1293">
        <v>10320</v>
      </c>
      <c r="H1293">
        <v>33500</v>
      </c>
    </row>
    <row r="1294" spans="2:8">
      <c r="B1294" t="s">
        <v>463</v>
      </c>
      <c r="C1294" t="s">
        <v>38</v>
      </c>
      <c r="D1294">
        <v>10320</v>
      </c>
      <c r="E1294">
        <v>10325</v>
      </c>
      <c r="F1294">
        <v>10315</v>
      </c>
      <c r="G1294">
        <v>10315</v>
      </c>
      <c r="H1294">
        <v>13600</v>
      </c>
    </row>
    <row r="1295" spans="2:8">
      <c r="B1295" t="s">
        <v>463</v>
      </c>
      <c r="C1295" t="s">
        <v>39</v>
      </c>
      <c r="D1295">
        <v>10315</v>
      </c>
      <c r="E1295">
        <v>10340</v>
      </c>
      <c r="F1295">
        <v>10315</v>
      </c>
      <c r="G1295">
        <v>10340</v>
      </c>
      <c r="H1295">
        <v>43700</v>
      </c>
    </row>
    <row r="1296" spans="2:8">
      <c r="B1296" t="s">
        <v>463</v>
      </c>
      <c r="C1296" t="s">
        <v>40</v>
      </c>
      <c r="D1296">
        <v>10335</v>
      </c>
      <c r="E1296">
        <v>10340</v>
      </c>
      <c r="F1296">
        <v>10335</v>
      </c>
      <c r="G1296">
        <v>10340</v>
      </c>
      <c r="H1296">
        <v>29800</v>
      </c>
    </row>
    <row r="1297" spans="2:8">
      <c r="B1297" t="s">
        <v>463</v>
      </c>
      <c r="C1297" t="s">
        <v>41</v>
      </c>
      <c r="D1297">
        <v>10335</v>
      </c>
      <c r="E1297">
        <v>10345</v>
      </c>
      <c r="F1297">
        <v>10335</v>
      </c>
      <c r="G1297">
        <v>10345</v>
      </c>
      <c r="H1297">
        <v>19000</v>
      </c>
    </row>
    <row r="1298" spans="2:8">
      <c r="B1298" t="s">
        <v>463</v>
      </c>
      <c r="C1298" t="s">
        <v>42</v>
      </c>
      <c r="D1298">
        <v>10340</v>
      </c>
      <c r="E1298">
        <v>10345</v>
      </c>
      <c r="F1298">
        <v>10330</v>
      </c>
      <c r="G1298">
        <v>10340</v>
      </c>
      <c r="H1298">
        <v>28600</v>
      </c>
    </row>
    <row r="1299" spans="2:8">
      <c r="B1299" t="s">
        <v>463</v>
      </c>
      <c r="C1299" t="s">
        <v>43</v>
      </c>
      <c r="D1299">
        <v>10335</v>
      </c>
      <c r="E1299">
        <v>10340</v>
      </c>
      <c r="F1299">
        <v>10330</v>
      </c>
      <c r="G1299">
        <v>10330</v>
      </c>
      <c r="H1299">
        <v>9800</v>
      </c>
    </row>
    <row r="1300" spans="2:8">
      <c r="B1300" t="s">
        <v>463</v>
      </c>
      <c r="C1300" t="s">
        <v>44</v>
      </c>
      <c r="D1300">
        <v>10335</v>
      </c>
      <c r="E1300">
        <v>10350</v>
      </c>
      <c r="F1300">
        <v>10330</v>
      </c>
      <c r="G1300">
        <v>10345</v>
      </c>
      <c r="H1300">
        <v>96100</v>
      </c>
    </row>
    <row r="1301" spans="2:8">
      <c r="B1301" t="s">
        <v>463</v>
      </c>
      <c r="C1301" t="s">
        <v>45</v>
      </c>
      <c r="D1301">
        <v>10345</v>
      </c>
      <c r="E1301">
        <v>10350</v>
      </c>
      <c r="F1301">
        <v>10335</v>
      </c>
      <c r="G1301">
        <v>10335</v>
      </c>
      <c r="H1301">
        <v>46700</v>
      </c>
    </row>
    <row r="1302" spans="2:8">
      <c r="B1302" t="s">
        <v>463</v>
      </c>
      <c r="C1302" t="s">
        <v>46</v>
      </c>
      <c r="D1302">
        <v>10340</v>
      </c>
      <c r="E1302">
        <v>10340</v>
      </c>
      <c r="F1302">
        <v>10300</v>
      </c>
      <c r="G1302">
        <v>10320</v>
      </c>
      <c r="H1302">
        <v>95400</v>
      </c>
    </row>
    <row r="1303" spans="2:8">
      <c r="B1303" t="s">
        <v>463</v>
      </c>
      <c r="C1303" t="s">
        <v>47</v>
      </c>
      <c r="D1303">
        <v>10325</v>
      </c>
      <c r="E1303">
        <v>10350</v>
      </c>
      <c r="F1303">
        <v>10325</v>
      </c>
      <c r="G1303">
        <v>10340</v>
      </c>
      <c r="H1303">
        <v>51700</v>
      </c>
    </row>
    <row r="1304" spans="2:8">
      <c r="B1304" t="s">
        <v>463</v>
      </c>
      <c r="C1304" t="s">
        <v>48</v>
      </c>
      <c r="D1304">
        <v>10345</v>
      </c>
      <c r="E1304">
        <v>10365</v>
      </c>
      <c r="F1304">
        <v>10340</v>
      </c>
      <c r="G1304">
        <v>10360</v>
      </c>
      <c r="H1304">
        <v>72600</v>
      </c>
    </row>
    <row r="1305" spans="2:8">
      <c r="B1305" t="s">
        <v>463</v>
      </c>
      <c r="C1305" t="s">
        <v>49</v>
      </c>
      <c r="D1305">
        <v>10360</v>
      </c>
      <c r="E1305">
        <v>10365</v>
      </c>
      <c r="F1305">
        <v>10330</v>
      </c>
      <c r="G1305">
        <v>10330</v>
      </c>
      <c r="H1305">
        <v>57500</v>
      </c>
    </row>
    <row r="1306" spans="2:8">
      <c r="B1306" t="s">
        <v>463</v>
      </c>
      <c r="C1306" t="s">
        <v>50</v>
      </c>
      <c r="D1306">
        <v>10335</v>
      </c>
      <c r="E1306">
        <v>10340</v>
      </c>
      <c r="F1306">
        <v>10330</v>
      </c>
      <c r="G1306">
        <v>10335</v>
      </c>
      <c r="H1306">
        <v>22700</v>
      </c>
    </row>
    <row r="1307" spans="2:8">
      <c r="B1307" t="s">
        <v>463</v>
      </c>
      <c r="C1307" t="s">
        <v>51</v>
      </c>
      <c r="D1307">
        <v>10335</v>
      </c>
      <c r="E1307">
        <v>10340</v>
      </c>
      <c r="F1307">
        <v>10330</v>
      </c>
      <c r="G1307">
        <v>10340</v>
      </c>
      <c r="H1307">
        <v>12100</v>
      </c>
    </row>
    <row r="1308" spans="2:8">
      <c r="B1308" t="s">
        <v>463</v>
      </c>
      <c r="C1308" t="s">
        <v>52</v>
      </c>
      <c r="D1308">
        <v>10340</v>
      </c>
      <c r="E1308">
        <v>10355</v>
      </c>
      <c r="F1308">
        <v>10340</v>
      </c>
      <c r="G1308">
        <v>10350</v>
      </c>
      <c r="H1308">
        <v>39500</v>
      </c>
    </row>
    <row r="1309" spans="2:8">
      <c r="B1309" t="s">
        <v>463</v>
      </c>
      <c r="C1309" t="s">
        <v>53</v>
      </c>
      <c r="D1309">
        <v>10350</v>
      </c>
      <c r="E1309">
        <v>10355</v>
      </c>
      <c r="F1309">
        <v>10345</v>
      </c>
      <c r="G1309">
        <v>10350</v>
      </c>
      <c r="H1309">
        <v>11700</v>
      </c>
    </row>
    <row r="1310" spans="2:8">
      <c r="B1310" t="s">
        <v>463</v>
      </c>
      <c r="C1310" t="s">
        <v>54</v>
      </c>
      <c r="D1310">
        <v>10350</v>
      </c>
      <c r="E1310">
        <v>10350</v>
      </c>
      <c r="F1310">
        <v>10315</v>
      </c>
      <c r="G1310">
        <v>10320</v>
      </c>
      <c r="H1310">
        <v>86200</v>
      </c>
    </row>
    <row r="1311" spans="2:8">
      <c r="B1311" t="s">
        <v>463</v>
      </c>
      <c r="C1311" t="s">
        <v>55</v>
      </c>
      <c r="D1311">
        <v>10320</v>
      </c>
      <c r="E1311">
        <v>10325</v>
      </c>
      <c r="F1311">
        <v>10315</v>
      </c>
      <c r="G1311">
        <v>10320</v>
      </c>
      <c r="H1311">
        <v>23700</v>
      </c>
    </row>
    <row r="1312" spans="2:8">
      <c r="B1312" t="s">
        <v>463</v>
      </c>
      <c r="C1312" t="s">
        <v>56</v>
      </c>
      <c r="D1312">
        <v>10315</v>
      </c>
      <c r="E1312">
        <v>10335</v>
      </c>
      <c r="F1312">
        <v>10315</v>
      </c>
      <c r="G1312">
        <v>10320</v>
      </c>
      <c r="H1312">
        <v>36800</v>
      </c>
    </row>
    <row r="1313" spans="2:8">
      <c r="B1313" t="s">
        <v>463</v>
      </c>
      <c r="C1313" t="s">
        <v>57</v>
      </c>
      <c r="D1313">
        <v>10325</v>
      </c>
      <c r="E1313">
        <v>10325</v>
      </c>
      <c r="F1313">
        <v>10310</v>
      </c>
      <c r="G1313">
        <v>10320</v>
      </c>
      <c r="H1313">
        <v>30000</v>
      </c>
    </row>
    <row r="1314" spans="2:8">
      <c r="B1314" t="s">
        <v>463</v>
      </c>
      <c r="C1314" t="s">
        <v>58</v>
      </c>
      <c r="D1314">
        <v>10315</v>
      </c>
      <c r="E1314">
        <v>10330</v>
      </c>
      <c r="F1314">
        <v>10315</v>
      </c>
      <c r="G1314">
        <v>10325</v>
      </c>
      <c r="H1314">
        <v>11300</v>
      </c>
    </row>
    <row r="1315" spans="2:8">
      <c r="B1315" t="s">
        <v>463</v>
      </c>
      <c r="C1315" t="s">
        <v>59</v>
      </c>
      <c r="D1315">
        <v>10325</v>
      </c>
      <c r="E1315">
        <v>10335</v>
      </c>
      <c r="F1315">
        <v>10320</v>
      </c>
      <c r="G1315">
        <v>10330</v>
      </c>
      <c r="H1315">
        <v>32100</v>
      </c>
    </row>
    <row r="1316" spans="2:8">
      <c r="B1316" t="s">
        <v>463</v>
      </c>
      <c r="C1316" t="s">
        <v>60</v>
      </c>
      <c r="D1316">
        <v>10330</v>
      </c>
      <c r="E1316">
        <v>10330</v>
      </c>
      <c r="F1316">
        <v>10310</v>
      </c>
      <c r="G1316">
        <v>10315</v>
      </c>
      <c r="H1316">
        <v>41200</v>
      </c>
    </row>
    <row r="1317" spans="2:8">
      <c r="B1317" t="s">
        <v>463</v>
      </c>
      <c r="C1317" t="s">
        <v>61</v>
      </c>
      <c r="D1317">
        <v>10315</v>
      </c>
      <c r="E1317">
        <v>10355</v>
      </c>
      <c r="F1317">
        <v>10310</v>
      </c>
      <c r="G1317">
        <v>10350</v>
      </c>
      <c r="H1317">
        <v>75800</v>
      </c>
    </row>
    <row r="1318" spans="2:8">
      <c r="B1318" t="s">
        <v>463</v>
      </c>
      <c r="C1318" t="s">
        <v>62</v>
      </c>
      <c r="D1318">
        <v>10350</v>
      </c>
      <c r="E1318">
        <v>10355</v>
      </c>
      <c r="F1318">
        <v>10335</v>
      </c>
      <c r="G1318">
        <v>10340</v>
      </c>
      <c r="H1318">
        <v>28600</v>
      </c>
    </row>
    <row r="1319" spans="2:8">
      <c r="B1319" t="s">
        <v>463</v>
      </c>
      <c r="C1319" t="s">
        <v>63</v>
      </c>
      <c r="D1319">
        <v>10335</v>
      </c>
      <c r="E1319">
        <v>10355</v>
      </c>
      <c r="F1319">
        <v>10335</v>
      </c>
      <c r="G1319">
        <v>10350</v>
      </c>
      <c r="H1319">
        <v>51700</v>
      </c>
    </row>
    <row r="1320" spans="2:8">
      <c r="B1320" t="s">
        <v>463</v>
      </c>
      <c r="C1320" t="s">
        <v>64</v>
      </c>
      <c r="D1320">
        <v>10355</v>
      </c>
      <c r="E1320">
        <v>10355</v>
      </c>
      <c r="F1320">
        <v>10320</v>
      </c>
      <c r="G1320">
        <v>10330</v>
      </c>
      <c r="H1320">
        <v>69500</v>
      </c>
    </row>
    <row r="1321" spans="2:8">
      <c r="B1321" t="s">
        <v>463</v>
      </c>
      <c r="C1321" t="s">
        <v>65</v>
      </c>
      <c r="D1321">
        <v>10330</v>
      </c>
      <c r="E1321">
        <v>10340</v>
      </c>
      <c r="F1321">
        <v>10325</v>
      </c>
      <c r="G1321">
        <v>10330</v>
      </c>
      <c r="H1321">
        <v>22400</v>
      </c>
    </row>
    <row r="1322" spans="2:8">
      <c r="B1322" t="s">
        <v>463</v>
      </c>
      <c r="C1322" t="s">
        <v>66</v>
      </c>
      <c r="D1322">
        <v>10335</v>
      </c>
      <c r="E1322">
        <v>10345</v>
      </c>
      <c r="F1322">
        <v>10325</v>
      </c>
      <c r="G1322">
        <v>10335</v>
      </c>
      <c r="H1322">
        <v>35800</v>
      </c>
    </row>
    <row r="1323" spans="2:8">
      <c r="B1323" t="s">
        <v>463</v>
      </c>
      <c r="C1323" t="s">
        <v>164</v>
      </c>
      <c r="D1323">
        <v>10330</v>
      </c>
      <c r="E1323">
        <v>10340</v>
      </c>
      <c r="F1323">
        <v>10330</v>
      </c>
      <c r="G1323">
        <v>10335</v>
      </c>
      <c r="H1323">
        <v>21700</v>
      </c>
    </row>
    <row r="1324" spans="2:8">
      <c r="B1324" t="s">
        <v>463</v>
      </c>
      <c r="C1324" t="s">
        <v>165</v>
      </c>
      <c r="D1324">
        <v>10340</v>
      </c>
      <c r="E1324">
        <v>10350</v>
      </c>
      <c r="F1324">
        <v>10335</v>
      </c>
      <c r="G1324">
        <v>10345</v>
      </c>
      <c r="H1324">
        <v>91500</v>
      </c>
    </row>
    <row r="1325" spans="2:8">
      <c r="B1325" t="s">
        <v>463</v>
      </c>
      <c r="C1325" t="s">
        <v>67</v>
      </c>
      <c r="D1325" t="s">
        <v>8</v>
      </c>
      <c r="E1325" t="s">
        <v>8</v>
      </c>
      <c r="F1325" t="s">
        <v>8</v>
      </c>
      <c r="G1325" t="s">
        <v>8</v>
      </c>
      <c r="H1325">
        <v>0</v>
      </c>
    </row>
    <row r="1326" spans="2:8">
      <c r="B1326" t="s">
        <v>463</v>
      </c>
      <c r="C1326" t="s">
        <v>68</v>
      </c>
      <c r="D1326" t="s">
        <v>8</v>
      </c>
      <c r="E1326" t="s">
        <v>8</v>
      </c>
      <c r="F1326" t="s">
        <v>8</v>
      </c>
      <c r="G1326" t="s">
        <v>8</v>
      </c>
      <c r="H1326">
        <v>0</v>
      </c>
    </row>
    <row r="1327" spans="2:8">
      <c r="B1327" t="s">
        <v>463</v>
      </c>
      <c r="C1327" t="s">
        <v>69</v>
      </c>
      <c r="D1327" t="s">
        <v>8</v>
      </c>
      <c r="E1327" t="s">
        <v>8</v>
      </c>
      <c r="F1327" t="s">
        <v>8</v>
      </c>
      <c r="G1327" t="s">
        <v>8</v>
      </c>
      <c r="H1327">
        <v>0</v>
      </c>
    </row>
    <row r="1328" spans="2:8">
      <c r="B1328" t="s">
        <v>463</v>
      </c>
      <c r="C1328" t="s">
        <v>70</v>
      </c>
      <c r="D1328" t="s">
        <v>8</v>
      </c>
      <c r="E1328" t="s">
        <v>8</v>
      </c>
      <c r="F1328" t="s">
        <v>8</v>
      </c>
      <c r="G1328" t="s">
        <v>8</v>
      </c>
      <c r="H1328">
        <v>0</v>
      </c>
    </row>
    <row r="1329" spans="2:8">
      <c r="B1329" t="s">
        <v>463</v>
      </c>
      <c r="C1329" t="s">
        <v>71</v>
      </c>
      <c r="D1329" t="s">
        <v>8</v>
      </c>
      <c r="E1329" t="s">
        <v>8</v>
      </c>
      <c r="F1329" t="s">
        <v>8</v>
      </c>
      <c r="G1329" t="s">
        <v>8</v>
      </c>
      <c r="H1329">
        <v>0</v>
      </c>
    </row>
    <row r="1330" spans="2:8">
      <c r="B1330" t="s">
        <v>463</v>
      </c>
      <c r="C1330" t="s">
        <v>72</v>
      </c>
      <c r="D1330">
        <v>10375</v>
      </c>
      <c r="E1330">
        <v>10375</v>
      </c>
      <c r="F1330">
        <v>10375</v>
      </c>
      <c r="G1330">
        <v>10375</v>
      </c>
      <c r="H1330">
        <v>736500</v>
      </c>
    </row>
    <row r="1331" spans="2:8">
      <c r="B1331" t="s">
        <v>587</v>
      </c>
      <c r="C1331" t="s">
        <v>166</v>
      </c>
      <c r="D1331">
        <v>10145</v>
      </c>
      <c r="E1331">
        <v>10250</v>
      </c>
      <c r="F1331">
        <v>10040</v>
      </c>
      <c r="G1331">
        <v>10105</v>
      </c>
      <c r="H1331">
        <v>819200</v>
      </c>
    </row>
    <row r="1332" spans="2:8">
      <c r="B1332" t="s">
        <v>587</v>
      </c>
      <c r="C1332" t="s">
        <v>167</v>
      </c>
      <c r="D1332">
        <v>10105</v>
      </c>
      <c r="E1332">
        <v>10140</v>
      </c>
      <c r="F1332">
        <v>10055</v>
      </c>
      <c r="G1332">
        <v>10115</v>
      </c>
      <c r="H1332">
        <v>194300</v>
      </c>
    </row>
    <row r="1333" spans="2:8">
      <c r="B1333" t="s">
        <v>587</v>
      </c>
      <c r="C1333" t="s">
        <v>168</v>
      </c>
      <c r="D1333">
        <v>10110</v>
      </c>
      <c r="E1333">
        <v>10110</v>
      </c>
      <c r="F1333">
        <v>10010</v>
      </c>
      <c r="G1333">
        <v>10030</v>
      </c>
      <c r="H1333">
        <v>226800</v>
      </c>
    </row>
    <row r="1334" spans="2:8">
      <c r="B1334" t="s">
        <v>587</v>
      </c>
      <c r="C1334" t="s">
        <v>169</v>
      </c>
      <c r="D1334">
        <v>10030</v>
      </c>
      <c r="E1334">
        <v>10040</v>
      </c>
      <c r="F1334">
        <v>9955</v>
      </c>
      <c r="G1334">
        <v>10030</v>
      </c>
      <c r="H1334">
        <v>620900</v>
      </c>
    </row>
    <row r="1335" spans="2:8">
      <c r="B1335" t="s">
        <v>587</v>
      </c>
      <c r="C1335" t="s">
        <v>170</v>
      </c>
      <c r="D1335">
        <v>10030</v>
      </c>
      <c r="E1335">
        <v>10035</v>
      </c>
      <c r="F1335">
        <v>9983</v>
      </c>
      <c r="G1335">
        <v>10010</v>
      </c>
      <c r="H1335">
        <v>229900</v>
      </c>
    </row>
    <row r="1336" spans="2:8">
      <c r="B1336" t="s">
        <v>587</v>
      </c>
      <c r="C1336" t="s">
        <v>171</v>
      </c>
      <c r="D1336">
        <v>10005</v>
      </c>
      <c r="E1336">
        <v>10100</v>
      </c>
      <c r="F1336">
        <v>10005</v>
      </c>
      <c r="G1336">
        <v>10095</v>
      </c>
      <c r="H1336">
        <v>175600</v>
      </c>
    </row>
    <row r="1337" spans="2:8">
      <c r="B1337" t="s">
        <v>587</v>
      </c>
      <c r="C1337" t="s">
        <v>172</v>
      </c>
      <c r="D1337">
        <v>10095</v>
      </c>
      <c r="E1337">
        <v>10105</v>
      </c>
      <c r="F1337">
        <v>10075</v>
      </c>
      <c r="G1337">
        <v>10095</v>
      </c>
      <c r="H1337">
        <v>139600</v>
      </c>
    </row>
    <row r="1338" spans="2:8">
      <c r="B1338" t="s">
        <v>587</v>
      </c>
      <c r="C1338" t="s">
        <v>173</v>
      </c>
      <c r="D1338">
        <v>10095</v>
      </c>
      <c r="E1338">
        <v>10115</v>
      </c>
      <c r="F1338">
        <v>10040</v>
      </c>
      <c r="G1338">
        <v>10070</v>
      </c>
      <c r="H1338">
        <v>151900</v>
      </c>
    </row>
    <row r="1339" spans="2:8">
      <c r="B1339" t="s">
        <v>587</v>
      </c>
      <c r="C1339" t="s">
        <v>174</v>
      </c>
      <c r="D1339">
        <v>10075</v>
      </c>
      <c r="E1339">
        <v>10140</v>
      </c>
      <c r="F1339">
        <v>10070</v>
      </c>
      <c r="G1339">
        <v>10130</v>
      </c>
      <c r="H1339">
        <v>114500</v>
      </c>
    </row>
    <row r="1340" spans="2:8">
      <c r="B1340" t="s">
        <v>587</v>
      </c>
      <c r="C1340" t="s">
        <v>175</v>
      </c>
      <c r="D1340">
        <v>10130</v>
      </c>
      <c r="E1340">
        <v>10135</v>
      </c>
      <c r="F1340">
        <v>10105</v>
      </c>
      <c r="G1340">
        <v>10120</v>
      </c>
      <c r="H1340">
        <v>89800</v>
      </c>
    </row>
    <row r="1341" spans="2:8">
      <c r="B1341" t="s">
        <v>587</v>
      </c>
      <c r="C1341" t="s">
        <v>176</v>
      </c>
      <c r="D1341">
        <v>10125</v>
      </c>
      <c r="E1341">
        <v>10125</v>
      </c>
      <c r="F1341">
        <v>10045</v>
      </c>
      <c r="G1341">
        <v>10070</v>
      </c>
      <c r="H1341">
        <v>175200</v>
      </c>
    </row>
    <row r="1342" spans="2:8">
      <c r="B1342" t="s">
        <v>587</v>
      </c>
      <c r="C1342" t="s">
        <v>177</v>
      </c>
      <c r="D1342">
        <v>10070</v>
      </c>
      <c r="E1342">
        <v>10085</v>
      </c>
      <c r="F1342">
        <v>10040</v>
      </c>
      <c r="G1342">
        <v>10060</v>
      </c>
      <c r="H1342">
        <v>93700</v>
      </c>
    </row>
    <row r="1343" spans="2:8">
      <c r="B1343" t="s">
        <v>587</v>
      </c>
      <c r="C1343" t="s">
        <v>178</v>
      </c>
      <c r="D1343">
        <v>10060</v>
      </c>
      <c r="E1343">
        <v>10085</v>
      </c>
      <c r="F1343">
        <v>10050</v>
      </c>
      <c r="G1343">
        <v>10075</v>
      </c>
      <c r="H1343">
        <v>86300</v>
      </c>
    </row>
    <row r="1344" spans="2:8">
      <c r="B1344" t="s">
        <v>587</v>
      </c>
      <c r="C1344" t="s">
        <v>179</v>
      </c>
      <c r="D1344">
        <v>10075</v>
      </c>
      <c r="E1344">
        <v>10080</v>
      </c>
      <c r="F1344">
        <v>10025</v>
      </c>
      <c r="G1344">
        <v>10060</v>
      </c>
      <c r="H1344">
        <v>106100</v>
      </c>
    </row>
    <row r="1345" spans="2:8">
      <c r="B1345" t="s">
        <v>587</v>
      </c>
      <c r="C1345" t="s">
        <v>180</v>
      </c>
      <c r="D1345">
        <v>10055</v>
      </c>
      <c r="E1345">
        <v>10065</v>
      </c>
      <c r="F1345">
        <v>10040</v>
      </c>
      <c r="G1345">
        <v>10055</v>
      </c>
      <c r="H1345">
        <v>56300</v>
      </c>
    </row>
    <row r="1346" spans="2:8">
      <c r="B1346" t="s">
        <v>587</v>
      </c>
      <c r="C1346" t="s">
        <v>181</v>
      </c>
      <c r="D1346">
        <v>10060</v>
      </c>
      <c r="E1346">
        <v>10065</v>
      </c>
      <c r="F1346">
        <v>10025</v>
      </c>
      <c r="G1346">
        <v>10030</v>
      </c>
      <c r="H1346">
        <v>83600</v>
      </c>
    </row>
    <row r="1347" spans="2:8">
      <c r="B1347" t="s">
        <v>587</v>
      </c>
      <c r="C1347" t="s">
        <v>182</v>
      </c>
      <c r="D1347">
        <v>10025</v>
      </c>
      <c r="E1347">
        <v>10040</v>
      </c>
      <c r="F1347">
        <v>10015</v>
      </c>
      <c r="G1347">
        <v>10035</v>
      </c>
      <c r="H1347">
        <v>54700</v>
      </c>
    </row>
    <row r="1348" spans="2:8">
      <c r="B1348" t="s">
        <v>587</v>
      </c>
      <c r="C1348" t="s">
        <v>183</v>
      </c>
      <c r="D1348">
        <v>10040</v>
      </c>
      <c r="E1348">
        <v>10050</v>
      </c>
      <c r="F1348">
        <v>10025</v>
      </c>
      <c r="G1348">
        <v>10045</v>
      </c>
      <c r="H1348">
        <v>45200</v>
      </c>
    </row>
    <row r="1349" spans="2:8">
      <c r="B1349" t="s">
        <v>587</v>
      </c>
      <c r="C1349" t="s">
        <v>184</v>
      </c>
      <c r="D1349">
        <v>10050</v>
      </c>
      <c r="E1349">
        <v>10070</v>
      </c>
      <c r="F1349">
        <v>10045</v>
      </c>
      <c r="G1349">
        <v>10060</v>
      </c>
      <c r="H1349">
        <v>54900</v>
      </c>
    </row>
    <row r="1350" spans="2:8">
      <c r="B1350" t="s">
        <v>587</v>
      </c>
      <c r="C1350" t="s">
        <v>185</v>
      </c>
      <c r="D1350">
        <v>10065</v>
      </c>
      <c r="E1350">
        <v>10065</v>
      </c>
      <c r="F1350">
        <v>10025</v>
      </c>
      <c r="G1350">
        <v>10025</v>
      </c>
      <c r="H1350">
        <v>66200</v>
      </c>
    </row>
    <row r="1351" spans="2:8">
      <c r="B1351" t="s">
        <v>587</v>
      </c>
      <c r="C1351" t="s">
        <v>186</v>
      </c>
      <c r="D1351">
        <v>10025</v>
      </c>
      <c r="E1351">
        <v>10030</v>
      </c>
      <c r="F1351">
        <v>10010</v>
      </c>
      <c r="G1351">
        <v>10015</v>
      </c>
      <c r="H1351">
        <v>64400</v>
      </c>
    </row>
    <row r="1352" spans="2:8">
      <c r="B1352" t="s">
        <v>587</v>
      </c>
      <c r="C1352" t="s">
        <v>187</v>
      </c>
      <c r="D1352">
        <v>10015</v>
      </c>
      <c r="E1352">
        <v>10040</v>
      </c>
      <c r="F1352">
        <v>10010</v>
      </c>
      <c r="G1352">
        <v>10020</v>
      </c>
      <c r="H1352">
        <v>51800</v>
      </c>
    </row>
    <row r="1353" spans="2:8">
      <c r="B1353" t="s">
        <v>587</v>
      </c>
      <c r="C1353" t="s">
        <v>188</v>
      </c>
      <c r="D1353">
        <v>10020</v>
      </c>
      <c r="E1353">
        <v>10030</v>
      </c>
      <c r="F1353">
        <v>10015</v>
      </c>
      <c r="G1353">
        <v>10025</v>
      </c>
      <c r="H1353">
        <v>21300</v>
      </c>
    </row>
    <row r="1354" spans="2:8">
      <c r="B1354" t="s">
        <v>587</v>
      </c>
      <c r="C1354" t="s">
        <v>189</v>
      </c>
      <c r="D1354">
        <v>10020</v>
      </c>
      <c r="E1354">
        <v>10075</v>
      </c>
      <c r="F1354">
        <v>10020</v>
      </c>
      <c r="G1354">
        <v>10075</v>
      </c>
      <c r="H1354">
        <v>105900</v>
      </c>
    </row>
    <row r="1355" spans="2:8">
      <c r="B1355" t="s">
        <v>587</v>
      </c>
      <c r="C1355" t="s">
        <v>190</v>
      </c>
      <c r="D1355">
        <v>10075</v>
      </c>
      <c r="E1355">
        <v>10075</v>
      </c>
      <c r="F1355">
        <v>10040</v>
      </c>
      <c r="G1355">
        <v>10050</v>
      </c>
      <c r="H1355">
        <v>57500</v>
      </c>
    </row>
    <row r="1356" spans="2:8">
      <c r="B1356" t="s">
        <v>587</v>
      </c>
      <c r="C1356" t="s">
        <v>191</v>
      </c>
      <c r="D1356">
        <v>10050</v>
      </c>
      <c r="E1356">
        <v>10105</v>
      </c>
      <c r="F1356">
        <v>10050</v>
      </c>
      <c r="G1356">
        <v>10100</v>
      </c>
      <c r="H1356">
        <v>104200</v>
      </c>
    </row>
    <row r="1357" spans="2:8">
      <c r="B1357" t="s">
        <v>587</v>
      </c>
      <c r="C1357" t="s">
        <v>192</v>
      </c>
      <c r="D1357">
        <v>10095</v>
      </c>
      <c r="E1357">
        <v>10110</v>
      </c>
      <c r="F1357">
        <v>10085</v>
      </c>
      <c r="G1357">
        <v>10090</v>
      </c>
      <c r="H1357">
        <v>57300</v>
      </c>
    </row>
    <row r="1358" spans="2:8">
      <c r="B1358" t="s">
        <v>587</v>
      </c>
      <c r="C1358" t="s">
        <v>193</v>
      </c>
      <c r="D1358">
        <v>10090</v>
      </c>
      <c r="E1358">
        <v>10115</v>
      </c>
      <c r="F1358">
        <v>10075</v>
      </c>
      <c r="G1358">
        <v>10110</v>
      </c>
      <c r="H1358">
        <v>77400</v>
      </c>
    </row>
    <row r="1359" spans="2:8">
      <c r="B1359" t="s">
        <v>587</v>
      </c>
      <c r="C1359" t="s">
        <v>194</v>
      </c>
      <c r="D1359">
        <v>10105</v>
      </c>
      <c r="E1359">
        <v>10120</v>
      </c>
      <c r="F1359">
        <v>10095</v>
      </c>
      <c r="G1359">
        <v>10115</v>
      </c>
      <c r="H1359">
        <v>50600</v>
      </c>
    </row>
    <row r="1360" spans="2:8">
      <c r="B1360" t="s">
        <v>587</v>
      </c>
      <c r="C1360" t="s">
        <v>195</v>
      </c>
      <c r="D1360">
        <v>10115</v>
      </c>
      <c r="E1360">
        <v>10130</v>
      </c>
      <c r="F1360">
        <v>10110</v>
      </c>
      <c r="G1360">
        <v>10130</v>
      </c>
      <c r="H1360">
        <v>70200</v>
      </c>
    </row>
    <row r="1361" spans="2:8">
      <c r="B1361" t="s">
        <v>587</v>
      </c>
      <c r="C1361" t="s">
        <v>196</v>
      </c>
      <c r="D1361">
        <v>10125</v>
      </c>
      <c r="E1361">
        <v>10135</v>
      </c>
      <c r="F1361">
        <v>10105</v>
      </c>
      <c r="G1361">
        <v>10110</v>
      </c>
      <c r="H1361">
        <v>96300</v>
      </c>
    </row>
    <row r="1362" spans="2:8">
      <c r="B1362" t="s">
        <v>587</v>
      </c>
      <c r="C1362" t="s">
        <v>197</v>
      </c>
      <c r="D1362">
        <v>10105</v>
      </c>
      <c r="E1362">
        <v>10165</v>
      </c>
      <c r="F1362">
        <v>10100</v>
      </c>
      <c r="G1362">
        <v>10160</v>
      </c>
      <c r="H1362">
        <v>130400</v>
      </c>
    </row>
    <row r="1363" spans="2:8">
      <c r="B1363" t="s">
        <v>587</v>
      </c>
      <c r="C1363" t="s">
        <v>198</v>
      </c>
      <c r="D1363">
        <v>10165</v>
      </c>
      <c r="E1363">
        <v>10180</v>
      </c>
      <c r="F1363">
        <v>10160</v>
      </c>
      <c r="G1363">
        <v>10180</v>
      </c>
      <c r="H1363">
        <v>84300</v>
      </c>
    </row>
    <row r="1364" spans="2:8">
      <c r="B1364" t="s">
        <v>587</v>
      </c>
      <c r="C1364" t="s">
        <v>199</v>
      </c>
      <c r="D1364">
        <v>10180</v>
      </c>
      <c r="E1364">
        <v>10200</v>
      </c>
      <c r="F1364">
        <v>10170</v>
      </c>
      <c r="G1364">
        <v>10200</v>
      </c>
      <c r="H1364">
        <v>102900</v>
      </c>
    </row>
    <row r="1365" spans="2:8">
      <c r="B1365" t="s">
        <v>587</v>
      </c>
      <c r="C1365" t="s">
        <v>200</v>
      </c>
      <c r="D1365">
        <v>10195</v>
      </c>
      <c r="E1365">
        <v>10240</v>
      </c>
      <c r="F1365">
        <v>10195</v>
      </c>
      <c r="G1365">
        <v>10235</v>
      </c>
      <c r="H1365">
        <v>120100</v>
      </c>
    </row>
    <row r="1366" spans="2:8">
      <c r="B1366" t="s">
        <v>587</v>
      </c>
      <c r="C1366" t="s">
        <v>201</v>
      </c>
      <c r="D1366">
        <v>10235</v>
      </c>
      <c r="E1366">
        <v>10240</v>
      </c>
      <c r="F1366">
        <v>10200</v>
      </c>
      <c r="G1366">
        <v>10205</v>
      </c>
      <c r="H1366">
        <v>118300</v>
      </c>
    </row>
    <row r="1367" spans="2:8">
      <c r="B1367" t="s">
        <v>587</v>
      </c>
      <c r="C1367" t="s">
        <v>202</v>
      </c>
      <c r="D1367">
        <v>10210</v>
      </c>
      <c r="E1367">
        <v>10215</v>
      </c>
      <c r="F1367">
        <v>10180</v>
      </c>
      <c r="G1367">
        <v>10185</v>
      </c>
      <c r="H1367">
        <v>88800</v>
      </c>
    </row>
    <row r="1368" spans="2:8">
      <c r="B1368" t="s">
        <v>587</v>
      </c>
      <c r="C1368" t="s">
        <v>203</v>
      </c>
      <c r="D1368">
        <v>10185</v>
      </c>
      <c r="E1368">
        <v>10200</v>
      </c>
      <c r="F1368">
        <v>10175</v>
      </c>
      <c r="G1368">
        <v>10195</v>
      </c>
      <c r="H1368">
        <v>55200</v>
      </c>
    </row>
    <row r="1369" spans="2:8">
      <c r="B1369" t="s">
        <v>587</v>
      </c>
      <c r="C1369" t="s">
        <v>204</v>
      </c>
      <c r="D1369">
        <v>10190</v>
      </c>
      <c r="E1369">
        <v>10215</v>
      </c>
      <c r="F1369">
        <v>10190</v>
      </c>
      <c r="G1369">
        <v>10205</v>
      </c>
      <c r="H1369">
        <v>38500</v>
      </c>
    </row>
    <row r="1370" spans="2:8">
      <c r="B1370" t="s">
        <v>587</v>
      </c>
      <c r="C1370" t="s">
        <v>205</v>
      </c>
      <c r="D1370">
        <v>10210</v>
      </c>
      <c r="E1370">
        <v>10285</v>
      </c>
      <c r="F1370">
        <v>10205</v>
      </c>
      <c r="G1370">
        <v>10265</v>
      </c>
      <c r="H1370">
        <v>186700</v>
      </c>
    </row>
    <row r="1371" spans="2:8">
      <c r="B1371" t="s">
        <v>587</v>
      </c>
      <c r="C1371" t="s">
        <v>206</v>
      </c>
      <c r="D1371">
        <v>10265</v>
      </c>
      <c r="E1371">
        <v>10275</v>
      </c>
      <c r="F1371">
        <v>10255</v>
      </c>
      <c r="G1371">
        <v>10260</v>
      </c>
      <c r="H1371">
        <v>78700</v>
      </c>
    </row>
    <row r="1372" spans="2:8">
      <c r="B1372" t="s">
        <v>587</v>
      </c>
      <c r="C1372" t="s">
        <v>207</v>
      </c>
      <c r="D1372">
        <v>10265</v>
      </c>
      <c r="E1372">
        <v>10265</v>
      </c>
      <c r="F1372">
        <v>10235</v>
      </c>
      <c r="G1372">
        <v>10255</v>
      </c>
      <c r="H1372">
        <v>83900</v>
      </c>
    </row>
    <row r="1373" spans="2:8">
      <c r="B1373" t="s">
        <v>587</v>
      </c>
      <c r="C1373" t="s">
        <v>208</v>
      </c>
      <c r="D1373">
        <v>10255</v>
      </c>
      <c r="E1373">
        <v>10270</v>
      </c>
      <c r="F1373">
        <v>10250</v>
      </c>
      <c r="G1373">
        <v>10270</v>
      </c>
      <c r="H1373">
        <v>44200</v>
      </c>
    </row>
    <row r="1374" spans="2:8">
      <c r="B1374" t="s">
        <v>587</v>
      </c>
      <c r="C1374" t="s">
        <v>209</v>
      </c>
      <c r="D1374">
        <v>10270</v>
      </c>
      <c r="E1374">
        <v>10320</v>
      </c>
      <c r="F1374">
        <v>10255</v>
      </c>
      <c r="G1374">
        <v>10305</v>
      </c>
      <c r="H1374">
        <v>176900</v>
      </c>
    </row>
    <row r="1375" spans="2:8">
      <c r="B1375" t="s">
        <v>587</v>
      </c>
      <c r="C1375" t="s">
        <v>210</v>
      </c>
      <c r="D1375">
        <v>10305</v>
      </c>
      <c r="E1375">
        <v>10315</v>
      </c>
      <c r="F1375">
        <v>10250</v>
      </c>
      <c r="G1375">
        <v>10260</v>
      </c>
      <c r="H1375">
        <v>139000</v>
      </c>
    </row>
    <row r="1376" spans="2:8">
      <c r="B1376" t="s">
        <v>587</v>
      </c>
      <c r="C1376" t="s">
        <v>211</v>
      </c>
      <c r="D1376">
        <v>10265</v>
      </c>
      <c r="E1376">
        <v>10275</v>
      </c>
      <c r="F1376">
        <v>10265</v>
      </c>
      <c r="G1376">
        <v>10265</v>
      </c>
      <c r="H1376">
        <v>53400</v>
      </c>
    </row>
    <row r="1377" spans="2:8">
      <c r="B1377" t="s">
        <v>587</v>
      </c>
      <c r="C1377" t="s">
        <v>212</v>
      </c>
      <c r="D1377">
        <v>10265</v>
      </c>
      <c r="E1377">
        <v>10270</v>
      </c>
      <c r="F1377">
        <v>10235</v>
      </c>
      <c r="G1377">
        <v>10270</v>
      </c>
      <c r="H1377">
        <v>95800</v>
      </c>
    </row>
    <row r="1378" spans="2:8">
      <c r="B1378" t="s">
        <v>587</v>
      </c>
      <c r="C1378" t="s">
        <v>213</v>
      </c>
      <c r="D1378">
        <v>10270</v>
      </c>
      <c r="E1378">
        <v>10270</v>
      </c>
      <c r="F1378">
        <v>10225</v>
      </c>
      <c r="G1378">
        <v>10225</v>
      </c>
      <c r="H1378">
        <v>45000</v>
      </c>
    </row>
    <row r="1379" spans="2:8">
      <c r="B1379" t="s">
        <v>587</v>
      </c>
      <c r="C1379" t="s">
        <v>214</v>
      </c>
      <c r="D1379">
        <v>10225</v>
      </c>
      <c r="E1379">
        <v>10230</v>
      </c>
      <c r="F1379">
        <v>10220</v>
      </c>
      <c r="G1379">
        <v>10220</v>
      </c>
      <c r="H1379">
        <v>32700</v>
      </c>
    </row>
    <row r="1380" spans="2:8">
      <c r="B1380" t="s">
        <v>587</v>
      </c>
      <c r="C1380" t="s">
        <v>215</v>
      </c>
      <c r="D1380">
        <v>10220</v>
      </c>
      <c r="E1380">
        <v>10225</v>
      </c>
      <c r="F1380">
        <v>10200</v>
      </c>
      <c r="G1380">
        <v>10205</v>
      </c>
      <c r="H1380">
        <v>51600</v>
      </c>
    </row>
    <row r="1381" spans="2:8">
      <c r="B1381" t="s">
        <v>587</v>
      </c>
      <c r="C1381" t="s">
        <v>216</v>
      </c>
      <c r="D1381">
        <v>10210</v>
      </c>
      <c r="E1381">
        <v>10210</v>
      </c>
      <c r="F1381">
        <v>10175</v>
      </c>
      <c r="G1381">
        <v>10175</v>
      </c>
      <c r="H1381">
        <v>55600</v>
      </c>
    </row>
    <row r="1382" spans="2:8">
      <c r="B1382" t="s">
        <v>587</v>
      </c>
      <c r="C1382" t="s">
        <v>217</v>
      </c>
      <c r="D1382">
        <v>10175</v>
      </c>
      <c r="E1382">
        <v>10220</v>
      </c>
      <c r="F1382">
        <v>10175</v>
      </c>
      <c r="G1382">
        <v>10215</v>
      </c>
      <c r="H1382">
        <v>46500</v>
      </c>
    </row>
    <row r="1383" spans="2:8">
      <c r="B1383" t="s">
        <v>587</v>
      </c>
      <c r="C1383" t="s">
        <v>218</v>
      </c>
      <c r="D1383">
        <v>10220</v>
      </c>
      <c r="E1383">
        <v>10235</v>
      </c>
      <c r="F1383">
        <v>10205</v>
      </c>
      <c r="G1383">
        <v>10225</v>
      </c>
      <c r="H1383">
        <v>49700</v>
      </c>
    </row>
    <row r="1384" spans="2:8">
      <c r="B1384" t="s">
        <v>587</v>
      </c>
      <c r="C1384" t="s">
        <v>219</v>
      </c>
      <c r="D1384">
        <v>10225</v>
      </c>
      <c r="E1384">
        <v>10225</v>
      </c>
      <c r="F1384">
        <v>10215</v>
      </c>
      <c r="G1384">
        <v>10220</v>
      </c>
      <c r="H1384">
        <v>18100</v>
      </c>
    </row>
    <row r="1385" spans="2:8">
      <c r="B1385" t="s">
        <v>587</v>
      </c>
      <c r="C1385" t="s">
        <v>220</v>
      </c>
      <c r="D1385">
        <v>10220</v>
      </c>
      <c r="E1385">
        <v>10255</v>
      </c>
      <c r="F1385">
        <v>10220</v>
      </c>
      <c r="G1385">
        <v>10250</v>
      </c>
      <c r="H1385">
        <v>63600</v>
      </c>
    </row>
    <row r="1386" spans="2:8">
      <c r="B1386" t="s">
        <v>587</v>
      </c>
      <c r="C1386" t="s">
        <v>221</v>
      </c>
      <c r="D1386">
        <v>10250</v>
      </c>
      <c r="E1386">
        <v>10265</v>
      </c>
      <c r="F1386">
        <v>10250</v>
      </c>
      <c r="G1386">
        <v>10255</v>
      </c>
      <c r="H1386">
        <v>55300</v>
      </c>
    </row>
    <row r="1387" spans="2:8">
      <c r="B1387" t="s">
        <v>587</v>
      </c>
      <c r="C1387" t="s">
        <v>222</v>
      </c>
      <c r="D1387">
        <v>10255</v>
      </c>
      <c r="E1387">
        <v>10285</v>
      </c>
      <c r="F1387">
        <v>10255</v>
      </c>
      <c r="G1387">
        <v>10275</v>
      </c>
      <c r="H1387">
        <v>75800</v>
      </c>
    </row>
    <row r="1388" spans="2:8">
      <c r="B1388" t="s">
        <v>587</v>
      </c>
      <c r="C1388" t="s">
        <v>223</v>
      </c>
      <c r="D1388">
        <v>10275</v>
      </c>
      <c r="E1388">
        <v>10285</v>
      </c>
      <c r="F1388">
        <v>10265</v>
      </c>
      <c r="G1388">
        <v>10265</v>
      </c>
      <c r="H1388">
        <v>47000</v>
      </c>
    </row>
    <row r="1389" spans="2:8">
      <c r="B1389" t="s">
        <v>587</v>
      </c>
      <c r="C1389" t="s">
        <v>224</v>
      </c>
      <c r="D1389">
        <v>10265</v>
      </c>
      <c r="E1389">
        <v>10275</v>
      </c>
      <c r="F1389">
        <v>10260</v>
      </c>
      <c r="G1389">
        <v>10265</v>
      </c>
      <c r="H1389">
        <v>28800</v>
      </c>
    </row>
    <row r="1390" spans="2:8">
      <c r="B1390" t="s">
        <v>587</v>
      </c>
      <c r="C1390" t="s">
        <v>225</v>
      </c>
      <c r="D1390">
        <v>10260</v>
      </c>
      <c r="E1390">
        <v>10270</v>
      </c>
      <c r="F1390">
        <v>10250</v>
      </c>
      <c r="G1390">
        <v>10250</v>
      </c>
      <c r="H1390">
        <v>44600</v>
      </c>
    </row>
    <row r="1391" spans="2:8">
      <c r="B1391" t="s">
        <v>587</v>
      </c>
      <c r="C1391" t="s">
        <v>226</v>
      </c>
      <c r="D1391">
        <v>10255</v>
      </c>
      <c r="E1391">
        <v>10275</v>
      </c>
      <c r="F1391">
        <v>10250</v>
      </c>
      <c r="G1391">
        <v>10260</v>
      </c>
      <c r="H1391">
        <v>32100</v>
      </c>
    </row>
    <row r="1392" spans="2:8">
      <c r="B1392" t="s">
        <v>587</v>
      </c>
      <c r="C1392" t="s">
        <v>227</v>
      </c>
      <c r="D1392">
        <v>10260</v>
      </c>
      <c r="E1392">
        <v>10265</v>
      </c>
      <c r="F1392">
        <v>10245</v>
      </c>
      <c r="G1392">
        <v>10250</v>
      </c>
      <c r="H1392">
        <v>32800</v>
      </c>
    </row>
    <row r="1393" spans="2:8">
      <c r="B1393" t="s">
        <v>587</v>
      </c>
      <c r="C1393" t="s">
        <v>228</v>
      </c>
      <c r="D1393">
        <v>10245</v>
      </c>
      <c r="E1393">
        <v>10250</v>
      </c>
      <c r="F1393">
        <v>10230</v>
      </c>
      <c r="G1393">
        <v>10235</v>
      </c>
      <c r="H1393">
        <v>32700</v>
      </c>
    </row>
    <row r="1394" spans="2:8">
      <c r="B1394" t="s">
        <v>587</v>
      </c>
      <c r="C1394" t="s">
        <v>229</v>
      </c>
      <c r="D1394">
        <v>10235</v>
      </c>
      <c r="E1394">
        <v>10240</v>
      </c>
      <c r="F1394">
        <v>10230</v>
      </c>
      <c r="G1394">
        <v>10230</v>
      </c>
      <c r="H1394">
        <v>13500</v>
      </c>
    </row>
    <row r="1395" spans="2:8">
      <c r="B1395" t="s">
        <v>587</v>
      </c>
      <c r="C1395" t="s">
        <v>230</v>
      </c>
      <c r="D1395">
        <v>10235</v>
      </c>
      <c r="E1395">
        <v>10245</v>
      </c>
      <c r="F1395">
        <v>10225</v>
      </c>
      <c r="G1395">
        <v>10245</v>
      </c>
      <c r="H1395">
        <v>29600</v>
      </c>
    </row>
    <row r="1396" spans="2:8">
      <c r="B1396" t="s">
        <v>587</v>
      </c>
      <c r="C1396" t="s">
        <v>231</v>
      </c>
      <c r="D1396">
        <v>10245</v>
      </c>
      <c r="E1396">
        <v>10245</v>
      </c>
      <c r="F1396">
        <v>10205</v>
      </c>
      <c r="G1396">
        <v>10205</v>
      </c>
      <c r="H1396">
        <v>39800</v>
      </c>
    </row>
    <row r="1397" spans="2:8">
      <c r="B1397" t="s">
        <v>587</v>
      </c>
      <c r="C1397" t="s">
        <v>232</v>
      </c>
      <c r="D1397">
        <v>10210</v>
      </c>
      <c r="E1397">
        <v>10210</v>
      </c>
      <c r="F1397">
        <v>10190</v>
      </c>
      <c r="G1397">
        <v>10195</v>
      </c>
      <c r="H1397">
        <v>42900</v>
      </c>
    </row>
    <row r="1398" spans="2:8">
      <c r="B1398" t="s">
        <v>587</v>
      </c>
      <c r="C1398" t="s">
        <v>233</v>
      </c>
      <c r="D1398">
        <v>10195</v>
      </c>
      <c r="E1398">
        <v>10220</v>
      </c>
      <c r="F1398">
        <v>10195</v>
      </c>
      <c r="G1398">
        <v>10220</v>
      </c>
      <c r="H1398">
        <v>24800</v>
      </c>
    </row>
    <row r="1399" spans="2:8">
      <c r="B1399" t="s">
        <v>587</v>
      </c>
      <c r="C1399" t="s">
        <v>234</v>
      </c>
      <c r="D1399">
        <v>10215</v>
      </c>
      <c r="E1399">
        <v>10215</v>
      </c>
      <c r="F1399">
        <v>10195</v>
      </c>
      <c r="G1399">
        <v>10195</v>
      </c>
      <c r="H1399">
        <v>23100</v>
      </c>
    </row>
    <row r="1400" spans="2:8">
      <c r="B1400" t="s">
        <v>587</v>
      </c>
      <c r="C1400" t="s">
        <v>235</v>
      </c>
      <c r="D1400">
        <v>10195</v>
      </c>
      <c r="E1400">
        <v>10200</v>
      </c>
      <c r="F1400">
        <v>10185</v>
      </c>
      <c r="G1400">
        <v>10185</v>
      </c>
      <c r="H1400">
        <v>23900</v>
      </c>
    </row>
    <row r="1401" spans="2:8">
      <c r="B1401" t="s">
        <v>587</v>
      </c>
      <c r="C1401" t="s">
        <v>236</v>
      </c>
      <c r="D1401">
        <v>10185</v>
      </c>
      <c r="E1401">
        <v>10190</v>
      </c>
      <c r="F1401">
        <v>10170</v>
      </c>
      <c r="G1401">
        <v>10180</v>
      </c>
      <c r="H1401">
        <v>48700</v>
      </c>
    </row>
    <row r="1402" spans="2:8">
      <c r="B1402" t="s">
        <v>587</v>
      </c>
      <c r="C1402" t="s">
        <v>237</v>
      </c>
      <c r="D1402">
        <v>10180</v>
      </c>
      <c r="E1402">
        <v>10220</v>
      </c>
      <c r="F1402">
        <v>10180</v>
      </c>
      <c r="G1402">
        <v>10210</v>
      </c>
      <c r="H1402">
        <v>52200</v>
      </c>
    </row>
    <row r="1403" spans="2:8">
      <c r="B1403" t="s">
        <v>587</v>
      </c>
      <c r="C1403" t="s">
        <v>238</v>
      </c>
      <c r="D1403">
        <v>10210</v>
      </c>
      <c r="E1403">
        <v>10220</v>
      </c>
      <c r="F1403">
        <v>10200</v>
      </c>
      <c r="G1403">
        <v>10200</v>
      </c>
      <c r="H1403">
        <v>22200</v>
      </c>
    </row>
    <row r="1404" spans="2:8">
      <c r="B1404" t="s">
        <v>587</v>
      </c>
      <c r="C1404" t="s">
        <v>239</v>
      </c>
      <c r="D1404">
        <v>10200</v>
      </c>
      <c r="E1404">
        <v>10205</v>
      </c>
      <c r="F1404">
        <v>10185</v>
      </c>
      <c r="G1404">
        <v>10185</v>
      </c>
      <c r="H1404">
        <v>23100</v>
      </c>
    </row>
    <row r="1405" spans="2:8">
      <c r="B1405" t="s">
        <v>587</v>
      </c>
      <c r="C1405" t="s">
        <v>240</v>
      </c>
      <c r="D1405">
        <v>10185</v>
      </c>
      <c r="E1405">
        <v>10185</v>
      </c>
      <c r="F1405">
        <v>10175</v>
      </c>
      <c r="G1405">
        <v>10175</v>
      </c>
      <c r="H1405">
        <v>32400</v>
      </c>
    </row>
    <row r="1406" spans="2:8">
      <c r="B1406" t="s">
        <v>587</v>
      </c>
      <c r="C1406" t="s">
        <v>241</v>
      </c>
      <c r="D1406">
        <v>10175</v>
      </c>
      <c r="E1406">
        <v>10205</v>
      </c>
      <c r="F1406">
        <v>10170</v>
      </c>
      <c r="G1406">
        <v>10205</v>
      </c>
      <c r="H1406">
        <v>54600</v>
      </c>
    </row>
    <row r="1407" spans="2:8">
      <c r="B1407" t="s">
        <v>587</v>
      </c>
      <c r="C1407" t="s">
        <v>242</v>
      </c>
      <c r="D1407">
        <v>10205</v>
      </c>
      <c r="E1407">
        <v>10215</v>
      </c>
      <c r="F1407">
        <v>10185</v>
      </c>
      <c r="G1407">
        <v>10185</v>
      </c>
      <c r="H1407">
        <v>33900</v>
      </c>
    </row>
    <row r="1408" spans="2:8">
      <c r="B1408" t="s">
        <v>587</v>
      </c>
      <c r="C1408" t="s">
        <v>243</v>
      </c>
      <c r="D1408">
        <v>10185</v>
      </c>
      <c r="E1408">
        <v>10190</v>
      </c>
      <c r="F1408">
        <v>10185</v>
      </c>
      <c r="G1408">
        <v>10185</v>
      </c>
      <c r="H1408">
        <v>4200</v>
      </c>
    </row>
    <row r="1409" spans="2:8">
      <c r="B1409" t="s">
        <v>587</v>
      </c>
      <c r="C1409" t="s">
        <v>244</v>
      </c>
      <c r="D1409">
        <v>10190</v>
      </c>
      <c r="E1409">
        <v>10190</v>
      </c>
      <c r="F1409">
        <v>10180</v>
      </c>
      <c r="G1409">
        <v>10185</v>
      </c>
      <c r="H1409">
        <v>18500</v>
      </c>
    </row>
    <row r="1410" spans="2:8">
      <c r="B1410" t="s">
        <v>587</v>
      </c>
      <c r="C1410" t="s">
        <v>245</v>
      </c>
      <c r="D1410">
        <v>10185</v>
      </c>
      <c r="E1410">
        <v>10185</v>
      </c>
      <c r="F1410">
        <v>10175</v>
      </c>
      <c r="G1410">
        <v>10185</v>
      </c>
      <c r="H1410">
        <v>23100</v>
      </c>
    </row>
    <row r="1411" spans="2:8">
      <c r="B1411" t="s">
        <v>587</v>
      </c>
      <c r="C1411" t="s">
        <v>246</v>
      </c>
      <c r="D1411">
        <v>10185</v>
      </c>
      <c r="E1411">
        <v>10205</v>
      </c>
      <c r="F1411">
        <v>10185</v>
      </c>
      <c r="G1411">
        <v>10195</v>
      </c>
      <c r="H1411">
        <v>40900</v>
      </c>
    </row>
    <row r="1412" spans="2:8">
      <c r="B1412" t="s">
        <v>587</v>
      </c>
      <c r="C1412" t="s">
        <v>247</v>
      </c>
      <c r="D1412">
        <v>10190</v>
      </c>
      <c r="E1412">
        <v>10210</v>
      </c>
      <c r="F1412">
        <v>10190</v>
      </c>
      <c r="G1412">
        <v>10190</v>
      </c>
      <c r="H1412">
        <v>25900</v>
      </c>
    </row>
    <row r="1413" spans="2:8">
      <c r="B1413" t="s">
        <v>587</v>
      </c>
      <c r="C1413" t="s">
        <v>248</v>
      </c>
      <c r="D1413">
        <v>10185</v>
      </c>
      <c r="E1413">
        <v>10190</v>
      </c>
      <c r="F1413">
        <v>10160</v>
      </c>
      <c r="G1413">
        <v>10160</v>
      </c>
      <c r="H1413">
        <v>45500</v>
      </c>
    </row>
    <row r="1414" spans="2:8">
      <c r="B1414" t="s">
        <v>587</v>
      </c>
      <c r="C1414" t="s">
        <v>249</v>
      </c>
      <c r="D1414">
        <v>10160</v>
      </c>
      <c r="E1414">
        <v>10165</v>
      </c>
      <c r="F1414">
        <v>10150</v>
      </c>
      <c r="G1414">
        <v>10165</v>
      </c>
      <c r="H1414">
        <v>42900</v>
      </c>
    </row>
    <row r="1415" spans="2:8">
      <c r="B1415" t="s">
        <v>587</v>
      </c>
      <c r="C1415" t="s">
        <v>250</v>
      </c>
      <c r="D1415">
        <v>10165</v>
      </c>
      <c r="E1415">
        <v>10165</v>
      </c>
      <c r="F1415">
        <v>10140</v>
      </c>
      <c r="G1415">
        <v>10150</v>
      </c>
      <c r="H1415">
        <v>51400</v>
      </c>
    </row>
    <row r="1416" spans="2:8">
      <c r="B1416" t="s">
        <v>587</v>
      </c>
      <c r="C1416" t="s">
        <v>251</v>
      </c>
      <c r="D1416">
        <v>10150</v>
      </c>
      <c r="E1416">
        <v>10155</v>
      </c>
      <c r="F1416">
        <v>10135</v>
      </c>
      <c r="G1416">
        <v>10140</v>
      </c>
      <c r="H1416">
        <v>40900</v>
      </c>
    </row>
    <row r="1417" spans="2:8">
      <c r="B1417" t="s">
        <v>587</v>
      </c>
      <c r="C1417" t="s">
        <v>252</v>
      </c>
      <c r="D1417">
        <v>10140</v>
      </c>
      <c r="E1417">
        <v>10155</v>
      </c>
      <c r="F1417">
        <v>10140</v>
      </c>
      <c r="G1417">
        <v>10155</v>
      </c>
      <c r="H1417">
        <v>20700</v>
      </c>
    </row>
    <row r="1418" spans="2:8">
      <c r="B1418" t="s">
        <v>587</v>
      </c>
      <c r="C1418" t="s">
        <v>253</v>
      </c>
      <c r="D1418">
        <v>10155</v>
      </c>
      <c r="E1418">
        <v>10170</v>
      </c>
      <c r="F1418">
        <v>10135</v>
      </c>
      <c r="G1418">
        <v>10140</v>
      </c>
      <c r="H1418">
        <v>34700</v>
      </c>
    </row>
    <row r="1419" spans="2:8">
      <c r="B1419" t="s">
        <v>587</v>
      </c>
      <c r="C1419" t="s">
        <v>254</v>
      </c>
      <c r="D1419">
        <v>10140</v>
      </c>
      <c r="E1419">
        <v>10175</v>
      </c>
      <c r="F1419">
        <v>10140</v>
      </c>
      <c r="G1419">
        <v>10165</v>
      </c>
      <c r="H1419">
        <v>36200</v>
      </c>
    </row>
    <row r="1420" spans="2:8">
      <c r="B1420" t="s">
        <v>587</v>
      </c>
      <c r="C1420" t="s">
        <v>255</v>
      </c>
      <c r="D1420">
        <v>10165</v>
      </c>
      <c r="E1420">
        <v>10165</v>
      </c>
      <c r="F1420">
        <v>10150</v>
      </c>
      <c r="G1420">
        <v>10160</v>
      </c>
      <c r="H1420">
        <v>24800</v>
      </c>
    </row>
    <row r="1421" spans="2:8">
      <c r="B1421" t="s">
        <v>587</v>
      </c>
      <c r="C1421" t="s">
        <v>256</v>
      </c>
      <c r="D1421">
        <v>10165</v>
      </c>
      <c r="E1421">
        <v>10180</v>
      </c>
      <c r="F1421">
        <v>10160</v>
      </c>
      <c r="G1421">
        <v>10170</v>
      </c>
      <c r="H1421">
        <v>29900</v>
      </c>
    </row>
    <row r="1422" spans="2:8">
      <c r="B1422" t="s">
        <v>587</v>
      </c>
      <c r="C1422" t="s">
        <v>257</v>
      </c>
      <c r="D1422">
        <v>10170</v>
      </c>
      <c r="E1422">
        <v>10180</v>
      </c>
      <c r="F1422">
        <v>10170</v>
      </c>
      <c r="G1422">
        <v>10175</v>
      </c>
      <c r="H1422">
        <v>19300</v>
      </c>
    </row>
    <row r="1423" spans="2:8">
      <c r="B1423" t="s">
        <v>587</v>
      </c>
      <c r="C1423" t="s">
        <v>258</v>
      </c>
      <c r="D1423">
        <v>10175</v>
      </c>
      <c r="E1423">
        <v>10180</v>
      </c>
      <c r="F1423">
        <v>10160</v>
      </c>
      <c r="G1423">
        <v>10160</v>
      </c>
      <c r="H1423">
        <v>14400</v>
      </c>
    </row>
    <row r="1424" spans="2:8">
      <c r="B1424" t="s">
        <v>587</v>
      </c>
      <c r="C1424" t="s">
        <v>259</v>
      </c>
      <c r="D1424">
        <v>10160</v>
      </c>
      <c r="E1424">
        <v>10160</v>
      </c>
      <c r="F1424">
        <v>10145</v>
      </c>
      <c r="G1424">
        <v>10150</v>
      </c>
      <c r="H1424">
        <v>31100</v>
      </c>
    </row>
    <row r="1425" spans="2:8">
      <c r="B1425" t="s">
        <v>587</v>
      </c>
      <c r="C1425" t="s">
        <v>260</v>
      </c>
      <c r="D1425">
        <v>10150</v>
      </c>
      <c r="E1425">
        <v>10160</v>
      </c>
      <c r="F1425">
        <v>10135</v>
      </c>
      <c r="G1425">
        <v>10155</v>
      </c>
      <c r="H1425">
        <v>36100</v>
      </c>
    </row>
    <row r="1426" spans="2:8">
      <c r="B1426" t="s">
        <v>587</v>
      </c>
      <c r="C1426" t="s">
        <v>261</v>
      </c>
      <c r="D1426">
        <v>10155</v>
      </c>
      <c r="E1426">
        <v>10155</v>
      </c>
      <c r="F1426">
        <v>10115</v>
      </c>
      <c r="G1426">
        <v>10120</v>
      </c>
      <c r="H1426">
        <v>49300</v>
      </c>
    </row>
    <row r="1427" spans="2:8">
      <c r="B1427" t="s">
        <v>587</v>
      </c>
      <c r="C1427" t="s">
        <v>262</v>
      </c>
      <c r="D1427">
        <v>10125</v>
      </c>
      <c r="E1427">
        <v>10145</v>
      </c>
      <c r="F1427">
        <v>10120</v>
      </c>
      <c r="G1427">
        <v>10145</v>
      </c>
      <c r="H1427">
        <v>36500</v>
      </c>
    </row>
    <row r="1428" spans="2:8">
      <c r="B1428" t="s">
        <v>587</v>
      </c>
      <c r="C1428" t="s">
        <v>263</v>
      </c>
      <c r="D1428">
        <v>10140</v>
      </c>
      <c r="E1428">
        <v>10150</v>
      </c>
      <c r="F1428">
        <v>10140</v>
      </c>
      <c r="G1428">
        <v>10150</v>
      </c>
      <c r="H1428">
        <v>13800</v>
      </c>
    </row>
    <row r="1429" spans="2:8">
      <c r="B1429" t="s">
        <v>587</v>
      </c>
      <c r="C1429" t="s">
        <v>264</v>
      </c>
      <c r="D1429">
        <v>10150</v>
      </c>
      <c r="E1429">
        <v>10160</v>
      </c>
      <c r="F1429">
        <v>10140</v>
      </c>
      <c r="G1429">
        <v>10145</v>
      </c>
      <c r="H1429">
        <v>38100</v>
      </c>
    </row>
    <row r="1430" spans="2:8">
      <c r="B1430" t="s">
        <v>587</v>
      </c>
      <c r="C1430" t="s">
        <v>265</v>
      </c>
      <c r="D1430">
        <v>10150</v>
      </c>
      <c r="E1430">
        <v>10165</v>
      </c>
      <c r="F1430">
        <v>10150</v>
      </c>
      <c r="G1430">
        <v>10160</v>
      </c>
      <c r="H1430">
        <v>27500</v>
      </c>
    </row>
    <row r="1431" spans="2:8">
      <c r="B1431" t="s">
        <v>587</v>
      </c>
      <c r="C1431" t="s">
        <v>266</v>
      </c>
      <c r="D1431">
        <v>10160</v>
      </c>
      <c r="E1431">
        <v>10180</v>
      </c>
      <c r="F1431">
        <v>10155</v>
      </c>
      <c r="G1431">
        <v>10175</v>
      </c>
      <c r="H1431">
        <v>51800</v>
      </c>
    </row>
    <row r="1432" spans="2:8">
      <c r="B1432" t="s">
        <v>587</v>
      </c>
      <c r="C1432" t="s">
        <v>267</v>
      </c>
      <c r="D1432">
        <v>10170</v>
      </c>
      <c r="E1432">
        <v>10180</v>
      </c>
      <c r="F1432">
        <v>10165</v>
      </c>
      <c r="G1432">
        <v>10170</v>
      </c>
      <c r="H1432">
        <v>17200</v>
      </c>
    </row>
    <row r="1433" spans="2:8">
      <c r="B1433" t="s">
        <v>587</v>
      </c>
      <c r="C1433" t="s">
        <v>268</v>
      </c>
      <c r="D1433">
        <v>10170</v>
      </c>
      <c r="E1433">
        <v>10180</v>
      </c>
      <c r="F1433">
        <v>10165</v>
      </c>
      <c r="G1433">
        <v>10180</v>
      </c>
      <c r="H1433">
        <v>14100</v>
      </c>
    </row>
    <row r="1434" spans="2:8">
      <c r="B1434" t="s">
        <v>587</v>
      </c>
      <c r="C1434" t="s">
        <v>269</v>
      </c>
      <c r="D1434">
        <v>10180</v>
      </c>
      <c r="E1434">
        <v>10190</v>
      </c>
      <c r="F1434">
        <v>10180</v>
      </c>
      <c r="G1434">
        <v>10180</v>
      </c>
      <c r="H1434">
        <v>22700</v>
      </c>
    </row>
    <row r="1435" spans="2:8">
      <c r="B1435" t="s">
        <v>587</v>
      </c>
      <c r="C1435" t="s">
        <v>270</v>
      </c>
      <c r="D1435">
        <v>10180</v>
      </c>
      <c r="E1435">
        <v>10185</v>
      </c>
      <c r="F1435">
        <v>10175</v>
      </c>
      <c r="G1435">
        <v>10180</v>
      </c>
      <c r="H1435">
        <v>19300</v>
      </c>
    </row>
    <row r="1436" spans="2:8">
      <c r="B1436" t="s">
        <v>587</v>
      </c>
      <c r="C1436" t="s">
        <v>271</v>
      </c>
      <c r="D1436">
        <v>10180</v>
      </c>
      <c r="E1436">
        <v>10180</v>
      </c>
      <c r="F1436">
        <v>10165</v>
      </c>
      <c r="G1436">
        <v>10170</v>
      </c>
      <c r="H1436">
        <v>20500</v>
      </c>
    </row>
    <row r="1437" spans="2:8">
      <c r="B1437" t="s">
        <v>587</v>
      </c>
      <c r="C1437" t="s">
        <v>272</v>
      </c>
      <c r="D1437">
        <v>10165</v>
      </c>
      <c r="E1437">
        <v>10170</v>
      </c>
      <c r="F1437">
        <v>10160</v>
      </c>
      <c r="G1437">
        <v>10165</v>
      </c>
      <c r="H1437">
        <v>6800</v>
      </c>
    </row>
    <row r="1438" spans="2:8">
      <c r="B1438" t="s">
        <v>587</v>
      </c>
      <c r="C1438" t="s">
        <v>273</v>
      </c>
      <c r="D1438">
        <v>10165</v>
      </c>
      <c r="E1438">
        <v>10195</v>
      </c>
      <c r="F1438">
        <v>10165</v>
      </c>
      <c r="G1438">
        <v>10195</v>
      </c>
      <c r="H1438">
        <v>47400</v>
      </c>
    </row>
    <row r="1439" spans="2:8">
      <c r="B1439" t="s">
        <v>587</v>
      </c>
      <c r="C1439" t="s">
        <v>274</v>
      </c>
      <c r="D1439">
        <v>10195</v>
      </c>
      <c r="E1439">
        <v>10210</v>
      </c>
      <c r="F1439">
        <v>10190</v>
      </c>
      <c r="G1439">
        <v>10205</v>
      </c>
      <c r="H1439">
        <v>31900</v>
      </c>
    </row>
    <row r="1440" spans="2:8">
      <c r="B1440" t="s">
        <v>587</v>
      </c>
      <c r="C1440" t="s">
        <v>275</v>
      </c>
      <c r="D1440">
        <v>10205</v>
      </c>
      <c r="E1440">
        <v>10220</v>
      </c>
      <c r="F1440">
        <v>10200</v>
      </c>
      <c r="G1440">
        <v>10205</v>
      </c>
      <c r="H1440">
        <v>28400</v>
      </c>
    </row>
    <row r="1441" spans="2:8">
      <c r="B1441" t="s">
        <v>587</v>
      </c>
      <c r="C1441" t="s">
        <v>276</v>
      </c>
      <c r="D1441">
        <v>10205</v>
      </c>
      <c r="E1441">
        <v>10210</v>
      </c>
      <c r="F1441">
        <v>10190</v>
      </c>
      <c r="G1441">
        <v>10195</v>
      </c>
      <c r="H1441">
        <v>24400</v>
      </c>
    </row>
    <row r="1442" spans="2:8">
      <c r="B1442" t="s">
        <v>587</v>
      </c>
      <c r="C1442" t="s">
        <v>277</v>
      </c>
      <c r="D1442">
        <v>10200</v>
      </c>
      <c r="E1442">
        <v>10205</v>
      </c>
      <c r="F1442">
        <v>10190</v>
      </c>
      <c r="G1442">
        <v>10190</v>
      </c>
      <c r="H1442">
        <v>16500</v>
      </c>
    </row>
    <row r="1443" spans="2:8">
      <c r="B1443" t="s">
        <v>587</v>
      </c>
      <c r="C1443" t="s">
        <v>278</v>
      </c>
      <c r="D1443">
        <v>10190</v>
      </c>
      <c r="E1443">
        <v>10200</v>
      </c>
      <c r="F1443">
        <v>10190</v>
      </c>
      <c r="G1443">
        <v>10195</v>
      </c>
      <c r="H1443">
        <v>8600</v>
      </c>
    </row>
    <row r="1444" spans="2:8">
      <c r="B1444" t="s">
        <v>587</v>
      </c>
      <c r="C1444" t="s">
        <v>279</v>
      </c>
      <c r="D1444">
        <v>10195</v>
      </c>
      <c r="E1444">
        <v>10200</v>
      </c>
      <c r="F1444">
        <v>10190</v>
      </c>
      <c r="G1444">
        <v>10195</v>
      </c>
      <c r="H1444">
        <v>10200</v>
      </c>
    </row>
    <row r="1445" spans="2:8">
      <c r="B1445" t="s">
        <v>587</v>
      </c>
      <c r="C1445" t="s">
        <v>280</v>
      </c>
      <c r="D1445">
        <v>10195</v>
      </c>
      <c r="E1445">
        <v>10195</v>
      </c>
      <c r="F1445">
        <v>10175</v>
      </c>
      <c r="G1445">
        <v>10175</v>
      </c>
      <c r="H1445">
        <v>22100</v>
      </c>
    </row>
    <row r="1446" spans="2:8">
      <c r="B1446" t="s">
        <v>587</v>
      </c>
      <c r="C1446" t="s">
        <v>281</v>
      </c>
      <c r="D1446">
        <v>10175</v>
      </c>
      <c r="E1446">
        <v>10200</v>
      </c>
      <c r="F1446">
        <v>10175</v>
      </c>
      <c r="G1446">
        <v>10195</v>
      </c>
      <c r="H1446">
        <v>21200</v>
      </c>
    </row>
    <row r="1447" spans="2:8">
      <c r="B1447" t="s">
        <v>587</v>
      </c>
      <c r="C1447" t="s">
        <v>282</v>
      </c>
      <c r="D1447">
        <v>10195</v>
      </c>
      <c r="E1447">
        <v>10210</v>
      </c>
      <c r="F1447">
        <v>10195</v>
      </c>
      <c r="G1447">
        <v>10210</v>
      </c>
      <c r="H1447">
        <v>26400</v>
      </c>
    </row>
    <row r="1448" spans="2:8">
      <c r="B1448" t="s">
        <v>587</v>
      </c>
      <c r="C1448" t="s">
        <v>283</v>
      </c>
      <c r="D1448">
        <v>10205</v>
      </c>
      <c r="E1448">
        <v>10210</v>
      </c>
      <c r="F1448">
        <v>10175</v>
      </c>
      <c r="G1448">
        <v>10175</v>
      </c>
      <c r="H1448">
        <v>33500</v>
      </c>
    </row>
    <row r="1449" spans="2:8">
      <c r="B1449" t="s">
        <v>587</v>
      </c>
      <c r="C1449" t="s">
        <v>284</v>
      </c>
      <c r="D1449">
        <v>10170</v>
      </c>
      <c r="E1449">
        <v>10170</v>
      </c>
      <c r="F1449">
        <v>10160</v>
      </c>
      <c r="G1449">
        <v>10165</v>
      </c>
      <c r="H1449">
        <v>24600</v>
      </c>
    </row>
    <row r="1450" spans="2:8">
      <c r="B1450" t="s">
        <v>587</v>
      </c>
      <c r="C1450" t="s">
        <v>285</v>
      </c>
      <c r="D1450">
        <v>10170</v>
      </c>
      <c r="E1450">
        <v>10195</v>
      </c>
      <c r="F1450">
        <v>10165</v>
      </c>
      <c r="G1450">
        <v>10175</v>
      </c>
      <c r="H1450">
        <v>24600</v>
      </c>
    </row>
    <row r="1451" spans="2:8">
      <c r="B1451" t="s">
        <v>587</v>
      </c>
      <c r="C1451" t="s">
        <v>286</v>
      </c>
      <c r="D1451">
        <v>10175</v>
      </c>
      <c r="E1451">
        <v>10180</v>
      </c>
      <c r="F1451">
        <v>10165</v>
      </c>
      <c r="G1451">
        <v>10180</v>
      </c>
      <c r="H1451">
        <v>16300</v>
      </c>
    </row>
    <row r="1452" spans="2:8">
      <c r="B1452" t="s">
        <v>587</v>
      </c>
      <c r="C1452" t="s">
        <v>287</v>
      </c>
      <c r="D1452">
        <v>10185</v>
      </c>
      <c r="E1452">
        <v>10190</v>
      </c>
      <c r="F1452">
        <v>10185</v>
      </c>
      <c r="G1452">
        <v>10185</v>
      </c>
      <c r="H1452">
        <v>3600</v>
      </c>
    </row>
    <row r="1453" spans="2:8">
      <c r="B1453" t="s">
        <v>587</v>
      </c>
      <c r="C1453" t="s">
        <v>288</v>
      </c>
      <c r="D1453">
        <v>10185</v>
      </c>
      <c r="E1453">
        <v>10185</v>
      </c>
      <c r="F1453">
        <v>10175</v>
      </c>
      <c r="G1453">
        <v>10180</v>
      </c>
      <c r="H1453">
        <v>4200</v>
      </c>
    </row>
    <row r="1454" spans="2:8">
      <c r="B1454" t="s">
        <v>587</v>
      </c>
      <c r="C1454" t="s">
        <v>289</v>
      </c>
      <c r="D1454">
        <v>10180</v>
      </c>
      <c r="E1454">
        <v>10185</v>
      </c>
      <c r="F1454">
        <v>10175</v>
      </c>
      <c r="G1454">
        <v>10180</v>
      </c>
      <c r="H1454">
        <v>12300</v>
      </c>
    </row>
    <row r="1455" spans="2:8">
      <c r="B1455" t="s">
        <v>587</v>
      </c>
      <c r="C1455" t="s">
        <v>290</v>
      </c>
      <c r="D1455">
        <v>10180</v>
      </c>
      <c r="E1455">
        <v>10190</v>
      </c>
      <c r="F1455">
        <v>10175</v>
      </c>
      <c r="G1455">
        <v>10185</v>
      </c>
      <c r="H1455">
        <v>7800</v>
      </c>
    </row>
    <row r="1456" spans="2:8">
      <c r="B1456" t="s">
        <v>587</v>
      </c>
      <c r="C1456" t="s">
        <v>291</v>
      </c>
      <c r="D1456">
        <v>10185</v>
      </c>
      <c r="E1456">
        <v>10200</v>
      </c>
      <c r="F1456">
        <v>10185</v>
      </c>
      <c r="G1456">
        <v>10190</v>
      </c>
      <c r="H1456">
        <v>19200</v>
      </c>
    </row>
    <row r="1457" spans="2:8">
      <c r="B1457" t="s">
        <v>587</v>
      </c>
      <c r="C1457" t="s">
        <v>292</v>
      </c>
      <c r="D1457">
        <v>10195</v>
      </c>
      <c r="E1457">
        <v>10200</v>
      </c>
      <c r="F1457">
        <v>10190</v>
      </c>
      <c r="G1457">
        <v>10195</v>
      </c>
      <c r="H1457">
        <v>31600</v>
      </c>
    </row>
    <row r="1458" spans="2:8">
      <c r="B1458" t="s">
        <v>587</v>
      </c>
      <c r="C1458" t="s">
        <v>293</v>
      </c>
      <c r="D1458">
        <v>10195</v>
      </c>
      <c r="E1458">
        <v>10200</v>
      </c>
      <c r="F1458">
        <v>10190</v>
      </c>
      <c r="G1458">
        <v>10195</v>
      </c>
      <c r="H1458">
        <v>8500</v>
      </c>
    </row>
    <row r="1459" spans="2:8">
      <c r="B1459" t="s">
        <v>587</v>
      </c>
      <c r="C1459" t="s">
        <v>294</v>
      </c>
      <c r="D1459">
        <v>10200</v>
      </c>
      <c r="E1459">
        <v>10200</v>
      </c>
      <c r="F1459">
        <v>10190</v>
      </c>
      <c r="G1459">
        <v>10190</v>
      </c>
      <c r="H1459">
        <v>4100</v>
      </c>
    </row>
    <row r="1460" spans="2:8">
      <c r="B1460" t="s">
        <v>587</v>
      </c>
      <c r="C1460" t="s">
        <v>295</v>
      </c>
      <c r="D1460">
        <v>10195</v>
      </c>
      <c r="E1460">
        <v>10205</v>
      </c>
      <c r="F1460">
        <v>10195</v>
      </c>
      <c r="G1460">
        <v>10205</v>
      </c>
      <c r="H1460">
        <v>18200</v>
      </c>
    </row>
    <row r="1461" spans="2:8">
      <c r="B1461" t="s">
        <v>587</v>
      </c>
      <c r="C1461" t="s">
        <v>296</v>
      </c>
      <c r="D1461">
        <v>10200</v>
      </c>
      <c r="E1461">
        <v>10205</v>
      </c>
      <c r="F1461">
        <v>10200</v>
      </c>
      <c r="G1461">
        <v>10200</v>
      </c>
      <c r="H1461">
        <v>10600</v>
      </c>
    </row>
    <row r="1462" spans="2:8">
      <c r="B1462" t="s">
        <v>587</v>
      </c>
      <c r="C1462" t="s">
        <v>297</v>
      </c>
      <c r="D1462">
        <v>10200</v>
      </c>
      <c r="E1462">
        <v>10210</v>
      </c>
      <c r="F1462">
        <v>10200</v>
      </c>
      <c r="G1462">
        <v>10210</v>
      </c>
      <c r="H1462">
        <v>18800</v>
      </c>
    </row>
    <row r="1463" spans="2:8">
      <c r="B1463" t="s">
        <v>587</v>
      </c>
      <c r="C1463" t="s">
        <v>298</v>
      </c>
      <c r="D1463">
        <v>10210</v>
      </c>
      <c r="E1463">
        <v>10230</v>
      </c>
      <c r="F1463">
        <v>10210</v>
      </c>
      <c r="G1463">
        <v>10225</v>
      </c>
      <c r="H1463">
        <v>39100</v>
      </c>
    </row>
    <row r="1464" spans="2:8">
      <c r="B1464" t="s">
        <v>587</v>
      </c>
      <c r="C1464" t="s">
        <v>299</v>
      </c>
      <c r="D1464">
        <v>10225</v>
      </c>
      <c r="E1464">
        <v>10230</v>
      </c>
      <c r="F1464">
        <v>10220</v>
      </c>
      <c r="G1464">
        <v>10230</v>
      </c>
      <c r="H1464">
        <v>9100</v>
      </c>
    </row>
    <row r="1465" spans="2:8">
      <c r="B1465" t="s">
        <v>587</v>
      </c>
      <c r="C1465" t="s">
        <v>300</v>
      </c>
      <c r="D1465">
        <v>10230</v>
      </c>
      <c r="E1465">
        <v>10230</v>
      </c>
      <c r="F1465">
        <v>10225</v>
      </c>
      <c r="G1465">
        <v>10230</v>
      </c>
      <c r="H1465">
        <v>11700</v>
      </c>
    </row>
    <row r="1466" spans="2:8">
      <c r="B1466" t="s">
        <v>587</v>
      </c>
      <c r="C1466" t="s">
        <v>301</v>
      </c>
      <c r="D1466">
        <v>10230</v>
      </c>
      <c r="E1466">
        <v>10235</v>
      </c>
      <c r="F1466">
        <v>10225</v>
      </c>
      <c r="G1466">
        <v>10230</v>
      </c>
      <c r="H1466">
        <v>12000</v>
      </c>
    </row>
    <row r="1467" spans="2:8">
      <c r="B1467" t="s">
        <v>587</v>
      </c>
      <c r="C1467" t="s">
        <v>302</v>
      </c>
      <c r="D1467">
        <v>10230</v>
      </c>
      <c r="E1467">
        <v>10240</v>
      </c>
      <c r="F1467">
        <v>10230</v>
      </c>
      <c r="G1467">
        <v>10235</v>
      </c>
      <c r="H1467">
        <v>11400</v>
      </c>
    </row>
    <row r="1468" spans="2:8">
      <c r="B1468" t="s">
        <v>587</v>
      </c>
      <c r="C1468" t="s">
        <v>303</v>
      </c>
      <c r="D1468">
        <v>10240</v>
      </c>
      <c r="E1468">
        <v>10240</v>
      </c>
      <c r="F1468">
        <v>10215</v>
      </c>
      <c r="G1468">
        <v>10230</v>
      </c>
      <c r="H1468">
        <v>37400</v>
      </c>
    </row>
    <row r="1469" spans="2:8">
      <c r="B1469" t="s">
        <v>587</v>
      </c>
      <c r="C1469" t="s">
        <v>304</v>
      </c>
      <c r="D1469">
        <v>10235</v>
      </c>
      <c r="E1469">
        <v>10265</v>
      </c>
      <c r="F1469">
        <v>10230</v>
      </c>
      <c r="G1469">
        <v>10265</v>
      </c>
      <c r="H1469">
        <v>78900</v>
      </c>
    </row>
    <row r="1470" spans="2:8">
      <c r="B1470" t="s">
        <v>587</v>
      </c>
      <c r="C1470" t="s">
        <v>305</v>
      </c>
      <c r="D1470">
        <v>10265</v>
      </c>
      <c r="E1470">
        <v>10270</v>
      </c>
      <c r="F1470">
        <v>10255</v>
      </c>
      <c r="G1470">
        <v>10260</v>
      </c>
      <c r="H1470">
        <v>41300</v>
      </c>
    </row>
    <row r="1471" spans="2:8">
      <c r="B1471" t="s">
        <v>587</v>
      </c>
      <c r="C1471" t="s">
        <v>306</v>
      </c>
      <c r="D1471">
        <v>10255</v>
      </c>
      <c r="E1471">
        <v>10255</v>
      </c>
      <c r="F1471">
        <v>10245</v>
      </c>
      <c r="G1471">
        <v>10250</v>
      </c>
      <c r="H1471">
        <v>18900</v>
      </c>
    </row>
    <row r="1472" spans="2:8">
      <c r="B1472" t="s">
        <v>587</v>
      </c>
      <c r="C1472" t="s">
        <v>307</v>
      </c>
      <c r="D1472">
        <v>10250</v>
      </c>
      <c r="E1472">
        <v>10250</v>
      </c>
      <c r="F1472">
        <v>10235</v>
      </c>
      <c r="G1472">
        <v>10245</v>
      </c>
      <c r="H1472">
        <v>22200</v>
      </c>
    </row>
    <row r="1473" spans="2:8">
      <c r="B1473" t="s">
        <v>587</v>
      </c>
      <c r="C1473" t="s">
        <v>308</v>
      </c>
      <c r="D1473">
        <v>10245</v>
      </c>
      <c r="E1473">
        <v>10250</v>
      </c>
      <c r="F1473">
        <v>10230</v>
      </c>
      <c r="G1473">
        <v>10240</v>
      </c>
      <c r="H1473">
        <v>26800</v>
      </c>
    </row>
    <row r="1474" spans="2:8">
      <c r="B1474" t="s">
        <v>587</v>
      </c>
      <c r="C1474" t="s">
        <v>309</v>
      </c>
      <c r="D1474">
        <v>10235</v>
      </c>
      <c r="E1474">
        <v>10245</v>
      </c>
      <c r="F1474">
        <v>10230</v>
      </c>
      <c r="G1474">
        <v>10240</v>
      </c>
      <c r="H1474">
        <v>18900</v>
      </c>
    </row>
    <row r="1475" spans="2:8">
      <c r="B1475" t="s">
        <v>587</v>
      </c>
      <c r="C1475" t="s">
        <v>310</v>
      </c>
      <c r="D1475">
        <v>10245</v>
      </c>
      <c r="E1475">
        <v>10255</v>
      </c>
      <c r="F1475">
        <v>10240</v>
      </c>
      <c r="G1475">
        <v>10255</v>
      </c>
      <c r="H1475">
        <v>18600</v>
      </c>
    </row>
    <row r="1476" spans="2:8">
      <c r="B1476" t="s">
        <v>587</v>
      </c>
      <c r="C1476" t="s">
        <v>311</v>
      </c>
      <c r="D1476">
        <v>10255</v>
      </c>
      <c r="E1476">
        <v>10260</v>
      </c>
      <c r="F1476">
        <v>10245</v>
      </c>
      <c r="G1476">
        <v>10260</v>
      </c>
      <c r="H1476">
        <v>7900</v>
      </c>
    </row>
    <row r="1477" spans="2:8">
      <c r="B1477" t="s">
        <v>587</v>
      </c>
      <c r="C1477" t="s">
        <v>312</v>
      </c>
      <c r="D1477">
        <v>10255</v>
      </c>
      <c r="E1477">
        <v>10260</v>
      </c>
      <c r="F1477">
        <v>10250</v>
      </c>
      <c r="G1477">
        <v>10255</v>
      </c>
      <c r="H1477">
        <v>25900</v>
      </c>
    </row>
    <row r="1478" spans="2:8">
      <c r="B1478" t="s">
        <v>587</v>
      </c>
      <c r="C1478" t="s">
        <v>313</v>
      </c>
      <c r="D1478">
        <v>10255</v>
      </c>
      <c r="E1478">
        <v>10265</v>
      </c>
      <c r="F1478">
        <v>10255</v>
      </c>
      <c r="G1478">
        <v>10260</v>
      </c>
      <c r="H1478">
        <v>10200</v>
      </c>
    </row>
    <row r="1479" spans="2:8">
      <c r="B1479" t="s">
        <v>587</v>
      </c>
      <c r="C1479" t="s">
        <v>314</v>
      </c>
      <c r="D1479">
        <v>10260</v>
      </c>
      <c r="E1479">
        <v>10265</v>
      </c>
      <c r="F1479">
        <v>10235</v>
      </c>
      <c r="G1479">
        <v>10240</v>
      </c>
      <c r="H1479">
        <v>32700</v>
      </c>
    </row>
    <row r="1480" spans="2:8">
      <c r="B1480" t="s">
        <v>587</v>
      </c>
      <c r="C1480" t="s">
        <v>315</v>
      </c>
      <c r="D1480">
        <v>10240</v>
      </c>
      <c r="E1480">
        <v>10255</v>
      </c>
      <c r="F1480">
        <v>10235</v>
      </c>
      <c r="G1480">
        <v>10250</v>
      </c>
      <c r="H1480">
        <v>17300</v>
      </c>
    </row>
    <row r="1481" spans="2:8">
      <c r="B1481" t="s">
        <v>587</v>
      </c>
      <c r="C1481" t="s">
        <v>316</v>
      </c>
      <c r="D1481">
        <v>10255</v>
      </c>
      <c r="E1481">
        <v>10255</v>
      </c>
      <c r="F1481">
        <v>10255</v>
      </c>
      <c r="G1481">
        <v>10255</v>
      </c>
      <c r="H1481">
        <v>9600</v>
      </c>
    </row>
    <row r="1482" spans="2:8">
      <c r="B1482" t="s">
        <v>587</v>
      </c>
      <c r="C1482" t="s">
        <v>317</v>
      </c>
      <c r="D1482">
        <v>10285</v>
      </c>
      <c r="E1482">
        <v>10335</v>
      </c>
      <c r="F1482">
        <v>10280</v>
      </c>
      <c r="G1482">
        <v>10330</v>
      </c>
      <c r="H1482">
        <v>299000</v>
      </c>
    </row>
    <row r="1483" spans="2:8">
      <c r="B1483" t="s">
        <v>587</v>
      </c>
      <c r="C1483" t="s">
        <v>318</v>
      </c>
      <c r="D1483">
        <v>10335</v>
      </c>
      <c r="E1483">
        <v>10340</v>
      </c>
      <c r="F1483">
        <v>10300</v>
      </c>
      <c r="G1483">
        <v>10305</v>
      </c>
      <c r="H1483">
        <v>81500</v>
      </c>
    </row>
    <row r="1484" spans="2:8">
      <c r="B1484" t="s">
        <v>587</v>
      </c>
      <c r="C1484" t="s">
        <v>319</v>
      </c>
      <c r="D1484">
        <v>10300</v>
      </c>
      <c r="E1484">
        <v>10320</v>
      </c>
      <c r="F1484">
        <v>10290</v>
      </c>
      <c r="G1484">
        <v>10315</v>
      </c>
      <c r="H1484">
        <v>52000</v>
      </c>
    </row>
    <row r="1485" spans="2:8">
      <c r="B1485" t="s">
        <v>587</v>
      </c>
      <c r="C1485" t="s">
        <v>320</v>
      </c>
      <c r="D1485">
        <v>10310</v>
      </c>
      <c r="E1485">
        <v>10340</v>
      </c>
      <c r="F1485">
        <v>10305</v>
      </c>
      <c r="G1485">
        <v>10340</v>
      </c>
      <c r="H1485">
        <v>97700</v>
      </c>
    </row>
    <row r="1486" spans="2:8">
      <c r="B1486" t="s">
        <v>587</v>
      </c>
      <c r="C1486" t="s">
        <v>321</v>
      </c>
      <c r="D1486">
        <v>10340</v>
      </c>
      <c r="E1486">
        <v>10345</v>
      </c>
      <c r="F1486">
        <v>10335</v>
      </c>
      <c r="G1486">
        <v>10345</v>
      </c>
      <c r="H1486">
        <v>32100</v>
      </c>
    </row>
    <row r="1487" spans="2:8">
      <c r="B1487" t="s">
        <v>587</v>
      </c>
      <c r="C1487" t="s">
        <v>322</v>
      </c>
      <c r="D1487">
        <v>10340</v>
      </c>
      <c r="E1487">
        <v>10375</v>
      </c>
      <c r="F1487">
        <v>10325</v>
      </c>
      <c r="G1487">
        <v>10325</v>
      </c>
      <c r="H1487">
        <v>156200</v>
      </c>
    </row>
    <row r="1488" spans="2:8">
      <c r="B1488" t="s">
        <v>587</v>
      </c>
      <c r="C1488" t="s">
        <v>323</v>
      </c>
      <c r="D1488">
        <v>10330</v>
      </c>
      <c r="E1488">
        <v>10335</v>
      </c>
      <c r="F1488">
        <v>10310</v>
      </c>
      <c r="G1488">
        <v>10310</v>
      </c>
      <c r="H1488">
        <v>43700</v>
      </c>
    </row>
    <row r="1489" spans="2:8">
      <c r="B1489" t="s">
        <v>587</v>
      </c>
      <c r="C1489" t="s">
        <v>324</v>
      </c>
      <c r="D1489">
        <v>10315</v>
      </c>
      <c r="E1489">
        <v>10315</v>
      </c>
      <c r="F1489">
        <v>10300</v>
      </c>
      <c r="G1489">
        <v>10310</v>
      </c>
      <c r="H1489">
        <v>32800</v>
      </c>
    </row>
    <row r="1490" spans="2:8">
      <c r="B1490" t="s">
        <v>587</v>
      </c>
      <c r="C1490" t="s">
        <v>325</v>
      </c>
      <c r="D1490">
        <v>10305</v>
      </c>
      <c r="E1490">
        <v>10315</v>
      </c>
      <c r="F1490">
        <v>10290</v>
      </c>
      <c r="G1490">
        <v>10305</v>
      </c>
      <c r="H1490">
        <v>55300</v>
      </c>
    </row>
    <row r="1491" spans="2:8">
      <c r="B1491" t="s">
        <v>587</v>
      </c>
      <c r="C1491" t="s">
        <v>326</v>
      </c>
      <c r="D1491">
        <v>10305</v>
      </c>
      <c r="E1491">
        <v>10310</v>
      </c>
      <c r="F1491">
        <v>10300</v>
      </c>
      <c r="G1491">
        <v>10305</v>
      </c>
      <c r="H1491">
        <v>11200</v>
      </c>
    </row>
    <row r="1492" spans="2:8">
      <c r="B1492" t="s">
        <v>587</v>
      </c>
      <c r="C1492" t="s">
        <v>327</v>
      </c>
      <c r="D1492">
        <v>10305</v>
      </c>
      <c r="E1492">
        <v>10325</v>
      </c>
      <c r="F1492">
        <v>10305</v>
      </c>
      <c r="G1492">
        <v>10325</v>
      </c>
      <c r="H1492">
        <v>58500</v>
      </c>
    </row>
    <row r="1493" spans="2:8">
      <c r="B1493" t="s">
        <v>587</v>
      </c>
      <c r="C1493" t="s">
        <v>328</v>
      </c>
      <c r="D1493">
        <v>10325</v>
      </c>
      <c r="E1493">
        <v>10325</v>
      </c>
      <c r="F1493">
        <v>10315</v>
      </c>
      <c r="G1493">
        <v>10320</v>
      </c>
      <c r="H1493">
        <v>14800</v>
      </c>
    </row>
    <row r="1494" spans="2:8">
      <c r="B1494" t="s">
        <v>587</v>
      </c>
      <c r="C1494" t="s">
        <v>329</v>
      </c>
      <c r="D1494">
        <v>10325</v>
      </c>
      <c r="E1494">
        <v>10330</v>
      </c>
      <c r="F1494">
        <v>10315</v>
      </c>
      <c r="G1494">
        <v>10325</v>
      </c>
      <c r="H1494">
        <v>60600</v>
      </c>
    </row>
    <row r="1495" spans="2:8">
      <c r="B1495" t="s">
        <v>587</v>
      </c>
      <c r="C1495" t="s">
        <v>330</v>
      </c>
      <c r="D1495">
        <v>10325</v>
      </c>
      <c r="E1495">
        <v>10330</v>
      </c>
      <c r="F1495">
        <v>10325</v>
      </c>
      <c r="G1495">
        <v>10325</v>
      </c>
      <c r="H1495">
        <v>31000</v>
      </c>
    </row>
    <row r="1496" spans="2:8">
      <c r="B1496" t="s">
        <v>587</v>
      </c>
      <c r="C1496" t="s">
        <v>331</v>
      </c>
      <c r="D1496">
        <v>10325</v>
      </c>
      <c r="E1496">
        <v>10340</v>
      </c>
      <c r="F1496">
        <v>10325</v>
      </c>
      <c r="G1496">
        <v>10330</v>
      </c>
      <c r="H1496">
        <v>35400</v>
      </c>
    </row>
    <row r="1497" spans="2:8">
      <c r="B1497" t="s">
        <v>587</v>
      </c>
      <c r="C1497" t="s">
        <v>332</v>
      </c>
      <c r="D1497">
        <v>10325</v>
      </c>
      <c r="E1497">
        <v>10335</v>
      </c>
      <c r="F1497">
        <v>10315</v>
      </c>
      <c r="G1497">
        <v>10320</v>
      </c>
      <c r="H1497">
        <v>57900</v>
      </c>
    </row>
    <row r="1498" spans="2:8">
      <c r="B1498" t="s">
        <v>587</v>
      </c>
      <c r="C1498" t="s">
        <v>333</v>
      </c>
      <c r="D1498">
        <v>10320</v>
      </c>
      <c r="E1498">
        <v>10325</v>
      </c>
      <c r="F1498">
        <v>10315</v>
      </c>
      <c r="G1498">
        <v>10325</v>
      </c>
      <c r="H1498">
        <v>15400</v>
      </c>
    </row>
    <row r="1499" spans="2:8">
      <c r="B1499" t="s">
        <v>587</v>
      </c>
      <c r="C1499" t="s">
        <v>334</v>
      </c>
      <c r="D1499">
        <v>10320</v>
      </c>
      <c r="E1499">
        <v>10330</v>
      </c>
      <c r="F1499">
        <v>10315</v>
      </c>
      <c r="G1499">
        <v>10325</v>
      </c>
      <c r="H1499">
        <v>31500</v>
      </c>
    </row>
    <row r="1500" spans="2:8">
      <c r="B1500" t="s">
        <v>587</v>
      </c>
      <c r="C1500" t="s">
        <v>335</v>
      </c>
      <c r="D1500">
        <v>10325</v>
      </c>
      <c r="E1500">
        <v>10330</v>
      </c>
      <c r="F1500">
        <v>10315</v>
      </c>
      <c r="G1500">
        <v>10315</v>
      </c>
      <c r="H1500">
        <v>14800</v>
      </c>
    </row>
    <row r="1501" spans="2:8">
      <c r="B1501" t="s">
        <v>587</v>
      </c>
      <c r="C1501" t="s">
        <v>336</v>
      </c>
      <c r="D1501">
        <v>10315</v>
      </c>
      <c r="E1501">
        <v>10325</v>
      </c>
      <c r="F1501">
        <v>10315</v>
      </c>
      <c r="G1501">
        <v>10320</v>
      </c>
      <c r="H1501">
        <v>11700</v>
      </c>
    </row>
    <row r="1502" spans="2:8">
      <c r="B1502" t="s">
        <v>587</v>
      </c>
      <c r="C1502" t="s">
        <v>337</v>
      </c>
      <c r="D1502">
        <v>10320</v>
      </c>
      <c r="E1502">
        <v>10325</v>
      </c>
      <c r="F1502">
        <v>10285</v>
      </c>
      <c r="G1502">
        <v>10300</v>
      </c>
      <c r="H1502">
        <v>114800</v>
      </c>
    </row>
    <row r="1503" spans="2:8">
      <c r="B1503" t="s">
        <v>587</v>
      </c>
      <c r="C1503" t="s">
        <v>338</v>
      </c>
      <c r="D1503">
        <v>10300</v>
      </c>
      <c r="E1503">
        <v>10305</v>
      </c>
      <c r="F1503">
        <v>10300</v>
      </c>
      <c r="G1503">
        <v>10300</v>
      </c>
      <c r="H1503">
        <v>8900</v>
      </c>
    </row>
    <row r="1504" spans="2:8">
      <c r="B1504" t="s">
        <v>587</v>
      </c>
      <c r="C1504" t="s">
        <v>339</v>
      </c>
      <c r="D1504">
        <v>10300</v>
      </c>
      <c r="E1504">
        <v>10330</v>
      </c>
      <c r="F1504">
        <v>10300</v>
      </c>
      <c r="G1504">
        <v>10320</v>
      </c>
      <c r="H1504">
        <v>55300</v>
      </c>
    </row>
    <row r="1505" spans="2:8">
      <c r="B1505" t="s">
        <v>587</v>
      </c>
      <c r="C1505" t="s">
        <v>340</v>
      </c>
      <c r="D1505">
        <v>10325</v>
      </c>
      <c r="E1505">
        <v>10330</v>
      </c>
      <c r="F1505">
        <v>10320</v>
      </c>
      <c r="G1505">
        <v>10325</v>
      </c>
      <c r="H1505">
        <v>11000</v>
      </c>
    </row>
    <row r="1506" spans="2:8">
      <c r="B1506" t="s">
        <v>587</v>
      </c>
      <c r="C1506" t="s">
        <v>341</v>
      </c>
      <c r="D1506">
        <v>10325</v>
      </c>
      <c r="E1506">
        <v>10325</v>
      </c>
      <c r="F1506">
        <v>10310</v>
      </c>
      <c r="G1506">
        <v>10320</v>
      </c>
      <c r="H1506">
        <v>17000</v>
      </c>
    </row>
    <row r="1507" spans="2:8">
      <c r="B1507" t="s">
        <v>587</v>
      </c>
      <c r="C1507" t="s">
        <v>342</v>
      </c>
      <c r="D1507">
        <v>10320</v>
      </c>
      <c r="E1507">
        <v>10320</v>
      </c>
      <c r="F1507">
        <v>10310</v>
      </c>
      <c r="G1507">
        <v>10320</v>
      </c>
      <c r="H1507">
        <v>11400</v>
      </c>
    </row>
    <row r="1508" spans="2:8">
      <c r="B1508" t="s">
        <v>587</v>
      </c>
      <c r="C1508" t="s">
        <v>343</v>
      </c>
      <c r="D1508">
        <v>10315</v>
      </c>
      <c r="E1508">
        <v>10320</v>
      </c>
      <c r="F1508">
        <v>10290</v>
      </c>
      <c r="G1508">
        <v>10295</v>
      </c>
      <c r="H1508">
        <v>60400</v>
      </c>
    </row>
    <row r="1509" spans="2:8">
      <c r="B1509" t="s">
        <v>587</v>
      </c>
      <c r="C1509" t="s">
        <v>344</v>
      </c>
      <c r="D1509">
        <v>10295</v>
      </c>
      <c r="E1509">
        <v>10310</v>
      </c>
      <c r="F1509">
        <v>10290</v>
      </c>
      <c r="G1509">
        <v>10310</v>
      </c>
      <c r="H1509">
        <v>20200</v>
      </c>
    </row>
    <row r="1510" spans="2:8">
      <c r="B1510" t="s">
        <v>587</v>
      </c>
      <c r="C1510" t="s">
        <v>345</v>
      </c>
      <c r="D1510">
        <v>10310</v>
      </c>
      <c r="E1510">
        <v>10310</v>
      </c>
      <c r="F1510">
        <v>10300</v>
      </c>
      <c r="G1510">
        <v>10305</v>
      </c>
      <c r="H1510">
        <v>21200</v>
      </c>
    </row>
    <row r="1511" spans="2:8">
      <c r="B1511" t="s">
        <v>587</v>
      </c>
      <c r="C1511" t="s">
        <v>346</v>
      </c>
      <c r="D1511">
        <v>10310</v>
      </c>
      <c r="E1511">
        <v>10310</v>
      </c>
      <c r="F1511">
        <v>10300</v>
      </c>
      <c r="G1511">
        <v>10300</v>
      </c>
      <c r="H1511">
        <v>12700</v>
      </c>
    </row>
    <row r="1512" spans="2:8">
      <c r="B1512" t="s">
        <v>587</v>
      </c>
      <c r="C1512" t="s">
        <v>347</v>
      </c>
      <c r="D1512">
        <v>10305</v>
      </c>
      <c r="E1512">
        <v>10310</v>
      </c>
      <c r="F1512">
        <v>10300</v>
      </c>
      <c r="G1512">
        <v>10305</v>
      </c>
      <c r="H1512">
        <v>16700</v>
      </c>
    </row>
    <row r="1513" spans="2:8">
      <c r="B1513" t="s">
        <v>587</v>
      </c>
      <c r="C1513" t="s">
        <v>348</v>
      </c>
      <c r="D1513">
        <v>10300</v>
      </c>
      <c r="E1513">
        <v>10335</v>
      </c>
      <c r="F1513">
        <v>10300</v>
      </c>
      <c r="G1513">
        <v>10320</v>
      </c>
      <c r="H1513">
        <v>80000</v>
      </c>
    </row>
    <row r="1514" spans="2:8">
      <c r="B1514" t="s">
        <v>587</v>
      </c>
      <c r="C1514" t="s">
        <v>349</v>
      </c>
      <c r="D1514">
        <v>10320</v>
      </c>
      <c r="E1514">
        <v>10325</v>
      </c>
      <c r="F1514">
        <v>10315</v>
      </c>
      <c r="G1514">
        <v>10320</v>
      </c>
      <c r="H1514">
        <v>6000</v>
      </c>
    </row>
    <row r="1515" spans="2:8">
      <c r="B1515" t="s">
        <v>587</v>
      </c>
      <c r="C1515" t="s">
        <v>350</v>
      </c>
      <c r="D1515">
        <v>10325</v>
      </c>
      <c r="E1515">
        <v>10325</v>
      </c>
      <c r="F1515">
        <v>10320</v>
      </c>
      <c r="G1515">
        <v>10320</v>
      </c>
      <c r="H1515">
        <v>10500</v>
      </c>
    </row>
    <row r="1516" spans="2:8">
      <c r="B1516" t="s">
        <v>587</v>
      </c>
      <c r="C1516" t="s">
        <v>351</v>
      </c>
      <c r="D1516">
        <v>10320</v>
      </c>
      <c r="E1516">
        <v>10320</v>
      </c>
      <c r="F1516">
        <v>10315</v>
      </c>
      <c r="G1516">
        <v>10315</v>
      </c>
      <c r="H1516">
        <v>10200</v>
      </c>
    </row>
    <row r="1517" spans="2:8">
      <c r="B1517" t="s">
        <v>587</v>
      </c>
      <c r="C1517" t="s">
        <v>352</v>
      </c>
      <c r="D1517">
        <v>10315</v>
      </c>
      <c r="E1517">
        <v>10315</v>
      </c>
      <c r="F1517">
        <v>10310</v>
      </c>
      <c r="G1517">
        <v>10310</v>
      </c>
      <c r="H1517">
        <v>11000</v>
      </c>
    </row>
    <row r="1518" spans="2:8">
      <c r="B1518" t="s">
        <v>587</v>
      </c>
      <c r="C1518" t="s">
        <v>353</v>
      </c>
      <c r="D1518">
        <v>10310</v>
      </c>
      <c r="E1518">
        <v>10310</v>
      </c>
      <c r="F1518">
        <v>10295</v>
      </c>
      <c r="G1518">
        <v>10305</v>
      </c>
      <c r="H1518">
        <v>34300</v>
      </c>
    </row>
    <row r="1519" spans="2:8">
      <c r="B1519" t="s">
        <v>587</v>
      </c>
      <c r="C1519" t="s">
        <v>354</v>
      </c>
      <c r="D1519">
        <v>10305</v>
      </c>
      <c r="E1519">
        <v>10315</v>
      </c>
      <c r="F1519">
        <v>10305</v>
      </c>
      <c r="G1519">
        <v>10315</v>
      </c>
      <c r="H1519">
        <v>8200</v>
      </c>
    </row>
    <row r="1520" spans="2:8">
      <c r="B1520" t="s">
        <v>587</v>
      </c>
      <c r="C1520" t="s">
        <v>355</v>
      </c>
      <c r="D1520">
        <v>10315</v>
      </c>
      <c r="E1520">
        <v>10315</v>
      </c>
      <c r="F1520">
        <v>10305</v>
      </c>
      <c r="G1520">
        <v>10310</v>
      </c>
      <c r="H1520">
        <v>6200</v>
      </c>
    </row>
    <row r="1521" spans="2:8">
      <c r="B1521" t="s">
        <v>587</v>
      </c>
      <c r="C1521" t="s">
        <v>356</v>
      </c>
      <c r="D1521">
        <v>10305</v>
      </c>
      <c r="E1521">
        <v>10310</v>
      </c>
      <c r="F1521">
        <v>10305</v>
      </c>
      <c r="G1521">
        <v>10305</v>
      </c>
      <c r="H1521">
        <v>2500</v>
      </c>
    </row>
    <row r="1522" spans="2:8">
      <c r="B1522" t="s">
        <v>587</v>
      </c>
      <c r="C1522" t="s">
        <v>357</v>
      </c>
      <c r="D1522">
        <v>10305</v>
      </c>
      <c r="E1522">
        <v>10315</v>
      </c>
      <c r="F1522">
        <v>10285</v>
      </c>
      <c r="G1522">
        <v>10305</v>
      </c>
      <c r="H1522">
        <v>72400</v>
      </c>
    </row>
    <row r="1523" spans="2:8">
      <c r="B1523" t="s">
        <v>587</v>
      </c>
      <c r="C1523" t="s">
        <v>358</v>
      </c>
      <c r="D1523">
        <v>10310</v>
      </c>
      <c r="E1523">
        <v>10310</v>
      </c>
      <c r="F1523">
        <v>10305</v>
      </c>
      <c r="G1523">
        <v>10310</v>
      </c>
      <c r="H1523">
        <v>2400</v>
      </c>
    </row>
    <row r="1524" spans="2:8">
      <c r="B1524" t="s">
        <v>587</v>
      </c>
      <c r="C1524" t="s">
        <v>359</v>
      </c>
      <c r="D1524">
        <v>10305</v>
      </c>
      <c r="E1524">
        <v>10315</v>
      </c>
      <c r="F1524">
        <v>10300</v>
      </c>
      <c r="G1524">
        <v>10310</v>
      </c>
      <c r="H1524">
        <v>17700</v>
      </c>
    </row>
    <row r="1525" spans="2:8">
      <c r="B1525" t="s">
        <v>587</v>
      </c>
      <c r="C1525" t="s">
        <v>360</v>
      </c>
      <c r="D1525">
        <v>10315</v>
      </c>
      <c r="E1525">
        <v>10320</v>
      </c>
      <c r="F1525">
        <v>10310</v>
      </c>
      <c r="G1525">
        <v>10315</v>
      </c>
      <c r="H1525">
        <v>14700</v>
      </c>
    </row>
    <row r="1526" spans="2:8">
      <c r="B1526" t="s">
        <v>587</v>
      </c>
      <c r="C1526" t="s">
        <v>361</v>
      </c>
      <c r="D1526">
        <v>10315</v>
      </c>
      <c r="E1526">
        <v>10320</v>
      </c>
      <c r="F1526">
        <v>10315</v>
      </c>
      <c r="G1526">
        <v>10320</v>
      </c>
      <c r="H1526">
        <v>8700</v>
      </c>
    </row>
    <row r="1527" spans="2:8">
      <c r="B1527" t="s">
        <v>587</v>
      </c>
      <c r="C1527" t="s">
        <v>362</v>
      </c>
      <c r="D1527">
        <v>10320</v>
      </c>
      <c r="E1527">
        <v>10325</v>
      </c>
      <c r="F1527">
        <v>10315</v>
      </c>
      <c r="G1527">
        <v>10320</v>
      </c>
      <c r="H1527">
        <v>14700</v>
      </c>
    </row>
    <row r="1528" spans="2:8">
      <c r="B1528" t="s">
        <v>587</v>
      </c>
      <c r="C1528" t="s">
        <v>363</v>
      </c>
      <c r="D1528">
        <v>10325</v>
      </c>
      <c r="E1528">
        <v>10330</v>
      </c>
      <c r="F1528">
        <v>10325</v>
      </c>
      <c r="G1528">
        <v>10330</v>
      </c>
      <c r="H1528">
        <v>17800</v>
      </c>
    </row>
    <row r="1529" spans="2:8">
      <c r="B1529" t="s">
        <v>587</v>
      </c>
      <c r="C1529" t="s">
        <v>364</v>
      </c>
      <c r="D1529">
        <v>10330</v>
      </c>
      <c r="E1529">
        <v>10335</v>
      </c>
      <c r="F1529">
        <v>10325</v>
      </c>
      <c r="G1529">
        <v>10335</v>
      </c>
      <c r="H1529">
        <v>17700</v>
      </c>
    </row>
    <row r="1530" spans="2:8">
      <c r="B1530" t="s">
        <v>587</v>
      </c>
      <c r="C1530" t="s">
        <v>365</v>
      </c>
      <c r="D1530">
        <v>10335</v>
      </c>
      <c r="E1530">
        <v>10335</v>
      </c>
      <c r="F1530">
        <v>10330</v>
      </c>
      <c r="G1530">
        <v>10330</v>
      </c>
      <c r="H1530">
        <v>16100</v>
      </c>
    </row>
    <row r="1531" spans="2:8">
      <c r="B1531" t="s">
        <v>587</v>
      </c>
      <c r="C1531" t="s">
        <v>366</v>
      </c>
      <c r="D1531">
        <v>10330</v>
      </c>
      <c r="E1531">
        <v>10340</v>
      </c>
      <c r="F1531">
        <v>10330</v>
      </c>
      <c r="G1531">
        <v>10340</v>
      </c>
      <c r="H1531">
        <v>10900</v>
      </c>
    </row>
    <row r="1532" spans="2:8">
      <c r="B1532" t="s">
        <v>587</v>
      </c>
      <c r="C1532" t="s">
        <v>367</v>
      </c>
      <c r="D1532">
        <v>10340</v>
      </c>
      <c r="E1532">
        <v>10340</v>
      </c>
      <c r="F1532">
        <v>10325</v>
      </c>
      <c r="G1532">
        <v>10330</v>
      </c>
      <c r="H1532">
        <v>55800</v>
      </c>
    </row>
    <row r="1533" spans="2:8">
      <c r="B1533" t="s">
        <v>587</v>
      </c>
      <c r="C1533" t="s">
        <v>368</v>
      </c>
      <c r="D1533">
        <v>10330</v>
      </c>
      <c r="E1533">
        <v>10350</v>
      </c>
      <c r="F1533">
        <v>10330</v>
      </c>
      <c r="G1533">
        <v>10350</v>
      </c>
      <c r="H1533">
        <v>67400</v>
      </c>
    </row>
    <row r="1534" spans="2:8">
      <c r="B1534" t="s">
        <v>587</v>
      </c>
      <c r="C1534" t="s">
        <v>369</v>
      </c>
      <c r="D1534">
        <v>10350</v>
      </c>
      <c r="E1534">
        <v>10355</v>
      </c>
      <c r="F1534">
        <v>10345</v>
      </c>
      <c r="G1534">
        <v>10355</v>
      </c>
      <c r="H1534">
        <v>36700</v>
      </c>
    </row>
    <row r="1535" spans="2:8">
      <c r="B1535" t="s">
        <v>587</v>
      </c>
      <c r="C1535" t="s">
        <v>370</v>
      </c>
      <c r="D1535">
        <v>10350</v>
      </c>
      <c r="E1535">
        <v>10355</v>
      </c>
      <c r="F1535">
        <v>10340</v>
      </c>
      <c r="G1535">
        <v>10340</v>
      </c>
      <c r="H1535">
        <v>18400</v>
      </c>
    </row>
    <row r="1536" spans="2:8">
      <c r="B1536" t="s">
        <v>587</v>
      </c>
      <c r="C1536" t="s">
        <v>371</v>
      </c>
      <c r="D1536">
        <v>10345</v>
      </c>
      <c r="E1536">
        <v>10360</v>
      </c>
      <c r="F1536">
        <v>10345</v>
      </c>
      <c r="G1536">
        <v>10360</v>
      </c>
      <c r="H1536">
        <v>39300</v>
      </c>
    </row>
    <row r="1537" spans="2:8">
      <c r="B1537" t="s">
        <v>587</v>
      </c>
      <c r="C1537" t="s">
        <v>372</v>
      </c>
      <c r="D1537">
        <v>10360</v>
      </c>
      <c r="E1537">
        <v>10360</v>
      </c>
      <c r="F1537">
        <v>10345</v>
      </c>
      <c r="G1537">
        <v>10350</v>
      </c>
      <c r="H1537">
        <v>55300</v>
      </c>
    </row>
    <row r="1538" spans="2:8">
      <c r="B1538" t="s">
        <v>587</v>
      </c>
      <c r="C1538" t="s">
        <v>373</v>
      </c>
      <c r="D1538">
        <v>10350</v>
      </c>
      <c r="E1538">
        <v>10355</v>
      </c>
      <c r="F1538">
        <v>10345</v>
      </c>
      <c r="G1538">
        <v>10350</v>
      </c>
      <c r="H1538">
        <v>15800</v>
      </c>
    </row>
    <row r="1539" spans="2:8">
      <c r="B1539" t="s">
        <v>587</v>
      </c>
      <c r="C1539" t="s">
        <v>374</v>
      </c>
      <c r="D1539">
        <v>10350</v>
      </c>
      <c r="E1539">
        <v>10360</v>
      </c>
      <c r="F1539">
        <v>10340</v>
      </c>
      <c r="G1539">
        <v>10350</v>
      </c>
      <c r="H1539">
        <v>46300</v>
      </c>
    </row>
    <row r="1540" spans="2:8">
      <c r="B1540" t="s">
        <v>587</v>
      </c>
      <c r="C1540" t="s">
        <v>375</v>
      </c>
      <c r="D1540">
        <v>10355</v>
      </c>
      <c r="E1540">
        <v>10355</v>
      </c>
      <c r="F1540">
        <v>10350</v>
      </c>
      <c r="G1540">
        <v>10350</v>
      </c>
      <c r="H1540">
        <v>6500</v>
      </c>
    </row>
    <row r="1541" spans="2:8">
      <c r="B1541" t="s">
        <v>587</v>
      </c>
      <c r="C1541" t="s">
        <v>376</v>
      </c>
      <c r="D1541">
        <v>10350</v>
      </c>
      <c r="E1541">
        <v>10355</v>
      </c>
      <c r="F1541">
        <v>10350</v>
      </c>
      <c r="G1541">
        <v>10355</v>
      </c>
      <c r="H1541">
        <v>4300</v>
      </c>
    </row>
    <row r="1542" spans="2:8">
      <c r="B1542" t="s">
        <v>587</v>
      </c>
      <c r="C1542" t="s">
        <v>377</v>
      </c>
      <c r="D1542">
        <v>10350</v>
      </c>
      <c r="E1542">
        <v>10365</v>
      </c>
      <c r="F1542">
        <v>10345</v>
      </c>
      <c r="G1542">
        <v>10365</v>
      </c>
      <c r="H1542">
        <v>58100</v>
      </c>
    </row>
    <row r="1543" spans="2:8">
      <c r="B1543" t="s">
        <v>587</v>
      </c>
      <c r="C1543" t="s">
        <v>378</v>
      </c>
      <c r="D1543">
        <v>10370</v>
      </c>
      <c r="E1543">
        <v>10375</v>
      </c>
      <c r="F1543">
        <v>10365</v>
      </c>
      <c r="G1543">
        <v>10375</v>
      </c>
      <c r="H1543">
        <v>29400</v>
      </c>
    </row>
    <row r="1544" spans="2:8">
      <c r="B1544" t="s">
        <v>587</v>
      </c>
      <c r="C1544" t="s">
        <v>379</v>
      </c>
      <c r="D1544">
        <v>10375</v>
      </c>
      <c r="E1544">
        <v>10375</v>
      </c>
      <c r="F1544">
        <v>10370</v>
      </c>
      <c r="G1544">
        <v>10375</v>
      </c>
      <c r="H1544">
        <v>25800</v>
      </c>
    </row>
    <row r="1545" spans="2:8">
      <c r="B1545" t="s">
        <v>587</v>
      </c>
      <c r="C1545" t="s">
        <v>380</v>
      </c>
      <c r="D1545">
        <v>10375</v>
      </c>
      <c r="E1545">
        <v>10375</v>
      </c>
      <c r="F1545">
        <v>10370</v>
      </c>
      <c r="G1545">
        <v>10370</v>
      </c>
      <c r="H1545">
        <v>12900</v>
      </c>
    </row>
    <row r="1546" spans="2:8">
      <c r="B1546" t="s">
        <v>587</v>
      </c>
      <c r="C1546" t="s">
        <v>381</v>
      </c>
      <c r="D1546">
        <v>10370</v>
      </c>
      <c r="E1546">
        <v>10380</v>
      </c>
      <c r="F1546">
        <v>10365</v>
      </c>
      <c r="G1546">
        <v>10370</v>
      </c>
      <c r="H1546">
        <v>53400</v>
      </c>
    </row>
    <row r="1547" spans="2:8">
      <c r="B1547" t="s">
        <v>587</v>
      </c>
      <c r="C1547" t="s">
        <v>382</v>
      </c>
      <c r="D1547">
        <v>10370</v>
      </c>
      <c r="E1547">
        <v>10375</v>
      </c>
      <c r="F1547">
        <v>10355</v>
      </c>
      <c r="G1547">
        <v>10355</v>
      </c>
      <c r="H1547">
        <v>49400</v>
      </c>
    </row>
    <row r="1548" spans="2:8">
      <c r="B1548" t="s">
        <v>587</v>
      </c>
      <c r="C1548" t="s">
        <v>383</v>
      </c>
      <c r="D1548">
        <v>10360</v>
      </c>
      <c r="E1548">
        <v>10365</v>
      </c>
      <c r="F1548">
        <v>10355</v>
      </c>
      <c r="G1548">
        <v>10360</v>
      </c>
      <c r="H1548">
        <v>17000</v>
      </c>
    </row>
    <row r="1549" spans="2:8">
      <c r="B1549" t="s">
        <v>587</v>
      </c>
      <c r="C1549" t="s">
        <v>384</v>
      </c>
      <c r="D1549">
        <v>10360</v>
      </c>
      <c r="E1549">
        <v>10365</v>
      </c>
      <c r="F1549">
        <v>10360</v>
      </c>
      <c r="G1549">
        <v>10365</v>
      </c>
      <c r="H1549">
        <v>12600</v>
      </c>
    </row>
    <row r="1550" spans="2:8">
      <c r="B1550" t="s">
        <v>587</v>
      </c>
      <c r="C1550" t="s">
        <v>385</v>
      </c>
      <c r="D1550">
        <v>10365</v>
      </c>
      <c r="E1550">
        <v>10365</v>
      </c>
      <c r="F1550">
        <v>10340</v>
      </c>
      <c r="G1550">
        <v>10345</v>
      </c>
      <c r="H1550">
        <v>70500</v>
      </c>
    </row>
    <row r="1551" spans="2:8">
      <c r="B1551" t="s">
        <v>587</v>
      </c>
      <c r="C1551" t="s">
        <v>386</v>
      </c>
      <c r="D1551">
        <v>10340</v>
      </c>
      <c r="E1551">
        <v>10345</v>
      </c>
      <c r="F1551">
        <v>10330</v>
      </c>
      <c r="G1551">
        <v>10330</v>
      </c>
      <c r="H1551">
        <v>28600</v>
      </c>
    </row>
    <row r="1552" spans="2:8">
      <c r="B1552" t="s">
        <v>587</v>
      </c>
      <c r="C1552" t="s">
        <v>387</v>
      </c>
      <c r="D1552">
        <v>10330</v>
      </c>
      <c r="E1552">
        <v>10340</v>
      </c>
      <c r="F1552">
        <v>10330</v>
      </c>
      <c r="G1552">
        <v>10335</v>
      </c>
      <c r="H1552">
        <v>11900</v>
      </c>
    </row>
    <row r="1553" spans="2:8">
      <c r="B1553" t="s">
        <v>587</v>
      </c>
      <c r="C1553" t="s">
        <v>388</v>
      </c>
      <c r="D1553">
        <v>10330</v>
      </c>
      <c r="E1553">
        <v>10345</v>
      </c>
      <c r="F1553">
        <v>10330</v>
      </c>
      <c r="G1553">
        <v>10345</v>
      </c>
      <c r="H1553">
        <v>12600</v>
      </c>
    </row>
    <row r="1554" spans="2:8">
      <c r="B1554" t="s">
        <v>587</v>
      </c>
      <c r="C1554" t="s">
        <v>389</v>
      </c>
      <c r="D1554">
        <v>10340</v>
      </c>
      <c r="E1554">
        <v>10340</v>
      </c>
      <c r="F1554">
        <v>10335</v>
      </c>
      <c r="G1554">
        <v>10340</v>
      </c>
      <c r="H1554">
        <v>12300</v>
      </c>
    </row>
    <row r="1555" spans="2:8">
      <c r="B1555" t="s">
        <v>587</v>
      </c>
      <c r="C1555" t="s">
        <v>390</v>
      </c>
      <c r="D1555">
        <v>10345</v>
      </c>
      <c r="E1555">
        <v>10345</v>
      </c>
      <c r="F1555">
        <v>10325</v>
      </c>
      <c r="G1555">
        <v>10325</v>
      </c>
      <c r="H1555">
        <v>38500</v>
      </c>
    </row>
    <row r="1556" spans="2:8">
      <c r="B1556" t="s">
        <v>587</v>
      </c>
      <c r="C1556" t="s">
        <v>391</v>
      </c>
      <c r="D1556">
        <v>10325</v>
      </c>
      <c r="E1556">
        <v>10325</v>
      </c>
      <c r="F1556">
        <v>10315</v>
      </c>
      <c r="G1556">
        <v>10315</v>
      </c>
      <c r="H1556">
        <v>21700</v>
      </c>
    </row>
    <row r="1557" spans="2:8">
      <c r="B1557" t="s">
        <v>587</v>
      </c>
      <c r="C1557" t="s">
        <v>392</v>
      </c>
      <c r="D1557">
        <v>10315</v>
      </c>
      <c r="E1557">
        <v>10330</v>
      </c>
      <c r="F1557">
        <v>10315</v>
      </c>
      <c r="G1557">
        <v>10320</v>
      </c>
      <c r="H1557">
        <v>15900</v>
      </c>
    </row>
    <row r="1558" spans="2:8">
      <c r="B1558" t="s">
        <v>587</v>
      </c>
      <c r="C1558" t="s">
        <v>393</v>
      </c>
      <c r="D1558">
        <v>10325</v>
      </c>
      <c r="E1558">
        <v>10325</v>
      </c>
      <c r="F1558">
        <v>10305</v>
      </c>
      <c r="G1558">
        <v>10320</v>
      </c>
      <c r="H1558">
        <v>46200</v>
      </c>
    </row>
    <row r="1559" spans="2:8">
      <c r="B1559" t="s">
        <v>587</v>
      </c>
      <c r="C1559" t="s">
        <v>394</v>
      </c>
      <c r="D1559">
        <v>10320</v>
      </c>
      <c r="E1559">
        <v>10320</v>
      </c>
      <c r="F1559">
        <v>10315</v>
      </c>
      <c r="G1559">
        <v>10320</v>
      </c>
      <c r="H1559">
        <v>18100</v>
      </c>
    </row>
    <row r="1560" spans="2:8">
      <c r="B1560" t="s">
        <v>587</v>
      </c>
      <c r="C1560" t="s">
        <v>395</v>
      </c>
      <c r="D1560">
        <v>10325</v>
      </c>
      <c r="E1560">
        <v>10325</v>
      </c>
      <c r="F1560">
        <v>10315</v>
      </c>
      <c r="G1560">
        <v>10320</v>
      </c>
      <c r="H1560">
        <v>15300</v>
      </c>
    </row>
    <row r="1561" spans="2:8">
      <c r="B1561" t="s">
        <v>587</v>
      </c>
      <c r="C1561" t="s">
        <v>396</v>
      </c>
      <c r="D1561">
        <v>10320</v>
      </c>
      <c r="E1561">
        <v>10335</v>
      </c>
      <c r="F1561">
        <v>10315</v>
      </c>
      <c r="G1561">
        <v>10320</v>
      </c>
      <c r="H1561">
        <v>22100</v>
      </c>
    </row>
    <row r="1562" spans="2:8">
      <c r="B1562" t="s">
        <v>587</v>
      </c>
      <c r="C1562" t="s">
        <v>397</v>
      </c>
      <c r="D1562">
        <v>10325</v>
      </c>
      <c r="E1562">
        <v>10325</v>
      </c>
      <c r="F1562">
        <v>10315</v>
      </c>
      <c r="G1562">
        <v>10320</v>
      </c>
      <c r="H1562">
        <v>12500</v>
      </c>
    </row>
    <row r="1563" spans="2:8">
      <c r="B1563" t="s">
        <v>587</v>
      </c>
      <c r="C1563" t="s">
        <v>398</v>
      </c>
      <c r="D1563">
        <v>10325</v>
      </c>
      <c r="E1563">
        <v>10325</v>
      </c>
      <c r="F1563">
        <v>10300</v>
      </c>
      <c r="G1563">
        <v>10305</v>
      </c>
      <c r="H1563">
        <v>67000</v>
      </c>
    </row>
    <row r="1564" spans="2:8">
      <c r="B1564" t="s">
        <v>587</v>
      </c>
      <c r="C1564" t="s">
        <v>399</v>
      </c>
      <c r="D1564">
        <v>10305</v>
      </c>
      <c r="E1564">
        <v>10310</v>
      </c>
      <c r="F1564">
        <v>10300</v>
      </c>
      <c r="G1564">
        <v>10305</v>
      </c>
      <c r="H1564">
        <v>18600</v>
      </c>
    </row>
    <row r="1565" spans="2:8">
      <c r="B1565" t="s">
        <v>587</v>
      </c>
      <c r="C1565" t="s">
        <v>400</v>
      </c>
      <c r="D1565">
        <v>10310</v>
      </c>
      <c r="E1565">
        <v>10320</v>
      </c>
      <c r="F1565">
        <v>10310</v>
      </c>
      <c r="G1565">
        <v>10315</v>
      </c>
      <c r="H1565">
        <v>16600</v>
      </c>
    </row>
    <row r="1566" spans="2:8">
      <c r="B1566" t="s">
        <v>587</v>
      </c>
      <c r="C1566" t="s">
        <v>401</v>
      </c>
      <c r="D1566">
        <v>10315</v>
      </c>
      <c r="E1566">
        <v>10320</v>
      </c>
      <c r="F1566">
        <v>10315</v>
      </c>
      <c r="G1566">
        <v>10320</v>
      </c>
      <c r="H1566">
        <v>11800</v>
      </c>
    </row>
    <row r="1567" spans="2:8">
      <c r="B1567" t="s">
        <v>587</v>
      </c>
      <c r="C1567" t="s">
        <v>402</v>
      </c>
      <c r="D1567">
        <v>10320</v>
      </c>
      <c r="E1567">
        <v>10325</v>
      </c>
      <c r="F1567">
        <v>10320</v>
      </c>
      <c r="G1567">
        <v>10325</v>
      </c>
      <c r="H1567">
        <v>7400</v>
      </c>
    </row>
    <row r="1568" spans="2:8">
      <c r="B1568" t="s">
        <v>587</v>
      </c>
      <c r="C1568" t="s">
        <v>403</v>
      </c>
      <c r="D1568">
        <v>10325</v>
      </c>
      <c r="E1568">
        <v>10325</v>
      </c>
      <c r="F1568">
        <v>10320</v>
      </c>
      <c r="G1568">
        <v>10320</v>
      </c>
      <c r="H1568">
        <v>7100</v>
      </c>
    </row>
    <row r="1569" spans="2:8">
      <c r="B1569" t="s">
        <v>587</v>
      </c>
      <c r="C1569" t="s">
        <v>404</v>
      </c>
      <c r="D1569">
        <v>10315</v>
      </c>
      <c r="E1569">
        <v>10320</v>
      </c>
      <c r="F1569">
        <v>10310</v>
      </c>
      <c r="G1569">
        <v>10310</v>
      </c>
      <c r="H1569">
        <v>6200</v>
      </c>
    </row>
    <row r="1570" spans="2:8">
      <c r="B1570" t="s">
        <v>587</v>
      </c>
      <c r="C1570" t="s">
        <v>405</v>
      </c>
      <c r="D1570">
        <v>10310</v>
      </c>
      <c r="E1570">
        <v>10310</v>
      </c>
      <c r="F1570">
        <v>10305</v>
      </c>
      <c r="G1570">
        <v>10305</v>
      </c>
      <c r="H1570">
        <v>14200</v>
      </c>
    </row>
    <row r="1571" spans="2:8">
      <c r="B1571" t="s">
        <v>587</v>
      </c>
      <c r="C1571" t="s">
        <v>406</v>
      </c>
      <c r="D1571">
        <v>10310</v>
      </c>
      <c r="E1571">
        <v>10315</v>
      </c>
      <c r="F1571">
        <v>10305</v>
      </c>
      <c r="G1571">
        <v>10310</v>
      </c>
      <c r="H1571">
        <v>3200</v>
      </c>
    </row>
    <row r="1572" spans="2:8">
      <c r="B1572" t="s">
        <v>587</v>
      </c>
      <c r="C1572" t="s">
        <v>407</v>
      </c>
      <c r="D1572">
        <v>10310</v>
      </c>
      <c r="E1572">
        <v>10310</v>
      </c>
      <c r="F1572">
        <v>10290</v>
      </c>
      <c r="G1572">
        <v>10295</v>
      </c>
      <c r="H1572">
        <v>38700</v>
      </c>
    </row>
    <row r="1573" spans="2:8">
      <c r="B1573" t="s">
        <v>587</v>
      </c>
      <c r="C1573" t="s">
        <v>408</v>
      </c>
      <c r="D1573">
        <v>10295</v>
      </c>
      <c r="E1573">
        <v>10300</v>
      </c>
      <c r="F1573">
        <v>10285</v>
      </c>
      <c r="G1573">
        <v>10290</v>
      </c>
      <c r="H1573">
        <v>19100</v>
      </c>
    </row>
    <row r="1574" spans="2:8">
      <c r="B1574" t="s">
        <v>587</v>
      </c>
      <c r="C1574" t="s">
        <v>409</v>
      </c>
      <c r="D1574">
        <v>10285</v>
      </c>
      <c r="E1574">
        <v>10290</v>
      </c>
      <c r="F1574">
        <v>10275</v>
      </c>
      <c r="G1574">
        <v>10280</v>
      </c>
      <c r="H1574">
        <v>26700</v>
      </c>
    </row>
    <row r="1575" spans="2:8">
      <c r="B1575" t="s">
        <v>587</v>
      </c>
      <c r="C1575" t="s">
        <v>410</v>
      </c>
      <c r="D1575">
        <v>10275</v>
      </c>
      <c r="E1575">
        <v>10290</v>
      </c>
      <c r="F1575">
        <v>10275</v>
      </c>
      <c r="G1575">
        <v>10275</v>
      </c>
      <c r="H1575">
        <v>20700</v>
      </c>
    </row>
    <row r="1576" spans="2:8">
      <c r="B1576" t="s">
        <v>587</v>
      </c>
      <c r="C1576" t="s">
        <v>411</v>
      </c>
      <c r="D1576">
        <v>10275</v>
      </c>
      <c r="E1576">
        <v>10290</v>
      </c>
      <c r="F1576">
        <v>10275</v>
      </c>
      <c r="G1576">
        <v>10290</v>
      </c>
      <c r="H1576">
        <v>22100</v>
      </c>
    </row>
    <row r="1577" spans="2:8">
      <c r="B1577" t="s">
        <v>587</v>
      </c>
      <c r="C1577" t="s">
        <v>412</v>
      </c>
      <c r="D1577">
        <v>10285</v>
      </c>
      <c r="E1577">
        <v>10290</v>
      </c>
      <c r="F1577">
        <v>10280</v>
      </c>
      <c r="G1577">
        <v>10280</v>
      </c>
      <c r="H1577">
        <v>11900</v>
      </c>
    </row>
    <row r="1578" spans="2:8">
      <c r="B1578" t="s">
        <v>587</v>
      </c>
      <c r="C1578" t="s">
        <v>413</v>
      </c>
      <c r="D1578">
        <v>10275</v>
      </c>
      <c r="E1578">
        <v>10295</v>
      </c>
      <c r="F1578">
        <v>10275</v>
      </c>
      <c r="G1578">
        <v>10290</v>
      </c>
      <c r="H1578">
        <v>25800</v>
      </c>
    </row>
    <row r="1579" spans="2:8">
      <c r="B1579" t="s">
        <v>587</v>
      </c>
      <c r="C1579" t="s">
        <v>414</v>
      </c>
      <c r="D1579">
        <v>10295</v>
      </c>
      <c r="E1579">
        <v>10300</v>
      </c>
      <c r="F1579">
        <v>10290</v>
      </c>
      <c r="G1579">
        <v>10300</v>
      </c>
      <c r="H1579">
        <v>10800</v>
      </c>
    </row>
    <row r="1580" spans="2:8">
      <c r="B1580" t="s">
        <v>587</v>
      </c>
      <c r="C1580" t="s">
        <v>415</v>
      </c>
      <c r="D1580">
        <v>10295</v>
      </c>
      <c r="E1580">
        <v>10300</v>
      </c>
      <c r="F1580">
        <v>10295</v>
      </c>
      <c r="G1580">
        <v>10295</v>
      </c>
      <c r="H1580">
        <v>4900</v>
      </c>
    </row>
    <row r="1581" spans="2:8">
      <c r="B1581" t="s">
        <v>587</v>
      </c>
      <c r="C1581" t="s">
        <v>416</v>
      </c>
      <c r="D1581">
        <v>10300</v>
      </c>
      <c r="E1581">
        <v>10300</v>
      </c>
      <c r="F1581">
        <v>10290</v>
      </c>
      <c r="G1581">
        <v>10295</v>
      </c>
      <c r="H1581">
        <v>6300</v>
      </c>
    </row>
    <row r="1582" spans="2:8">
      <c r="B1582" t="s">
        <v>587</v>
      </c>
      <c r="C1582" t="s">
        <v>417</v>
      </c>
      <c r="D1582">
        <v>10295</v>
      </c>
      <c r="E1582">
        <v>10310</v>
      </c>
      <c r="F1582">
        <v>10295</v>
      </c>
      <c r="G1582">
        <v>10305</v>
      </c>
      <c r="H1582">
        <v>20400</v>
      </c>
    </row>
    <row r="1583" spans="2:8">
      <c r="B1583" t="s">
        <v>587</v>
      </c>
      <c r="C1583" t="s">
        <v>418</v>
      </c>
      <c r="D1583">
        <v>10310</v>
      </c>
      <c r="E1583">
        <v>10310</v>
      </c>
      <c r="F1583">
        <v>10285</v>
      </c>
      <c r="G1583">
        <v>10285</v>
      </c>
      <c r="H1583">
        <v>30100</v>
      </c>
    </row>
    <row r="1584" spans="2:8">
      <c r="B1584" t="s">
        <v>587</v>
      </c>
      <c r="C1584" t="s">
        <v>419</v>
      </c>
      <c r="D1584">
        <v>10290</v>
      </c>
      <c r="E1584">
        <v>10290</v>
      </c>
      <c r="F1584">
        <v>10280</v>
      </c>
      <c r="G1584">
        <v>10290</v>
      </c>
      <c r="H1584">
        <v>8100</v>
      </c>
    </row>
    <row r="1585" spans="2:8">
      <c r="B1585" t="s">
        <v>587</v>
      </c>
      <c r="C1585" t="s">
        <v>420</v>
      </c>
      <c r="D1585">
        <v>10285</v>
      </c>
      <c r="E1585">
        <v>10300</v>
      </c>
      <c r="F1585">
        <v>10285</v>
      </c>
      <c r="G1585">
        <v>10300</v>
      </c>
      <c r="H1585">
        <v>15500</v>
      </c>
    </row>
    <row r="1586" spans="2:8">
      <c r="B1586" t="s">
        <v>587</v>
      </c>
      <c r="C1586" t="s">
        <v>421</v>
      </c>
      <c r="D1586">
        <v>10300</v>
      </c>
      <c r="E1586">
        <v>10325</v>
      </c>
      <c r="F1586">
        <v>10300</v>
      </c>
      <c r="G1586">
        <v>10320</v>
      </c>
      <c r="H1586">
        <v>32300</v>
      </c>
    </row>
    <row r="1587" spans="2:8">
      <c r="B1587" t="s">
        <v>587</v>
      </c>
      <c r="C1587" t="s">
        <v>422</v>
      </c>
      <c r="D1587">
        <v>10325</v>
      </c>
      <c r="E1587">
        <v>10325</v>
      </c>
      <c r="F1587">
        <v>10315</v>
      </c>
      <c r="G1587">
        <v>10320</v>
      </c>
      <c r="H1587">
        <v>8200</v>
      </c>
    </row>
    <row r="1588" spans="2:8">
      <c r="B1588" t="s">
        <v>587</v>
      </c>
      <c r="C1588" t="s">
        <v>423</v>
      </c>
      <c r="D1588">
        <v>10320</v>
      </c>
      <c r="E1588">
        <v>10330</v>
      </c>
      <c r="F1588">
        <v>10320</v>
      </c>
      <c r="G1588">
        <v>10325</v>
      </c>
      <c r="H1588">
        <v>25700</v>
      </c>
    </row>
    <row r="1589" spans="2:8">
      <c r="B1589" t="s">
        <v>587</v>
      </c>
      <c r="C1589" t="s">
        <v>424</v>
      </c>
      <c r="D1589">
        <v>10330</v>
      </c>
      <c r="E1589">
        <v>10335</v>
      </c>
      <c r="F1589">
        <v>10325</v>
      </c>
      <c r="G1589">
        <v>10330</v>
      </c>
      <c r="H1589">
        <v>12400</v>
      </c>
    </row>
    <row r="1590" spans="2:8">
      <c r="B1590" t="s">
        <v>587</v>
      </c>
      <c r="C1590" t="s">
        <v>425</v>
      </c>
      <c r="D1590">
        <v>10330</v>
      </c>
      <c r="E1590">
        <v>10330</v>
      </c>
      <c r="F1590">
        <v>10320</v>
      </c>
      <c r="G1590">
        <v>10320</v>
      </c>
      <c r="H1590">
        <v>32000</v>
      </c>
    </row>
    <row r="1591" spans="2:8">
      <c r="B1591" t="s">
        <v>587</v>
      </c>
      <c r="C1591" t="s">
        <v>426</v>
      </c>
      <c r="D1591">
        <v>10325</v>
      </c>
      <c r="E1591">
        <v>10330</v>
      </c>
      <c r="F1591">
        <v>10320</v>
      </c>
      <c r="G1591">
        <v>10330</v>
      </c>
      <c r="H1591">
        <v>10800</v>
      </c>
    </row>
    <row r="1592" spans="2:8">
      <c r="B1592" t="s">
        <v>587</v>
      </c>
      <c r="C1592" t="s">
        <v>427</v>
      </c>
      <c r="D1592">
        <v>10325</v>
      </c>
      <c r="E1592">
        <v>10330</v>
      </c>
      <c r="F1592">
        <v>10315</v>
      </c>
      <c r="G1592">
        <v>10315</v>
      </c>
      <c r="H1592">
        <v>15000</v>
      </c>
    </row>
    <row r="1593" spans="2:8">
      <c r="B1593" t="s">
        <v>587</v>
      </c>
      <c r="C1593" t="s">
        <v>428</v>
      </c>
      <c r="D1593">
        <v>10320</v>
      </c>
      <c r="E1593">
        <v>10320</v>
      </c>
      <c r="F1593">
        <v>10310</v>
      </c>
      <c r="G1593">
        <v>10315</v>
      </c>
      <c r="H1593">
        <v>11400</v>
      </c>
    </row>
    <row r="1594" spans="2:8">
      <c r="B1594" t="s">
        <v>587</v>
      </c>
      <c r="C1594" t="s">
        <v>429</v>
      </c>
      <c r="D1594">
        <v>10315</v>
      </c>
      <c r="E1594">
        <v>10330</v>
      </c>
      <c r="F1594">
        <v>10310</v>
      </c>
      <c r="G1594">
        <v>10320</v>
      </c>
      <c r="H1594">
        <v>22500</v>
      </c>
    </row>
    <row r="1595" spans="2:8">
      <c r="B1595" t="s">
        <v>587</v>
      </c>
      <c r="C1595" t="s">
        <v>430</v>
      </c>
      <c r="D1595">
        <v>10320</v>
      </c>
      <c r="E1595">
        <v>10320</v>
      </c>
      <c r="F1595">
        <v>10315</v>
      </c>
      <c r="G1595">
        <v>10320</v>
      </c>
      <c r="H1595">
        <v>5700</v>
      </c>
    </row>
    <row r="1596" spans="2:8">
      <c r="B1596" t="s">
        <v>587</v>
      </c>
      <c r="C1596" t="s">
        <v>431</v>
      </c>
      <c r="D1596">
        <v>10320</v>
      </c>
      <c r="E1596">
        <v>10320</v>
      </c>
      <c r="F1596">
        <v>10305</v>
      </c>
      <c r="G1596">
        <v>10305</v>
      </c>
      <c r="H1596">
        <v>21100</v>
      </c>
    </row>
    <row r="1597" spans="2:8">
      <c r="B1597" t="s">
        <v>587</v>
      </c>
      <c r="C1597" t="s">
        <v>9</v>
      </c>
      <c r="D1597">
        <v>10310</v>
      </c>
      <c r="E1597">
        <v>10320</v>
      </c>
      <c r="F1597">
        <v>10305</v>
      </c>
      <c r="G1597">
        <v>10315</v>
      </c>
      <c r="H1597">
        <v>15300</v>
      </c>
    </row>
    <row r="1598" spans="2:8">
      <c r="B1598" t="s">
        <v>587</v>
      </c>
      <c r="C1598" t="s">
        <v>10</v>
      </c>
      <c r="D1598">
        <v>10315</v>
      </c>
      <c r="E1598">
        <v>10320</v>
      </c>
      <c r="F1598">
        <v>10310</v>
      </c>
      <c r="G1598">
        <v>10310</v>
      </c>
      <c r="H1598">
        <v>7700</v>
      </c>
    </row>
    <row r="1599" spans="2:8">
      <c r="B1599" t="s">
        <v>587</v>
      </c>
      <c r="C1599" t="s">
        <v>11</v>
      </c>
      <c r="D1599">
        <v>10310</v>
      </c>
      <c r="E1599">
        <v>10325</v>
      </c>
      <c r="F1599">
        <v>10310</v>
      </c>
      <c r="G1599">
        <v>10325</v>
      </c>
      <c r="H1599">
        <v>18700</v>
      </c>
    </row>
    <row r="1600" spans="2:8">
      <c r="B1600" t="s">
        <v>587</v>
      </c>
      <c r="C1600" t="s">
        <v>12</v>
      </c>
      <c r="D1600">
        <v>10325</v>
      </c>
      <c r="E1600">
        <v>10325</v>
      </c>
      <c r="F1600">
        <v>10325</v>
      </c>
      <c r="G1600">
        <v>10325</v>
      </c>
      <c r="H1600">
        <v>11500</v>
      </c>
    </row>
    <row r="1601" spans="2:8">
      <c r="B1601" t="s">
        <v>587</v>
      </c>
      <c r="C1601" t="s">
        <v>13</v>
      </c>
      <c r="D1601">
        <v>10320</v>
      </c>
      <c r="E1601">
        <v>10320</v>
      </c>
      <c r="F1601">
        <v>10315</v>
      </c>
      <c r="G1601">
        <v>10320</v>
      </c>
      <c r="H1601">
        <v>11000</v>
      </c>
    </row>
    <row r="1602" spans="2:8">
      <c r="B1602" t="s">
        <v>587</v>
      </c>
      <c r="C1602" t="s">
        <v>14</v>
      </c>
      <c r="D1602">
        <v>10320</v>
      </c>
      <c r="E1602">
        <v>10325</v>
      </c>
      <c r="F1602">
        <v>10320</v>
      </c>
      <c r="G1602">
        <v>10320</v>
      </c>
      <c r="H1602">
        <v>3900</v>
      </c>
    </row>
    <row r="1603" spans="2:8">
      <c r="B1603" t="s">
        <v>587</v>
      </c>
      <c r="C1603" t="s">
        <v>15</v>
      </c>
      <c r="D1603">
        <v>10320</v>
      </c>
      <c r="E1603">
        <v>10320</v>
      </c>
      <c r="F1603">
        <v>10305</v>
      </c>
      <c r="G1603">
        <v>10310</v>
      </c>
      <c r="H1603">
        <v>17000</v>
      </c>
    </row>
    <row r="1604" spans="2:8">
      <c r="B1604" t="s">
        <v>587</v>
      </c>
      <c r="C1604" t="s">
        <v>16</v>
      </c>
      <c r="D1604">
        <v>10305</v>
      </c>
      <c r="E1604">
        <v>10310</v>
      </c>
      <c r="F1604">
        <v>10305</v>
      </c>
      <c r="G1604">
        <v>10310</v>
      </c>
      <c r="H1604">
        <v>7200</v>
      </c>
    </row>
    <row r="1605" spans="2:8">
      <c r="B1605" t="s">
        <v>587</v>
      </c>
      <c r="C1605" t="s">
        <v>17</v>
      </c>
      <c r="D1605">
        <v>10310</v>
      </c>
      <c r="E1605">
        <v>10310</v>
      </c>
      <c r="F1605">
        <v>10305</v>
      </c>
      <c r="G1605">
        <v>10305</v>
      </c>
      <c r="H1605">
        <v>6400</v>
      </c>
    </row>
    <row r="1606" spans="2:8">
      <c r="B1606" t="s">
        <v>587</v>
      </c>
      <c r="C1606" t="s">
        <v>18</v>
      </c>
      <c r="D1606">
        <v>10310</v>
      </c>
      <c r="E1606">
        <v>10310</v>
      </c>
      <c r="F1606">
        <v>10305</v>
      </c>
      <c r="G1606">
        <v>10305</v>
      </c>
      <c r="H1606">
        <v>1800</v>
      </c>
    </row>
    <row r="1607" spans="2:8">
      <c r="B1607" t="s">
        <v>587</v>
      </c>
      <c r="C1607" t="s">
        <v>19</v>
      </c>
      <c r="D1607">
        <v>10305</v>
      </c>
      <c r="E1607">
        <v>10315</v>
      </c>
      <c r="F1607">
        <v>10290</v>
      </c>
      <c r="G1607">
        <v>10310</v>
      </c>
      <c r="H1607">
        <v>49200</v>
      </c>
    </row>
    <row r="1608" spans="2:8">
      <c r="B1608" t="s">
        <v>587</v>
      </c>
      <c r="C1608" t="s">
        <v>20</v>
      </c>
      <c r="D1608">
        <v>10310</v>
      </c>
      <c r="E1608">
        <v>10315</v>
      </c>
      <c r="F1608">
        <v>10305</v>
      </c>
      <c r="G1608">
        <v>10310</v>
      </c>
      <c r="H1608">
        <v>5800</v>
      </c>
    </row>
    <row r="1609" spans="2:8">
      <c r="B1609" t="s">
        <v>587</v>
      </c>
      <c r="C1609" t="s">
        <v>21</v>
      </c>
      <c r="D1609">
        <v>10315</v>
      </c>
      <c r="E1609">
        <v>10325</v>
      </c>
      <c r="F1609">
        <v>10305</v>
      </c>
      <c r="G1609">
        <v>10325</v>
      </c>
      <c r="H1609">
        <v>35200</v>
      </c>
    </row>
    <row r="1610" spans="2:8">
      <c r="B1610" t="s">
        <v>587</v>
      </c>
      <c r="C1610" t="s">
        <v>22</v>
      </c>
      <c r="D1610">
        <v>10325</v>
      </c>
      <c r="E1610">
        <v>10325</v>
      </c>
      <c r="F1610">
        <v>10320</v>
      </c>
      <c r="G1610">
        <v>10320</v>
      </c>
      <c r="H1610">
        <v>9400</v>
      </c>
    </row>
    <row r="1611" spans="2:8">
      <c r="B1611" t="s">
        <v>587</v>
      </c>
      <c r="C1611" t="s">
        <v>23</v>
      </c>
      <c r="D1611">
        <v>10325</v>
      </c>
      <c r="E1611">
        <v>10325</v>
      </c>
      <c r="F1611">
        <v>10315</v>
      </c>
      <c r="G1611">
        <v>10320</v>
      </c>
      <c r="H1611">
        <v>8500</v>
      </c>
    </row>
    <row r="1612" spans="2:8">
      <c r="B1612" t="s">
        <v>587</v>
      </c>
      <c r="C1612" t="s">
        <v>24</v>
      </c>
      <c r="D1612">
        <v>10320</v>
      </c>
      <c r="E1612">
        <v>10320</v>
      </c>
      <c r="F1612">
        <v>10290</v>
      </c>
      <c r="G1612">
        <v>10295</v>
      </c>
      <c r="H1612">
        <v>44700</v>
      </c>
    </row>
    <row r="1613" spans="2:8">
      <c r="B1613" t="s">
        <v>587</v>
      </c>
      <c r="C1613" t="s">
        <v>25</v>
      </c>
      <c r="D1613">
        <v>10295</v>
      </c>
      <c r="E1613">
        <v>10300</v>
      </c>
      <c r="F1613">
        <v>10290</v>
      </c>
      <c r="G1613">
        <v>10300</v>
      </c>
      <c r="H1613">
        <v>14100</v>
      </c>
    </row>
    <row r="1614" spans="2:8">
      <c r="B1614" t="s">
        <v>587</v>
      </c>
      <c r="C1614" t="s">
        <v>26</v>
      </c>
      <c r="D1614">
        <v>10300</v>
      </c>
      <c r="E1614">
        <v>10305</v>
      </c>
      <c r="F1614">
        <v>10295</v>
      </c>
      <c r="G1614">
        <v>10295</v>
      </c>
      <c r="H1614">
        <v>12600</v>
      </c>
    </row>
    <row r="1615" spans="2:8">
      <c r="B1615" t="s">
        <v>587</v>
      </c>
      <c r="C1615" t="s">
        <v>27</v>
      </c>
      <c r="D1615">
        <v>10295</v>
      </c>
      <c r="E1615">
        <v>10300</v>
      </c>
      <c r="F1615">
        <v>10290</v>
      </c>
      <c r="G1615">
        <v>10290</v>
      </c>
      <c r="H1615">
        <v>16000</v>
      </c>
    </row>
    <row r="1616" spans="2:8">
      <c r="B1616" t="s">
        <v>587</v>
      </c>
      <c r="C1616" t="s">
        <v>28</v>
      </c>
      <c r="D1616">
        <v>10290</v>
      </c>
      <c r="E1616">
        <v>10295</v>
      </c>
      <c r="F1616">
        <v>10285</v>
      </c>
      <c r="G1616">
        <v>10285</v>
      </c>
      <c r="H1616">
        <v>7600</v>
      </c>
    </row>
    <row r="1617" spans="2:8">
      <c r="B1617" t="s">
        <v>587</v>
      </c>
      <c r="C1617" t="s">
        <v>29</v>
      </c>
      <c r="D1617">
        <v>10290</v>
      </c>
      <c r="E1617">
        <v>10300</v>
      </c>
      <c r="F1617">
        <v>10280</v>
      </c>
      <c r="G1617">
        <v>10295</v>
      </c>
      <c r="H1617">
        <v>28500</v>
      </c>
    </row>
    <row r="1618" spans="2:8">
      <c r="B1618" t="s">
        <v>587</v>
      </c>
      <c r="C1618" t="s">
        <v>30</v>
      </c>
      <c r="D1618">
        <v>10300</v>
      </c>
      <c r="E1618">
        <v>10320</v>
      </c>
      <c r="F1618">
        <v>10300</v>
      </c>
      <c r="G1618">
        <v>10315</v>
      </c>
      <c r="H1618">
        <v>41700</v>
      </c>
    </row>
    <row r="1619" spans="2:8">
      <c r="B1619" t="s">
        <v>587</v>
      </c>
      <c r="C1619" t="s">
        <v>31</v>
      </c>
      <c r="D1619">
        <v>10315</v>
      </c>
      <c r="E1619">
        <v>10320</v>
      </c>
      <c r="F1619">
        <v>10310</v>
      </c>
      <c r="G1619">
        <v>10310</v>
      </c>
      <c r="H1619">
        <v>5800</v>
      </c>
    </row>
    <row r="1620" spans="2:8">
      <c r="B1620" t="s">
        <v>587</v>
      </c>
      <c r="C1620" t="s">
        <v>32</v>
      </c>
      <c r="D1620">
        <v>10315</v>
      </c>
      <c r="E1620">
        <v>10320</v>
      </c>
      <c r="F1620">
        <v>10310</v>
      </c>
      <c r="G1620">
        <v>10315</v>
      </c>
      <c r="H1620">
        <v>8100</v>
      </c>
    </row>
    <row r="1621" spans="2:8">
      <c r="B1621" t="s">
        <v>587</v>
      </c>
      <c r="C1621" t="s">
        <v>33</v>
      </c>
      <c r="D1621">
        <v>10315</v>
      </c>
      <c r="E1621">
        <v>10325</v>
      </c>
      <c r="F1621">
        <v>10315</v>
      </c>
      <c r="G1621">
        <v>10320</v>
      </c>
      <c r="H1621">
        <v>17800</v>
      </c>
    </row>
    <row r="1622" spans="2:8">
      <c r="B1622" t="s">
        <v>587</v>
      </c>
      <c r="C1622" t="s">
        <v>34</v>
      </c>
      <c r="D1622">
        <v>10320</v>
      </c>
      <c r="E1622">
        <v>10320</v>
      </c>
      <c r="F1622">
        <v>10310</v>
      </c>
      <c r="G1622">
        <v>10310</v>
      </c>
      <c r="H1622">
        <v>16700</v>
      </c>
    </row>
    <row r="1623" spans="2:8">
      <c r="B1623" t="s">
        <v>587</v>
      </c>
      <c r="C1623" t="s">
        <v>35</v>
      </c>
      <c r="D1623">
        <v>10315</v>
      </c>
      <c r="E1623">
        <v>10325</v>
      </c>
      <c r="F1623">
        <v>10310</v>
      </c>
      <c r="G1623">
        <v>10325</v>
      </c>
      <c r="H1623">
        <v>16500</v>
      </c>
    </row>
    <row r="1624" spans="2:8">
      <c r="B1624" t="s">
        <v>587</v>
      </c>
      <c r="C1624" t="s">
        <v>36</v>
      </c>
      <c r="D1624">
        <v>10325</v>
      </c>
      <c r="E1624">
        <v>10325</v>
      </c>
      <c r="F1624">
        <v>10320</v>
      </c>
      <c r="G1624">
        <v>10320</v>
      </c>
      <c r="H1624">
        <v>3400</v>
      </c>
    </row>
    <row r="1625" spans="2:8">
      <c r="B1625" t="s">
        <v>587</v>
      </c>
      <c r="C1625" t="s">
        <v>37</v>
      </c>
      <c r="D1625">
        <v>10320</v>
      </c>
      <c r="E1625">
        <v>10325</v>
      </c>
      <c r="F1625">
        <v>10315</v>
      </c>
      <c r="G1625">
        <v>10325</v>
      </c>
      <c r="H1625">
        <v>17100</v>
      </c>
    </row>
    <row r="1626" spans="2:8">
      <c r="B1626" t="s">
        <v>587</v>
      </c>
      <c r="C1626" t="s">
        <v>38</v>
      </c>
      <c r="D1626">
        <v>10320</v>
      </c>
      <c r="E1626">
        <v>10325</v>
      </c>
      <c r="F1626">
        <v>10320</v>
      </c>
      <c r="G1626">
        <v>10325</v>
      </c>
      <c r="H1626">
        <v>5100</v>
      </c>
    </row>
    <row r="1627" spans="2:8">
      <c r="B1627" t="s">
        <v>587</v>
      </c>
      <c r="C1627" t="s">
        <v>39</v>
      </c>
      <c r="D1627">
        <v>10325</v>
      </c>
      <c r="E1627">
        <v>10330</v>
      </c>
      <c r="F1627">
        <v>10325</v>
      </c>
      <c r="G1627">
        <v>10325</v>
      </c>
      <c r="H1627">
        <v>16800</v>
      </c>
    </row>
    <row r="1628" spans="2:8">
      <c r="B1628" t="s">
        <v>587</v>
      </c>
      <c r="C1628" t="s">
        <v>40</v>
      </c>
      <c r="D1628">
        <v>10325</v>
      </c>
      <c r="E1628">
        <v>10330</v>
      </c>
      <c r="F1628">
        <v>10325</v>
      </c>
      <c r="G1628">
        <v>10330</v>
      </c>
      <c r="H1628">
        <v>8700</v>
      </c>
    </row>
    <row r="1629" spans="2:8">
      <c r="B1629" t="s">
        <v>587</v>
      </c>
      <c r="C1629" t="s">
        <v>41</v>
      </c>
      <c r="D1629">
        <v>10325</v>
      </c>
      <c r="E1629">
        <v>10325</v>
      </c>
      <c r="F1629">
        <v>10315</v>
      </c>
      <c r="G1629">
        <v>10315</v>
      </c>
      <c r="H1629">
        <v>17900</v>
      </c>
    </row>
    <row r="1630" spans="2:8">
      <c r="B1630" t="s">
        <v>587</v>
      </c>
      <c r="C1630" t="s">
        <v>42</v>
      </c>
      <c r="D1630">
        <v>10315</v>
      </c>
      <c r="E1630">
        <v>10325</v>
      </c>
      <c r="F1630">
        <v>10315</v>
      </c>
      <c r="G1630">
        <v>10325</v>
      </c>
      <c r="H1630">
        <v>15600</v>
      </c>
    </row>
    <row r="1631" spans="2:8">
      <c r="B1631" t="s">
        <v>587</v>
      </c>
      <c r="C1631" t="s">
        <v>43</v>
      </c>
      <c r="D1631">
        <v>10320</v>
      </c>
      <c r="E1631">
        <v>10320</v>
      </c>
      <c r="F1631">
        <v>10315</v>
      </c>
      <c r="G1631">
        <v>10315</v>
      </c>
      <c r="H1631">
        <v>6100</v>
      </c>
    </row>
    <row r="1632" spans="2:8">
      <c r="B1632" t="s">
        <v>587</v>
      </c>
      <c r="C1632" t="s">
        <v>44</v>
      </c>
      <c r="D1632">
        <v>10315</v>
      </c>
      <c r="E1632">
        <v>10320</v>
      </c>
      <c r="F1632">
        <v>10315</v>
      </c>
      <c r="G1632">
        <v>10320</v>
      </c>
      <c r="H1632">
        <v>11400</v>
      </c>
    </row>
    <row r="1633" spans="2:8">
      <c r="B1633" t="s">
        <v>587</v>
      </c>
      <c r="C1633" t="s">
        <v>45</v>
      </c>
      <c r="D1633">
        <v>10315</v>
      </c>
      <c r="E1633">
        <v>10325</v>
      </c>
      <c r="F1633">
        <v>10315</v>
      </c>
      <c r="G1633">
        <v>10325</v>
      </c>
      <c r="H1633">
        <v>10600</v>
      </c>
    </row>
    <row r="1634" spans="2:8">
      <c r="B1634" t="s">
        <v>587</v>
      </c>
      <c r="C1634" t="s">
        <v>46</v>
      </c>
      <c r="D1634">
        <v>10325</v>
      </c>
      <c r="E1634">
        <v>10330</v>
      </c>
      <c r="F1634">
        <v>10325</v>
      </c>
      <c r="G1634">
        <v>10325</v>
      </c>
      <c r="H1634">
        <v>15200</v>
      </c>
    </row>
    <row r="1635" spans="2:8">
      <c r="B1635" t="s">
        <v>587</v>
      </c>
      <c r="C1635" t="s">
        <v>47</v>
      </c>
      <c r="D1635">
        <v>10330</v>
      </c>
      <c r="E1635">
        <v>10330</v>
      </c>
      <c r="F1635">
        <v>10320</v>
      </c>
      <c r="G1635">
        <v>10325</v>
      </c>
      <c r="H1635">
        <v>12200</v>
      </c>
    </row>
    <row r="1636" spans="2:8">
      <c r="B1636" t="s">
        <v>587</v>
      </c>
      <c r="C1636" t="s">
        <v>48</v>
      </c>
      <c r="D1636">
        <v>10325</v>
      </c>
      <c r="E1636">
        <v>10330</v>
      </c>
      <c r="F1636">
        <v>10325</v>
      </c>
      <c r="G1636">
        <v>10325</v>
      </c>
      <c r="H1636">
        <v>7800</v>
      </c>
    </row>
    <row r="1637" spans="2:8">
      <c r="B1637" t="s">
        <v>587</v>
      </c>
      <c r="C1637" t="s">
        <v>49</v>
      </c>
      <c r="D1637">
        <v>10330</v>
      </c>
      <c r="E1637">
        <v>10330</v>
      </c>
      <c r="F1637">
        <v>10320</v>
      </c>
      <c r="G1637">
        <v>10325</v>
      </c>
      <c r="H1637">
        <v>13300</v>
      </c>
    </row>
    <row r="1638" spans="2:8">
      <c r="B1638" t="s">
        <v>587</v>
      </c>
      <c r="C1638" t="s">
        <v>50</v>
      </c>
      <c r="D1638">
        <v>10320</v>
      </c>
      <c r="E1638">
        <v>10325</v>
      </c>
      <c r="F1638">
        <v>10315</v>
      </c>
      <c r="G1638">
        <v>10315</v>
      </c>
      <c r="H1638">
        <v>10900</v>
      </c>
    </row>
    <row r="1639" spans="2:8">
      <c r="B1639" t="s">
        <v>587</v>
      </c>
      <c r="C1639" t="s">
        <v>51</v>
      </c>
      <c r="D1639">
        <v>10315</v>
      </c>
      <c r="E1639">
        <v>10315</v>
      </c>
      <c r="F1639">
        <v>10300</v>
      </c>
      <c r="G1639">
        <v>10305</v>
      </c>
      <c r="H1639">
        <v>24800</v>
      </c>
    </row>
    <row r="1640" spans="2:8">
      <c r="B1640" t="s">
        <v>587</v>
      </c>
      <c r="C1640" t="s">
        <v>52</v>
      </c>
      <c r="D1640">
        <v>10305</v>
      </c>
      <c r="E1640">
        <v>10305</v>
      </c>
      <c r="F1640">
        <v>10295</v>
      </c>
      <c r="G1640">
        <v>10295</v>
      </c>
      <c r="H1640">
        <v>14000</v>
      </c>
    </row>
    <row r="1641" spans="2:8">
      <c r="B1641" t="s">
        <v>587</v>
      </c>
      <c r="C1641" t="s">
        <v>53</v>
      </c>
      <c r="D1641">
        <v>10300</v>
      </c>
      <c r="E1641">
        <v>10300</v>
      </c>
      <c r="F1641">
        <v>10290</v>
      </c>
      <c r="G1641">
        <v>10300</v>
      </c>
      <c r="H1641">
        <v>23600</v>
      </c>
    </row>
    <row r="1642" spans="2:8">
      <c r="B1642" t="s">
        <v>587</v>
      </c>
      <c r="C1642" t="s">
        <v>54</v>
      </c>
      <c r="D1642">
        <v>10300</v>
      </c>
      <c r="E1642">
        <v>10300</v>
      </c>
      <c r="F1642">
        <v>10280</v>
      </c>
      <c r="G1642">
        <v>10285</v>
      </c>
      <c r="H1642">
        <v>37800</v>
      </c>
    </row>
    <row r="1643" spans="2:8">
      <c r="B1643" t="s">
        <v>587</v>
      </c>
      <c r="C1643" t="s">
        <v>55</v>
      </c>
      <c r="D1643">
        <v>10285</v>
      </c>
      <c r="E1643">
        <v>10290</v>
      </c>
      <c r="F1643">
        <v>10280</v>
      </c>
      <c r="G1643">
        <v>10285</v>
      </c>
      <c r="H1643">
        <v>22200</v>
      </c>
    </row>
    <row r="1644" spans="2:8">
      <c r="B1644" t="s">
        <v>587</v>
      </c>
      <c r="C1644" t="s">
        <v>56</v>
      </c>
      <c r="D1644">
        <v>10280</v>
      </c>
      <c r="E1644">
        <v>10285</v>
      </c>
      <c r="F1644">
        <v>10270</v>
      </c>
      <c r="G1644">
        <v>10275</v>
      </c>
      <c r="H1644">
        <v>31800</v>
      </c>
    </row>
    <row r="1645" spans="2:8">
      <c r="B1645" t="s">
        <v>587</v>
      </c>
      <c r="C1645" t="s">
        <v>57</v>
      </c>
      <c r="D1645">
        <v>10275</v>
      </c>
      <c r="E1645">
        <v>10285</v>
      </c>
      <c r="F1645">
        <v>10275</v>
      </c>
      <c r="G1645">
        <v>10285</v>
      </c>
      <c r="H1645">
        <v>14400</v>
      </c>
    </row>
    <row r="1646" spans="2:8">
      <c r="B1646" t="s">
        <v>587</v>
      </c>
      <c r="C1646" t="s">
        <v>58</v>
      </c>
      <c r="D1646">
        <v>10285</v>
      </c>
      <c r="E1646">
        <v>10290</v>
      </c>
      <c r="F1646">
        <v>10280</v>
      </c>
      <c r="G1646">
        <v>10285</v>
      </c>
      <c r="H1646">
        <v>10000</v>
      </c>
    </row>
    <row r="1647" spans="2:8">
      <c r="B1647" t="s">
        <v>587</v>
      </c>
      <c r="C1647" t="s">
        <v>59</v>
      </c>
      <c r="D1647">
        <v>10285</v>
      </c>
      <c r="E1647">
        <v>10290</v>
      </c>
      <c r="F1647">
        <v>10275</v>
      </c>
      <c r="G1647">
        <v>10275</v>
      </c>
      <c r="H1647">
        <v>27000</v>
      </c>
    </row>
    <row r="1648" spans="2:8">
      <c r="B1648" t="s">
        <v>587</v>
      </c>
      <c r="C1648" t="s">
        <v>60</v>
      </c>
      <c r="D1648">
        <v>10275</v>
      </c>
      <c r="E1648">
        <v>10275</v>
      </c>
      <c r="F1648">
        <v>10270</v>
      </c>
      <c r="G1648">
        <v>10270</v>
      </c>
      <c r="H1648">
        <v>13500</v>
      </c>
    </row>
    <row r="1649" spans="1:8">
      <c r="B1649" t="s">
        <v>587</v>
      </c>
      <c r="C1649" t="s">
        <v>61</v>
      </c>
      <c r="D1649">
        <v>10270</v>
      </c>
      <c r="E1649">
        <v>10275</v>
      </c>
      <c r="F1649">
        <v>10260</v>
      </c>
      <c r="G1649">
        <v>10270</v>
      </c>
      <c r="H1649">
        <v>28000</v>
      </c>
    </row>
    <row r="1650" spans="1:8">
      <c r="B1650" t="s">
        <v>587</v>
      </c>
      <c r="C1650" t="s">
        <v>62</v>
      </c>
      <c r="D1650">
        <v>10265</v>
      </c>
      <c r="E1650">
        <v>10290</v>
      </c>
      <c r="F1650">
        <v>10260</v>
      </c>
      <c r="G1650">
        <v>10280</v>
      </c>
      <c r="H1650">
        <v>44300</v>
      </c>
    </row>
    <row r="1651" spans="1:8">
      <c r="B1651" t="s">
        <v>587</v>
      </c>
      <c r="C1651" t="s">
        <v>63</v>
      </c>
      <c r="D1651">
        <v>10285</v>
      </c>
      <c r="E1651">
        <v>10285</v>
      </c>
      <c r="F1651">
        <v>10280</v>
      </c>
      <c r="G1651">
        <v>10285</v>
      </c>
      <c r="H1651">
        <v>6300</v>
      </c>
    </row>
    <row r="1652" spans="1:8">
      <c r="B1652" t="s">
        <v>587</v>
      </c>
      <c r="C1652" t="s">
        <v>64</v>
      </c>
      <c r="D1652">
        <v>10290</v>
      </c>
      <c r="E1652">
        <v>10290</v>
      </c>
      <c r="F1652">
        <v>10280</v>
      </c>
      <c r="G1652">
        <v>10285</v>
      </c>
      <c r="H1652">
        <v>10000</v>
      </c>
    </row>
    <row r="1653" spans="1:8">
      <c r="B1653" t="s">
        <v>587</v>
      </c>
      <c r="C1653" t="s">
        <v>65</v>
      </c>
      <c r="D1653">
        <v>10280</v>
      </c>
      <c r="E1653">
        <v>10285</v>
      </c>
      <c r="F1653">
        <v>10280</v>
      </c>
      <c r="G1653">
        <v>10285</v>
      </c>
      <c r="H1653">
        <v>16300</v>
      </c>
    </row>
    <row r="1654" spans="1:8">
      <c r="B1654" t="s">
        <v>587</v>
      </c>
      <c r="C1654" t="s">
        <v>66</v>
      </c>
      <c r="D1654">
        <v>10285</v>
      </c>
      <c r="E1654">
        <v>10290</v>
      </c>
      <c r="F1654">
        <v>10280</v>
      </c>
      <c r="G1654">
        <v>10290</v>
      </c>
      <c r="H1654">
        <v>14500</v>
      </c>
    </row>
    <row r="1655" spans="1:8">
      <c r="B1655" t="s">
        <v>587</v>
      </c>
      <c r="C1655" t="s">
        <v>164</v>
      </c>
      <c r="D1655">
        <v>10290</v>
      </c>
      <c r="E1655">
        <v>10290</v>
      </c>
      <c r="F1655">
        <v>10285</v>
      </c>
      <c r="G1655">
        <v>10290</v>
      </c>
      <c r="H1655">
        <v>9100</v>
      </c>
    </row>
    <row r="1656" spans="1:8">
      <c r="B1656" t="s">
        <v>587</v>
      </c>
      <c r="C1656" t="s">
        <v>165</v>
      </c>
      <c r="D1656">
        <v>10285</v>
      </c>
      <c r="E1656">
        <v>10300</v>
      </c>
      <c r="F1656">
        <v>10285</v>
      </c>
      <c r="G1656">
        <v>10295</v>
      </c>
      <c r="H1656">
        <v>46300</v>
      </c>
    </row>
    <row r="1657" spans="1:8">
      <c r="B1657" t="s">
        <v>587</v>
      </c>
      <c r="C1657" t="s">
        <v>67</v>
      </c>
      <c r="D1657" t="s">
        <v>8</v>
      </c>
      <c r="E1657" t="s">
        <v>8</v>
      </c>
      <c r="F1657" t="s">
        <v>8</v>
      </c>
      <c r="G1657" t="s">
        <v>8</v>
      </c>
      <c r="H1657">
        <v>0</v>
      </c>
    </row>
    <row r="1658" spans="1:8">
      <c r="B1658" t="s">
        <v>587</v>
      </c>
      <c r="C1658" t="s">
        <v>68</v>
      </c>
      <c r="D1658" t="s">
        <v>8</v>
      </c>
      <c r="E1658" t="s">
        <v>8</v>
      </c>
      <c r="F1658" t="s">
        <v>8</v>
      </c>
      <c r="G1658" t="s">
        <v>8</v>
      </c>
      <c r="H1658">
        <v>0</v>
      </c>
    </row>
    <row r="1659" spans="1:8">
      <c r="B1659" t="s">
        <v>587</v>
      </c>
      <c r="C1659" t="s">
        <v>69</v>
      </c>
      <c r="D1659" t="s">
        <v>8</v>
      </c>
      <c r="E1659" t="s">
        <v>8</v>
      </c>
      <c r="F1659" t="s">
        <v>8</v>
      </c>
      <c r="G1659" t="s">
        <v>8</v>
      </c>
      <c r="H1659">
        <v>0</v>
      </c>
    </row>
    <row r="1660" spans="1:8">
      <c r="B1660" t="s">
        <v>587</v>
      </c>
      <c r="C1660" t="s">
        <v>70</v>
      </c>
      <c r="D1660" t="s">
        <v>8</v>
      </c>
      <c r="E1660" t="s">
        <v>8</v>
      </c>
      <c r="F1660" t="s">
        <v>8</v>
      </c>
      <c r="G1660" t="s">
        <v>8</v>
      </c>
      <c r="H1660">
        <v>0</v>
      </c>
    </row>
    <row r="1661" spans="1:8">
      <c r="B1661" t="s">
        <v>587</v>
      </c>
      <c r="C1661" t="s">
        <v>71</v>
      </c>
      <c r="D1661" t="s">
        <v>8</v>
      </c>
      <c r="E1661" t="s">
        <v>8</v>
      </c>
      <c r="F1661" t="s">
        <v>8</v>
      </c>
      <c r="G1661" t="s">
        <v>8</v>
      </c>
      <c r="H1661">
        <v>0</v>
      </c>
    </row>
    <row r="1662" spans="1:8">
      <c r="B1662" t="s">
        <v>587</v>
      </c>
      <c r="C1662" t="s">
        <v>72</v>
      </c>
      <c r="D1662">
        <v>10290</v>
      </c>
      <c r="E1662">
        <v>10290</v>
      </c>
      <c r="F1662">
        <v>10290</v>
      </c>
      <c r="G1662">
        <v>10290</v>
      </c>
      <c r="H1662">
        <v>439800</v>
      </c>
    </row>
    <row r="1663" spans="1:8">
      <c r="A1663" s="1" t="s">
        <v>588</v>
      </c>
      <c r="B1663" s="1" t="s">
        <v>588</v>
      </c>
      <c r="C1663" s="1" t="s">
        <v>588</v>
      </c>
      <c r="D1663" s="1" t="s">
        <v>588</v>
      </c>
      <c r="E1663" s="1" t="s">
        <v>588</v>
      </c>
      <c r="F1663" s="1" t="s">
        <v>588</v>
      </c>
      <c r="G1663" s="1" t="s">
        <v>588</v>
      </c>
      <c r="H1663" s="1" t="s">
        <v>588</v>
      </c>
    </row>
    <row r="1664" spans="1:8">
      <c r="A1664" s="1"/>
      <c r="B1664" s="1" t="s">
        <v>586</v>
      </c>
      <c r="C1664" s="1" t="s">
        <v>444</v>
      </c>
      <c r="D1664" s="1">
        <v>10130</v>
      </c>
      <c r="E1664" s="1">
        <v>10135</v>
      </c>
      <c r="F1664" s="1">
        <v>10105</v>
      </c>
      <c r="G1664" s="1">
        <v>10120</v>
      </c>
      <c r="H1664" s="1">
        <v>89800</v>
      </c>
    </row>
    <row r="1665" spans="1:8">
      <c r="A1665" s="1"/>
      <c r="B1665" s="1" t="s">
        <v>586</v>
      </c>
      <c r="C1665" s="1" t="s">
        <v>445</v>
      </c>
      <c r="D1665" s="1">
        <v>10125</v>
      </c>
      <c r="E1665" s="1">
        <v>10125</v>
      </c>
      <c r="F1665" s="1">
        <v>10045</v>
      </c>
      <c r="G1665" s="1">
        <v>10070</v>
      </c>
      <c r="H1665" s="1">
        <v>175200</v>
      </c>
    </row>
    <row r="1666" spans="1:8">
      <c r="A1666" s="1"/>
      <c r="B1666" s="1" t="s">
        <v>586</v>
      </c>
      <c r="C1666" s="1" t="s">
        <v>446</v>
      </c>
      <c r="D1666" s="1">
        <v>10070</v>
      </c>
      <c r="E1666" s="1">
        <v>10085</v>
      </c>
      <c r="F1666" s="1">
        <v>10040</v>
      </c>
      <c r="G1666" s="1">
        <v>10060</v>
      </c>
      <c r="H1666" s="1">
        <v>93700</v>
      </c>
    </row>
    <row r="1667" spans="1:8">
      <c r="A1667" s="1"/>
      <c r="B1667" s="1" t="s">
        <v>586</v>
      </c>
      <c r="C1667" s="1" t="s">
        <v>447</v>
      </c>
      <c r="D1667" s="1">
        <v>10060</v>
      </c>
      <c r="E1667" s="1">
        <v>10085</v>
      </c>
      <c r="F1667" s="1">
        <v>10050</v>
      </c>
      <c r="G1667" s="1">
        <v>10075</v>
      </c>
      <c r="H1667" s="1">
        <v>86300</v>
      </c>
    </row>
    <row r="1668" spans="1:8">
      <c r="A1668" s="1"/>
      <c r="B1668" s="1" t="s">
        <v>586</v>
      </c>
      <c r="C1668" s="1" t="s">
        <v>448</v>
      </c>
      <c r="D1668" s="1">
        <v>10075</v>
      </c>
      <c r="E1668" s="1">
        <v>10080</v>
      </c>
      <c r="F1668" s="1">
        <v>10025</v>
      </c>
      <c r="G1668" s="1">
        <v>10060</v>
      </c>
      <c r="H1668" s="1">
        <v>106100</v>
      </c>
    </row>
    <row r="1669" spans="1:8">
      <c r="A1669" s="1"/>
      <c r="B1669" s="1" t="s">
        <v>586</v>
      </c>
      <c r="C1669" s="1" t="s">
        <v>449</v>
      </c>
      <c r="D1669" s="1">
        <v>10055</v>
      </c>
      <c r="E1669" s="1">
        <v>10065</v>
      </c>
      <c r="F1669" s="1">
        <v>10040</v>
      </c>
      <c r="G1669" s="1">
        <v>10055</v>
      </c>
      <c r="H1669" s="1">
        <v>56300</v>
      </c>
    </row>
    <row r="1670" spans="1:8">
      <c r="A1670" s="1"/>
      <c r="B1670" s="1" t="s">
        <v>586</v>
      </c>
      <c r="C1670" s="1" t="s">
        <v>450</v>
      </c>
      <c r="D1670" s="1">
        <v>10060</v>
      </c>
      <c r="E1670" s="1">
        <v>10065</v>
      </c>
      <c r="F1670" s="1">
        <v>10025</v>
      </c>
      <c r="G1670" s="1">
        <v>10030</v>
      </c>
      <c r="H1670" s="1">
        <v>83600</v>
      </c>
    </row>
    <row r="1671" spans="1:8">
      <c r="A1671" s="1"/>
      <c r="B1671" s="1" t="s">
        <v>586</v>
      </c>
      <c r="C1671" s="1" t="s">
        <v>451</v>
      </c>
      <c r="D1671" s="1">
        <v>10025</v>
      </c>
      <c r="E1671" s="1">
        <v>10040</v>
      </c>
      <c r="F1671" s="1">
        <v>10015</v>
      </c>
      <c r="G1671" s="1">
        <v>10035</v>
      </c>
      <c r="H1671" s="1">
        <v>54700</v>
      </c>
    </row>
    <row r="1672" spans="1:8">
      <c r="A1672" s="1"/>
      <c r="B1672" s="1" t="s">
        <v>586</v>
      </c>
      <c r="C1672" s="1" t="s">
        <v>452</v>
      </c>
      <c r="D1672" s="1">
        <v>10040</v>
      </c>
      <c r="E1672" s="1">
        <v>10050</v>
      </c>
      <c r="F1672" s="1">
        <v>10025</v>
      </c>
      <c r="G1672" s="1">
        <v>10045</v>
      </c>
      <c r="H1672" s="1">
        <v>45200</v>
      </c>
    </row>
    <row r="1673" spans="1:8">
      <c r="A1673" s="1"/>
      <c r="B1673" s="1" t="s">
        <v>586</v>
      </c>
      <c r="C1673" s="1" t="s">
        <v>453</v>
      </c>
      <c r="D1673" s="1">
        <v>10050</v>
      </c>
      <c r="E1673" s="1">
        <v>10070</v>
      </c>
      <c r="F1673" s="1">
        <v>10045</v>
      </c>
      <c r="G1673" s="1">
        <v>10060</v>
      </c>
      <c r="H1673" s="1">
        <v>54900</v>
      </c>
    </row>
    <row r="1674" spans="1:8">
      <c r="A1674" s="1"/>
      <c r="B1674" s="1" t="s">
        <v>586</v>
      </c>
      <c r="C1674" s="1" t="s">
        <v>454</v>
      </c>
      <c r="D1674" s="1">
        <v>10065</v>
      </c>
      <c r="E1674" s="1">
        <v>10065</v>
      </c>
      <c r="F1674" s="1">
        <v>10025</v>
      </c>
      <c r="G1674" s="1">
        <v>10025</v>
      </c>
      <c r="H1674" s="1">
        <v>66200</v>
      </c>
    </row>
    <row r="1675" spans="1:8">
      <c r="A1675" s="1"/>
      <c r="B1675" s="1" t="s">
        <v>586</v>
      </c>
      <c r="C1675" s="1" t="s">
        <v>455</v>
      </c>
      <c r="D1675" s="1">
        <v>10025</v>
      </c>
      <c r="E1675" s="1">
        <v>10030</v>
      </c>
      <c r="F1675" s="1">
        <v>10010</v>
      </c>
      <c r="G1675" s="1">
        <v>10015</v>
      </c>
      <c r="H1675" s="1">
        <v>64400</v>
      </c>
    </row>
    <row r="1676" spans="1:8">
      <c r="A1676" s="1"/>
      <c r="B1676" s="1" t="s">
        <v>586</v>
      </c>
      <c r="C1676" s="1" t="s">
        <v>456</v>
      </c>
      <c r="D1676" s="1">
        <v>10015</v>
      </c>
      <c r="E1676" s="1">
        <v>10040</v>
      </c>
      <c r="F1676" s="1">
        <v>10010</v>
      </c>
      <c r="G1676" s="1">
        <v>10020</v>
      </c>
      <c r="H1676" s="1">
        <v>51800</v>
      </c>
    </row>
    <row r="1677" spans="1:8">
      <c r="A1677" s="1"/>
      <c r="B1677" s="1" t="s">
        <v>586</v>
      </c>
      <c r="C1677" s="1" t="s">
        <v>457</v>
      </c>
      <c r="D1677" s="1">
        <v>10020</v>
      </c>
      <c r="E1677" s="1">
        <v>10030</v>
      </c>
      <c r="F1677" s="1">
        <v>10015</v>
      </c>
      <c r="G1677" s="1">
        <v>10025</v>
      </c>
      <c r="H1677" s="1">
        <v>21300</v>
      </c>
    </row>
    <row r="1678" spans="1:8">
      <c r="A1678" s="1"/>
      <c r="B1678" s="1" t="s">
        <v>586</v>
      </c>
      <c r="C1678" s="1" t="s">
        <v>458</v>
      </c>
      <c r="D1678" s="1">
        <v>10020</v>
      </c>
      <c r="E1678" s="1">
        <v>10075</v>
      </c>
      <c r="F1678" s="1">
        <v>10020</v>
      </c>
      <c r="G1678" s="1">
        <v>10075</v>
      </c>
      <c r="H1678" s="1">
        <v>105900</v>
      </c>
    </row>
    <row r="1679" spans="1:8">
      <c r="A1679" s="1"/>
      <c r="B1679" s="1" t="s">
        <v>586</v>
      </c>
      <c r="C1679" s="1" t="s">
        <v>459</v>
      </c>
      <c r="D1679" s="1">
        <v>10075</v>
      </c>
      <c r="E1679" s="1">
        <v>10075</v>
      </c>
      <c r="F1679" s="1">
        <v>10040</v>
      </c>
      <c r="G1679" s="1">
        <v>10050</v>
      </c>
      <c r="H1679" s="1">
        <v>57500</v>
      </c>
    </row>
    <row r="1680" spans="1:8">
      <c r="A1680" s="1"/>
      <c r="B1680" s="1" t="s">
        <v>586</v>
      </c>
      <c r="C1680" s="1" t="s">
        <v>460</v>
      </c>
      <c r="D1680" s="1">
        <v>10050</v>
      </c>
      <c r="E1680" s="1">
        <v>10105</v>
      </c>
      <c r="F1680" s="1">
        <v>10050</v>
      </c>
      <c r="G1680" s="1">
        <v>10100</v>
      </c>
      <c r="H1680" s="1">
        <v>104200</v>
      </c>
    </row>
    <row r="1681" spans="1:8">
      <c r="A1681" s="1"/>
      <c r="B1681" s="1" t="s">
        <v>586</v>
      </c>
      <c r="C1681" s="1" t="s">
        <v>461</v>
      </c>
      <c r="D1681" s="1">
        <v>10095</v>
      </c>
      <c r="E1681" s="1">
        <v>10110</v>
      </c>
      <c r="F1681" s="1">
        <v>10085</v>
      </c>
      <c r="G1681" s="1">
        <v>10090</v>
      </c>
      <c r="H1681" s="1">
        <v>57300</v>
      </c>
    </row>
    <row r="1682" spans="1:8">
      <c r="A1682" s="1"/>
      <c r="B1682" s="1" t="s">
        <v>586</v>
      </c>
      <c r="C1682" s="1" t="s">
        <v>462</v>
      </c>
      <c r="D1682" s="1">
        <v>10090</v>
      </c>
      <c r="E1682" s="1">
        <v>10115</v>
      </c>
      <c r="F1682" s="1">
        <v>10075</v>
      </c>
      <c r="G1682" s="1">
        <v>10110</v>
      </c>
      <c r="H1682" s="1">
        <v>77400</v>
      </c>
    </row>
    <row r="1683" spans="1:8">
      <c r="A1683" s="1"/>
      <c r="B1683" s="1" t="s">
        <v>586</v>
      </c>
      <c r="C1683" s="1" t="s">
        <v>464</v>
      </c>
      <c r="D1683" s="1">
        <v>10105</v>
      </c>
      <c r="E1683" s="1">
        <v>10120</v>
      </c>
      <c r="F1683" s="1">
        <v>10095</v>
      </c>
      <c r="G1683" s="1">
        <v>10115</v>
      </c>
      <c r="H1683" s="1">
        <v>50600</v>
      </c>
    </row>
    <row r="1684" spans="1:8">
      <c r="A1684" s="1"/>
      <c r="B1684" s="1" t="s">
        <v>586</v>
      </c>
      <c r="C1684" s="1" t="s">
        <v>465</v>
      </c>
      <c r="D1684" s="1">
        <v>10115</v>
      </c>
      <c r="E1684" s="1">
        <v>10130</v>
      </c>
      <c r="F1684" s="1">
        <v>10110</v>
      </c>
      <c r="G1684" s="1">
        <v>10130</v>
      </c>
      <c r="H1684" s="1">
        <v>70200</v>
      </c>
    </row>
    <row r="1685" spans="1:8">
      <c r="A1685" s="1"/>
      <c r="B1685" s="1" t="s">
        <v>586</v>
      </c>
      <c r="C1685" s="1" t="s">
        <v>466</v>
      </c>
      <c r="D1685" s="1">
        <v>10125</v>
      </c>
      <c r="E1685" s="1">
        <v>10135</v>
      </c>
      <c r="F1685" s="1">
        <v>10105</v>
      </c>
      <c r="G1685" s="1">
        <v>10110</v>
      </c>
      <c r="H1685" s="1">
        <v>96300</v>
      </c>
    </row>
    <row r="1686" spans="1:8">
      <c r="A1686" s="1"/>
      <c r="B1686" s="1" t="s">
        <v>586</v>
      </c>
      <c r="C1686" s="1" t="s">
        <v>467</v>
      </c>
      <c r="D1686" s="1">
        <v>10105</v>
      </c>
      <c r="E1686" s="1">
        <v>10165</v>
      </c>
      <c r="F1686" s="1">
        <v>10100</v>
      </c>
      <c r="G1686" s="1">
        <v>10160</v>
      </c>
      <c r="H1686" s="1">
        <v>130400</v>
      </c>
    </row>
    <row r="1687" spans="1:8">
      <c r="A1687" s="1"/>
      <c r="B1687" s="1" t="s">
        <v>586</v>
      </c>
      <c r="C1687" s="1" t="s">
        <v>468</v>
      </c>
      <c r="D1687" s="1">
        <v>10165</v>
      </c>
      <c r="E1687" s="1">
        <v>10180</v>
      </c>
      <c r="F1687" s="1">
        <v>10160</v>
      </c>
      <c r="G1687" s="1">
        <v>10180</v>
      </c>
      <c r="H1687" s="1">
        <v>84300</v>
      </c>
    </row>
    <row r="1688" spans="1:8">
      <c r="A1688" s="1"/>
      <c r="B1688" s="1" t="s">
        <v>586</v>
      </c>
      <c r="C1688" s="1" t="s">
        <v>469</v>
      </c>
      <c r="D1688" s="1">
        <v>10180</v>
      </c>
      <c r="E1688" s="1">
        <v>10200</v>
      </c>
      <c r="F1688" s="1">
        <v>10170</v>
      </c>
      <c r="G1688" s="1">
        <v>10200</v>
      </c>
      <c r="H1688" s="1">
        <v>102900</v>
      </c>
    </row>
    <row r="1689" spans="1:8">
      <c r="A1689" s="1"/>
      <c r="B1689" s="1" t="s">
        <v>586</v>
      </c>
      <c r="C1689" s="1" t="s">
        <v>470</v>
      </c>
      <c r="D1689" s="1">
        <v>10195</v>
      </c>
      <c r="E1689" s="1">
        <v>10240</v>
      </c>
      <c r="F1689" s="1">
        <v>10195</v>
      </c>
      <c r="G1689" s="1">
        <v>10235</v>
      </c>
      <c r="H1689" s="1">
        <v>120100</v>
      </c>
    </row>
    <row r="1690" spans="1:8">
      <c r="A1690" s="1"/>
      <c r="B1690" s="1" t="s">
        <v>586</v>
      </c>
      <c r="C1690" s="1" t="s">
        <v>471</v>
      </c>
      <c r="D1690" s="1">
        <v>10235</v>
      </c>
      <c r="E1690" s="1">
        <v>10240</v>
      </c>
      <c r="F1690" s="1">
        <v>10200</v>
      </c>
      <c r="G1690" s="1">
        <v>10205</v>
      </c>
      <c r="H1690" s="1">
        <v>118300</v>
      </c>
    </row>
    <row r="1691" spans="1:8">
      <c r="A1691" s="1"/>
      <c r="B1691" s="1" t="s">
        <v>586</v>
      </c>
      <c r="C1691" s="1" t="s">
        <v>472</v>
      </c>
      <c r="D1691" s="1">
        <v>10210</v>
      </c>
      <c r="E1691" s="1">
        <v>10215</v>
      </c>
      <c r="F1691" s="1">
        <v>10180</v>
      </c>
      <c r="G1691" s="1">
        <v>10185</v>
      </c>
      <c r="H1691" s="1">
        <v>88800</v>
      </c>
    </row>
    <row r="1692" spans="1:8">
      <c r="A1692" s="1"/>
      <c r="B1692" s="1" t="s">
        <v>586</v>
      </c>
      <c r="C1692" s="1" t="s">
        <v>473</v>
      </c>
      <c r="D1692" s="1">
        <v>10185</v>
      </c>
      <c r="E1692" s="1">
        <v>10200</v>
      </c>
      <c r="F1692" s="1">
        <v>10175</v>
      </c>
      <c r="G1692" s="1">
        <v>10195</v>
      </c>
      <c r="H1692" s="1">
        <v>55200</v>
      </c>
    </row>
    <row r="1693" spans="1:8">
      <c r="A1693" s="1"/>
      <c r="B1693" s="1" t="s">
        <v>586</v>
      </c>
      <c r="C1693" s="1" t="s">
        <v>474</v>
      </c>
      <c r="D1693" s="1">
        <v>10190</v>
      </c>
      <c r="E1693" s="1">
        <v>10215</v>
      </c>
      <c r="F1693" s="1">
        <v>10190</v>
      </c>
      <c r="G1693" s="1">
        <v>10205</v>
      </c>
      <c r="H1693" s="1">
        <v>38500</v>
      </c>
    </row>
    <row r="1694" spans="1:8">
      <c r="A1694" s="1"/>
      <c r="B1694" s="1" t="s">
        <v>586</v>
      </c>
      <c r="C1694" s="1" t="s">
        <v>475</v>
      </c>
      <c r="D1694" s="1">
        <v>10210</v>
      </c>
      <c r="E1694" s="1">
        <v>10285</v>
      </c>
      <c r="F1694" s="1">
        <v>10205</v>
      </c>
      <c r="G1694" s="1">
        <v>10265</v>
      </c>
      <c r="H1694" s="1">
        <v>186700</v>
      </c>
    </row>
    <row r="1695" spans="1:8">
      <c r="A1695" s="1"/>
      <c r="B1695" s="1" t="s">
        <v>586</v>
      </c>
      <c r="C1695" s="1" t="s">
        <v>476</v>
      </c>
      <c r="D1695" s="1">
        <v>10265</v>
      </c>
      <c r="E1695" s="1">
        <v>10275</v>
      </c>
      <c r="F1695" s="1">
        <v>10255</v>
      </c>
      <c r="G1695" s="1">
        <v>10260</v>
      </c>
      <c r="H1695" s="1">
        <v>78700</v>
      </c>
    </row>
    <row r="1696" spans="1:8">
      <c r="A1696" s="1"/>
      <c r="B1696" s="1" t="s">
        <v>586</v>
      </c>
      <c r="C1696" s="1" t="s">
        <v>477</v>
      </c>
      <c r="D1696" s="1">
        <v>10265</v>
      </c>
      <c r="E1696" s="1">
        <v>10265</v>
      </c>
      <c r="F1696" s="1">
        <v>10235</v>
      </c>
      <c r="G1696" s="1">
        <v>10255</v>
      </c>
      <c r="H1696" s="1">
        <v>83900</v>
      </c>
    </row>
    <row r="1697" spans="1:8">
      <c r="A1697" s="1"/>
      <c r="B1697" s="1" t="s">
        <v>586</v>
      </c>
      <c r="C1697" s="1" t="s">
        <v>478</v>
      </c>
      <c r="D1697" s="1">
        <v>10255</v>
      </c>
      <c r="E1697" s="1">
        <v>10270</v>
      </c>
      <c r="F1697" s="1">
        <v>10250</v>
      </c>
      <c r="G1697" s="1">
        <v>10270</v>
      </c>
      <c r="H1697" s="1">
        <v>44200</v>
      </c>
    </row>
    <row r="1698" spans="1:8">
      <c r="A1698" s="1"/>
      <c r="B1698" s="1" t="s">
        <v>586</v>
      </c>
      <c r="C1698" s="1" t="s">
        <v>479</v>
      </c>
      <c r="D1698" s="1">
        <v>10270</v>
      </c>
      <c r="E1698" s="1">
        <v>10320</v>
      </c>
      <c r="F1698" s="1">
        <v>10255</v>
      </c>
      <c r="G1698" s="1">
        <v>10305</v>
      </c>
      <c r="H1698" s="1">
        <v>176900</v>
      </c>
    </row>
    <row r="1699" spans="1:8">
      <c r="A1699" s="1"/>
      <c r="B1699" s="1" t="s">
        <v>586</v>
      </c>
      <c r="C1699" s="1" t="s">
        <v>480</v>
      </c>
      <c r="D1699" s="1">
        <v>10305</v>
      </c>
      <c r="E1699" s="1">
        <v>10315</v>
      </c>
      <c r="F1699" s="1">
        <v>10250</v>
      </c>
      <c r="G1699" s="1">
        <v>10260</v>
      </c>
      <c r="H1699" s="1">
        <v>139000</v>
      </c>
    </row>
    <row r="1700" spans="1:8">
      <c r="A1700" s="1"/>
      <c r="B1700" s="1" t="s">
        <v>586</v>
      </c>
      <c r="C1700" s="1" t="s">
        <v>481</v>
      </c>
      <c r="D1700" s="1">
        <v>10265</v>
      </c>
      <c r="E1700" s="1">
        <v>10275</v>
      </c>
      <c r="F1700" s="1">
        <v>10265</v>
      </c>
      <c r="G1700" s="1">
        <v>10265</v>
      </c>
      <c r="H1700" s="1">
        <v>53400</v>
      </c>
    </row>
    <row r="1701" spans="1:8">
      <c r="A1701" s="1"/>
      <c r="B1701" s="1" t="s">
        <v>586</v>
      </c>
      <c r="C1701" s="1" t="s">
        <v>482</v>
      </c>
      <c r="D1701" s="1">
        <v>10265</v>
      </c>
      <c r="E1701" s="1">
        <v>10270</v>
      </c>
      <c r="F1701" s="1">
        <v>10235</v>
      </c>
      <c r="G1701" s="1">
        <v>10270</v>
      </c>
      <c r="H1701" s="1">
        <v>95800</v>
      </c>
    </row>
    <row r="1702" spans="1:8">
      <c r="A1702" s="1"/>
      <c r="B1702" s="1" t="s">
        <v>586</v>
      </c>
      <c r="C1702" s="1" t="s">
        <v>483</v>
      </c>
      <c r="D1702" s="1">
        <v>10270</v>
      </c>
      <c r="E1702" s="1">
        <v>10270</v>
      </c>
      <c r="F1702" s="1">
        <v>10225</v>
      </c>
      <c r="G1702" s="1">
        <v>10225</v>
      </c>
      <c r="H1702" s="1">
        <v>45000</v>
      </c>
    </row>
    <row r="1703" spans="1:8">
      <c r="A1703" s="1"/>
      <c r="B1703" s="1" t="s">
        <v>586</v>
      </c>
      <c r="C1703" s="1" t="s">
        <v>484</v>
      </c>
      <c r="D1703" s="1">
        <v>10225</v>
      </c>
      <c r="E1703" s="1">
        <v>10230</v>
      </c>
      <c r="F1703" s="1">
        <v>10220</v>
      </c>
      <c r="G1703" s="1">
        <v>10220</v>
      </c>
      <c r="H1703" s="1">
        <v>32700</v>
      </c>
    </row>
    <row r="1704" spans="1:8">
      <c r="A1704" s="1"/>
      <c r="B1704" s="1" t="s">
        <v>586</v>
      </c>
      <c r="C1704" s="1" t="s">
        <v>485</v>
      </c>
      <c r="D1704" s="1">
        <v>10220</v>
      </c>
      <c r="E1704" s="1">
        <v>10225</v>
      </c>
      <c r="F1704" s="1">
        <v>10200</v>
      </c>
      <c r="G1704" s="1">
        <v>10205</v>
      </c>
      <c r="H1704" s="1">
        <v>51600</v>
      </c>
    </row>
    <row r="1705" spans="1:8">
      <c r="A1705" s="1"/>
      <c r="B1705" s="1" t="s">
        <v>586</v>
      </c>
      <c r="C1705" s="1" t="s">
        <v>486</v>
      </c>
      <c r="D1705" s="1">
        <v>10210</v>
      </c>
      <c r="E1705" s="1">
        <v>10210</v>
      </c>
      <c r="F1705" s="1">
        <v>10175</v>
      </c>
      <c r="G1705" s="1">
        <v>10175</v>
      </c>
      <c r="H1705" s="1">
        <v>55600</v>
      </c>
    </row>
    <row r="1706" spans="1:8">
      <c r="A1706" s="1"/>
      <c r="B1706" s="1" t="s">
        <v>586</v>
      </c>
      <c r="C1706" s="1" t="s">
        <v>487</v>
      </c>
      <c r="D1706" s="1">
        <v>10175</v>
      </c>
      <c r="E1706" s="1">
        <v>10220</v>
      </c>
      <c r="F1706" s="1">
        <v>10175</v>
      </c>
      <c r="G1706" s="1">
        <v>10215</v>
      </c>
      <c r="H1706" s="1">
        <v>46500</v>
      </c>
    </row>
    <row r="1707" spans="1:8">
      <c r="A1707" s="1"/>
      <c r="B1707" s="1" t="s">
        <v>586</v>
      </c>
      <c r="C1707" s="1" t="s">
        <v>488</v>
      </c>
      <c r="D1707" s="1">
        <v>10220</v>
      </c>
      <c r="E1707" s="1">
        <v>10235</v>
      </c>
      <c r="F1707" s="1">
        <v>10205</v>
      </c>
      <c r="G1707" s="1">
        <v>10225</v>
      </c>
      <c r="H1707" s="1">
        <v>49700</v>
      </c>
    </row>
    <row r="1708" spans="1:8">
      <c r="A1708" s="1"/>
      <c r="B1708" s="1" t="s">
        <v>586</v>
      </c>
      <c r="C1708" s="1" t="s">
        <v>489</v>
      </c>
      <c r="D1708" s="1">
        <v>10225</v>
      </c>
      <c r="E1708" s="1">
        <v>10225</v>
      </c>
      <c r="F1708" s="1">
        <v>10215</v>
      </c>
      <c r="G1708" s="1">
        <v>10220</v>
      </c>
      <c r="H1708" s="1">
        <v>18100</v>
      </c>
    </row>
    <row r="1709" spans="1:8">
      <c r="A1709" s="1"/>
      <c r="B1709" s="1" t="s">
        <v>586</v>
      </c>
      <c r="C1709" s="1" t="s">
        <v>490</v>
      </c>
      <c r="D1709" s="1">
        <v>10220</v>
      </c>
      <c r="E1709" s="1">
        <v>10255</v>
      </c>
      <c r="F1709" s="1">
        <v>10220</v>
      </c>
      <c r="G1709" s="1">
        <v>10250</v>
      </c>
      <c r="H1709" s="1">
        <v>63600</v>
      </c>
    </row>
    <row r="1710" spans="1:8">
      <c r="A1710" s="1"/>
      <c r="B1710" s="1" t="s">
        <v>586</v>
      </c>
      <c r="C1710" s="1" t="s">
        <v>491</v>
      </c>
      <c r="D1710" s="1">
        <v>10250</v>
      </c>
      <c r="E1710" s="1">
        <v>10265</v>
      </c>
      <c r="F1710" s="1">
        <v>10250</v>
      </c>
      <c r="G1710" s="1">
        <v>10255</v>
      </c>
      <c r="H1710" s="1">
        <v>55300</v>
      </c>
    </row>
    <row r="1711" spans="1:8">
      <c r="A1711" s="1"/>
      <c r="B1711" s="1" t="s">
        <v>586</v>
      </c>
      <c r="C1711" s="1" t="s">
        <v>492</v>
      </c>
      <c r="D1711" s="1">
        <v>10255</v>
      </c>
      <c r="E1711" s="1">
        <v>10285</v>
      </c>
      <c r="F1711" s="1">
        <v>10255</v>
      </c>
      <c r="G1711" s="1">
        <v>10275</v>
      </c>
      <c r="H1711" s="1">
        <v>75800</v>
      </c>
    </row>
    <row r="1712" spans="1:8">
      <c r="A1712" s="1"/>
      <c r="B1712" s="1" t="s">
        <v>586</v>
      </c>
      <c r="C1712" s="1" t="s">
        <v>493</v>
      </c>
      <c r="D1712" s="1">
        <v>10275</v>
      </c>
      <c r="E1712" s="1">
        <v>10285</v>
      </c>
      <c r="F1712" s="1">
        <v>10265</v>
      </c>
      <c r="G1712" s="1">
        <v>10265</v>
      </c>
      <c r="H1712" s="1">
        <v>47000</v>
      </c>
    </row>
    <row r="1713" spans="1:8">
      <c r="A1713" s="1"/>
      <c r="B1713" s="1" t="s">
        <v>586</v>
      </c>
      <c r="C1713" s="1" t="s">
        <v>494</v>
      </c>
      <c r="D1713" s="1">
        <v>10265</v>
      </c>
      <c r="E1713" s="1">
        <v>10275</v>
      </c>
      <c r="F1713" s="1">
        <v>10260</v>
      </c>
      <c r="G1713" s="1">
        <v>10265</v>
      </c>
      <c r="H1713" s="1">
        <v>28800</v>
      </c>
    </row>
    <row r="1714" spans="1:8">
      <c r="A1714" s="1"/>
      <c r="B1714" s="1" t="s">
        <v>586</v>
      </c>
      <c r="C1714" s="1" t="s">
        <v>495</v>
      </c>
      <c r="D1714" s="1">
        <v>10260</v>
      </c>
      <c r="E1714" s="1">
        <v>10270</v>
      </c>
      <c r="F1714" s="1">
        <v>10250</v>
      </c>
      <c r="G1714" s="1">
        <v>10250</v>
      </c>
      <c r="H1714" s="1">
        <v>44600</v>
      </c>
    </row>
    <row r="1715" spans="1:8">
      <c r="A1715" s="1"/>
      <c r="B1715" s="1" t="s">
        <v>586</v>
      </c>
      <c r="C1715" s="1" t="s">
        <v>496</v>
      </c>
      <c r="D1715" s="1">
        <v>10255</v>
      </c>
      <c r="E1715" s="1">
        <v>10275</v>
      </c>
      <c r="F1715" s="1">
        <v>10250</v>
      </c>
      <c r="G1715" s="1">
        <v>10260</v>
      </c>
      <c r="H1715" s="1">
        <v>32100</v>
      </c>
    </row>
    <row r="1716" spans="1:8">
      <c r="A1716" s="1"/>
      <c r="B1716" s="1" t="s">
        <v>586</v>
      </c>
      <c r="C1716" s="1" t="s">
        <v>497</v>
      </c>
      <c r="D1716" s="1">
        <v>10260</v>
      </c>
      <c r="E1716" s="1">
        <v>10265</v>
      </c>
      <c r="F1716" s="1">
        <v>10245</v>
      </c>
      <c r="G1716" s="1">
        <v>10250</v>
      </c>
      <c r="H1716" s="1">
        <v>32800</v>
      </c>
    </row>
    <row r="1717" spans="1:8">
      <c r="A1717" s="1"/>
      <c r="B1717" s="1" t="s">
        <v>586</v>
      </c>
      <c r="C1717" s="1" t="s">
        <v>498</v>
      </c>
      <c r="D1717" s="1">
        <v>10245</v>
      </c>
      <c r="E1717" s="1">
        <v>10250</v>
      </c>
      <c r="F1717" s="1">
        <v>10230</v>
      </c>
      <c r="G1717" s="1">
        <v>10235</v>
      </c>
      <c r="H1717" s="1">
        <v>32700</v>
      </c>
    </row>
    <row r="1718" spans="1:8">
      <c r="A1718" s="1"/>
      <c r="B1718" s="1" t="s">
        <v>586</v>
      </c>
      <c r="C1718" s="1" t="s">
        <v>499</v>
      </c>
      <c r="D1718" s="1">
        <v>10235</v>
      </c>
      <c r="E1718" s="1">
        <v>10240</v>
      </c>
      <c r="F1718" s="1">
        <v>10230</v>
      </c>
      <c r="G1718" s="1">
        <v>10230</v>
      </c>
      <c r="H1718" s="1">
        <v>13500</v>
      </c>
    </row>
    <row r="1719" spans="1:8">
      <c r="A1719" s="1"/>
      <c r="B1719" s="1" t="s">
        <v>586</v>
      </c>
      <c r="C1719" s="1" t="s">
        <v>500</v>
      </c>
      <c r="D1719" s="1">
        <v>10235</v>
      </c>
      <c r="E1719" s="1">
        <v>10245</v>
      </c>
      <c r="F1719" s="1">
        <v>10225</v>
      </c>
      <c r="G1719" s="1">
        <v>10245</v>
      </c>
      <c r="H1719" s="1">
        <v>29600</v>
      </c>
    </row>
    <row r="1720" spans="1:8">
      <c r="A1720" s="1"/>
      <c r="B1720" s="1" t="s">
        <v>586</v>
      </c>
      <c r="C1720" s="1" t="s">
        <v>501</v>
      </c>
      <c r="D1720" s="1">
        <v>10245</v>
      </c>
      <c r="E1720" s="1">
        <v>10245</v>
      </c>
      <c r="F1720" s="1">
        <v>10205</v>
      </c>
      <c r="G1720" s="1">
        <v>10205</v>
      </c>
      <c r="H1720" s="1">
        <v>39800</v>
      </c>
    </row>
    <row r="1721" spans="1:8">
      <c r="A1721" s="1"/>
      <c r="B1721" s="1" t="s">
        <v>586</v>
      </c>
      <c r="C1721" s="1" t="s">
        <v>502</v>
      </c>
      <c r="D1721" s="1">
        <v>10210</v>
      </c>
      <c r="E1721" s="1">
        <v>10210</v>
      </c>
      <c r="F1721" s="1">
        <v>10190</v>
      </c>
      <c r="G1721" s="1">
        <v>10195</v>
      </c>
      <c r="H1721" s="1">
        <v>42900</v>
      </c>
    </row>
    <row r="1722" spans="1:8">
      <c r="A1722" s="1"/>
      <c r="B1722" s="1" t="s">
        <v>586</v>
      </c>
      <c r="C1722" s="1" t="s">
        <v>503</v>
      </c>
      <c r="D1722" s="1">
        <v>10195</v>
      </c>
      <c r="E1722" s="1">
        <v>10220</v>
      </c>
      <c r="F1722" s="1">
        <v>10195</v>
      </c>
      <c r="G1722" s="1">
        <v>10220</v>
      </c>
      <c r="H1722" s="1">
        <v>24800</v>
      </c>
    </row>
    <row r="1723" spans="1:8">
      <c r="A1723" s="1"/>
      <c r="B1723" s="1" t="s">
        <v>586</v>
      </c>
      <c r="C1723" s="1" t="s">
        <v>504</v>
      </c>
      <c r="D1723" s="1">
        <v>10215</v>
      </c>
      <c r="E1723" s="1">
        <v>10215</v>
      </c>
      <c r="F1723" s="1">
        <v>10195</v>
      </c>
      <c r="G1723" s="1">
        <v>10195</v>
      </c>
      <c r="H1723" s="1">
        <v>23100</v>
      </c>
    </row>
    <row r="1724" spans="1:8">
      <c r="A1724" s="1"/>
      <c r="B1724" s="1" t="s">
        <v>586</v>
      </c>
      <c r="C1724" s="1" t="s">
        <v>505</v>
      </c>
      <c r="D1724" s="1">
        <v>10195</v>
      </c>
      <c r="E1724" s="1">
        <v>10200</v>
      </c>
      <c r="F1724" s="1">
        <v>10185</v>
      </c>
      <c r="G1724" s="1">
        <v>10185</v>
      </c>
      <c r="H1724" s="1">
        <v>23900</v>
      </c>
    </row>
    <row r="1725" spans="1:8">
      <c r="A1725" s="1"/>
      <c r="B1725" s="1" t="s">
        <v>586</v>
      </c>
      <c r="C1725" s="1" t="s">
        <v>506</v>
      </c>
      <c r="D1725" s="1">
        <v>10185</v>
      </c>
      <c r="E1725" s="1">
        <v>10190</v>
      </c>
      <c r="F1725" s="1">
        <v>10170</v>
      </c>
      <c r="G1725" s="1">
        <v>10180</v>
      </c>
      <c r="H1725" s="1">
        <v>48700</v>
      </c>
    </row>
    <row r="1726" spans="1:8">
      <c r="A1726" s="1"/>
      <c r="B1726" s="1" t="s">
        <v>586</v>
      </c>
      <c r="C1726" s="1" t="s">
        <v>507</v>
      </c>
      <c r="D1726" s="1">
        <v>10180</v>
      </c>
      <c r="E1726" s="1">
        <v>10220</v>
      </c>
      <c r="F1726" s="1">
        <v>10180</v>
      </c>
      <c r="G1726" s="1">
        <v>10210</v>
      </c>
      <c r="H1726" s="1">
        <v>52200</v>
      </c>
    </row>
    <row r="1727" spans="1:8">
      <c r="A1727" s="1"/>
      <c r="B1727" s="1" t="s">
        <v>586</v>
      </c>
      <c r="C1727" s="1" t="s">
        <v>508</v>
      </c>
      <c r="D1727" s="1">
        <v>10210</v>
      </c>
      <c r="E1727" s="1">
        <v>10220</v>
      </c>
      <c r="F1727" s="1">
        <v>10200</v>
      </c>
      <c r="G1727" s="1">
        <v>10200</v>
      </c>
      <c r="H1727" s="1">
        <v>22200</v>
      </c>
    </row>
    <row r="1728" spans="1:8">
      <c r="A1728" s="1"/>
      <c r="B1728" s="1" t="s">
        <v>586</v>
      </c>
      <c r="C1728" s="1" t="s">
        <v>509</v>
      </c>
      <c r="D1728" s="1">
        <v>10200</v>
      </c>
      <c r="E1728" s="1">
        <v>10205</v>
      </c>
      <c r="F1728" s="1">
        <v>10185</v>
      </c>
      <c r="G1728" s="1">
        <v>10185</v>
      </c>
      <c r="H1728" s="1">
        <v>23100</v>
      </c>
    </row>
    <row r="1729" spans="1:8">
      <c r="A1729" s="1"/>
      <c r="B1729" s="1" t="s">
        <v>586</v>
      </c>
      <c r="C1729" s="1" t="s">
        <v>510</v>
      </c>
      <c r="D1729" s="1">
        <v>10185</v>
      </c>
      <c r="E1729" s="1">
        <v>10185</v>
      </c>
      <c r="F1729" s="1">
        <v>10175</v>
      </c>
      <c r="G1729" s="1">
        <v>10175</v>
      </c>
      <c r="H1729" s="1">
        <v>32400</v>
      </c>
    </row>
    <row r="1730" spans="1:8">
      <c r="A1730" s="1"/>
      <c r="B1730" s="1" t="s">
        <v>586</v>
      </c>
      <c r="C1730" s="1" t="s">
        <v>511</v>
      </c>
      <c r="D1730" s="1">
        <v>10175</v>
      </c>
      <c r="E1730" s="1">
        <v>10205</v>
      </c>
      <c r="F1730" s="1">
        <v>10170</v>
      </c>
      <c r="G1730" s="1">
        <v>10205</v>
      </c>
      <c r="H1730" s="1">
        <v>54600</v>
      </c>
    </row>
    <row r="1731" spans="1:8">
      <c r="A1731" s="1"/>
      <c r="B1731" s="1" t="s">
        <v>586</v>
      </c>
      <c r="C1731" s="1" t="s">
        <v>512</v>
      </c>
      <c r="D1731" s="1">
        <v>10205</v>
      </c>
      <c r="E1731" s="1">
        <v>10215</v>
      </c>
      <c r="F1731" s="1">
        <v>10185</v>
      </c>
      <c r="G1731" s="1">
        <v>10185</v>
      </c>
      <c r="H1731" s="1">
        <v>33900</v>
      </c>
    </row>
    <row r="1732" spans="1:8">
      <c r="A1732" s="1"/>
      <c r="B1732" s="1" t="s">
        <v>586</v>
      </c>
      <c r="C1732" s="1" t="s">
        <v>513</v>
      </c>
      <c r="D1732" s="1">
        <v>10185</v>
      </c>
      <c r="E1732" s="1">
        <v>10190</v>
      </c>
      <c r="F1732" s="1">
        <v>10185</v>
      </c>
      <c r="G1732" s="1">
        <v>10185</v>
      </c>
      <c r="H1732" s="1">
        <v>4200</v>
      </c>
    </row>
    <row r="1733" spans="1:8">
      <c r="A1733" s="1"/>
      <c r="B1733" s="1" t="s">
        <v>586</v>
      </c>
      <c r="C1733" s="1" t="s">
        <v>514</v>
      </c>
      <c r="D1733" s="1">
        <v>10190</v>
      </c>
      <c r="E1733" s="1">
        <v>10190</v>
      </c>
      <c r="F1733" s="1">
        <v>10180</v>
      </c>
      <c r="G1733" s="1">
        <v>10185</v>
      </c>
      <c r="H1733" s="1">
        <v>18500</v>
      </c>
    </row>
    <row r="1734" spans="1:8">
      <c r="A1734" s="1"/>
      <c r="B1734" s="1" t="s">
        <v>586</v>
      </c>
      <c r="C1734" s="1" t="s">
        <v>515</v>
      </c>
      <c r="D1734" s="1">
        <v>10185</v>
      </c>
      <c r="E1734" s="1">
        <v>10185</v>
      </c>
      <c r="F1734" s="1">
        <v>10175</v>
      </c>
      <c r="G1734" s="1">
        <v>10185</v>
      </c>
      <c r="H1734" s="1">
        <v>23100</v>
      </c>
    </row>
    <row r="1735" spans="1:8">
      <c r="A1735" s="1"/>
      <c r="B1735" s="1" t="s">
        <v>586</v>
      </c>
      <c r="C1735" s="1" t="s">
        <v>516</v>
      </c>
      <c r="D1735" s="1">
        <v>10185</v>
      </c>
      <c r="E1735" s="1">
        <v>10205</v>
      </c>
      <c r="F1735" s="1">
        <v>10185</v>
      </c>
      <c r="G1735" s="1">
        <v>10195</v>
      </c>
      <c r="H1735" s="1">
        <v>40900</v>
      </c>
    </row>
    <row r="1736" spans="1:8">
      <c r="A1736" s="1"/>
      <c r="B1736" s="1" t="s">
        <v>586</v>
      </c>
      <c r="C1736" s="1" t="s">
        <v>517</v>
      </c>
      <c r="D1736" s="1">
        <v>10190</v>
      </c>
      <c r="E1736" s="1">
        <v>10210</v>
      </c>
      <c r="F1736" s="1">
        <v>10190</v>
      </c>
      <c r="G1736" s="1">
        <v>10190</v>
      </c>
      <c r="H1736" s="1">
        <v>25900</v>
      </c>
    </row>
    <row r="1737" spans="1:8">
      <c r="A1737" s="1"/>
      <c r="B1737" s="1" t="s">
        <v>586</v>
      </c>
      <c r="C1737" s="1" t="s">
        <v>518</v>
      </c>
      <c r="D1737" s="1">
        <v>10185</v>
      </c>
      <c r="E1737" s="1">
        <v>10190</v>
      </c>
      <c r="F1737" s="1">
        <v>10160</v>
      </c>
      <c r="G1737" s="1">
        <v>10160</v>
      </c>
      <c r="H1737" s="1">
        <v>45500</v>
      </c>
    </row>
    <row r="1738" spans="1:8">
      <c r="A1738" s="1"/>
      <c r="B1738" s="1" t="s">
        <v>586</v>
      </c>
      <c r="C1738" s="1" t="s">
        <v>519</v>
      </c>
      <c r="D1738" s="1">
        <v>10160</v>
      </c>
      <c r="E1738" s="1">
        <v>10165</v>
      </c>
      <c r="F1738" s="1">
        <v>10150</v>
      </c>
      <c r="G1738" s="1">
        <v>10165</v>
      </c>
      <c r="H1738" s="1">
        <v>42900</v>
      </c>
    </row>
    <row r="1739" spans="1:8">
      <c r="A1739" s="1"/>
      <c r="B1739" s="1" t="s">
        <v>586</v>
      </c>
      <c r="C1739" s="1" t="s">
        <v>520</v>
      </c>
      <c r="D1739" s="1">
        <v>10165</v>
      </c>
      <c r="E1739" s="1">
        <v>10165</v>
      </c>
      <c r="F1739" s="1">
        <v>10140</v>
      </c>
      <c r="G1739" s="1">
        <v>10150</v>
      </c>
      <c r="H1739" s="1">
        <v>51400</v>
      </c>
    </row>
    <row r="1740" spans="1:8">
      <c r="A1740" s="1"/>
      <c r="B1740" s="1" t="s">
        <v>586</v>
      </c>
      <c r="C1740" s="1" t="s">
        <v>521</v>
      </c>
      <c r="D1740" s="1">
        <v>10150</v>
      </c>
      <c r="E1740" s="1">
        <v>10155</v>
      </c>
      <c r="F1740" s="1">
        <v>10135</v>
      </c>
      <c r="G1740" s="1">
        <v>10140</v>
      </c>
      <c r="H1740" s="1">
        <v>40900</v>
      </c>
    </row>
    <row r="1741" spans="1:8">
      <c r="A1741" s="1"/>
      <c r="B1741" s="1" t="s">
        <v>586</v>
      </c>
      <c r="C1741" s="1" t="s">
        <v>522</v>
      </c>
      <c r="D1741" s="1">
        <v>10140</v>
      </c>
      <c r="E1741" s="1">
        <v>10155</v>
      </c>
      <c r="F1741" s="1">
        <v>10140</v>
      </c>
      <c r="G1741" s="1">
        <v>10155</v>
      </c>
      <c r="H1741" s="1">
        <v>20700</v>
      </c>
    </row>
    <row r="1742" spans="1:8">
      <c r="A1742" s="1"/>
      <c r="B1742" s="1" t="s">
        <v>586</v>
      </c>
      <c r="C1742" s="1" t="s">
        <v>523</v>
      </c>
      <c r="D1742" s="1">
        <v>10155</v>
      </c>
      <c r="E1742" s="1">
        <v>10170</v>
      </c>
      <c r="F1742" s="1">
        <v>10135</v>
      </c>
      <c r="G1742" s="1">
        <v>10140</v>
      </c>
      <c r="H1742" s="1">
        <v>34700</v>
      </c>
    </row>
    <row r="1743" spans="1:8">
      <c r="A1743" s="1"/>
      <c r="B1743" s="1" t="s">
        <v>586</v>
      </c>
      <c r="C1743" s="1" t="s">
        <v>524</v>
      </c>
      <c r="D1743" s="1">
        <v>10140</v>
      </c>
      <c r="E1743" s="1">
        <v>10175</v>
      </c>
      <c r="F1743" s="1">
        <v>10140</v>
      </c>
      <c r="G1743" s="1">
        <v>10165</v>
      </c>
      <c r="H1743" s="1">
        <v>36200</v>
      </c>
    </row>
    <row r="1744" spans="1:8">
      <c r="A1744" s="1"/>
      <c r="B1744" s="1" t="s">
        <v>586</v>
      </c>
      <c r="C1744" s="1" t="s">
        <v>525</v>
      </c>
      <c r="D1744" s="1">
        <v>10165</v>
      </c>
      <c r="E1744" s="1">
        <v>10165</v>
      </c>
      <c r="F1744" s="1">
        <v>10150</v>
      </c>
      <c r="G1744" s="1">
        <v>10160</v>
      </c>
      <c r="H1744" s="1">
        <v>24800</v>
      </c>
    </row>
    <row r="1745" spans="1:8">
      <c r="A1745" s="1"/>
      <c r="B1745" s="1" t="s">
        <v>586</v>
      </c>
      <c r="C1745" s="1" t="s">
        <v>526</v>
      </c>
      <c r="D1745" s="1">
        <v>10165</v>
      </c>
      <c r="E1745" s="1">
        <v>10180</v>
      </c>
      <c r="F1745" s="1">
        <v>10160</v>
      </c>
      <c r="G1745" s="1">
        <v>10170</v>
      </c>
      <c r="H1745" s="1">
        <v>29900</v>
      </c>
    </row>
    <row r="1746" spans="1:8">
      <c r="A1746" s="1"/>
      <c r="B1746" s="1" t="s">
        <v>586</v>
      </c>
      <c r="C1746" s="1" t="s">
        <v>527</v>
      </c>
      <c r="D1746" s="1">
        <v>10170</v>
      </c>
      <c r="E1746" s="1">
        <v>10180</v>
      </c>
      <c r="F1746" s="1">
        <v>10170</v>
      </c>
      <c r="G1746" s="1">
        <v>10175</v>
      </c>
      <c r="H1746" s="1">
        <v>19300</v>
      </c>
    </row>
    <row r="1747" spans="1:8">
      <c r="A1747" s="1"/>
      <c r="B1747" s="1" t="s">
        <v>586</v>
      </c>
      <c r="C1747" s="1" t="s">
        <v>528</v>
      </c>
      <c r="D1747" s="1">
        <v>10175</v>
      </c>
      <c r="E1747" s="1">
        <v>10180</v>
      </c>
      <c r="F1747" s="1">
        <v>10160</v>
      </c>
      <c r="G1747" s="1">
        <v>10160</v>
      </c>
      <c r="H1747" s="1">
        <v>14400</v>
      </c>
    </row>
    <row r="1748" spans="1:8">
      <c r="A1748" s="1"/>
      <c r="B1748" s="1" t="s">
        <v>586</v>
      </c>
      <c r="C1748" s="1" t="s">
        <v>529</v>
      </c>
      <c r="D1748" s="1">
        <v>10160</v>
      </c>
      <c r="E1748" s="1">
        <v>10160</v>
      </c>
      <c r="F1748" s="1">
        <v>10145</v>
      </c>
      <c r="G1748" s="1">
        <v>10150</v>
      </c>
      <c r="H1748" s="1">
        <v>31100</v>
      </c>
    </row>
    <row r="1749" spans="1:8">
      <c r="A1749" s="1"/>
      <c r="B1749" s="1" t="s">
        <v>586</v>
      </c>
      <c r="C1749" s="1" t="s">
        <v>530</v>
      </c>
      <c r="D1749" s="1">
        <v>10150</v>
      </c>
      <c r="E1749" s="1">
        <v>10160</v>
      </c>
      <c r="F1749" s="1">
        <v>10135</v>
      </c>
      <c r="G1749" s="1">
        <v>10155</v>
      </c>
      <c r="H1749" s="1">
        <v>36100</v>
      </c>
    </row>
    <row r="1750" spans="1:8">
      <c r="A1750" s="1"/>
      <c r="B1750" s="1" t="s">
        <v>586</v>
      </c>
      <c r="C1750" s="1" t="s">
        <v>531</v>
      </c>
      <c r="D1750" s="1">
        <v>10155</v>
      </c>
      <c r="E1750" s="1">
        <v>10155</v>
      </c>
      <c r="F1750" s="1">
        <v>10115</v>
      </c>
      <c r="G1750" s="1">
        <v>10120</v>
      </c>
      <c r="H1750" s="1">
        <v>49300</v>
      </c>
    </row>
    <row r="1751" spans="1:8">
      <c r="A1751" s="1"/>
      <c r="B1751" s="1" t="s">
        <v>586</v>
      </c>
      <c r="C1751" s="1" t="s">
        <v>532</v>
      </c>
      <c r="D1751" s="1">
        <v>10125</v>
      </c>
      <c r="E1751" s="1">
        <v>10145</v>
      </c>
      <c r="F1751" s="1">
        <v>10120</v>
      </c>
      <c r="G1751" s="1">
        <v>10145</v>
      </c>
      <c r="H1751" s="1">
        <v>36500</v>
      </c>
    </row>
    <row r="1752" spans="1:8">
      <c r="A1752" s="1"/>
      <c r="B1752" s="1" t="s">
        <v>586</v>
      </c>
      <c r="C1752" s="1" t="s">
        <v>533</v>
      </c>
      <c r="D1752" s="1">
        <v>10140</v>
      </c>
      <c r="E1752" s="1">
        <v>10150</v>
      </c>
      <c r="F1752" s="1">
        <v>10140</v>
      </c>
      <c r="G1752" s="1">
        <v>10150</v>
      </c>
      <c r="H1752" s="1">
        <v>13800</v>
      </c>
    </row>
    <row r="1753" spans="1:8">
      <c r="A1753" s="1"/>
      <c r="B1753" s="1" t="s">
        <v>586</v>
      </c>
      <c r="C1753" s="1" t="s">
        <v>534</v>
      </c>
      <c r="D1753" s="1">
        <v>10150</v>
      </c>
      <c r="E1753" s="1">
        <v>10160</v>
      </c>
      <c r="F1753" s="1">
        <v>10140</v>
      </c>
      <c r="G1753" s="1">
        <v>10145</v>
      </c>
      <c r="H1753" s="1">
        <v>38100</v>
      </c>
    </row>
    <row r="1754" spans="1:8">
      <c r="A1754" s="1"/>
      <c r="B1754" s="1" t="s">
        <v>586</v>
      </c>
      <c r="C1754" s="1" t="s">
        <v>535</v>
      </c>
      <c r="D1754" s="1">
        <v>10150</v>
      </c>
      <c r="E1754" s="1">
        <v>10165</v>
      </c>
      <c r="F1754" s="1">
        <v>10150</v>
      </c>
      <c r="G1754" s="1">
        <v>10160</v>
      </c>
      <c r="H1754" s="1">
        <v>27500</v>
      </c>
    </row>
    <row r="1755" spans="1:8">
      <c r="A1755" s="1"/>
      <c r="B1755" s="1" t="s">
        <v>586</v>
      </c>
      <c r="C1755" s="1" t="s">
        <v>536</v>
      </c>
      <c r="D1755" s="1">
        <v>10160</v>
      </c>
      <c r="E1755" s="1">
        <v>10180</v>
      </c>
      <c r="F1755" s="1">
        <v>10155</v>
      </c>
      <c r="G1755" s="1">
        <v>10175</v>
      </c>
      <c r="H1755" s="1">
        <v>51800</v>
      </c>
    </row>
    <row r="1756" spans="1:8">
      <c r="A1756" s="1"/>
      <c r="B1756" s="1" t="s">
        <v>586</v>
      </c>
      <c r="C1756" s="1" t="s">
        <v>537</v>
      </c>
      <c r="D1756" s="1">
        <v>10170</v>
      </c>
      <c r="E1756" s="1">
        <v>10180</v>
      </c>
      <c r="F1756" s="1">
        <v>10165</v>
      </c>
      <c r="G1756" s="1">
        <v>10170</v>
      </c>
      <c r="H1756" s="1">
        <v>17200</v>
      </c>
    </row>
    <row r="1757" spans="1:8">
      <c r="A1757" s="1"/>
      <c r="B1757" s="1" t="s">
        <v>586</v>
      </c>
      <c r="C1757" s="1" t="s">
        <v>538</v>
      </c>
      <c r="D1757" s="1">
        <v>10170</v>
      </c>
      <c r="E1757" s="1">
        <v>10180</v>
      </c>
      <c r="F1757" s="1">
        <v>10165</v>
      </c>
      <c r="G1757" s="1">
        <v>10180</v>
      </c>
      <c r="H1757" s="1">
        <v>14100</v>
      </c>
    </row>
    <row r="1758" spans="1:8">
      <c r="A1758" s="1"/>
      <c r="B1758" s="1" t="s">
        <v>586</v>
      </c>
      <c r="C1758" s="1" t="s">
        <v>539</v>
      </c>
      <c r="D1758" s="1">
        <v>10180</v>
      </c>
      <c r="E1758" s="1">
        <v>10190</v>
      </c>
      <c r="F1758" s="1">
        <v>10180</v>
      </c>
      <c r="G1758" s="1">
        <v>10180</v>
      </c>
      <c r="H1758" s="1">
        <v>22700</v>
      </c>
    </row>
    <row r="1759" spans="1:8">
      <c r="A1759" s="1"/>
      <c r="B1759" s="1" t="s">
        <v>586</v>
      </c>
      <c r="C1759" s="1" t="s">
        <v>540</v>
      </c>
      <c r="D1759" s="1">
        <v>10180</v>
      </c>
      <c r="E1759" s="1">
        <v>10185</v>
      </c>
      <c r="F1759" s="1">
        <v>10175</v>
      </c>
      <c r="G1759" s="1">
        <v>10180</v>
      </c>
      <c r="H1759" s="1">
        <v>19300</v>
      </c>
    </row>
    <row r="1760" spans="1:8">
      <c r="A1760" s="1"/>
      <c r="B1760" s="1" t="s">
        <v>586</v>
      </c>
      <c r="C1760" s="1" t="s">
        <v>541</v>
      </c>
      <c r="D1760" s="1">
        <v>10180</v>
      </c>
      <c r="E1760" s="1">
        <v>10180</v>
      </c>
      <c r="F1760" s="1">
        <v>10165</v>
      </c>
      <c r="G1760" s="1">
        <v>10170</v>
      </c>
      <c r="H1760" s="1">
        <v>20500</v>
      </c>
    </row>
    <row r="1761" spans="1:8">
      <c r="A1761" s="1"/>
      <c r="B1761" s="1" t="s">
        <v>586</v>
      </c>
      <c r="C1761" s="1" t="s">
        <v>542</v>
      </c>
      <c r="D1761" s="1">
        <v>10165</v>
      </c>
      <c r="E1761" s="1">
        <v>10170</v>
      </c>
      <c r="F1761" s="1">
        <v>10160</v>
      </c>
      <c r="G1761" s="1">
        <v>10165</v>
      </c>
      <c r="H1761" s="1">
        <v>6800</v>
      </c>
    </row>
    <row r="1762" spans="1:8">
      <c r="A1762" s="1"/>
      <c r="B1762" s="1" t="s">
        <v>586</v>
      </c>
      <c r="C1762" s="1" t="s">
        <v>543</v>
      </c>
      <c r="D1762" s="1">
        <v>10165</v>
      </c>
      <c r="E1762" s="1">
        <v>10195</v>
      </c>
      <c r="F1762" s="1">
        <v>10165</v>
      </c>
      <c r="G1762" s="1">
        <v>10195</v>
      </c>
      <c r="H1762" s="1">
        <v>47400</v>
      </c>
    </row>
    <row r="1763" spans="1:8">
      <c r="A1763" s="1"/>
      <c r="B1763" s="1" t="s">
        <v>586</v>
      </c>
      <c r="C1763" s="1" t="s">
        <v>544</v>
      </c>
      <c r="D1763" s="1">
        <v>10195</v>
      </c>
      <c r="E1763" s="1">
        <v>10210</v>
      </c>
      <c r="F1763" s="1">
        <v>10190</v>
      </c>
      <c r="G1763" s="1">
        <v>10205</v>
      </c>
      <c r="H1763" s="1">
        <v>31900</v>
      </c>
    </row>
    <row r="1764" spans="1:8">
      <c r="A1764" s="1"/>
      <c r="B1764" s="1" t="s">
        <v>586</v>
      </c>
      <c r="C1764" s="1" t="s">
        <v>545</v>
      </c>
      <c r="D1764" s="1">
        <v>10205</v>
      </c>
      <c r="E1764" s="1">
        <v>10220</v>
      </c>
      <c r="F1764" s="1">
        <v>10200</v>
      </c>
      <c r="G1764" s="1">
        <v>10205</v>
      </c>
      <c r="H1764" s="1">
        <v>28400</v>
      </c>
    </row>
    <row r="1765" spans="1:8">
      <c r="A1765" s="1"/>
      <c r="B1765" s="1" t="s">
        <v>586</v>
      </c>
      <c r="C1765" s="1" t="s">
        <v>546</v>
      </c>
      <c r="D1765" s="1">
        <v>10205</v>
      </c>
      <c r="E1765" s="1">
        <v>10210</v>
      </c>
      <c r="F1765" s="1">
        <v>10190</v>
      </c>
      <c r="G1765" s="1">
        <v>10195</v>
      </c>
      <c r="H1765" s="1">
        <v>24400</v>
      </c>
    </row>
    <row r="1766" spans="1:8">
      <c r="A1766" s="1"/>
      <c r="B1766" s="1" t="s">
        <v>586</v>
      </c>
      <c r="C1766" s="1" t="s">
        <v>547</v>
      </c>
      <c r="D1766" s="1">
        <v>10200</v>
      </c>
      <c r="E1766" s="1">
        <v>10205</v>
      </c>
      <c r="F1766" s="1">
        <v>10190</v>
      </c>
      <c r="G1766" s="1">
        <v>10190</v>
      </c>
      <c r="H1766" s="1">
        <v>16500</v>
      </c>
    </row>
    <row r="1767" spans="1:8">
      <c r="A1767" s="1"/>
      <c r="B1767" s="1" t="s">
        <v>586</v>
      </c>
      <c r="C1767" s="1" t="s">
        <v>548</v>
      </c>
      <c r="D1767" s="1">
        <v>10190</v>
      </c>
      <c r="E1767" s="1">
        <v>10200</v>
      </c>
      <c r="F1767" s="1">
        <v>10190</v>
      </c>
      <c r="G1767" s="1">
        <v>10195</v>
      </c>
      <c r="H1767" s="1">
        <v>8600</v>
      </c>
    </row>
    <row r="1768" spans="1:8">
      <c r="A1768" s="1"/>
      <c r="B1768" s="1" t="s">
        <v>586</v>
      </c>
      <c r="C1768" s="1" t="s">
        <v>549</v>
      </c>
      <c r="D1768" s="1">
        <v>10195</v>
      </c>
      <c r="E1768" s="1">
        <v>10200</v>
      </c>
      <c r="F1768" s="1">
        <v>10190</v>
      </c>
      <c r="G1768" s="1">
        <v>10195</v>
      </c>
      <c r="H1768" s="1">
        <v>10200</v>
      </c>
    </row>
    <row r="1769" spans="1:8">
      <c r="A1769" s="1"/>
      <c r="B1769" s="1" t="s">
        <v>586</v>
      </c>
      <c r="C1769" s="1" t="s">
        <v>550</v>
      </c>
      <c r="D1769" s="1">
        <v>10195</v>
      </c>
      <c r="E1769" s="1">
        <v>10195</v>
      </c>
      <c r="F1769" s="1">
        <v>10175</v>
      </c>
      <c r="G1769" s="1">
        <v>10175</v>
      </c>
      <c r="H1769" s="1">
        <v>22100</v>
      </c>
    </row>
    <row r="1770" spans="1:8">
      <c r="A1770" s="1"/>
      <c r="B1770" s="1" t="s">
        <v>586</v>
      </c>
      <c r="C1770" s="1" t="s">
        <v>551</v>
      </c>
      <c r="D1770" s="1">
        <v>10175</v>
      </c>
      <c r="E1770" s="1">
        <v>10200</v>
      </c>
      <c r="F1770" s="1">
        <v>10175</v>
      </c>
      <c r="G1770" s="1">
        <v>10195</v>
      </c>
      <c r="H1770" s="1">
        <v>21200</v>
      </c>
    </row>
    <row r="1771" spans="1:8">
      <c r="A1771" s="1"/>
      <c r="B1771" s="1" t="s">
        <v>586</v>
      </c>
      <c r="C1771" s="1" t="s">
        <v>552</v>
      </c>
      <c r="D1771" s="1">
        <v>10195</v>
      </c>
      <c r="E1771" s="1">
        <v>10210</v>
      </c>
      <c r="F1771" s="1">
        <v>10195</v>
      </c>
      <c r="G1771" s="1">
        <v>10210</v>
      </c>
      <c r="H1771" s="1">
        <v>26400</v>
      </c>
    </row>
    <row r="1772" spans="1:8">
      <c r="A1772" s="1"/>
      <c r="B1772" s="1" t="s">
        <v>586</v>
      </c>
      <c r="C1772" s="1" t="s">
        <v>553</v>
      </c>
      <c r="D1772" s="1">
        <v>10205</v>
      </c>
      <c r="E1772" s="1">
        <v>10210</v>
      </c>
      <c r="F1772" s="1">
        <v>10175</v>
      </c>
      <c r="G1772" s="1">
        <v>10175</v>
      </c>
      <c r="H1772" s="1">
        <v>33500</v>
      </c>
    </row>
    <row r="1773" spans="1:8">
      <c r="A1773" s="1"/>
      <c r="B1773" s="1" t="s">
        <v>586</v>
      </c>
      <c r="C1773" s="1" t="s">
        <v>554</v>
      </c>
      <c r="D1773" s="1">
        <v>10170</v>
      </c>
      <c r="E1773" s="1">
        <v>10170</v>
      </c>
      <c r="F1773" s="1">
        <v>10160</v>
      </c>
      <c r="G1773" s="1">
        <v>10165</v>
      </c>
      <c r="H1773" s="1">
        <v>24600</v>
      </c>
    </row>
    <row r="1774" spans="1:8">
      <c r="A1774" s="1"/>
      <c r="B1774" s="1" t="s">
        <v>586</v>
      </c>
      <c r="C1774" s="1" t="s">
        <v>555</v>
      </c>
      <c r="D1774" s="1">
        <v>10170</v>
      </c>
      <c r="E1774" s="1">
        <v>10195</v>
      </c>
      <c r="F1774" s="1">
        <v>10165</v>
      </c>
      <c r="G1774" s="1">
        <v>10175</v>
      </c>
      <c r="H1774" s="1">
        <v>24600</v>
      </c>
    </row>
    <row r="1775" spans="1:8">
      <c r="A1775" s="1"/>
      <c r="B1775" s="1" t="s">
        <v>586</v>
      </c>
      <c r="C1775" s="1" t="s">
        <v>556</v>
      </c>
      <c r="D1775" s="1">
        <v>10175</v>
      </c>
      <c r="E1775" s="1">
        <v>10180</v>
      </c>
      <c r="F1775" s="1">
        <v>10165</v>
      </c>
      <c r="G1775" s="1">
        <v>10180</v>
      </c>
      <c r="H1775" s="1">
        <v>16300</v>
      </c>
    </row>
    <row r="1776" spans="1:8">
      <c r="A1776" s="1"/>
      <c r="B1776" s="1" t="s">
        <v>586</v>
      </c>
      <c r="C1776" s="1" t="s">
        <v>557</v>
      </c>
      <c r="D1776" s="1">
        <v>10185</v>
      </c>
      <c r="E1776" s="1">
        <v>10190</v>
      </c>
      <c r="F1776" s="1">
        <v>10185</v>
      </c>
      <c r="G1776" s="1">
        <v>10185</v>
      </c>
      <c r="H1776" s="1">
        <v>3600</v>
      </c>
    </row>
    <row r="1777" spans="1:8">
      <c r="A1777" s="1"/>
      <c r="B1777" s="1" t="s">
        <v>586</v>
      </c>
      <c r="C1777" s="1" t="s">
        <v>558</v>
      </c>
      <c r="D1777" s="1">
        <v>10185</v>
      </c>
      <c r="E1777" s="1">
        <v>10185</v>
      </c>
      <c r="F1777" s="1">
        <v>10175</v>
      </c>
      <c r="G1777" s="1">
        <v>10180</v>
      </c>
      <c r="H1777" s="1">
        <v>4200</v>
      </c>
    </row>
    <row r="1778" spans="1:8">
      <c r="A1778" s="1"/>
      <c r="B1778" s="1" t="s">
        <v>586</v>
      </c>
      <c r="C1778" s="1" t="s">
        <v>559</v>
      </c>
      <c r="D1778" s="1">
        <v>10180</v>
      </c>
      <c r="E1778" s="1">
        <v>10185</v>
      </c>
      <c r="F1778" s="1">
        <v>10175</v>
      </c>
      <c r="G1778" s="1">
        <v>10180</v>
      </c>
      <c r="H1778" s="1">
        <v>12300</v>
      </c>
    </row>
    <row r="1779" spans="1:8">
      <c r="A1779" s="1"/>
      <c r="B1779" s="1" t="s">
        <v>586</v>
      </c>
      <c r="C1779" s="1" t="s">
        <v>560</v>
      </c>
      <c r="D1779" s="1">
        <v>10180</v>
      </c>
      <c r="E1779" s="1">
        <v>10190</v>
      </c>
      <c r="F1779" s="1">
        <v>10175</v>
      </c>
      <c r="G1779" s="1">
        <v>10185</v>
      </c>
      <c r="H1779" s="1">
        <v>7800</v>
      </c>
    </row>
    <row r="1780" spans="1:8">
      <c r="A1780" s="1"/>
      <c r="B1780" s="1" t="s">
        <v>586</v>
      </c>
      <c r="C1780" s="1" t="s">
        <v>561</v>
      </c>
      <c r="D1780" s="1">
        <v>10185</v>
      </c>
      <c r="E1780" s="1">
        <v>10200</v>
      </c>
      <c r="F1780" s="1">
        <v>10185</v>
      </c>
      <c r="G1780" s="1">
        <v>10190</v>
      </c>
      <c r="H1780" s="1">
        <v>19200</v>
      </c>
    </row>
    <row r="1781" spans="1:8">
      <c r="A1781" s="1"/>
      <c r="B1781" s="1" t="s">
        <v>586</v>
      </c>
      <c r="C1781" s="1" t="s">
        <v>562</v>
      </c>
      <c r="D1781" s="1">
        <v>10195</v>
      </c>
      <c r="E1781" s="1">
        <v>10200</v>
      </c>
      <c r="F1781" s="1">
        <v>10190</v>
      </c>
      <c r="G1781" s="1">
        <v>10195</v>
      </c>
      <c r="H1781" s="1">
        <v>31600</v>
      </c>
    </row>
    <row r="1782" spans="1:8">
      <c r="A1782" s="1"/>
      <c r="B1782" s="1" t="s">
        <v>586</v>
      </c>
      <c r="C1782" s="1" t="s">
        <v>563</v>
      </c>
      <c r="D1782" s="1">
        <v>10195</v>
      </c>
      <c r="E1782" s="1">
        <v>10200</v>
      </c>
      <c r="F1782" s="1">
        <v>10190</v>
      </c>
      <c r="G1782" s="1">
        <v>10195</v>
      </c>
      <c r="H1782" s="1">
        <v>8500</v>
      </c>
    </row>
    <row r="1783" spans="1:8">
      <c r="A1783" s="1"/>
      <c r="B1783" s="1" t="s">
        <v>586</v>
      </c>
      <c r="C1783" s="1" t="s">
        <v>564</v>
      </c>
      <c r="D1783" s="1">
        <v>10200</v>
      </c>
      <c r="E1783" s="1">
        <v>10200</v>
      </c>
      <c r="F1783" s="1">
        <v>10190</v>
      </c>
      <c r="G1783" s="1">
        <v>10190</v>
      </c>
      <c r="H1783" s="1">
        <v>4100</v>
      </c>
    </row>
    <row r="1784" spans="1:8">
      <c r="A1784" s="1"/>
      <c r="B1784" s="1" t="s">
        <v>586</v>
      </c>
      <c r="C1784" s="1" t="s">
        <v>565</v>
      </c>
      <c r="D1784" s="1">
        <v>10195</v>
      </c>
      <c r="E1784" s="1">
        <v>10205</v>
      </c>
      <c r="F1784" s="1">
        <v>10195</v>
      </c>
      <c r="G1784" s="1">
        <v>10205</v>
      </c>
      <c r="H1784" s="1">
        <v>18200</v>
      </c>
    </row>
    <row r="1785" spans="1:8">
      <c r="A1785" s="1"/>
      <c r="B1785" s="1" t="s">
        <v>586</v>
      </c>
      <c r="C1785" s="1" t="s">
        <v>566</v>
      </c>
      <c r="D1785" s="1">
        <v>10200</v>
      </c>
      <c r="E1785" s="1">
        <v>10205</v>
      </c>
      <c r="F1785" s="1">
        <v>10200</v>
      </c>
      <c r="G1785" s="1">
        <v>10200</v>
      </c>
      <c r="H1785" s="1">
        <v>10600</v>
      </c>
    </row>
    <row r="1786" spans="1:8">
      <c r="A1786" s="1"/>
      <c r="B1786" s="1" t="s">
        <v>586</v>
      </c>
      <c r="C1786" s="1" t="s">
        <v>567</v>
      </c>
      <c r="D1786" s="1">
        <v>10200</v>
      </c>
      <c r="E1786" s="1">
        <v>10210</v>
      </c>
      <c r="F1786" s="1">
        <v>10200</v>
      </c>
      <c r="G1786" s="1">
        <v>10210</v>
      </c>
      <c r="H1786" s="1">
        <v>18800</v>
      </c>
    </row>
    <row r="1787" spans="1:8">
      <c r="A1787" s="1"/>
      <c r="B1787" s="1" t="s">
        <v>586</v>
      </c>
      <c r="C1787" s="1" t="s">
        <v>568</v>
      </c>
      <c r="D1787" s="1">
        <v>10210</v>
      </c>
      <c r="E1787" s="1">
        <v>10230</v>
      </c>
      <c r="F1787" s="1">
        <v>10210</v>
      </c>
      <c r="G1787" s="1">
        <v>10225</v>
      </c>
      <c r="H1787" s="1">
        <v>39100</v>
      </c>
    </row>
    <row r="1788" spans="1:8">
      <c r="A1788" s="1"/>
      <c r="B1788" s="1" t="s">
        <v>586</v>
      </c>
      <c r="C1788" s="1" t="s">
        <v>569</v>
      </c>
      <c r="D1788" s="1">
        <v>10225</v>
      </c>
      <c r="E1788" s="1">
        <v>10230</v>
      </c>
      <c r="F1788" s="1">
        <v>10220</v>
      </c>
      <c r="G1788" s="1">
        <v>10230</v>
      </c>
      <c r="H1788" s="1">
        <v>9100</v>
      </c>
    </row>
    <row r="1789" spans="1:8">
      <c r="A1789" s="1"/>
      <c r="B1789" s="1" t="s">
        <v>586</v>
      </c>
      <c r="C1789" s="1" t="s">
        <v>570</v>
      </c>
      <c r="D1789" s="1">
        <v>10230</v>
      </c>
      <c r="E1789" s="1">
        <v>10230</v>
      </c>
      <c r="F1789" s="1">
        <v>10225</v>
      </c>
      <c r="G1789" s="1">
        <v>10230</v>
      </c>
      <c r="H1789" s="1">
        <v>11700</v>
      </c>
    </row>
    <row r="1790" spans="1:8">
      <c r="A1790" s="1"/>
      <c r="B1790" s="1" t="s">
        <v>586</v>
      </c>
      <c r="C1790" s="1" t="s">
        <v>571</v>
      </c>
      <c r="D1790" s="1">
        <v>10230</v>
      </c>
      <c r="E1790" s="1">
        <v>10235</v>
      </c>
      <c r="F1790" s="1">
        <v>10225</v>
      </c>
      <c r="G1790" s="1">
        <v>10230</v>
      </c>
      <c r="H1790" s="1">
        <v>12000</v>
      </c>
    </row>
    <row r="1791" spans="1:8">
      <c r="A1791" s="1"/>
      <c r="B1791" s="1" t="s">
        <v>586</v>
      </c>
      <c r="C1791" s="1" t="s">
        <v>572</v>
      </c>
      <c r="D1791" s="1">
        <v>10230</v>
      </c>
      <c r="E1791" s="1">
        <v>10240</v>
      </c>
      <c r="F1791" s="1">
        <v>10230</v>
      </c>
      <c r="G1791" s="1">
        <v>10235</v>
      </c>
      <c r="H1791" s="1">
        <v>11400</v>
      </c>
    </row>
    <row r="1792" spans="1:8">
      <c r="A1792" s="1"/>
      <c r="B1792" s="1" t="s">
        <v>586</v>
      </c>
      <c r="C1792" s="1" t="s">
        <v>573</v>
      </c>
      <c r="D1792" s="1">
        <v>10240</v>
      </c>
      <c r="E1792" s="1">
        <v>10240</v>
      </c>
      <c r="F1792" s="1">
        <v>10215</v>
      </c>
      <c r="G1792" s="1">
        <v>10230</v>
      </c>
      <c r="H1792" s="1">
        <v>37400</v>
      </c>
    </row>
    <row r="1793" spans="1:8">
      <c r="A1793" s="1"/>
      <c r="B1793" s="1" t="s">
        <v>586</v>
      </c>
      <c r="C1793" s="1" t="s">
        <v>574</v>
      </c>
      <c r="D1793" s="1">
        <v>10235</v>
      </c>
      <c r="E1793" s="1">
        <v>10265</v>
      </c>
      <c r="F1793" s="1">
        <v>10230</v>
      </c>
      <c r="G1793" s="1">
        <v>10265</v>
      </c>
      <c r="H1793" s="1">
        <v>78900</v>
      </c>
    </row>
    <row r="1794" spans="1:8">
      <c r="A1794" s="1"/>
      <c r="B1794" s="1" t="s">
        <v>586</v>
      </c>
      <c r="C1794" s="1" t="s">
        <v>575</v>
      </c>
      <c r="D1794" s="1">
        <v>10265</v>
      </c>
      <c r="E1794" s="1">
        <v>10270</v>
      </c>
      <c r="F1794" s="1">
        <v>10255</v>
      </c>
      <c r="G1794" s="1">
        <v>10260</v>
      </c>
      <c r="H1794" s="1">
        <v>41300</v>
      </c>
    </row>
    <row r="1795" spans="1:8">
      <c r="A1795" s="1"/>
      <c r="B1795" s="1" t="s">
        <v>586</v>
      </c>
      <c r="C1795" s="1" t="s">
        <v>576</v>
      </c>
      <c r="D1795" s="1">
        <v>10255</v>
      </c>
      <c r="E1795" s="1">
        <v>10255</v>
      </c>
      <c r="F1795" s="1">
        <v>10245</v>
      </c>
      <c r="G1795" s="1">
        <v>10250</v>
      </c>
      <c r="H1795" s="1">
        <v>18900</v>
      </c>
    </row>
    <row r="1796" spans="1:8">
      <c r="A1796" s="1"/>
      <c r="B1796" s="1" t="s">
        <v>586</v>
      </c>
      <c r="C1796" s="1" t="s">
        <v>577</v>
      </c>
      <c r="D1796" s="1">
        <v>10250</v>
      </c>
      <c r="E1796" s="1">
        <v>10250</v>
      </c>
      <c r="F1796" s="1">
        <v>10235</v>
      </c>
      <c r="G1796" s="1">
        <v>10245</v>
      </c>
      <c r="H1796" s="1">
        <v>22200</v>
      </c>
    </row>
    <row r="1797" spans="1:8">
      <c r="A1797" s="1"/>
      <c r="B1797" s="1" t="s">
        <v>586</v>
      </c>
      <c r="C1797" s="1" t="s">
        <v>578</v>
      </c>
      <c r="D1797" s="1">
        <v>10245</v>
      </c>
      <c r="E1797" s="1">
        <v>10250</v>
      </c>
      <c r="F1797" s="1">
        <v>10230</v>
      </c>
      <c r="G1797" s="1">
        <v>10240</v>
      </c>
      <c r="H1797" s="1">
        <v>26800</v>
      </c>
    </row>
    <row r="1798" spans="1:8">
      <c r="A1798" s="1"/>
      <c r="B1798" s="1" t="s">
        <v>586</v>
      </c>
      <c r="C1798" s="1" t="s">
        <v>579</v>
      </c>
      <c r="D1798" s="1">
        <v>10235</v>
      </c>
      <c r="E1798" s="1">
        <v>10245</v>
      </c>
      <c r="F1798" s="1">
        <v>10230</v>
      </c>
      <c r="G1798" s="1">
        <v>10240</v>
      </c>
      <c r="H1798" s="1">
        <v>18900</v>
      </c>
    </row>
    <row r="1799" spans="1:8">
      <c r="A1799" s="1"/>
      <c r="B1799" s="1" t="s">
        <v>586</v>
      </c>
      <c r="C1799" s="1" t="s">
        <v>580</v>
      </c>
      <c r="D1799" s="1">
        <v>10245</v>
      </c>
      <c r="E1799" s="1">
        <v>10255</v>
      </c>
      <c r="F1799" s="1">
        <v>10240</v>
      </c>
      <c r="G1799" s="1">
        <v>10255</v>
      </c>
      <c r="H1799" s="1">
        <v>18600</v>
      </c>
    </row>
    <row r="1800" spans="1:8">
      <c r="A1800" s="1"/>
      <c r="B1800" s="1" t="s">
        <v>586</v>
      </c>
      <c r="C1800" s="1" t="s">
        <v>581</v>
      </c>
      <c r="D1800" s="1">
        <v>10255</v>
      </c>
      <c r="E1800" s="1">
        <v>10260</v>
      </c>
      <c r="F1800" s="1">
        <v>10245</v>
      </c>
      <c r="G1800" s="1">
        <v>10260</v>
      </c>
      <c r="H1800" s="1">
        <v>7900</v>
      </c>
    </row>
    <row r="1801" spans="1:8">
      <c r="A1801" s="1"/>
      <c r="B1801" s="1" t="s">
        <v>586</v>
      </c>
      <c r="C1801" s="1" t="s">
        <v>582</v>
      </c>
      <c r="D1801" s="1">
        <v>10255</v>
      </c>
      <c r="E1801" s="1">
        <v>10260</v>
      </c>
      <c r="F1801" s="1">
        <v>10250</v>
      </c>
      <c r="G1801" s="1">
        <v>10255</v>
      </c>
      <c r="H1801" s="1">
        <v>25900</v>
      </c>
    </row>
    <row r="1802" spans="1:8">
      <c r="A1802" s="1"/>
      <c r="B1802" s="1" t="s">
        <v>586</v>
      </c>
      <c r="C1802" s="1" t="s">
        <v>583</v>
      </c>
      <c r="D1802" s="1">
        <v>10255</v>
      </c>
      <c r="E1802" s="1">
        <v>10265</v>
      </c>
      <c r="F1802" s="1">
        <v>10255</v>
      </c>
      <c r="G1802" s="1">
        <v>10260</v>
      </c>
      <c r="H1802" s="1">
        <v>10200</v>
      </c>
    </row>
    <row r="1803" spans="1:8">
      <c r="A1803" s="1"/>
      <c r="B1803" s="1" t="s">
        <v>586</v>
      </c>
      <c r="C1803" s="1" t="s">
        <v>584</v>
      </c>
      <c r="D1803" s="1">
        <v>10260</v>
      </c>
      <c r="E1803" s="1">
        <v>10265</v>
      </c>
      <c r="F1803" s="1">
        <v>10235</v>
      </c>
      <c r="G1803" s="1">
        <v>10240</v>
      </c>
      <c r="H1803" s="1">
        <v>32700</v>
      </c>
    </row>
    <row r="1804" spans="1:8">
      <c r="A1804" s="1"/>
      <c r="B1804" s="1" t="s">
        <v>586</v>
      </c>
      <c r="C1804" s="1" t="s">
        <v>585</v>
      </c>
      <c r="D1804" s="1">
        <v>10240</v>
      </c>
      <c r="E1804" s="1">
        <v>10255</v>
      </c>
      <c r="F1804" s="1">
        <v>10235</v>
      </c>
      <c r="G1804" s="1">
        <v>10250</v>
      </c>
      <c r="H1804" s="1">
        <v>17300</v>
      </c>
    </row>
    <row r="1805" spans="1:8">
      <c r="A1805" s="1"/>
      <c r="B1805" s="1" t="s">
        <v>587</v>
      </c>
      <c r="C1805" s="1" t="s">
        <v>316</v>
      </c>
      <c r="D1805" s="1">
        <v>10255</v>
      </c>
      <c r="E1805" s="1">
        <v>10255</v>
      </c>
      <c r="F1805" s="1">
        <v>10255</v>
      </c>
      <c r="G1805" s="1">
        <v>10255</v>
      </c>
      <c r="H1805" s="1">
        <v>9600</v>
      </c>
    </row>
    <row r="1806" spans="1:8">
      <c r="A1806" s="1" t="s">
        <v>79</v>
      </c>
      <c r="B1806" s="1" t="s">
        <v>79</v>
      </c>
      <c r="C1806" s="1" t="s">
        <v>79</v>
      </c>
      <c r="D1806" s="1" t="s">
        <v>79</v>
      </c>
      <c r="E1806" s="1" t="s">
        <v>79</v>
      </c>
      <c r="F1806" s="1" t="s">
        <v>79</v>
      </c>
      <c r="G1806" s="1" t="s">
        <v>79</v>
      </c>
      <c r="H1806" s="1" t="s">
        <v>79</v>
      </c>
    </row>
    <row r="2327" spans="1:8">
      <c r="A2327" s="1"/>
      <c r="B2327" s="1"/>
      <c r="C2327" s="1"/>
      <c r="D2327" s="1"/>
      <c r="E2327" s="1"/>
      <c r="F2327" s="1"/>
      <c r="G2327" s="1"/>
      <c r="H2327" s="1"/>
    </row>
    <row r="2328" spans="1:8">
      <c r="A2328" s="1"/>
      <c r="B2328" s="1" t="s">
        <v>143</v>
      </c>
      <c r="C2328" s="1" t="s">
        <v>145</v>
      </c>
      <c r="D2328" s="1">
        <v>8866</v>
      </c>
      <c r="E2328" s="1">
        <v>8866</v>
      </c>
      <c r="F2328" s="1">
        <v>8861</v>
      </c>
      <c r="G2328" s="1">
        <v>8863</v>
      </c>
      <c r="H2328" s="1">
        <v>13200</v>
      </c>
    </row>
    <row r="2329" spans="1:8">
      <c r="A2329" s="1"/>
      <c r="B2329" s="1" t="s">
        <v>143</v>
      </c>
      <c r="C2329" s="1" t="s">
        <v>146</v>
      </c>
      <c r="D2329" s="1">
        <v>8863</v>
      </c>
      <c r="E2329" s="1">
        <v>8863</v>
      </c>
      <c r="F2329" s="1">
        <v>8860</v>
      </c>
      <c r="G2329" s="1">
        <v>8861</v>
      </c>
      <c r="H2329" s="1">
        <v>16100</v>
      </c>
    </row>
    <row r="2330" spans="1:8">
      <c r="A2330" s="1"/>
      <c r="B2330" s="1" t="s">
        <v>143</v>
      </c>
      <c r="C2330" s="1" t="s">
        <v>147</v>
      </c>
      <c r="D2330" s="1">
        <v>8861</v>
      </c>
      <c r="E2330" s="1">
        <v>8865</v>
      </c>
      <c r="F2330" s="1">
        <v>8860</v>
      </c>
      <c r="G2330" s="1">
        <v>8863</v>
      </c>
      <c r="H2330" s="1">
        <v>11900</v>
      </c>
    </row>
    <row r="2331" spans="1:8">
      <c r="A2331" s="1"/>
      <c r="B2331" s="1" t="s">
        <v>143</v>
      </c>
      <c r="C2331" s="1" t="s">
        <v>148</v>
      </c>
      <c r="D2331" s="1">
        <v>8863</v>
      </c>
      <c r="E2331" s="1">
        <v>8863</v>
      </c>
      <c r="F2331" s="1">
        <v>8854</v>
      </c>
      <c r="G2331" s="1">
        <v>8854</v>
      </c>
      <c r="H2331" s="1">
        <v>34900</v>
      </c>
    </row>
    <row r="2332" spans="1:8">
      <c r="A2332" s="1"/>
      <c r="B2332" s="1" t="s">
        <v>143</v>
      </c>
      <c r="C2332" s="1" t="s">
        <v>149</v>
      </c>
      <c r="D2332" s="1">
        <v>8855</v>
      </c>
      <c r="E2332" s="1">
        <v>8858</v>
      </c>
      <c r="F2332" s="1">
        <v>8854</v>
      </c>
      <c r="G2332" s="1">
        <v>8856</v>
      </c>
      <c r="H2332" s="1">
        <v>14800</v>
      </c>
    </row>
    <row r="2333" spans="1:8">
      <c r="A2333" s="1"/>
      <c r="B2333" s="1" t="s">
        <v>143</v>
      </c>
      <c r="C2333" s="1" t="s">
        <v>150</v>
      </c>
      <c r="D2333" s="1">
        <v>8856</v>
      </c>
      <c r="E2333" s="1">
        <v>8856</v>
      </c>
      <c r="F2333" s="1">
        <v>8847</v>
      </c>
      <c r="G2333" s="1">
        <v>8847</v>
      </c>
      <c r="H2333" s="1">
        <v>41000</v>
      </c>
    </row>
    <row r="2334" spans="1:8">
      <c r="A2334" s="1"/>
      <c r="B2334" s="1" t="s">
        <v>143</v>
      </c>
      <c r="C2334" s="1" t="s">
        <v>151</v>
      </c>
      <c r="D2334" s="1">
        <v>8848</v>
      </c>
      <c r="E2334" s="1">
        <v>8849</v>
      </c>
      <c r="F2334" s="1">
        <v>8842</v>
      </c>
      <c r="G2334" s="1">
        <v>8845</v>
      </c>
      <c r="H2334" s="1">
        <v>40900</v>
      </c>
    </row>
    <row r="2335" spans="1:8">
      <c r="A2335" s="1"/>
      <c r="B2335" s="1" t="s">
        <v>143</v>
      </c>
      <c r="C2335" s="1" t="s">
        <v>152</v>
      </c>
      <c r="D2335" s="1">
        <v>8846</v>
      </c>
      <c r="E2335" s="1">
        <v>8850</v>
      </c>
      <c r="F2335" s="1">
        <v>8844</v>
      </c>
      <c r="G2335" s="1">
        <v>8845</v>
      </c>
      <c r="H2335" s="1">
        <v>28900</v>
      </c>
    </row>
    <row r="2336" spans="1:8">
      <c r="A2336" s="1"/>
      <c r="B2336" s="1" t="s">
        <v>143</v>
      </c>
      <c r="C2336" s="1" t="s">
        <v>153</v>
      </c>
      <c r="D2336" s="1">
        <v>8845</v>
      </c>
      <c r="E2336" s="1">
        <v>8851</v>
      </c>
      <c r="F2336" s="1">
        <v>8843</v>
      </c>
      <c r="G2336" s="1">
        <v>8850</v>
      </c>
      <c r="H2336" s="1">
        <v>27300</v>
      </c>
    </row>
    <row r="2337" spans="1:8">
      <c r="A2337" s="1"/>
      <c r="B2337" s="1" t="s">
        <v>143</v>
      </c>
      <c r="C2337" s="1" t="s">
        <v>154</v>
      </c>
      <c r="D2337" s="1">
        <v>8849</v>
      </c>
      <c r="E2337" s="1">
        <v>8850</v>
      </c>
      <c r="F2337" s="1">
        <v>8847</v>
      </c>
      <c r="G2337" s="1">
        <v>8849</v>
      </c>
      <c r="H2337" s="1">
        <v>14400</v>
      </c>
    </row>
    <row r="2338" spans="1:8">
      <c r="A2338" s="1"/>
      <c r="B2338" s="1" t="s">
        <v>143</v>
      </c>
      <c r="C2338" s="1" t="s">
        <v>155</v>
      </c>
      <c r="D2338" s="1">
        <v>8849</v>
      </c>
      <c r="E2338" s="1">
        <v>8849</v>
      </c>
      <c r="F2338" s="1">
        <v>8845</v>
      </c>
      <c r="G2338" s="1">
        <v>8848</v>
      </c>
      <c r="H2338" s="1">
        <v>15300</v>
      </c>
    </row>
    <row r="2339" spans="1:8">
      <c r="A2339" s="1"/>
      <c r="B2339" s="1" t="s">
        <v>143</v>
      </c>
      <c r="C2339" s="1" t="s">
        <v>156</v>
      </c>
      <c r="D2339" s="1">
        <v>8848</v>
      </c>
      <c r="E2339" s="1">
        <v>8849</v>
      </c>
      <c r="F2339" s="1">
        <v>8834</v>
      </c>
      <c r="G2339" s="1">
        <v>8835</v>
      </c>
      <c r="H2339" s="1">
        <v>76100</v>
      </c>
    </row>
    <row r="2340" spans="1:8">
      <c r="A2340" s="1"/>
      <c r="B2340" s="1" t="s">
        <v>143</v>
      </c>
      <c r="C2340" s="1" t="s">
        <v>157</v>
      </c>
      <c r="D2340" s="1">
        <v>8833</v>
      </c>
      <c r="E2340" s="1">
        <v>8837</v>
      </c>
      <c r="F2340" s="1">
        <v>8831</v>
      </c>
      <c r="G2340" s="1">
        <v>8832</v>
      </c>
      <c r="H2340" s="1">
        <v>31000</v>
      </c>
    </row>
    <row r="2341" spans="1:8">
      <c r="A2341" s="1"/>
      <c r="B2341" s="1" t="s">
        <v>143</v>
      </c>
      <c r="C2341" s="1" t="s">
        <v>158</v>
      </c>
      <c r="D2341" s="1">
        <v>8832</v>
      </c>
      <c r="E2341" s="1">
        <v>8832</v>
      </c>
      <c r="F2341" s="1">
        <v>8822</v>
      </c>
      <c r="G2341" s="1">
        <v>8826</v>
      </c>
      <c r="H2341" s="1">
        <v>57800</v>
      </c>
    </row>
    <row r="2342" spans="1:8">
      <c r="A2342" s="1"/>
      <c r="B2342" s="1" t="s">
        <v>143</v>
      </c>
      <c r="C2342" s="1" t="s">
        <v>159</v>
      </c>
      <c r="D2342" s="1">
        <v>8825</v>
      </c>
      <c r="E2342" s="1">
        <v>8825</v>
      </c>
      <c r="F2342" s="1">
        <v>8816</v>
      </c>
      <c r="G2342" s="1">
        <v>8823</v>
      </c>
      <c r="H2342" s="1">
        <v>70000</v>
      </c>
    </row>
    <row r="2343" spans="1:8">
      <c r="A2343" s="1"/>
      <c r="B2343" s="1" t="s">
        <v>143</v>
      </c>
      <c r="C2343" s="1" t="s">
        <v>160</v>
      </c>
      <c r="D2343" s="1">
        <v>8822</v>
      </c>
      <c r="E2343" s="1">
        <v>8826</v>
      </c>
      <c r="F2343" s="1">
        <v>8816</v>
      </c>
      <c r="G2343" s="1">
        <v>8820</v>
      </c>
      <c r="H2343" s="1">
        <v>33500</v>
      </c>
    </row>
    <row r="2344" spans="1:8">
      <c r="A2344" s="1"/>
      <c r="B2344" s="1" t="s">
        <v>143</v>
      </c>
      <c r="C2344" s="1" t="s">
        <v>161</v>
      </c>
      <c r="D2344" s="1">
        <v>8820</v>
      </c>
      <c r="E2344" s="1">
        <v>8820</v>
      </c>
      <c r="F2344" s="1">
        <v>8809</v>
      </c>
      <c r="G2344" s="1">
        <v>8817</v>
      </c>
      <c r="H2344" s="1">
        <v>65500</v>
      </c>
    </row>
    <row r="2345" spans="1:8">
      <c r="A2345" s="1"/>
      <c r="B2345" s="1" t="s">
        <v>143</v>
      </c>
      <c r="C2345" s="1" t="s">
        <v>162</v>
      </c>
      <c r="D2345" s="1">
        <v>8816</v>
      </c>
      <c r="E2345" s="1">
        <v>8828</v>
      </c>
      <c r="F2345" s="1">
        <v>8815</v>
      </c>
      <c r="G2345" s="1">
        <v>8826</v>
      </c>
      <c r="H2345" s="1">
        <v>53800</v>
      </c>
    </row>
    <row r="2346" spans="1:8">
      <c r="A2346" s="1"/>
      <c r="B2346" s="1" t="s">
        <v>143</v>
      </c>
      <c r="C2346" s="1" t="s">
        <v>163</v>
      </c>
      <c r="D2346" s="1">
        <v>8825</v>
      </c>
      <c r="E2346" s="1">
        <v>8825</v>
      </c>
      <c r="F2346" s="1">
        <v>8821</v>
      </c>
      <c r="G2346" s="1">
        <v>8822</v>
      </c>
      <c r="H2346" s="1">
        <v>26100</v>
      </c>
    </row>
    <row r="2347" spans="1:8">
      <c r="A2347" s="1"/>
      <c r="B2347" s="1" t="s">
        <v>143</v>
      </c>
      <c r="C2347" s="1" t="s">
        <v>81</v>
      </c>
      <c r="D2347" s="1">
        <v>8824</v>
      </c>
      <c r="E2347" s="1">
        <v>8831</v>
      </c>
      <c r="F2347" s="1">
        <v>8822</v>
      </c>
      <c r="G2347" s="1">
        <v>8828</v>
      </c>
      <c r="H2347" s="1">
        <v>31600</v>
      </c>
    </row>
    <row r="2348" spans="1:8">
      <c r="A2348" s="1"/>
      <c r="B2348" s="1" t="s">
        <v>143</v>
      </c>
      <c r="C2348" s="1" t="s">
        <v>82</v>
      </c>
      <c r="D2348" s="1">
        <v>8827</v>
      </c>
      <c r="E2348" s="1">
        <v>8831</v>
      </c>
      <c r="F2348" s="1">
        <v>8824</v>
      </c>
      <c r="G2348" s="1">
        <v>8831</v>
      </c>
      <c r="H2348" s="1">
        <v>25800</v>
      </c>
    </row>
    <row r="2349" spans="1:8">
      <c r="A2349" s="1"/>
      <c r="B2349" s="1" t="s">
        <v>143</v>
      </c>
      <c r="C2349" s="1" t="s">
        <v>83</v>
      </c>
      <c r="D2349" s="1">
        <v>8831</v>
      </c>
      <c r="E2349" s="1">
        <v>8834</v>
      </c>
      <c r="F2349" s="1">
        <v>8830</v>
      </c>
      <c r="G2349" s="1">
        <v>8831</v>
      </c>
      <c r="H2349" s="1">
        <v>29100</v>
      </c>
    </row>
    <row r="2350" spans="1:8">
      <c r="A2350" s="1"/>
      <c r="B2350" s="1" t="s">
        <v>143</v>
      </c>
      <c r="C2350" s="1" t="s">
        <v>84</v>
      </c>
      <c r="D2350" s="1">
        <v>8832</v>
      </c>
      <c r="E2350" s="1">
        <v>8832</v>
      </c>
      <c r="F2350" s="1">
        <v>8823</v>
      </c>
      <c r="G2350" s="1">
        <v>8828</v>
      </c>
      <c r="H2350" s="1">
        <v>54600</v>
      </c>
    </row>
    <row r="2351" spans="1:8">
      <c r="A2351" s="1"/>
      <c r="B2351" s="1" t="s">
        <v>143</v>
      </c>
      <c r="C2351" s="1" t="s">
        <v>85</v>
      </c>
      <c r="D2351" s="1">
        <v>8827</v>
      </c>
      <c r="E2351" s="1">
        <v>8827</v>
      </c>
      <c r="F2351" s="1">
        <v>8817</v>
      </c>
      <c r="G2351" s="1">
        <v>8819</v>
      </c>
      <c r="H2351" s="1">
        <v>49700</v>
      </c>
    </row>
    <row r="2352" spans="1:8">
      <c r="A2352" s="1"/>
      <c r="B2352" s="1" t="s">
        <v>143</v>
      </c>
      <c r="C2352" s="1" t="s">
        <v>86</v>
      </c>
      <c r="D2352" s="1">
        <v>8820</v>
      </c>
      <c r="E2352" s="1">
        <v>8822</v>
      </c>
      <c r="F2352" s="1">
        <v>8815</v>
      </c>
      <c r="G2352" s="1">
        <v>8817</v>
      </c>
      <c r="H2352" s="1">
        <v>24500</v>
      </c>
    </row>
    <row r="2353" spans="1:8">
      <c r="A2353" s="1"/>
      <c r="B2353" s="1" t="s">
        <v>143</v>
      </c>
      <c r="C2353" s="1" t="s">
        <v>87</v>
      </c>
      <c r="D2353" s="1">
        <v>8817</v>
      </c>
      <c r="E2353" s="1">
        <v>8818</v>
      </c>
      <c r="F2353" s="1">
        <v>8811</v>
      </c>
      <c r="G2353" s="1">
        <v>8816</v>
      </c>
      <c r="H2353" s="1">
        <v>27400</v>
      </c>
    </row>
    <row r="2354" spans="1:8">
      <c r="A2354" s="1"/>
      <c r="B2354" s="1" t="s">
        <v>143</v>
      </c>
      <c r="C2354" s="1" t="s">
        <v>88</v>
      </c>
      <c r="D2354" s="1">
        <v>8816</v>
      </c>
      <c r="E2354" s="1">
        <v>8817</v>
      </c>
      <c r="F2354" s="1">
        <v>8804</v>
      </c>
      <c r="G2354" s="1">
        <v>8805</v>
      </c>
      <c r="H2354" s="1">
        <v>59200</v>
      </c>
    </row>
    <row r="2355" spans="1:8">
      <c r="A2355" s="1"/>
      <c r="B2355" s="1" t="s">
        <v>143</v>
      </c>
      <c r="C2355" s="1" t="s">
        <v>89</v>
      </c>
      <c r="D2355" s="1">
        <v>8805</v>
      </c>
      <c r="E2355" s="1">
        <v>8807</v>
      </c>
      <c r="F2355" s="1">
        <v>8791</v>
      </c>
      <c r="G2355" s="1">
        <v>8794</v>
      </c>
      <c r="H2355" s="1">
        <v>153800</v>
      </c>
    </row>
    <row r="2356" spans="1:8">
      <c r="A2356" s="1"/>
      <c r="B2356" s="1" t="s">
        <v>143</v>
      </c>
      <c r="C2356" s="1" t="s">
        <v>90</v>
      </c>
      <c r="D2356" s="1">
        <v>8794</v>
      </c>
      <c r="E2356" s="1">
        <v>8806</v>
      </c>
      <c r="F2356" s="1">
        <v>8794</v>
      </c>
      <c r="G2356" s="1">
        <v>8799</v>
      </c>
      <c r="H2356" s="1">
        <v>55200</v>
      </c>
    </row>
    <row r="2357" spans="1:8">
      <c r="A2357" s="1"/>
      <c r="B2357" s="1" t="s">
        <v>143</v>
      </c>
      <c r="C2357" s="1" t="s">
        <v>91</v>
      </c>
      <c r="D2357" s="1">
        <v>8799</v>
      </c>
      <c r="E2357" s="1">
        <v>8801</v>
      </c>
      <c r="F2357" s="1">
        <v>8794</v>
      </c>
      <c r="G2357" s="1">
        <v>8798</v>
      </c>
      <c r="H2357" s="1">
        <v>33000</v>
      </c>
    </row>
    <row r="2358" spans="1:8">
      <c r="A2358" s="1"/>
      <c r="B2358" s="1" t="s">
        <v>143</v>
      </c>
      <c r="C2358" s="1" t="s">
        <v>92</v>
      </c>
      <c r="D2358" s="1">
        <v>8798</v>
      </c>
      <c r="E2358" s="1">
        <v>8798</v>
      </c>
      <c r="F2358" s="1">
        <v>8790</v>
      </c>
      <c r="G2358" s="1">
        <v>8796</v>
      </c>
      <c r="H2358" s="1">
        <v>40300</v>
      </c>
    </row>
    <row r="2359" spans="1:8">
      <c r="A2359" s="1"/>
      <c r="B2359" s="1" t="s">
        <v>143</v>
      </c>
      <c r="C2359" s="1" t="s">
        <v>93</v>
      </c>
      <c r="D2359" s="1">
        <v>8796</v>
      </c>
      <c r="E2359" s="1">
        <v>8810</v>
      </c>
      <c r="F2359" s="1">
        <v>8796</v>
      </c>
      <c r="G2359" s="1">
        <v>8806</v>
      </c>
      <c r="H2359" s="1">
        <v>55400</v>
      </c>
    </row>
    <row r="2360" spans="1:8">
      <c r="A2360" s="1"/>
      <c r="B2360" s="1" t="s">
        <v>143</v>
      </c>
      <c r="C2360" s="1" t="s">
        <v>94</v>
      </c>
      <c r="D2360" s="1">
        <v>8806</v>
      </c>
      <c r="E2360" s="1">
        <v>8811</v>
      </c>
      <c r="F2360" s="1">
        <v>8806</v>
      </c>
      <c r="G2360" s="1">
        <v>8808</v>
      </c>
      <c r="H2360" s="1">
        <v>54900</v>
      </c>
    </row>
    <row r="2361" spans="1:8">
      <c r="A2361" s="1"/>
      <c r="B2361" s="1" t="s">
        <v>143</v>
      </c>
      <c r="C2361" s="1" t="s">
        <v>95</v>
      </c>
      <c r="D2361" s="1">
        <v>8808</v>
      </c>
      <c r="E2361" s="1">
        <v>8819</v>
      </c>
      <c r="F2361" s="1">
        <v>8807</v>
      </c>
      <c r="G2361" s="1">
        <v>8817</v>
      </c>
      <c r="H2361" s="1">
        <v>53500</v>
      </c>
    </row>
    <row r="2362" spans="1:8">
      <c r="A2362" s="1"/>
      <c r="B2362" s="1" t="s">
        <v>143</v>
      </c>
      <c r="C2362" s="1" t="s">
        <v>96</v>
      </c>
      <c r="D2362" s="1">
        <v>8818</v>
      </c>
      <c r="E2362" s="1">
        <v>8826</v>
      </c>
      <c r="F2362" s="1">
        <v>8816</v>
      </c>
      <c r="G2362" s="1">
        <v>8826</v>
      </c>
      <c r="H2362" s="1">
        <v>59000</v>
      </c>
    </row>
    <row r="2363" spans="1:8">
      <c r="A2363" s="1"/>
      <c r="B2363" s="1" t="s">
        <v>143</v>
      </c>
      <c r="C2363" s="1" t="s">
        <v>97</v>
      </c>
      <c r="D2363" s="1">
        <v>8826</v>
      </c>
      <c r="E2363" s="1">
        <v>8833</v>
      </c>
      <c r="F2363" s="1">
        <v>8826</v>
      </c>
      <c r="G2363" s="1">
        <v>8833</v>
      </c>
      <c r="H2363" s="1">
        <v>71800</v>
      </c>
    </row>
    <row r="2364" spans="1:8">
      <c r="A2364" s="1"/>
      <c r="B2364" s="1" t="s">
        <v>143</v>
      </c>
      <c r="C2364" s="1" t="s">
        <v>98</v>
      </c>
      <c r="D2364" s="1">
        <v>8833</v>
      </c>
      <c r="E2364" s="1">
        <v>8838</v>
      </c>
      <c r="F2364" s="1">
        <v>8829</v>
      </c>
      <c r="G2364" s="1">
        <v>8835</v>
      </c>
      <c r="H2364" s="1">
        <v>81100</v>
      </c>
    </row>
    <row r="2365" spans="1:8">
      <c r="A2365" s="1"/>
      <c r="B2365" s="1" t="s">
        <v>143</v>
      </c>
      <c r="C2365" s="1" t="s">
        <v>99</v>
      </c>
      <c r="D2365" s="1">
        <v>8835</v>
      </c>
      <c r="E2365" s="1">
        <v>8850</v>
      </c>
      <c r="F2365" s="1">
        <v>8835</v>
      </c>
      <c r="G2365" s="1">
        <v>8848</v>
      </c>
      <c r="H2365" s="1">
        <v>117000</v>
      </c>
    </row>
    <row r="2366" spans="1:8">
      <c r="A2366" s="1"/>
      <c r="B2366" s="1" t="s">
        <v>143</v>
      </c>
      <c r="C2366" s="1" t="s">
        <v>100</v>
      </c>
      <c r="D2366" s="1">
        <v>8848</v>
      </c>
      <c r="E2366" s="1">
        <v>8852</v>
      </c>
      <c r="F2366" s="1">
        <v>8836</v>
      </c>
      <c r="G2366" s="1">
        <v>8844</v>
      </c>
      <c r="H2366" s="1">
        <v>94800</v>
      </c>
    </row>
    <row r="2367" spans="1:8">
      <c r="A2367" s="1"/>
      <c r="B2367" s="1" t="s">
        <v>143</v>
      </c>
      <c r="C2367" s="1" t="s">
        <v>101</v>
      </c>
      <c r="D2367" s="1">
        <v>8844</v>
      </c>
      <c r="E2367" s="1">
        <v>8847</v>
      </c>
      <c r="F2367" s="1">
        <v>8835</v>
      </c>
      <c r="G2367" s="1">
        <v>8838</v>
      </c>
      <c r="H2367" s="1">
        <v>56700</v>
      </c>
    </row>
    <row r="2368" spans="1:8">
      <c r="A2368" s="1"/>
      <c r="B2368" s="1" t="s">
        <v>143</v>
      </c>
      <c r="C2368" s="1" t="s">
        <v>102</v>
      </c>
      <c r="D2368" s="1">
        <v>8838</v>
      </c>
      <c r="E2368" s="1">
        <v>8839</v>
      </c>
      <c r="F2368" s="1">
        <v>8831</v>
      </c>
      <c r="G2368" s="1">
        <v>8837</v>
      </c>
      <c r="H2368" s="1">
        <v>46600</v>
      </c>
    </row>
    <row r="2369" spans="1:8">
      <c r="A2369" s="1"/>
      <c r="B2369" s="1" t="s">
        <v>143</v>
      </c>
      <c r="C2369" s="1" t="s">
        <v>103</v>
      </c>
      <c r="D2369" s="1">
        <v>8836</v>
      </c>
      <c r="E2369" s="1">
        <v>8840</v>
      </c>
      <c r="F2369" s="1">
        <v>8832</v>
      </c>
      <c r="G2369" s="1">
        <v>8840</v>
      </c>
      <c r="H2369" s="1">
        <v>36900</v>
      </c>
    </row>
    <row r="2370" spans="1:8">
      <c r="A2370" s="1"/>
      <c r="B2370" s="1" t="s">
        <v>143</v>
      </c>
      <c r="C2370" s="1" t="s">
        <v>104</v>
      </c>
      <c r="D2370" s="1">
        <v>8840</v>
      </c>
      <c r="E2370" s="1">
        <v>8840</v>
      </c>
      <c r="F2370" s="1">
        <v>8833</v>
      </c>
      <c r="G2370" s="1">
        <v>8839</v>
      </c>
      <c r="H2370" s="1">
        <v>33200</v>
      </c>
    </row>
    <row r="2371" spans="1:8">
      <c r="A2371" s="1"/>
      <c r="B2371" s="1" t="s">
        <v>143</v>
      </c>
      <c r="C2371" s="1" t="s">
        <v>105</v>
      </c>
      <c r="D2371" s="1">
        <v>8839</v>
      </c>
      <c r="E2371" s="1">
        <v>8841</v>
      </c>
      <c r="F2371" s="1">
        <v>8836</v>
      </c>
      <c r="G2371" s="1">
        <v>8837</v>
      </c>
      <c r="H2371" s="1">
        <v>22800</v>
      </c>
    </row>
    <row r="2372" spans="1:8">
      <c r="A2372" s="1"/>
      <c r="B2372" s="1" t="s">
        <v>143</v>
      </c>
      <c r="C2372" s="1" t="s">
        <v>106</v>
      </c>
      <c r="D2372" s="1">
        <v>8837</v>
      </c>
      <c r="E2372" s="1">
        <v>8840</v>
      </c>
      <c r="F2372" s="1">
        <v>8836</v>
      </c>
      <c r="G2372" s="1">
        <v>8838</v>
      </c>
      <c r="H2372" s="1">
        <v>19300</v>
      </c>
    </row>
    <row r="2373" spans="1:8">
      <c r="A2373" s="1"/>
      <c r="B2373" s="1" t="s">
        <v>143</v>
      </c>
      <c r="C2373" s="1" t="s">
        <v>107</v>
      </c>
      <c r="D2373" s="1">
        <v>8839</v>
      </c>
      <c r="E2373" s="1">
        <v>8844</v>
      </c>
      <c r="F2373" s="1">
        <v>8837</v>
      </c>
      <c r="G2373" s="1">
        <v>8843</v>
      </c>
      <c r="H2373" s="1">
        <v>32500</v>
      </c>
    </row>
    <row r="2374" spans="1:8">
      <c r="A2374" s="1"/>
      <c r="B2374" s="1" t="s">
        <v>143</v>
      </c>
      <c r="C2374" s="1" t="s">
        <v>108</v>
      </c>
      <c r="D2374" s="1">
        <v>8842</v>
      </c>
      <c r="E2374" s="1">
        <v>8850</v>
      </c>
      <c r="F2374" s="1">
        <v>8841</v>
      </c>
      <c r="G2374" s="1">
        <v>8847</v>
      </c>
      <c r="H2374" s="1">
        <v>56100</v>
      </c>
    </row>
    <row r="2375" spans="1:8">
      <c r="A2375" s="1"/>
      <c r="B2375" s="1" t="s">
        <v>143</v>
      </c>
      <c r="C2375" s="1" t="s">
        <v>109</v>
      </c>
      <c r="D2375" s="1">
        <v>8846</v>
      </c>
      <c r="E2375" s="1">
        <v>8850</v>
      </c>
      <c r="F2375" s="1">
        <v>8838</v>
      </c>
      <c r="G2375" s="1">
        <v>8846</v>
      </c>
      <c r="H2375" s="1">
        <v>70400</v>
      </c>
    </row>
    <row r="2376" spans="1:8">
      <c r="A2376" s="1"/>
      <c r="B2376" s="1" t="s">
        <v>143</v>
      </c>
      <c r="C2376" s="1" t="s">
        <v>110</v>
      </c>
      <c r="D2376" s="1">
        <v>8846</v>
      </c>
      <c r="E2376" s="1">
        <v>8850</v>
      </c>
      <c r="F2376" s="1">
        <v>8846</v>
      </c>
      <c r="G2376" s="1">
        <v>8846</v>
      </c>
      <c r="H2376" s="1">
        <v>49600</v>
      </c>
    </row>
    <row r="2377" spans="1:8">
      <c r="A2377" s="1"/>
      <c r="B2377" s="1" t="s">
        <v>143</v>
      </c>
      <c r="C2377" s="1" t="s">
        <v>111</v>
      </c>
      <c r="D2377" s="1">
        <v>8845</v>
      </c>
      <c r="E2377" s="1">
        <v>8849</v>
      </c>
      <c r="F2377" s="1">
        <v>8841</v>
      </c>
      <c r="G2377" s="1">
        <v>8843</v>
      </c>
      <c r="H2377" s="1">
        <v>57700</v>
      </c>
    </row>
    <row r="2378" spans="1:8">
      <c r="A2378" s="1"/>
      <c r="B2378" s="1" t="s">
        <v>143</v>
      </c>
      <c r="C2378" s="1" t="s">
        <v>112</v>
      </c>
      <c r="D2378" s="1">
        <v>8844</v>
      </c>
      <c r="E2378" s="1">
        <v>8846</v>
      </c>
      <c r="F2378" s="1">
        <v>8835</v>
      </c>
      <c r="G2378" s="1">
        <v>8846</v>
      </c>
      <c r="H2378" s="1">
        <v>72600</v>
      </c>
    </row>
    <row r="2379" spans="1:8">
      <c r="A2379" s="1"/>
      <c r="B2379" s="1" t="s">
        <v>143</v>
      </c>
      <c r="C2379" s="1" t="s">
        <v>113</v>
      </c>
      <c r="D2379" s="1">
        <v>8845</v>
      </c>
      <c r="E2379" s="1">
        <v>8850</v>
      </c>
      <c r="F2379" s="1">
        <v>8845</v>
      </c>
      <c r="G2379" s="1">
        <v>8848</v>
      </c>
      <c r="H2379" s="1">
        <v>52300</v>
      </c>
    </row>
    <row r="2380" spans="1:8">
      <c r="A2380" s="1"/>
      <c r="B2380" s="1" t="s">
        <v>143</v>
      </c>
      <c r="C2380" s="1" t="s">
        <v>114</v>
      </c>
      <c r="D2380" s="1">
        <v>8849</v>
      </c>
      <c r="E2380" s="1">
        <v>8855</v>
      </c>
      <c r="F2380" s="1">
        <v>8845</v>
      </c>
      <c r="G2380" s="1">
        <v>8850</v>
      </c>
      <c r="H2380" s="1">
        <v>53500</v>
      </c>
    </row>
    <row r="2381" spans="1:8">
      <c r="A2381" s="1"/>
      <c r="B2381" s="1" t="s">
        <v>143</v>
      </c>
      <c r="C2381" s="1" t="s">
        <v>115</v>
      </c>
      <c r="D2381" s="1">
        <v>8850</v>
      </c>
      <c r="E2381" s="1">
        <v>8852</v>
      </c>
      <c r="F2381" s="1">
        <v>8844</v>
      </c>
      <c r="G2381" s="1">
        <v>8844</v>
      </c>
      <c r="H2381" s="1">
        <v>38000</v>
      </c>
    </row>
    <row r="2382" spans="1:8">
      <c r="A2382" s="1"/>
      <c r="B2382" s="1" t="s">
        <v>143</v>
      </c>
      <c r="C2382" s="1" t="s">
        <v>116</v>
      </c>
      <c r="D2382" s="1">
        <v>8845</v>
      </c>
      <c r="E2382" s="1">
        <v>8853</v>
      </c>
      <c r="F2382" s="1">
        <v>8841</v>
      </c>
      <c r="G2382" s="1">
        <v>8847</v>
      </c>
      <c r="H2382" s="1">
        <v>62300</v>
      </c>
    </row>
    <row r="2383" spans="1:8">
      <c r="A2383" s="1"/>
      <c r="B2383" s="1" t="s">
        <v>143</v>
      </c>
      <c r="C2383" s="1" t="s">
        <v>117</v>
      </c>
      <c r="D2383" s="1">
        <v>8846</v>
      </c>
      <c r="E2383" s="1">
        <v>8849</v>
      </c>
      <c r="F2383" s="1">
        <v>8844</v>
      </c>
      <c r="G2383" s="1">
        <v>8846</v>
      </c>
      <c r="H2383" s="1">
        <v>34100</v>
      </c>
    </row>
    <row r="2384" spans="1:8">
      <c r="A2384" s="1"/>
      <c r="B2384" s="1" t="s">
        <v>143</v>
      </c>
      <c r="C2384" s="1" t="s">
        <v>118</v>
      </c>
      <c r="D2384" s="1">
        <v>8846</v>
      </c>
      <c r="E2384" s="1">
        <v>8853</v>
      </c>
      <c r="F2384" s="1">
        <v>8845</v>
      </c>
      <c r="G2384" s="1">
        <v>8852</v>
      </c>
      <c r="H2384" s="1">
        <v>65900</v>
      </c>
    </row>
    <row r="2385" spans="1:8">
      <c r="A2385" s="1"/>
      <c r="B2385" s="1" t="s">
        <v>144</v>
      </c>
      <c r="C2385" s="1" t="s">
        <v>67</v>
      </c>
      <c r="D2385" s="1" t="s">
        <v>8</v>
      </c>
      <c r="E2385" s="1" t="s">
        <v>8</v>
      </c>
      <c r="F2385" s="1" t="s">
        <v>8</v>
      </c>
      <c r="G2385" s="1" t="s">
        <v>8</v>
      </c>
      <c r="H2385" s="1">
        <v>0</v>
      </c>
    </row>
    <row r="2386" spans="1:8">
      <c r="A2386" s="1"/>
      <c r="B2386" s="1" t="s">
        <v>144</v>
      </c>
      <c r="C2386" s="1" t="s">
        <v>68</v>
      </c>
      <c r="D2386" s="1" t="s">
        <v>8</v>
      </c>
      <c r="E2386" s="1" t="s">
        <v>8</v>
      </c>
      <c r="F2386" s="1" t="s">
        <v>8</v>
      </c>
      <c r="G2386" s="1" t="s">
        <v>8</v>
      </c>
      <c r="H2386" s="1">
        <v>0</v>
      </c>
    </row>
    <row r="2387" spans="1:8">
      <c r="A2387" s="1"/>
      <c r="B2387" s="1" t="s">
        <v>144</v>
      </c>
      <c r="C2387" s="1" t="s">
        <v>69</v>
      </c>
      <c r="D2387" s="1" t="s">
        <v>8</v>
      </c>
      <c r="E2387" s="1" t="s">
        <v>8</v>
      </c>
      <c r="F2387" s="1" t="s">
        <v>8</v>
      </c>
      <c r="G2387" s="1" t="s">
        <v>8</v>
      </c>
      <c r="H2387" s="1">
        <v>0</v>
      </c>
    </row>
    <row r="2388" spans="1:8">
      <c r="A2388" s="1"/>
      <c r="B2388" s="1" t="s">
        <v>144</v>
      </c>
      <c r="C2388" s="1" t="s">
        <v>70</v>
      </c>
      <c r="D2388" s="1" t="s">
        <v>8</v>
      </c>
      <c r="E2388" s="1" t="s">
        <v>8</v>
      </c>
      <c r="F2388" s="1" t="s">
        <v>8</v>
      </c>
      <c r="G2388" s="1" t="s">
        <v>8</v>
      </c>
      <c r="H2388" s="1">
        <v>0</v>
      </c>
    </row>
    <row r="2389" spans="1:8">
      <c r="A2389" s="1"/>
      <c r="B2389" s="1" t="s">
        <v>144</v>
      </c>
      <c r="C2389" s="1" t="s">
        <v>71</v>
      </c>
      <c r="D2389" s="1" t="s">
        <v>8</v>
      </c>
      <c r="E2389" s="1" t="s">
        <v>8</v>
      </c>
      <c r="F2389" s="1" t="s">
        <v>8</v>
      </c>
      <c r="G2389" s="1" t="s">
        <v>8</v>
      </c>
      <c r="H2389" s="1">
        <v>0</v>
      </c>
    </row>
    <row r="2390" spans="1:8">
      <c r="A2390" s="1"/>
      <c r="B2390" s="1" t="s">
        <v>144</v>
      </c>
      <c r="C2390" s="1" t="s">
        <v>72</v>
      </c>
      <c r="D2390" s="1">
        <v>8857</v>
      </c>
      <c r="E2390" s="1">
        <v>8857</v>
      </c>
      <c r="F2390" s="1">
        <v>8857</v>
      </c>
      <c r="G2390" s="1">
        <v>8857</v>
      </c>
      <c r="H2390" s="1">
        <v>469500</v>
      </c>
    </row>
    <row r="2391" spans="1:8">
      <c r="A2391" s="1" t="s">
        <v>79</v>
      </c>
      <c r="B2391" s="1" t="s">
        <v>79</v>
      </c>
      <c r="C2391" s="1" t="s">
        <v>79</v>
      </c>
      <c r="D2391" s="1" t="s">
        <v>79</v>
      </c>
      <c r="E2391" s="1" t="s">
        <v>79</v>
      </c>
      <c r="F2391" s="1" t="s">
        <v>79</v>
      </c>
      <c r="G2391" s="1" t="s">
        <v>79</v>
      </c>
      <c r="H2391" s="1" t="s">
        <v>79</v>
      </c>
    </row>
    <row r="2392" spans="1:8">
      <c r="A2392" s="1"/>
      <c r="B2392" s="1" t="s">
        <v>78</v>
      </c>
      <c r="C2392" s="1" t="s">
        <v>107</v>
      </c>
      <c r="D2392" s="1">
        <v>8093</v>
      </c>
      <c r="E2392" s="1">
        <v>8107</v>
      </c>
      <c r="F2392" s="1">
        <v>8091</v>
      </c>
      <c r="G2392" s="1">
        <v>8107</v>
      </c>
      <c r="H2392" s="1">
        <v>53100</v>
      </c>
    </row>
    <row r="2393" spans="1:8">
      <c r="A2393" s="1"/>
      <c r="B2393" s="1" t="s">
        <v>78</v>
      </c>
      <c r="C2393" s="1" t="s">
        <v>108</v>
      </c>
      <c r="D2393" s="1">
        <v>8106</v>
      </c>
      <c r="E2393" s="1">
        <v>8118</v>
      </c>
      <c r="F2393" s="1">
        <v>8103</v>
      </c>
      <c r="G2393" s="1">
        <v>8112</v>
      </c>
      <c r="H2393" s="1">
        <v>84300</v>
      </c>
    </row>
    <row r="2394" spans="1:8">
      <c r="A2394" s="1"/>
      <c r="B2394" s="1" t="s">
        <v>78</v>
      </c>
      <c r="C2394" s="1" t="s">
        <v>109</v>
      </c>
      <c r="D2394" s="1">
        <v>8112</v>
      </c>
      <c r="E2394" s="1">
        <v>8119</v>
      </c>
      <c r="F2394" s="1">
        <v>8112</v>
      </c>
      <c r="G2394" s="1">
        <v>8114</v>
      </c>
      <c r="H2394" s="1">
        <v>64400</v>
      </c>
    </row>
    <row r="2395" spans="1:8">
      <c r="A2395" s="1"/>
      <c r="B2395" s="1" t="s">
        <v>78</v>
      </c>
      <c r="C2395" s="1" t="s">
        <v>110</v>
      </c>
      <c r="D2395" s="1">
        <v>8113</v>
      </c>
      <c r="E2395" s="1">
        <v>8117</v>
      </c>
      <c r="F2395" s="1">
        <v>8092</v>
      </c>
      <c r="G2395" s="1">
        <v>8093</v>
      </c>
      <c r="H2395" s="1">
        <v>110800</v>
      </c>
    </row>
    <row r="2396" spans="1:8">
      <c r="A2396" s="1"/>
      <c r="B2396" s="1" t="s">
        <v>78</v>
      </c>
      <c r="C2396" s="1" t="s">
        <v>111</v>
      </c>
      <c r="D2396" s="1">
        <v>8093</v>
      </c>
      <c r="E2396" s="1">
        <v>8096</v>
      </c>
      <c r="F2396" s="1">
        <v>8075</v>
      </c>
      <c r="G2396" s="1">
        <v>8076</v>
      </c>
      <c r="H2396" s="1">
        <v>107600</v>
      </c>
    </row>
    <row r="2397" spans="1:8">
      <c r="A2397" s="1"/>
      <c r="B2397" s="1" t="s">
        <v>78</v>
      </c>
      <c r="C2397" s="1" t="s">
        <v>112</v>
      </c>
      <c r="D2397" s="1">
        <v>8076</v>
      </c>
      <c r="E2397" s="1">
        <v>8120</v>
      </c>
      <c r="F2397" s="1">
        <v>8071</v>
      </c>
      <c r="G2397" s="1">
        <v>8088</v>
      </c>
      <c r="H2397" s="1">
        <v>146300</v>
      </c>
    </row>
    <row r="2398" spans="1:8">
      <c r="A2398" s="1"/>
      <c r="B2398" s="1" t="s">
        <v>78</v>
      </c>
      <c r="C2398" s="1" t="s">
        <v>113</v>
      </c>
      <c r="D2398" s="1">
        <v>8089</v>
      </c>
      <c r="E2398" s="1">
        <v>8091</v>
      </c>
      <c r="F2398" s="1">
        <v>8087</v>
      </c>
      <c r="G2398" s="1">
        <v>8090</v>
      </c>
      <c r="H2398" s="1">
        <v>26000</v>
      </c>
    </row>
    <row r="2399" spans="1:8">
      <c r="A2399" s="1"/>
      <c r="B2399" s="1" t="s">
        <v>78</v>
      </c>
      <c r="C2399" s="1" t="s">
        <v>114</v>
      </c>
      <c r="D2399" s="1">
        <v>8090</v>
      </c>
      <c r="E2399" s="1">
        <v>8098</v>
      </c>
      <c r="F2399" s="1">
        <v>8087</v>
      </c>
      <c r="G2399" s="1">
        <v>8094</v>
      </c>
      <c r="H2399" s="1">
        <v>51400</v>
      </c>
    </row>
    <row r="2400" spans="1:8">
      <c r="A2400" s="1"/>
      <c r="B2400" s="1" t="s">
        <v>78</v>
      </c>
      <c r="C2400" s="1" t="s">
        <v>115</v>
      </c>
      <c r="D2400" s="1">
        <v>8093</v>
      </c>
      <c r="E2400" s="1">
        <v>8109</v>
      </c>
      <c r="F2400" s="1">
        <v>8092</v>
      </c>
      <c r="G2400" s="1">
        <v>8107</v>
      </c>
      <c r="H2400" s="1">
        <v>44500</v>
      </c>
    </row>
    <row r="2401" spans="1:8">
      <c r="A2401" s="1"/>
      <c r="B2401" s="1" t="s">
        <v>78</v>
      </c>
      <c r="C2401" s="1" t="s">
        <v>116</v>
      </c>
      <c r="D2401" s="1">
        <v>8107</v>
      </c>
      <c r="E2401" s="1">
        <v>8109</v>
      </c>
      <c r="F2401" s="1">
        <v>8096</v>
      </c>
      <c r="G2401" s="1">
        <v>8100</v>
      </c>
      <c r="H2401" s="1">
        <v>98500</v>
      </c>
    </row>
    <row r="2402" spans="1:8">
      <c r="A2402" s="1"/>
      <c r="B2402" s="1" t="s">
        <v>78</v>
      </c>
      <c r="C2402" s="1" t="s">
        <v>117</v>
      </c>
      <c r="D2402" s="1">
        <v>8099</v>
      </c>
      <c r="E2402" s="1">
        <v>8101</v>
      </c>
      <c r="F2402" s="1">
        <v>8092</v>
      </c>
      <c r="G2402" s="1">
        <v>8097</v>
      </c>
      <c r="H2402" s="1">
        <v>50400</v>
      </c>
    </row>
    <row r="2403" spans="1:8">
      <c r="A2403" s="1"/>
      <c r="B2403" s="1" t="s">
        <v>78</v>
      </c>
      <c r="C2403" s="1" t="s">
        <v>118</v>
      </c>
      <c r="D2403" s="1">
        <v>8098</v>
      </c>
      <c r="E2403" s="1">
        <v>8099</v>
      </c>
      <c r="F2403" s="1">
        <v>8091</v>
      </c>
      <c r="G2403" s="1">
        <v>8092</v>
      </c>
      <c r="H2403" s="1">
        <v>58600</v>
      </c>
    </row>
    <row r="2404" spans="1:8">
      <c r="A2404" s="1" t="s">
        <v>79</v>
      </c>
      <c r="B2404" s="1" t="s">
        <v>79</v>
      </c>
      <c r="C2404" s="1" t="s">
        <v>79</v>
      </c>
      <c r="D2404" s="1" t="s">
        <v>79</v>
      </c>
      <c r="E2404" s="1" t="s">
        <v>79</v>
      </c>
      <c r="F2404" s="1" t="s">
        <v>79</v>
      </c>
      <c r="G2404" s="1" t="s">
        <v>79</v>
      </c>
      <c r="H2404" s="1" t="s">
        <v>79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39298-F00F-4276-9500-2B796E292872}">
  <sheetPr codeName="Sheet5"/>
  <dimension ref="A1:Y2404"/>
  <sheetViews>
    <sheetView workbookViewId="0">
      <selection activeCell="A2" sqref="A2"/>
    </sheetView>
  </sheetViews>
  <sheetFormatPr defaultRowHeight="18.75"/>
  <cols>
    <col min="11" max="11" width="3" customWidth="1"/>
    <col min="13" max="13" width="3" customWidth="1"/>
  </cols>
  <sheetData>
    <row r="1" spans="1:25">
      <c r="A1" t="str">
        <f>_xll.RssChart($A$2:$H$2, "8306.T", "1M", 332)</f>
        <v>=RssChart($A$2:$H$2, "8306.T", "1M", 332) =&gt; 配信中</v>
      </c>
    </row>
    <row r="2" spans="1: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J2" t="s">
        <v>73</v>
      </c>
      <c r="L2" t="s">
        <v>74</v>
      </c>
      <c r="N2" t="s">
        <v>75</v>
      </c>
      <c r="P2" t="s">
        <v>119</v>
      </c>
      <c r="Q2">
        <f>_xll.RssMarket("8306.T", "現在値")</f>
        <v>2127</v>
      </c>
      <c r="R2" t="str">
        <f>_xll.RssMarket("8306.T", "現在値時刻")</f>
        <v>15:30</v>
      </c>
      <c r="T2" t="s">
        <v>131</v>
      </c>
      <c r="U2">
        <f>_xll.RssMarket("8306.T", "出来高")</f>
        <v>43624900</v>
      </c>
      <c r="X2" t="s">
        <v>138</v>
      </c>
      <c r="Y2">
        <f>_xll.RssMarket("8306.T", "信用売残")</f>
        <v>7644300</v>
      </c>
    </row>
    <row r="3" spans="1:25">
      <c r="A3" t="s">
        <v>439</v>
      </c>
      <c r="B3" t="s">
        <v>587</v>
      </c>
      <c r="C3" t="s">
        <v>166</v>
      </c>
      <c r="D3">
        <v>2080</v>
      </c>
      <c r="E3">
        <v>2083</v>
      </c>
      <c r="F3">
        <v>2071</v>
      </c>
      <c r="G3">
        <v>2072</v>
      </c>
      <c r="H3">
        <v>3271500</v>
      </c>
      <c r="J3">
        <f>_xll.RssMarket("8306.T", "売成行数量")</f>
        <v>0</v>
      </c>
      <c r="L3" t="s">
        <v>76</v>
      </c>
      <c r="N3">
        <f>_xll.RssMarket("8306.T", "買成行数量")</f>
        <v>0</v>
      </c>
      <c r="P3" t="s">
        <v>121</v>
      </c>
      <c r="Q3">
        <f>_xll.RssMarket("8306.T", "前日比")</f>
        <v>16.5</v>
      </c>
      <c r="R3">
        <f>_xll.RssMarket("8306.T", "前日比率")</f>
        <v>0.78</v>
      </c>
      <c r="S3" t="s">
        <v>122</v>
      </c>
      <c r="T3" t="s">
        <v>132</v>
      </c>
      <c r="U3">
        <f>_xll.RssMarket("8306.T", "売買代金")</f>
        <v>92249725</v>
      </c>
      <c r="X3" t="s">
        <v>139</v>
      </c>
      <c r="Y3">
        <f>_xll.RssMarket("8306.T", "信用買残")</f>
        <v>29511900</v>
      </c>
    </row>
    <row r="4" spans="1:25">
      <c r="B4" t="s">
        <v>587</v>
      </c>
      <c r="C4" t="s">
        <v>167</v>
      </c>
      <c r="D4">
        <v>2072</v>
      </c>
      <c r="E4">
        <v>2084.5</v>
      </c>
      <c r="F4">
        <v>2071.5</v>
      </c>
      <c r="G4">
        <v>2083.5</v>
      </c>
      <c r="H4">
        <v>429400</v>
      </c>
      <c r="J4">
        <f>_xll.RssMarket("8306.T", "OVER気配数量")</f>
        <v>10616500</v>
      </c>
      <c r="L4" t="s">
        <v>77</v>
      </c>
      <c r="P4" t="s">
        <v>123</v>
      </c>
      <c r="Q4">
        <f>_xll.RssMarket("8306.T", "高値")</f>
        <v>2139.5</v>
      </c>
      <c r="T4" t="s">
        <v>137</v>
      </c>
      <c r="U4">
        <f>_xll.RssMarket("8306.T", "前場出来高")</f>
        <v>21415000</v>
      </c>
      <c r="X4" t="s">
        <v>140</v>
      </c>
      <c r="Y4">
        <f>_xll.RssMarket("8306.T", "信用倍率")</f>
        <v>3.86</v>
      </c>
    </row>
    <row r="5" spans="1:25">
      <c r="B5" t="s">
        <v>587</v>
      </c>
      <c r="C5" t="s">
        <v>168</v>
      </c>
      <c r="D5">
        <v>2084</v>
      </c>
      <c r="E5">
        <v>2086</v>
      </c>
      <c r="F5">
        <v>2080</v>
      </c>
      <c r="G5">
        <v>2085.5</v>
      </c>
      <c r="H5">
        <v>360600</v>
      </c>
      <c r="J5">
        <f>_xll.RssMarket("8306.T", "最良売気配数量10")</f>
        <v>800</v>
      </c>
      <c r="L5">
        <f>_xll.RssMarket("8306.T", "最良売気配値10")</f>
        <v>2132.5</v>
      </c>
      <c r="P5" t="s">
        <v>124</v>
      </c>
      <c r="Q5">
        <f>_xll.RssMarket("8306.T", "安値")</f>
        <v>2071</v>
      </c>
    </row>
    <row r="6" spans="1:25">
      <c r="B6" t="s">
        <v>587</v>
      </c>
      <c r="C6" t="s">
        <v>169</v>
      </c>
      <c r="D6">
        <v>2085.5</v>
      </c>
      <c r="E6">
        <v>2092.5</v>
      </c>
      <c r="F6">
        <v>2085</v>
      </c>
      <c r="G6">
        <v>2089.5</v>
      </c>
      <c r="H6">
        <v>383600</v>
      </c>
      <c r="J6">
        <f>_xll.RssMarket("8306.T", "最良売気配数量9")</f>
        <v>21400</v>
      </c>
      <c r="L6">
        <f>_xll.RssMarket("8306.T", "最良売気配値9")</f>
        <v>2132</v>
      </c>
      <c r="P6" t="s">
        <v>125</v>
      </c>
      <c r="Q6">
        <f>_xll.RssMarket("8306.T", "始値")</f>
        <v>2080</v>
      </c>
      <c r="T6" t="s">
        <v>133</v>
      </c>
      <c r="U6">
        <f>_xll.RssMarket("8306.T", "歩み1")</f>
        <v>2129.5</v>
      </c>
      <c r="V6" t="str">
        <f>_xll.RssMarket("8306.T", "歩み1詳細時刻")</f>
        <v>15:24:59</v>
      </c>
      <c r="X6" t="s">
        <v>141</v>
      </c>
      <c r="Y6">
        <f>_xll.RssMarket("8306.T", "逆日歩")</f>
        <v>0</v>
      </c>
    </row>
    <row r="7" spans="1:25">
      <c r="B7" t="s">
        <v>587</v>
      </c>
      <c r="C7" t="s">
        <v>170</v>
      </c>
      <c r="D7">
        <v>2090</v>
      </c>
      <c r="E7">
        <v>2091</v>
      </c>
      <c r="F7">
        <v>2087.5</v>
      </c>
      <c r="G7">
        <v>2089</v>
      </c>
      <c r="H7">
        <v>238800</v>
      </c>
      <c r="J7">
        <f>_xll.RssMarket("8306.T", "最良売気配数量8")</f>
        <v>3200</v>
      </c>
      <c r="L7">
        <f>_xll.RssMarket("8306.T", "最良売気配値8")</f>
        <v>2131.5</v>
      </c>
      <c r="P7" t="s">
        <v>120</v>
      </c>
      <c r="Q7">
        <f>_xll.RssMarket("8306.T", "前日終値")</f>
        <v>2110.5</v>
      </c>
      <c r="T7" t="s">
        <v>134</v>
      </c>
      <c r="U7">
        <f>_xll.RssMarket("8306.T", "歩み2")</f>
        <v>2128.5</v>
      </c>
      <c r="V7" t="str">
        <f>_xll.RssMarket("8306.T", "歩み2詳細時刻")</f>
        <v>15:24:59</v>
      </c>
      <c r="X7" t="s">
        <v>142</v>
      </c>
      <c r="Y7">
        <f>_xll.RssMarket("8306.T", "貸借倍率")</f>
        <v>7.54</v>
      </c>
    </row>
    <row r="8" spans="1:25">
      <c r="B8" t="s">
        <v>587</v>
      </c>
      <c r="C8" t="s">
        <v>171</v>
      </c>
      <c r="D8">
        <v>2089</v>
      </c>
      <c r="E8">
        <v>2091</v>
      </c>
      <c r="F8">
        <v>2086.5</v>
      </c>
      <c r="G8">
        <v>2087</v>
      </c>
      <c r="H8">
        <v>295900</v>
      </c>
      <c r="J8">
        <f>_xll.RssMarket("8306.T", "最良売気配数量7")</f>
        <v>77900</v>
      </c>
      <c r="L8">
        <f>_xll.RssMarket("8306.T", "最良売気配値7")</f>
        <v>2131</v>
      </c>
      <c r="P8" t="s">
        <v>126</v>
      </c>
      <c r="Q8">
        <f>_xll.RssMarket("8306.T", "出来高加重平均")</f>
        <v>2114.6116999999999</v>
      </c>
      <c r="T8" t="s">
        <v>135</v>
      </c>
      <c r="U8">
        <f>_xll.RssMarket("8306.T", "歩み3")</f>
        <v>2129</v>
      </c>
      <c r="V8" t="str">
        <f>_xll.RssMarket("8306.T", "歩み3詳細時刻")</f>
        <v>15:24:57</v>
      </c>
    </row>
    <row r="9" spans="1:25">
      <c r="B9" t="s">
        <v>587</v>
      </c>
      <c r="C9" t="s">
        <v>172</v>
      </c>
      <c r="D9">
        <v>2087.5</v>
      </c>
      <c r="E9">
        <v>2090.5</v>
      </c>
      <c r="F9">
        <v>2086.5</v>
      </c>
      <c r="G9">
        <v>2087</v>
      </c>
      <c r="H9">
        <v>151300</v>
      </c>
      <c r="J9">
        <f>_xll.RssMarket("8306.T", "最良売気配数量6")</f>
        <v>4200</v>
      </c>
      <c r="L9">
        <f>_xll.RssMarket("8306.T", "最良売気配値6")</f>
        <v>2130.5</v>
      </c>
      <c r="P9" t="s">
        <v>127</v>
      </c>
      <c r="Q9">
        <f>_xll.RssMarket("8306.T", "年初来高値")</f>
        <v>2239.5</v>
      </c>
      <c r="R9" t="str">
        <f>_xll.RssMarket("8306.T", "年初来高値日付")</f>
        <v>2025/03/21</v>
      </c>
      <c r="T9" t="s">
        <v>136</v>
      </c>
      <c r="U9">
        <f>_xll.RssMarket("8306.T", "歩み4")</f>
        <v>2128.5</v>
      </c>
      <c r="V9" t="str">
        <f>_xll.RssMarket("8306.T", "歩み4詳細時刻")</f>
        <v>15:24:56</v>
      </c>
    </row>
    <row r="10" spans="1:25">
      <c r="B10" t="s">
        <v>587</v>
      </c>
      <c r="C10" t="s">
        <v>173</v>
      </c>
      <c r="D10">
        <v>2087.5</v>
      </c>
      <c r="E10">
        <v>2089.5</v>
      </c>
      <c r="F10">
        <v>2085</v>
      </c>
      <c r="G10">
        <v>2086.5</v>
      </c>
      <c r="H10">
        <v>224400</v>
      </c>
      <c r="J10">
        <f>_xll.RssMarket("8306.T", "最良売気配数量5")</f>
        <v>103000</v>
      </c>
      <c r="L10">
        <f>_xll.RssMarket("8306.T", "最良売気配値5")</f>
        <v>2130</v>
      </c>
      <c r="P10" t="s">
        <v>128</v>
      </c>
      <c r="Q10">
        <f>_xll.RssMarket("8306.T", "年初来安値")</f>
        <v>1310</v>
      </c>
      <c r="R10" t="str">
        <f>_xll.RssMarket("8306.T", "年初来安値日付")</f>
        <v>2025/04/07</v>
      </c>
    </row>
    <row r="11" spans="1:25">
      <c r="B11" t="s">
        <v>587</v>
      </c>
      <c r="C11" t="s">
        <v>174</v>
      </c>
      <c r="D11">
        <v>2086</v>
      </c>
      <c r="E11">
        <v>2086</v>
      </c>
      <c r="F11">
        <v>2083</v>
      </c>
      <c r="G11">
        <v>2084.5</v>
      </c>
      <c r="H11">
        <v>182600</v>
      </c>
      <c r="J11">
        <f>_xll.RssMarket("8306.T", "最良売気配数量4")</f>
        <v>24200</v>
      </c>
      <c r="L11">
        <f>_xll.RssMarket("8306.T", "最良売気配値4")</f>
        <v>2129.5</v>
      </c>
      <c r="P11" t="s">
        <v>129</v>
      </c>
      <c r="Q11">
        <f>_xll.RssMarket("8306.T", "上場来高値")</f>
        <v>1950000</v>
      </c>
      <c r="R11" t="str">
        <f>_xll.RssMarket("8306.T", "上場来高値日付")</f>
        <v>2006/04/07</v>
      </c>
    </row>
    <row r="12" spans="1:25">
      <c r="B12" t="s">
        <v>587</v>
      </c>
      <c r="C12" t="s">
        <v>175</v>
      </c>
      <c r="D12">
        <v>2084</v>
      </c>
      <c r="E12">
        <v>2087.5</v>
      </c>
      <c r="F12">
        <v>2083.5</v>
      </c>
      <c r="G12">
        <v>2085.5</v>
      </c>
      <c r="H12">
        <v>163300</v>
      </c>
      <c r="J12">
        <f>_xll.RssMarket("8306.T", "最良売気配数量3")</f>
        <v>3800</v>
      </c>
      <c r="L12">
        <f>_xll.RssMarket("8306.T", "最良売気配値3")</f>
        <v>2129</v>
      </c>
      <c r="P12" t="s">
        <v>130</v>
      </c>
      <c r="Q12">
        <f>_xll.RssMarket("8306.T", "上場来安値")</f>
        <v>318</v>
      </c>
      <c r="R12" t="str">
        <f>_xll.RssMarket("8306.T", "上場来安値日付")</f>
        <v>2011/11/25</v>
      </c>
    </row>
    <row r="13" spans="1:25">
      <c r="B13" t="s">
        <v>587</v>
      </c>
      <c r="C13" t="s">
        <v>176</v>
      </c>
      <c r="D13">
        <v>2085</v>
      </c>
      <c r="E13">
        <v>2087.5</v>
      </c>
      <c r="F13">
        <v>2083.5</v>
      </c>
      <c r="G13">
        <v>2083.5</v>
      </c>
      <c r="H13">
        <v>180900</v>
      </c>
      <c r="J13">
        <f>_xll.RssMarket("8306.T", "最良売気配数量2")</f>
        <v>2100</v>
      </c>
      <c r="L13">
        <f>_xll.RssMarket("8306.T", "最良売気配値2")</f>
        <v>2128</v>
      </c>
    </row>
    <row r="14" spans="1:25">
      <c r="B14" t="s">
        <v>587</v>
      </c>
      <c r="C14" t="s">
        <v>177</v>
      </c>
      <c r="D14">
        <v>2083.5</v>
      </c>
      <c r="E14">
        <v>2089.5</v>
      </c>
      <c r="F14">
        <v>2083.5</v>
      </c>
      <c r="G14">
        <v>2086.5</v>
      </c>
      <c r="H14">
        <v>167200</v>
      </c>
      <c r="J14">
        <f>_xll.RssMarket("8306.T", "最良売気配数量1")</f>
        <v>800</v>
      </c>
      <c r="K14" t="str">
        <f>_xll.RssMarket("8306.T", "特別売気配フラグ")</f>
        <v xml:space="preserve"> </v>
      </c>
      <c r="L14">
        <f>_xll.RssMarket("8306.T", "最良売気配値1")</f>
        <v>2127.5</v>
      </c>
    </row>
    <row r="15" spans="1:25">
      <c r="B15" t="s">
        <v>587</v>
      </c>
      <c r="C15" t="s">
        <v>178</v>
      </c>
      <c r="D15">
        <v>2086</v>
      </c>
      <c r="E15">
        <v>2088</v>
      </c>
      <c r="F15">
        <v>2085</v>
      </c>
      <c r="G15">
        <v>2085.5</v>
      </c>
      <c r="H15">
        <v>108800</v>
      </c>
      <c r="L15">
        <f>_xll.RssMarket("8306.T", "最良買気配値1")</f>
        <v>2126.5</v>
      </c>
      <c r="M15" t="str">
        <f>_xll.RssMarket("8306.T", "特別買気配フラグ")</f>
        <v xml:space="preserve"> </v>
      </c>
      <c r="N15">
        <f>_xll.RssMarket("8306.T", "最良買気配数量1")</f>
        <v>1000</v>
      </c>
    </row>
    <row r="16" spans="1:25">
      <c r="B16" t="s">
        <v>587</v>
      </c>
      <c r="C16" t="s">
        <v>179</v>
      </c>
      <c r="D16">
        <v>2085.5</v>
      </c>
      <c r="E16">
        <v>2089</v>
      </c>
      <c r="F16">
        <v>2085</v>
      </c>
      <c r="G16">
        <v>2089</v>
      </c>
      <c r="H16">
        <v>138100</v>
      </c>
      <c r="L16">
        <f>_xll.RssMarket("8306.T", "最良買気配値2")</f>
        <v>2126</v>
      </c>
      <c r="N16">
        <f>_xll.RssMarket("8306.T", "最良買気配数量2")</f>
        <v>46500</v>
      </c>
    </row>
    <row r="17" spans="2:14">
      <c r="B17" t="s">
        <v>587</v>
      </c>
      <c r="C17" t="s">
        <v>180</v>
      </c>
      <c r="D17">
        <v>2089</v>
      </c>
      <c r="E17">
        <v>2090</v>
      </c>
      <c r="F17">
        <v>2087.5</v>
      </c>
      <c r="G17">
        <v>2089.5</v>
      </c>
      <c r="H17">
        <v>97200</v>
      </c>
      <c r="L17">
        <f>_xll.RssMarket("8306.T", "最良買気配値3")</f>
        <v>2125.5</v>
      </c>
      <c r="N17">
        <f>_xll.RssMarket("8306.T", "最良買気配数量3")</f>
        <v>1400</v>
      </c>
    </row>
    <row r="18" spans="2:14">
      <c r="B18" t="s">
        <v>587</v>
      </c>
      <c r="C18" t="s">
        <v>181</v>
      </c>
      <c r="D18">
        <v>2089.5</v>
      </c>
      <c r="E18">
        <v>2090</v>
      </c>
      <c r="F18">
        <v>2086</v>
      </c>
      <c r="G18">
        <v>2086.5</v>
      </c>
      <c r="H18">
        <v>123200</v>
      </c>
      <c r="L18">
        <f>_xll.RssMarket("8306.T", "最良買気配値4")</f>
        <v>2125</v>
      </c>
      <c r="N18">
        <f>_xll.RssMarket("8306.T", "最良買気配数量4")</f>
        <v>28900</v>
      </c>
    </row>
    <row r="19" spans="2:14">
      <c r="B19" t="s">
        <v>587</v>
      </c>
      <c r="C19" t="s">
        <v>182</v>
      </c>
      <c r="D19">
        <v>2086.5</v>
      </c>
      <c r="E19">
        <v>2089</v>
      </c>
      <c r="F19">
        <v>2085.5</v>
      </c>
      <c r="G19">
        <v>2088.5</v>
      </c>
      <c r="H19">
        <v>68700</v>
      </c>
      <c r="L19">
        <f>_xll.RssMarket("8306.T", "最良買気配値5")</f>
        <v>2124.5</v>
      </c>
      <c r="N19">
        <f>_xll.RssMarket("8306.T", "最良買気配数量5")</f>
        <v>77000</v>
      </c>
    </row>
    <row r="20" spans="2:14">
      <c r="B20" t="s">
        <v>587</v>
      </c>
      <c r="C20" t="s">
        <v>183</v>
      </c>
      <c r="D20">
        <v>2088.5</v>
      </c>
      <c r="E20">
        <v>2089</v>
      </c>
      <c r="F20">
        <v>2087</v>
      </c>
      <c r="G20">
        <v>2088.5</v>
      </c>
      <c r="H20">
        <v>51100</v>
      </c>
      <c r="L20">
        <f>_xll.RssMarket("8306.T", "最良買気配値6")</f>
        <v>2124</v>
      </c>
      <c r="N20">
        <f>_xll.RssMarket("8306.T", "最良買気配数量6")</f>
        <v>21000</v>
      </c>
    </row>
    <row r="21" spans="2:14">
      <c r="B21" t="s">
        <v>587</v>
      </c>
      <c r="C21" t="s">
        <v>184</v>
      </c>
      <c r="D21">
        <v>2088</v>
      </c>
      <c r="E21">
        <v>2091</v>
      </c>
      <c r="F21">
        <v>2088</v>
      </c>
      <c r="G21">
        <v>2090</v>
      </c>
      <c r="H21">
        <v>181500</v>
      </c>
      <c r="L21">
        <f>_xll.RssMarket("8306.T", "最良買気配値7")</f>
        <v>2123.5</v>
      </c>
      <c r="N21">
        <f>_xll.RssMarket("8306.T", "最良買気配数量7")</f>
        <v>83000</v>
      </c>
    </row>
    <row r="22" spans="2:14">
      <c r="B22" t="s">
        <v>587</v>
      </c>
      <c r="C22" t="s">
        <v>185</v>
      </c>
      <c r="D22">
        <v>2090.5</v>
      </c>
      <c r="E22">
        <v>2094</v>
      </c>
      <c r="F22">
        <v>2090.5</v>
      </c>
      <c r="G22">
        <v>2092</v>
      </c>
      <c r="H22">
        <v>277000</v>
      </c>
      <c r="L22">
        <f>_xll.RssMarket("8306.T", "最良買気配値8")</f>
        <v>2123</v>
      </c>
      <c r="N22">
        <f>_xll.RssMarket("8306.T", "最良買気配数量8")</f>
        <v>11100</v>
      </c>
    </row>
    <row r="23" spans="2:14">
      <c r="B23" t="s">
        <v>587</v>
      </c>
      <c r="C23" t="s">
        <v>186</v>
      </c>
      <c r="D23">
        <v>2092</v>
      </c>
      <c r="E23">
        <v>2092.5</v>
      </c>
      <c r="F23">
        <v>2087</v>
      </c>
      <c r="G23">
        <v>2088</v>
      </c>
      <c r="H23">
        <v>208800</v>
      </c>
      <c r="L23">
        <f>_xll.RssMarket("8306.T", "最良買気配値9")</f>
        <v>2122.5</v>
      </c>
      <c r="N23">
        <f>_xll.RssMarket("8306.T", "最良買気配数量9")</f>
        <v>11100</v>
      </c>
    </row>
    <row r="24" spans="2:14">
      <c r="B24" t="s">
        <v>587</v>
      </c>
      <c r="C24" t="s">
        <v>187</v>
      </c>
      <c r="D24">
        <v>2088.5</v>
      </c>
      <c r="E24">
        <v>2092</v>
      </c>
      <c r="F24">
        <v>2088.5</v>
      </c>
      <c r="G24">
        <v>2090.5</v>
      </c>
      <c r="H24">
        <v>75900</v>
      </c>
      <c r="L24">
        <f>_xll.RssMarket("8306.T", "最良買気配値10")</f>
        <v>2122</v>
      </c>
      <c r="N24">
        <f>_xll.RssMarket("8306.T", "最良買気配数量10")</f>
        <v>130400</v>
      </c>
    </row>
    <row r="25" spans="2:14">
      <c r="B25" t="s">
        <v>587</v>
      </c>
      <c r="C25" t="s">
        <v>188</v>
      </c>
      <c r="D25">
        <v>2090.5</v>
      </c>
      <c r="E25">
        <v>2091.5</v>
      </c>
      <c r="F25">
        <v>2089.5</v>
      </c>
      <c r="G25">
        <v>2090.5</v>
      </c>
      <c r="H25">
        <v>109800</v>
      </c>
      <c r="L25" t="s">
        <v>80</v>
      </c>
      <c r="N25">
        <f>_xll.RssMarket("8306.T", "UNDER気配数量")</f>
        <v>6901100</v>
      </c>
    </row>
    <row r="26" spans="2:14">
      <c r="B26" t="s">
        <v>587</v>
      </c>
      <c r="C26" t="s">
        <v>189</v>
      </c>
      <c r="D26">
        <v>2090.5</v>
      </c>
      <c r="E26">
        <v>2092.5</v>
      </c>
      <c r="F26">
        <v>2089.5</v>
      </c>
      <c r="G26">
        <v>2092</v>
      </c>
      <c r="H26">
        <v>185400</v>
      </c>
    </row>
    <row r="27" spans="2:14">
      <c r="B27" t="s">
        <v>587</v>
      </c>
      <c r="C27" t="s">
        <v>190</v>
      </c>
      <c r="D27">
        <v>2092</v>
      </c>
      <c r="E27">
        <v>2093</v>
      </c>
      <c r="F27">
        <v>2090</v>
      </c>
      <c r="G27">
        <v>2092</v>
      </c>
      <c r="H27">
        <v>117600</v>
      </c>
    </row>
    <row r="28" spans="2:14">
      <c r="B28" t="s">
        <v>587</v>
      </c>
      <c r="C28" t="s">
        <v>191</v>
      </c>
      <c r="D28">
        <v>2092</v>
      </c>
      <c r="E28">
        <v>2095</v>
      </c>
      <c r="F28">
        <v>2092</v>
      </c>
      <c r="G28">
        <v>2094</v>
      </c>
      <c r="H28">
        <v>219900</v>
      </c>
    </row>
    <row r="29" spans="2:14">
      <c r="B29" t="s">
        <v>587</v>
      </c>
      <c r="C29" t="s">
        <v>192</v>
      </c>
      <c r="D29">
        <v>2094</v>
      </c>
      <c r="E29">
        <v>2094.5</v>
      </c>
      <c r="F29">
        <v>2093</v>
      </c>
      <c r="G29">
        <v>2093.5</v>
      </c>
      <c r="H29">
        <v>113500</v>
      </c>
    </row>
    <row r="30" spans="2:14">
      <c r="B30" t="s">
        <v>587</v>
      </c>
      <c r="C30" t="s">
        <v>193</v>
      </c>
      <c r="D30">
        <v>2093.5</v>
      </c>
      <c r="E30">
        <v>2094</v>
      </c>
      <c r="F30">
        <v>2091.5</v>
      </c>
      <c r="G30">
        <v>2093</v>
      </c>
      <c r="H30">
        <v>194300</v>
      </c>
    </row>
    <row r="31" spans="2:14">
      <c r="B31" t="s">
        <v>587</v>
      </c>
      <c r="C31" t="s">
        <v>194</v>
      </c>
      <c r="D31">
        <v>2093</v>
      </c>
      <c r="E31">
        <v>2097.5</v>
      </c>
      <c r="F31">
        <v>2093</v>
      </c>
      <c r="G31">
        <v>2097</v>
      </c>
      <c r="H31">
        <v>264200</v>
      </c>
    </row>
    <row r="32" spans="2:14">
      <c r="B32" t="s">
        <v>587</v>
      </c>
      <c r="C32" t="s">
        <v>195</v>
      </c>
      <c r="D32">
        <v>2096.5</v>
      </c>
      <c r="E32">
        <v>2100</v>
      </c>
      <c r="F32">
        <v>2096</v>
      </c>
      <c r="G32">
        <v>2099.5</v>
      </c>
      <c r="H32">
        <v>153400</v>
      </c>
    </row>
    <row r="33" spans="2:8">
      <c r="B33" t="s">
        <v>587</v>
      </c>
      <c r="C33" t="s">
        <v>196</v>
      </c>
      <c r="D33">
        <v>2099.5</v>
      </c>
      <c r="E33">
        <v>2100.5</v>
      </c>
      <c r="F33">
        <v>2098</v>
      </c>
      <c r="G33">
        <v>2100</v>
      </c>
      <c r="H33">
        <v>147300</v>
      </c>
    </row>
    <row r="34" spans="2:8">
      <c r="B34" t="s">
        <v>587</v>
      </c>
      <c r="C34" t="s">
        <v>197</v>
      </c>
      <c r="D34">
        <v>2100</v>
      </c>
      <c r="E34">
        <v>2101.5</v>
      </c>
      <c r="F34">
        <v>2099</v>
      </c>
      <c r="G34">
        <v>2101</v>
      </c>
      <c r="H34">
        <v>144600</v>
      </c>
    </row>
    <row r="35" spans="2:8">
      <c r="B35" t="s">
        <v>587</v>
      </c>
      <c r="C35" t="s">
        <v>198</v>
      </c>
      <c r="D35">
        <v>2101</v>
      </c>
      <c r="E35">
        <v>2102.5</v>
      </c>
      <c r="F35">
        <v>2099</v>
      </c>
      <c r="G35">
        <v>2099</v>
      </c>
      <c r="H35">
        <v>138700</v>
      </c>
    </row>
    <row r="36" spans="2:8">
      <c r="B36" t="s">
        <v>587</v>
      </c>
      <c r="C36" t="s">
        <v>199</v>
      </c>
      <c r="D36">
        <v>2100</v>
      </c>
      <c r="E36">
        <v>2102</v>
      </c>
      <c r="F36">
        <v>2098.5</v>
      </c>
      <c r="G36">
        <v>2101.5</v>
      </c>
      <c r="H36">
        <v>155800</v>
      </c>
    </row>
    <row r="37" spans="2:8">
      <c r="B37" t="s">
        <v>587</v>
      </c>
      <c r="C37" t="s">
        <v>200</v>
      </c>
      <c r="D37">
        <v>2101</v>
      </c>
      <c r="E37">
        <v>2102.5</v>
      </c>
      <c r="F37">
        <v>2097.5</v>
      </c>
      <c r="G37">
        <v>2097.5</v>
      </c>
      <c r="H37">
        <v>221000</v>
      </c>
    </row>
    <row r="38" spans="2:8">
      <c r="B38" t="s">
        <v>587</v>
      </c>
      <c r="C38" t="s">
        <v>201</v>
      </c>
      <c r="D38">
        <v>2097</v>
      </c>
      <c r="E38">
        <v>2100</v>
      </c>
      <c r="F38">
        <v>2096.5</v>
      </c>
      <c r="G38">
        <v>2099.5</v>
      </c>
      <c r="H38">
        <v>124600</v>
      </c>
    </row>
    <row r="39" spans="2:8">
      <c r="B39" t="s">
        <v>587</v>
      </c>
      <c r="C39" t="s">
        <v>202</v>
      </c>
      <c r="D39">
        <v>2099</v>
      </c>
      <c r="E39">
        <v>2100.5</v>
      </c>
      <c r="F39">
        <v>2098</v>
      </c>
      <c r="G39">
        <v>2100.5</v>
      </c>
      <c r="H39">
        <v>203200</v>
      </c>
    </row>
    <row r="40" spans="2:8">
      <c r="B40" t="s">
        <v>587</v>
      </c>
      <c r="C40" t="s">
        <v>203</v>
      </c>
      <c r="D40">
        <v>2100.5</v>
      </c>
      <c r="E40">
        <v>2102</v>
      </c>
      <c r="F40">
        <v>2100</v>
      </c>
      <c r="G40">
        <v>2102</v>
      </c>
      <c r="H40">
        <v>61800</v>
      </c>
    </row>
    <row r="41" spans="2:8">
      <c r="B41" t="s">
        <v>587</v>
      </c>
      <c r="C41" t="s">
        <v>204</v>
      </c>
      <c r="D41">
        <v>2101.5</v>
      </c>
      <c r="E41">
        <v>2103</v>
      </c>
      <c r="F41">
        <v>2101.5</v>
      </c>
      <c r="G41">
        <v>2103</v>
      </c>
      <c r="H41">
        <v>126200</v>
      </c>
    </row>
    <row r="42" spans="2:8">
      <c r="B42" t="s">
        <v>587</v>
      </c>
      <c r="C42" t="s">
        <v>205</v>
      </c>
      <c r="D42">
        <v>2103</v>
      </c>
      <c r="E42">
        <v>2104.5</v>
      </c>
      <c r="F42">
        <v>2102.5</v>
      </c>
      <c r="G42">
        <v>2104.5</v>
      </c>
      <c r="H42">
        <v>119400</v>
      </c>
    </row>
    <row r="43" spans="2:8">
      <c r="B43" t="s">
        <v>587</v>
      </c>
      <c r="C43" t="s">
        <v>206</v>
      </c>
      <c r="D43">
        <v>2104.5</v>
      </c>
      <c r="E43">
        <v>2108.5</v>
      </c>
      <c r="F43">
        <v>2104</v>
      </c>
      <c r="G43">
        <v>2108</v>
      </c>
      <c r="H43">
        <v>336500</v>
      </c>
    </row>
    <row r="44" spans="2:8">
      <c r="B44" t="s">
        <v>587</v>
      </c>
      <c r="C44" t="s">
        <v>207</v>
      </c>
      <c r="D44">
        <v>2108</v>
      </c>
      <c r="E44">
        <v>2109</v>
      </c>
      <c r="F44">
        <v>2107.5</v>
      </c>
      <c r="G44">
        <v>2109</v>
      </c>
      <c r="H44">
        <v>167700</v>
      </c>
    </row>
    <row r="45" spans="2:8">
      <c r="B45" t="s">
        <v>587</v>
      </c>
      <c r="C45" t="s">
        <v>208</v>
      </c>
      <c r="D45">
        <v>2109</v>
      </c>
      <c r="E45">
        <v>2109.5</v>
      </c>
      <c r="F45">
        <v>2107</v>
      </c>
      <c r="G45">
        <v>2107.5</v>
      </c>
      <c r="H45">
        <v>174100</v>
      </c>
    </row>
    <row r="46" spans="2:8">
      <c r="B46" t="s">
        <v>587</v>
      </c>
      <c r="C46" t="s">
        <v>209</v>
      </c>
      <c r="D46">
        <v>2107</v>
      </c>
      <c r="E46">
        <v>2110</v>
      </c>
      <c r="F46">
        <v>2107</v>
      </c>
      <c r="G46">
        <v>2109.5</v>
      </c>
      <c r="H46">
        <v>141800</v>
      </c>
    </row>
    <row r="47" spans="2:8">
      <c r="B47" t="s">
        <v>587</v>
      </c>
      <c r="C47" t="s">
        <v>210</v>
      </c>
      <c r="D47">
        <v>2110</v>
      </c>
      <c r="E47">
        <v>2110</v>
      </c>
      <c r="F47">
        <v>2108</v>
      </c>
      <c r="G47">
        <v>2108</v>
      </c>
      <c r="H47">
        <v>62900</v>
      </c>
    </row>
    <row r="48" spans="2:8">
      <c r="B48" t="s">
        <v>587</v>
      </c>
      <c r="C48" t="s">
        <v>211</v>
      </c>
      <c r="D48">
        <v>2108</v>
      </c>
      <c r="E48">
        <v>2109.5</v>
      </c>
      <c r="F48">
        <v>2107.5</v>
      </c>
      <c r="G48">
        <v>2108.5</v>
      </c>
      <c r="H48">
        <v>129500</v>
      </c>
    </row>
    <row r="49" spans="2:8">
      <c r="B49" t="s">
        <v>587</v>
      </c>
      <c r="C49" t="s">
        <v>212</v>
      </c>
      <c r="D49">
        <v>2108.5</v>
      </c>
      <c r="E49">
        <v>2108.5</v>
      </c>
      <c r="F49">
        <v>2106</v>
      </c>
      <c r="G49">
        <v>2107.5</v>
      </c>
      <c r="H49">
        <v>180500</v>
      </c>
    </row>
    <row r="50" spans="2:8">
      <c r="B50" t="s">
        <v>587</v>
      </c>
      <c r="C50" t="s">
        <v>213</v>
      </c>
      <c r="D50">
        <v>2107.5</v>
      </c>
      <c r="E50">
        <v>2107.5</v>
      </c>
      <c r="F50">
        <v>2105</v>
      </c>
      <c r="G50">
        <v>2105.5</v>
      </c>
      <c r="H50">
        <v>95600</v>
      </c>
    </row>
    <row r="51" spans="2:8">
      <c r="B51" t="s">
        <v>587</v>
      </c>
      <c r="C51" t="s">
        <v>214</v>
      </c>
      <c r="D51">
        <v>2105</v>
      </c>
      <c r="E51">
        <v>2106</v>
      </c>
      <c r="F51">
        <v>2105</v>
      </c>
      <c r="G51">
        <v>2105.5</v>
      </c>
      <c r="H51">
        <v>80100</v>
      </c>
    </row>
    <row r="52" spans="2:8">
      <c r="B52" t="s">
        <v>587</v>
      </c>
      <c r="C52" t="s">
        <v>215</v>
      </c>
      <c r="D52">
        <v>2105</v>
      </c>
      <c r="E52">
        <v>2106</v>
      </c>
      <c r="F52">
        <v>2104</v>
      </c>
      <c r="G52">
        <v>2105</v>
      </c>
      <c r="H52">
        <v>176300</v>
      </c>
    </row>
    <row r="53" spans="2:8">
      <c r="B53" t="s">
        <v>587</v>
      </c>
      <c r="C53" t="s">
        <v>216</v>
      </c>
      <c r="D53">
        <v>2104.5</v>
      </c>
      <c r="E53">
        <v>2105</v>
      </c>
      <c r="F53">
        <v>2102.5</v>
      </c>
      <c r="G53">
        <v>2103</v>
      </c>
      <c r="H53">
        <v>118100</v>
      </c>
    </row>
    <row r="54" spans="2:8">
      <c r="B54" t="s">
        <v>587</v>
      </c>
      <c r="C54" t="s">
        <v>217</v>
      </c>
      <c r="D54">
        <v>2103</v>
      </c>
      <c r="E54">
        <v>2103</v>
      </c>
      <c r="F54">
        <v>2102</v>
      </c>
      <c r="G54">
        <v>2102</v>
      </c>
      <c r="H54">
        <v>57300</v>
      </c>
    </row>
    <row r="55" spans="2:8">
      <c r="B55" t="s">
        <v>587</v>
      </c>
      <c r="C55" t="s">
        <v>218</v>
      </c>
      <c r="D55">
        <v>2102</v>
      </c>
      <c r="E55">
        <v>2102</v>
      </c>
      <c r="F55">
        <v>2097</v>
      </c>
      <c r="G55">
        <v>2097</v>
      </c>
      <c r="H55">
        <v>259000</v>
      </c>
    </row>
    <row r="56" spans="2:8">
      <c r="B56" t="s">
        <v>587</v>
      </c>
      <c r="C56" t="s">
        <v>219</v>
      </c>
      <c r="D56">
        <v>2097</v>
      </c>
      <c r="E56">
        <v>2098.5</v>
      </c>
      <c r="F56">
        <v>2096</v>
      </c>
      <c r="G56">
        <v>2098.5</v>
      </c>
      <c r="H56">
        <v>175600</v>
      </c>
    </row>
    <row r="57" spans="2:8">
      <c r="B57" t="s">
        <v>587</v>
      </c>
      <c r="C57" t="s">
        <v>220</v>
      </c>
      <c r="D57">
        <v>2098.5</v>
      </c>
      <c r="E57">
        <v>2099.5</v>
      </c>
      <c r="F57">
        <v>2098</v>
      </c>
      <c r="G57">
        <v>2099</v>
      </c>
      <c r="H57">
        <v>48500</v>
      </c>
    </row>
    <row r="58" spans="2:8">
      <c r="B58" t="s">
        <v>587</v>
      </c>
      <c r="C58" t="s">
        <v>221</v>
      </c>
      <c r="D58">
        <v>2099</v>
      </c>
      <c r="E58">
        <v>2099</v>
      </c>
      <c r="F58">
        <v>2096.5</v>
      </c>
      <c r="G58">
        <v>2098</v>
      </c>
      <c r="H58">
        <v>100900</v>
      </c>
    </row>
    <row r="59" spans="2:8">
      <c r="B59" t="s">
        <v>587</v>
      </c>
      <c r="C59" t="s">
        <v>222</v>
      </c>
      <c r="D59">
        <v>2098.5</v>
      </c>
      <c r="E59">
        <v>2100</v>
      </c>
      <c r="F59">
        <v>2098</v>
      </c>
      <c r="G59">
        <v>2099.5</v>
      </c>
      <c r="H59">
        <v>74100</v>
      </c>
    </row>
    <row r="60" spans="2:8">
      <c r="B60" t="s">
        <v>587</v>
      </c>
      <c r="C60" t="s">
        <v>223</v>
      </c>
      <c r="D60">
        <v>2100</v>
      </c>
      <c r="E60">
        <v>2102</v>
      </c>
      <c r="F60">
        <v>2099</v>
      </c>
      <c r="G60">
        <v>2101.5</v>
      </c>
      <c r="H60">
        <v>209100</v>
      </c>
    </row>
    <row r="61" spans="2:8">
      <c r="B61" t="s">
        <v>587</v>
      </c>
      <c r="C61" t="s">
        <v>224</v>
      </c>
      <c r="D61">
        <v>2101.5</v>
      </c>
      <c r="E61">
        <v>2104</v>
      </c>
      <c r="F61">
        <v>2101</v>
      </c>
      <c r="G61">
        <v>2104</v>
      </c>
      <c r="H61">
        <v>56400</v>
      </c>
    </row>
    <row r="62" spans="2:8">
      <c r="B62" t="s">
        <v>587</v>
      </c>
      <c r="C62" t="s">
        <v>225</v>
      </c>
      <c r="D62">
        <v>2103.5</v>
      </c>
      <c r="E62">
        <v>2105</v>
      </c>
      <c r="F62">
        <v>2100.5</v>
      </c>
      <c r="G62">
        <v>2101.5</v>
      </c>
      <c r="H62">
        <v>198500</v>
      </c>
    </row>
    <row r="63" spans="2:8">
      <c r="B63" t="s">
        <v>587</v>
      </c>
      <c r="C63" t="s">
        <v>226</v>
      </c>
      <c r="D63">
        <v>2101</v>
      </c>
      <c r="E63">
        <v>2105</v>
      </c>
      <c r="F63">
        <v>2100.5</v>
      </c>
      <c r="G63">
        <v>2104.5</v>
      </c>
      <c r="H63">
        <v>125000</v>
      </c>
    </row>
    <row r="64" spans="2:8">
      <c r="B64" t="s">
        <v>587</v>
      </c>
      <c r="C64" t="s">
        <v>227</v>
      </c>
      <c r="D64">
        <v>2104.5</v>
      </c>
      <c r="E64">
        <v>2106</v>
      </c>
      <c r="F64">
        <v>2104.5</v>
      </c>
      <c r="G64">
        <v>2106</v>
      </c>
      <c r="H64">
        <v>80300</v>
      </c>
    </row>
    <row r="65" spans="2:8">
      <c r="B65" t="s">
        <v>587</v>
      </c>
      <c r="C65" t="s">
        <v>228</v>
      </c>
      <c r="D65">
        <v>2105.5</v>
      </c>
      <c r="E65">
        <v>2107.5</v>
      </c>
      <c r="F65">
        <v>2105</v>
      </c>
      <c r="G65">
        <v>2107.5</v>
      </c>
      <c r="H65">
        <v>141000</v>
      </c>
    </row>
    <row r="66" spans="2:8">
      <c r="B66" t="s">
        <v>587</v>
      </c>
      <c r="C66" t="s">
        <v>229</v>
      </c>
      <c r="D66">
        <v>2107</v>
      </c>
      <c r="E66">
        <v>2109</v>
      </c>
      <c r="F66">
        <v>2106</v>
      </c>
      <c r="G66">
        <v>2106.5</v>
      </c>
      <c r="H66">
        <v>141800</v>
      </c>
    </row>
    <row r="67" spans="2:8">
      <c r="B67" t="s">
        <v>587</v>
      </c>
      <c r="C67" t="s">
        <v>230</v>
      </c>
      <c r="D67">
        <v>2106.5</v>
      </c>
      <c r="E67">
        <v>2109</v>
      </c>
      <c r="F67">
        <v>2106.5</v>
      </c>
      <c r="G67">
        <v>2108</v>
      </c>
      <c r="H67">
        <v>92300</v>
      </c>
    </row>
    <row r="68" spans="2:8">
      <c r="B68" t="s">
        <v>587</v>
      </c>
      <c r="C68" t="s">
        <v>231</v>
      </c>
      <c r="D68">
        <v>2108.5</v>
      </c>
      <c r="E68">
        <v>2109.5</v>
      </c>
      <c r="F68">
        <v>2107</v>
      </c>
      <c r="G68">
        <v>2109</v>
      </c>
      <c r="H68">
        <v>174100</v>
      </c>
    </row>
    <row r="69" spans="2:8">
      <c r="B69" t="s">
        <v>587</v>
      </c>
      <c r="C69" t="s">
        <v>232</v>
      </c>
      <c r="D69">
        <v>2109</v>
      </c>
      <c r="E69">
        <v>2109.5</v>
      </c>
      <c r="F69">
        <v>2108.5</v>
      </c>
      <c r="G69">
        <v>2109.5</v>
      </c>
      <c r="H69">
        <v>72700</v>
      </c>
    </row>
    <row r="70" spans="2:8">
      <c r="B70" t="s">
        <v>587</v>
      </c>
      <c r="C70" t="s">
        <v>233</v>
      </c>
      <c r="D70">
        <v>2109.5</v>
      </c>
      <c r="E70">
        <v>2110</v>
      </c>
      <c r="F70">
        <v>2108.5</v>
      </c>
      <c r="G70">
        <v>2110</v>
      </c>
      <c r="H70">
        <v>216400</v>
      </c>
    </row>
    <row r="71" spans="2:8">
      <c r="B71" t="s">
        <v>587</v>
      </c>
      <c r="C71" t="s">
        <v>234</v>
      </c>
      <c r="D71">
        <v>2110</v>
      </c>
      <c r="E71">
        <v>2110.5</v>
      </c>
      <c r="F71">
        <v>2108</v>
      </c>
      <c r="G71">
        <v>2108</v>
      </c>
      <c r="H71">
        <v>90900</v>
      </c>
    </row>
    <row r="72" spans="2:8">
      <c r="B72" t="s">
        <v>587</v>
      </c>
      <c r="C72" t="s">
        <v>235</v>
      </c>
      <c r="D72">
        <v>2108.5</v>
      </c>
      <c r="E72">
        <v>2109.5</v>
      </c>
      <c r="F72">
        <v>2108</v>
      </c>
      <c r="G72">
        <v>2108.5</v>
      </c>
      <c r="H72">
        <v>68900</v>
      </c>
    </row>
    <row r="73" spans="2:8">
      <c r="B73" t="s">
        <v>587</v>
      </c>
      <c r="C73" t="s">
        <v>236</v>
      </c>
      <c r="D73">
        <v>2108.5</v>
      </c>
      <c r="E73">
        <v>2108.5</v>
      </c>
      <c r="F73">
        <v>2105</v>
      </c>
      <c r="G73">
        <v>2105</v>
      </c>
      <c r="H73">
        <v>102300</v>
      </c>
    </row>
    <row r="74" spans="2:8">
      <c r="B74" t="s">
        <v>587</v>
      </c>
      <c r="C74" t="s">
        <v>237</v>
      </c>
      <c r="D74">
        <v>2106</v>
      </c>
      <c r="E74">
        <v>2107</v>
      </c>
      <c r="F74">
        <v>2105</v>
      </c>
      <c r="G74">
        <v>2106</v>
      </c>
      <c r="H74">
        <v>79700</v>
      </c>
    </row>
    <row r="75" spans="2:8">
      <c r="B75" t="s">
        <v>587</v>
      </c>
      <c r="C75" t="s">
        <v>238</v>
      </c>
      <c r="D75">
        <v>2106.5</v>
      </c>
      <c r="E75">
        <v>2106.5</v>
      </c>
      <c r="F75">
        <v>2105</v>
      </c>
      <c r="G75">
        <v>2105.5</v>
      </c>
      <c r="H75">
        <v>65600</v>
      </c>
    </row>
    <row r="76" spans="2:8">
      <c r="B76" t="s">
        <v>587</v>
      </c>
      <c r="C76" t="s">
        <v>239</v>
      </c>
      <c r="D76">
        <v>2105.5</v>
      </c>
      <c r="E76">
        <v>2107</v>
      </c>
      <c r="F76">
        <v>2104.5</v>
      </c>
      <c r="G76">
        <v>2106.5</v>
      </c>
      <c r="H76">
        <v>97200</v>
      </c>
    </row>
    <row r="77" spans="2:8">
      <c r="B77" t="s">
        <v>587</v>
      </c>
      <c r="C77" t="s">
        <v>240</v>
      </c>
      <c r="D77">
        <v>2106.5</v>
      </c>
      <c r="E77">
        <v>2107</v>
      </c>
      <c r="F77">
        <v>2105</v>
      </c>
      <c r="G77">
        <v>2107</v>
      </c>
      <c r="H77">
        <v>69400</v>
      </c>
    </row>
    <row r="78" spans="2:8">
      <c r="B78" t="s">
        <v>587</v>
      </c>
      <c r="C78" t="s">
        <v>241</v>
      </c>
      <c r="D78">
        <v>2107</v>
      </c>
      <c r="E78">
        <v>2108</v>
      </c>
      <c r="F78">
        <v>2107</v>
      </c>
      <c r="G78">
        <v>2107.5</v>
      </c>
      <c r="H78">
        <v>32100</v>
      </c>
    </row>
    <row r="79" spans="2:8">
      <c r="B79" t="s">
        <v>587</v>
      </c>
      <c r="C79" t="s">
        <v>242</v>
      </c>
      <c r="D79">
        <v>2107.5</v>
      </c>
      <c r="E79">
        <v>2107.5</v>
      </c>
      <c r="F79">
        <v>2104.5</v>
      </c>
      <c r="G79">
        <v>2106.5</v>
      </c>
      <c r="H79">
        <v>68900</v>
      </c>
    </row>
    <row r="80" spans="2:8">
      <c r="B80" t="s">
        <v>587</v>
      </c>
      <c r="C80" t="s">
        <v>243</v>
      </c>
      <c r="D80">
        <v>2106.5</v>
      </c>
      <c r="E80">
        <v>2107</v>
      </c>
      <c r="F80">
        <v>2106</v>
      </c>
      <c r="G80">
        <v>2106.5</v>
      </c>
      <c r="H80">
        <v>18600</v>
      </c>
    </row>
    <row r="81" spans="2:8">
      <c r="B81" t="s">
        <v>587</v>
      </c>
      <c r="C81" t="s">
        <v>244</v>
      </c>
      <c r="D81">
        <v>2107</v>
      </c>
      <c r="E81">
        <v>2107</v>
      </c>
      <c r="F81">
        <v>2105</v>
      </c>
      <c r="G81">
        <v>2107</v>
      </c>
      <c r="H81">
        <v>49600</v>
      </c>
    </row>
    <row r="82" spans="2:8">
      <c r="B82" t="s">
        <v>587</v>
      </c>
      <c r="C82" t="s">
        <v>245</v>
      </c>
      <c r="D82">
        <v>2106.5</v>
      </c>
      <c r="E82">
        <v>2107.5</v>
      </c>
      <c r="F82">
        <v>2106</v>
      </c>
      <c r="G82">
        <v>2107</v>
      </c>
      <c r="H82">
        <v>46900</v>
      </c>
    </row>
    <row r="83" spans="2:8">
      <c r="B83" t="s">
        <v>587</v>
      </c>
      <c r="C83" t="s">
        <v>246</v>
      </c>
      <c r="D83">
        <v>2107</v>
      </c>
      <c r="E83">
        <v>2108</v>
      </c>
      <c r="F83">
        <v>2107</v>
      </c>
      <c r="G83">
        <v>2107</v>
      </c>
      <c r="H83">
        <v>138800</v>
      </c>
    </row>
    <row r="84" spans="2:8">
      <c r="B84" t="s">
        <v>587</v>
      </c>
      <c r="C84" t="s">
        <v>247</v>
      </c>
      <c r="D84">
        <v>2107</v>
      </c>
      <c r="E84">
        <v>2108</v>
      </c>
      <c r="F84">
        <v>2105.5</v>
      </c>
      <c r="G84">
        <v>2107.5</v>
      </c>
      <c r="H84">
        <v>56100</v>
      </c>
    </row>
    <row r="85" spans="2:8">
      <c r="B85" t="s">
        <v>587</v>
      </c>
      <c r="C85" t="s">
        <v>248</v>
      </c>
      <c r="D85">
        <v>2108</v>
      </c>
      <c r="E85">
        <v>2108</v>
      </c>
      <c r="F85">
        <v>2106.5</v>
      </c>
      <c r="G85">
        <v>2107.5</v>
      </c>
      <c r="H85">
        <v>45000</v>
      </c>
    </row>
    <row r="86" spans="2:8">
      <c r="B86" t="s">
        <v>587</v>
      </c>
      <c r="C86" t="s">
        <v>249</v>
      </c>
      <c r="D86">
        <v>2107.5</v>
      </c>
      <c r="E86">
        <v>2107.5</v>
      </c>
      <c r="F86">
        <v>2105.5</v>
      </c>
      <c r="G86">
        <v>2105.5</v>
      </c>
      <c r="H86">
        <v>53000</v>
      </c>
    </row>
    <row r="87" spans="2:8">
      <c r="B87" t="s">
        <v>587</v>
      </c>
      <c r="C87" t="s">
        <v>250</v>
      </c>
      <c r="D87">
        <v>2105.5</v>
      </c>
      <c r="E87">
        <v>2105.5</v>
      </c>
      <c r="F87">
        <v>2104.5</v>
      </c>
      <c r="G87">
        <v>2105</v>
      </c>
      <c r="H87">
        <v>35600</v>
      </c>
    </row>
    <row r="88" spans="2:8">
      <c r="B88" t="s">
        <v>587</v>
      </c>
      <c r="C88" t="s">
        <v>251</v>
      </c>
      <c r="D88">
        <v>2105.5</v>
      </c>
      <c r="E88">
        <v>2105.5</v>
      </c>
      <c r="F88">
        <v>2105</v>
      </c>
      <c r="G88">
        <v>2105</v>
      </c>
      <c r="H88">
        <v>26000</v>
      </c>
    </row>
    <row r="89" spans="2:8">
      <c r="B89" t="s">
        <v>587</v>
      </c>
      <c r="C89" t="s">
        <v>252</v>
      </c>
      <c r="D89">
        <v>2105.5</v>
      </c>
      <c r="E89">
        <v>2106</v>
      </c>
      <c r="F89">
        <v>2105</v>
      </c>
      <c r="G89">
        <v>2105.5</v>
      </c>
      <c r="H89">
        <v>36800</v>
      </c>
    </row>
    <row r="90" spans="2:8">
      <c r="B90" t="s">
        <v>587</v>
      </c>
      <c r="C90" t="s">
        <v>253</v>
      </c>
      <c r="D90">
        <v>2106</v>
      </c>
      <c r="E90">
        <v>2107</v>
      </c>
      <c r="F90">
        <v>2105.5</v>
      </c>
      <c r="G90">
        <v>2107</v>
      </c>
      <c r="H90">
        <v>43800</v>
      </c>
    </row>
    <row r="91" spans="2:8">
      <c r="B91" t="s">
        <v>587</v>
      </c>
      <c r="C91" t="s">
        <v>254</v>
      </c>
      <c r="D91">
        <v>2107</v>
      </c>
      <c r="E91">
        <v>2107.5</v>
      </c>
      <c r="F91">
        <v>2106</v>
      </c>
      <c r="G91">
        <v>2106.5</v>
      </c>
      <c r="H91">
        <v>95700</v>
      </c>
    </row>
    <row r="92" spans="2:8">
      <c r="B92" t="s">
        <v>587</v>
      </c>
      <c r="C92" t="s">
        <v>255</v>
      </c>
      <c r="D92">
        <v>2106.5</v>
      </c>
      <c r="E92">
        <v>2107.5</v>
      </c>
      <c r="F92">
        <v>2105.5</v>
      </c>
      <c r="G92">
        <v>2107</v>
      </c>
      <c r="H92">
        <v>68900</v>
      </c>
    </row>
    <row r="93" spans="2:8">
      <c r="B93" t="s">
        <v>587</v>
      </c>
      <c r="C93" t="s">
        <v>256</v>
      </c>
      <c r="D93">
        <v>2106.5</v>
      </c>
      <c r="E93">
        <v>2107.5</v>
      </c>
      <c r="F93">
        <v>2106.5</v>
      </c>
      <c r="G93">
        <v>2107.5</v>
      </c>
      <c r="H93">
        <v>30300</v>
      </c>
    </row>
    <row r="94" spans="2:8">
      <c r="B94" t="s">
        <v>587</v>
      </c>
      <c r="C94" t="s">
        <v>257</v>
      </c>
      <c r="D94">
        <v>2107</v>
      </c>
      <c r="E94">
        <v>2108.5</v>
      </c>
      <c r="F94">
        <v>2107</v>
      </c>
      <c r="G94">
        <v>2108.5</v>
      </c>
      <c r="H94">
        <v>81400</v>
      </c>
    </row>
    <row r="95" spans="2:8">
      <c r="B95" t="s">
        <v>587</v>
      </c>
      <c r="C95" t="s">
        <v>258</v>
      </c>
      <c r="D95">
        <v>2108</v>
      </c>
      <c r="E95">
        <v>2108</v>
      </c>
      <c r="F95">
        <v>2106.5</v>
      </c>
      <c r="G95">
        <v>2106.5</v>
      </c>
      <c r="H95">
        <v>60300</v>
      </c>
    </row>
    <row r="96" spans="2:8">
      <c r="B96" t="s">
        <v>587</v>
      </c>
      <c r="C96" t="s">
        <v>259</v>
      </c>
      <c r="D96">
        <v>2106.5</v>
      </c>
      <c r="E96">
        <v>2107.5</v>
      </c>
      <c r="F96">
        <v>2106</v>
      </c>
      <c r="G96">
        <v>2107.5</v>
      </c>
      <c r="H96">
        <v>50300</v>
      </c>
    </row>
    <row r="97" spans="2:8">
      <c r="B97" t="s">
        <v>587</v>
      </c>
      <c r="C97" t="s">
        <v>260</v>
      </c>
      <c r="D97">
        <v>2107.5</v>
      </c>
      <c r="E97">
        <v>2108</v>
      </c>
      <c r="F97">
        <v>2106.5</v>
      </c>
      <c r="G97">
        <v>2107</v>
      </c>
      <c r="H97">
        <v>37500</v>
      </c>
    </row>
    <row r="98" spans="2:8">
      <c r="B98" t="s">
        <v>587</v>
      </c>
      <c r="C98" t="s">
        <v>261</v>
      </c>
      <c r="D98">
        <v>2107.5</v>
      </c>
      <c r="E98">
        <v>2107.5</v>
      </c>
      <c r="F98">
        <v>2106.5</v>
      </c>
      <c r="G98">
        <v>2106.5</v>
      </c>
      <c r="H98">
        <v>24400</v>
      </c>
    </row>
    <row r="99" spans="2:8">
      <c r="B99" t="s">
        <v>587</v>
      </c>
      <c r="C99" t="s">
        <v>262</v>
      </c>
      <c r="D99">
        <v>2106</v>
      </c>
      <c r="E99">
        <v>2109</v>
      </c>
      <c r="F99">
        <v>2105.5</v>
      </c>
      <c r="G99">
        <v>2108.5</v>
      </c>
      <c r="H99">
        <v>123400</v>
      </c>
    </row>
    <row r="100" spans="2:8">
      <c r="B100" t="s">
        <v>587</v>
      </c>
      <c r="C100" t="s">
        <v>263</v>
      </c>
      <c r="D100">
        <v>2108.5</v>
      </c>
      <c r="E100">
        <v>2109</v>
      </c>
      <c r="F100">
        <v>2107.5</v>
      </c>
      <c r="G100">
        <v>2107.5</v>
      </c>
      <c r="H100">
        <v>39800</v>
      </c>
    </row>
    <row r="101" spans="2:8">
      <c r="B101" t="s">
        <v>587</v>
      </c>
      <c r="C101" t="s">
        <v>264</v>
      </c>
      <c r="D101">
        <v>2107.5</v>
      </c>
      <c r="E101">
        <v>2108.5</v>
      </c>
      <c r="F101">
        <v>2107</v>
      </c>
      <c r="G101">
        <v>2108.5</v>
      </c>
      <c r="H101">
        <v>27300</v>
      </c>
    </row>
    <row r="102" spans="2:8">
      <c r="B102" t="s">
        <v>587</v>
      </c>
      <c r="C102" t="s">
        <v>265</v>
      </c>
      <c r="D102">
        <v>2108.5</v>
      </c>
      <c r="E102">
        <v>2110.5</v>
      </c>
      <c r="F102">
        <v>2108</v>
      </c>
      <c r="G102">
        <v>2110.5</v>
      </c>
      <c r="H102">
        <v>129200</v>
      </c>
    </row>
    <row r="103" spans="2:8">
      <c r="B103" t="s">
        <v>587</v>
      </c>
      <c r="C103" t="s">
        <v>266</v>
      </c>
      <c r="D103">
        <v>2110.5</v>
      </c>
      <c r="E103">
        <v>2112</v>
      </c>
      <c r="F103">
        <v>2110.5</v>
      </c>
      <c r="G103">
        <v>2110.5</v>
      </c>
      <c r="H103">
        <v>193700</v>
      </c>
    </row>
    <row r="104" spans="2:8">
      <c r="B104" t="s">
        <v>587</v>
      </c>
      <c r="C104" t="s">
        <v>267</v>
      </c>
      <c r="D104">
        <v>2110.5</v>
      </c>
      <c r="E104">
        <v>2111</v>
      </c>
      <c r="F104">
        <v>2110</v>
      </c>
      <c r="G104">
        <v>2111</v>
      </c>
      <c r="H104">
        <v>69400</v>
      </c>
    </row>
    <row r="105" spans="2:8">
      <c r="B105" t="s">
        <v>587</v>
      </c>
      <c r="C105" t="s">
        <v>268</v>
      </c>
      <c r="D105">
        <v>2111.5</v>
      </c>
      <c r="E105">
        <v>2112</v>
      </c>
      <c r="F105">
        <v>2111</v>
      </c>
      <c r="G105">
        <v>2112</v>
      </c>
      <c r="H105">
        <v>58300</v>
      </c>
    </row>
    <row r="106" spans="2:8">
      <c r="B106" t="s">
        <v>587</v>
      </c>
      <c r="C106" t="s">
        <v>269</v>
      </c>
      <c r="D106">
        <v>2111.5</v>
      </c>
      <c r="E106">
        <v>2111.5</v>
      </c>
      <c r="F106">
        <v>2110</v>
      </c>
      <c r="G106">
        <v>2111.5</v>
      </c>
      <c r="H106">
        <v>48700</v>
      </c>
    </row>
    <row r="107" spans="2:8">
      <c r="B107" t="s">
        <v>587</v>
      </c>
      <c r="C107" t="s">
        <v>270</v>
      </c>
      <c r="D107">
        <v>2111</v>
      </c>
      <c r="E107">
        <v>2111</v>
      </c>
      <c r="F107">
        <v>2110</v>
      </c>
      <c r="G107">
        <v>2111</v>
      </c>
      <c r="H107">
        <v>34400</v>
      </c>
    </row>
    <row r="108" spans="2:8">
      <c r="B108" t="s">
        <v>587</v>
      </c>
      <c r="C108" t="s">
        <v>271</v>
      </c>
      <c r="D108">
        <v>2110.5</v>
      </c>
      <c r="E108">
        <v>2110.5</v>
      </c>
      <c r="F108">
        <v>2109.5</v>
      </c>
      <c r="G108">
        <v>2110</v>
      </c>
      <c r="H108">
        <v>68200</v>
      </c>
    </row>
    <row r="109" spans="2:8">
      <c r="B109" t="s">
        <v>587</v>
      </c>
      <c r="C109" t="s">
        <v>272</v>
      </c>
      <c r="D109">
        <v>2110</v>
      </c>
      <c r="E109">
        <v>2110</v>
      </c>
      <c r="F109">
        <v>2109</v>
      </c>
      <c r="G109">
        <v>2110</v>
      </c>
      <c r="H109">
        <v>27900</v>
      </c>
    </row>
    <row r="110" spans="2:8">
      <c r="B110" t="s">
        <v>587</v>
      </c>
      <c r="C110" t="s">
        <v>273</v>
      </c>
      <c r="D110">
        <v>2110</v>
      </c>
      <c r="E110">
        <v>2110</v>
      </c>
      <c r="F110">
        <v>2108.5</v>
      </c>
      <c r="G110">
        <v>2108.5</v>
      </c>
      <c r="H110">
        <v>46600</v>
      </c>
    </row>
    <row r="111" spans="2:8">
      <c r="B111" t="s">
        <v>587</v>
      </c>
      <c r="C111" t="s">
        <v>274</v>
      </c>
      <c r="D111">
        <v>2108</v>
      </c>
      <c r="E111">
        <v>2108.5</v>
      </c>
      <c r="F111">
        <v>2107</v>
      </c>
      <c r="G111">
        <v>2107</v>
      </c>
      <c r="H111">
        <v>35500</v>
      </c>
    </row>
    <row r="112" spans="2:8">
      <c r="B112" t="s">
        <v>587</v>
      </c>
      <c r="C112" t="s">
        <v>275</v>
      </c>
      <c r="D112">
        <v>2107.5</v>
      </c>
      <c r="E112">
        <v>2109.5</v>
      </c>
      <c r="F112">
        <v>2107</v>
      </c>
      <c r="G112">
        <v>2108.5</v>
      </c>
      <c r="H112">
        <v>34600</v>
      </c>
    </row>
    <row r="113" spans="2:8">
      <c r="B113" t="s">
        <v>587</v>
      </c>
      <c r="C113" t="s">
        <v>276</v>
      </c>
      <c r="D113">
        <v>2108.5</v>
      </c>
      <c r="E113">
        <v>2109</v>
      </c>
      <c r="F113">
        <v>2108</v>
      </c>
      <c r="G113">
        <v>2108</v>
      </c>
      <c r="H113">
        <v>25600</v>
      </c>
    </row>
    <row r="114" spans="2:8">
      <c r="B114" t="s">
        <v>587</v>
      </c>
      <c r="C114" t="s">
        <v>277</v>
      </c>
      <c r="D114">
        <v>2108.5</v>
      </c>
      <c r="E114">
        <v>2109</v>
      </c>
      <c r="F114">
        <v>2108</v>
      </c>
      <c r="G114">
        <v>2108.5</v>
      </c>
      <c r="H114">
        <v>28900</v>
      </c>
    </row>
    <row r="115" spans="2:8">
      <c r="B115" t="s">
        <v>587</v>
      </c>
      <c r="C115" t="s">
        <v>278</v>
      </c>
      <c r="D115">
        <v>2108</v>
      </c>
      <c r="E115">
        <v>2108.5</v>
      </c>
      <c r="F115">
        <v>2107</v>
      </c>
      <c r="G115">
        <v>2108</v>
      </c>
      <c r="H115">
        <v>34500</v>
      </c>
    </row>
    <row r="116" spans="2:8">
      <c r="B116" t="s">
        <v>587</v>
      </c>
      <c r="C116" t="s">
        <v>279</v>
      </c>
      <c r="D116">
        <v>2108.5</v>
      </c>
      <c r="E116">
        <v>2109</v>
      </c>
      <c r="F116">
        <v>2108</v>
      </c>
      <c r="G116">
        <v>2108</v>
      </c>
      <c r="H116">
        <v>38800</v>
      </c>
    </row>
    <row r="117" spans="2:8">
      <c r="B117" t="s">
        <v>587</v>
      </c>
      <c r="C117" t="s">
        <v>280</v>
      </c>
      <c r="D117">
        <v>2108.5</v>
      </c>
      <c r="E117">
        <v>2108.5</v>
      </c>
      <c r="F117">
        <v>2108</v>
      </c>
      <c r="G117">
        <v>2108.5</v>
      </c>
      <c r="H117">
        <v>28600</v>
      </c>
    </row>
    <row r="118" spans="2:8">
      <c r="B118" t="s">
        <v>587</v>
      </c>
      <c r="C118" t="s">
        <v>281</v>
      </c>
      <c r="D118">
        <v>2108</v>
      </c>
      <c r="E118">
        <v>2108.5</v>
      </c>
      <c r="F118">
        <v>2107</v>
      </c>
      <c r="G118">
        <v>2107</v>
      </c>
      <c r="H118">
        <v>49000</v>
      </c>
    </row>
    <row r="119" spans="2:8">
      <c r="B119" t="s">
        <v>587</v>
      </c>
      <c r="C119" t="s">
        <v>282</v>
      </c>
      <c r="D119">
        <v>2106.5</v>
      </c>
      <c r="E119">
        <v>2111</v>
      </c>
      <c r="F119">
        <v>2106.5</v>
      </c>
      <c r="G119">
        <v>2110</v>
      </c>
      <c r="H119">
        <v>267600</v>
      </c>
    </row>
    <row r="120" spans="2:8">
      <c r="B120" t="s">
        <v>587</v>
      </c>
      <c r="C120" t="s">
        <v>283</v>
      </c>
      <c r="D120">
        <v>2109.5</v>
      </c>
      <c r="E120">
        <v>2113</v>
      </c>
      <c r="F120">
        <v>2108.5</v>
      </c>
      <c r="G120">
        <v>2111.5</v>
      </c>
      <c r="H120">
        <v>318100</v>
      </c>
    </row>
    <row r="121" spans="2:8">
      <c r="B121" t="s">
        <v>587</v>
      </c>
      <c r="C121" t="s">
        <v>284</v>
      </c>
      <c r="D121">
        <v>2111</v>
      </c>
      <c r="E121">
        <v>2111.5</v>
      </c>
      <c r="F121">
        <v>2110</v>
      </c>
      <c r="G121">
        <v>2111</v>
      </c>
      <c r="H121">
        <v>62900</v>
      </c>
    </row>
    <row r="122" spans="2:8">
      <c r="B122" t="s">
        <v>587</v>
      </c>
      <c r="C122" t="s">
        <v>285</v>
      </c>
      <c r="D122">
        <v>2111.5</v>
      </c>
      <c r="E122">
        <v>2115</v>
      </c>
      <c r="F122">
        <v>2110.5</v>
      </c>
      <c r="G122">
        <v>2113</v>
      </c>
      <c r="H122">
        <v>338200</v>
      </c>
    </row>
    <row r="123" spans="2:8">
      <c r="B123" t="s">
        <v>587</v>
      </c>
      <c r="C123" t="s">
        <v>286</v>
      </c>
      <c r="D123">
        <v>2113</v>
      </c>
      <c r="E123">
        <v>2115</v>
      </c>
      <c r="F123">
        <v>2111</v>
      </c>
      <c r="G123">
        <v>2113</v>
      </c>
      <c r="H123">
        <v>321700</v>
      </c>
    </row>
    <row r="124" spans="2:8">
      <c r="B124" t="s">
        <v>587</v>
      </c>
      <c r="C124" t="s">
        <v>287</v>
      </c>
      <c r="D124">
        <v>2113.5</v>
      </c>
      <c r="E124">
        <v>2114.5</v>
      </c>
      <c r="F124">
        <v>2113.5</v>
      </c>
      <c r="G124">
        <v>2114.5</v>
      </c>
      <c r="H124">
        <v>46600</v>
      </c>
    </row>
    <row r="125" spans="2:8">
      <c r="B125" t="s">
        <v>587</v>
      </c>
      <c r="C125" t="s">
        <v>288</v>
      </c>
      <c r="D125">
        <v>2114</v>
      </c>
      <c r="E125">
        <v>2117</v>
      </c>
      <c r="F125">
        <v>2113.5</v>
      </c>
      <c r="G125">
        <v>2116</v>
      </c>
      <c r="H125">
        <v>261600</v>
      </c>
    </row>
    <row r="126" spans="2:8">
      <c r="B126" t="s">
        <v>587</v>
      </c>
      <c r="C126" t="s">
        <v>289</v>
      </c>
      <c r="D126">
        <v>2116</v>
      </c>
      <c r="E126">
        <v>2117</v>
      </c>
      <c r="F126">
        <v>2115.5</v>
      </c>
      <c r="G126">
        <v>2116</v>
      </c>
      <c r="H126">
        <v>105600</v>
      </c>
    </row>
    <row r="127" spans="2:8">
      <c r="B127" t="s">
        <v>587</v>
      </c>
      <c r="C127" t="s">
        <v>290</v>
      </c>
      <c r="D127">
        <v>2116</v>
      </c>
      <c r="E127">
        <v>2116.5</v>
      </c>
      <c r="F127">
        <v>2114</v>
      </c>
      <c r="G127">
        <v>2116.5</v>
      </c>
      <c r="H127">
        <v>136700</v>
      </c>
    </row>
    <row r="128" spans="2:8">
      <c r="B128" t="s">
        <v>587</v>
      </c>
      <c r="C128" t="s">
        <v>291</v>
      </c>
      <c r="D128">
        <v>2115</v>
      </c>
      <c r="E128">
        <v>2117</v>
      </c>
      <c r="F128">
        <v>2115</v>
      </c>
      <c r="G128">
        <v>2116</v>
      </c>
      <c r="H128">
        <v>261300</v>
      </c>
    </row>
    <row r="129" spans="2:8">
      <c r="B129" t="s">
        <v>587</v>
      </c>
      <c r="C129" t="s">
        <v>292</v>
      </c>
      <c r="D129">
        <v>2116</v>
      </c>
      <c r="E129">
        <v>2117.5</v>
      </c>
      <c r="F129">
        <v>2115</v>
      </c>
      <c r="G129">
        <v>2117.5</v>
      </c>
      <c r="H129">
        <v>141100</v>
      </c>
    </row>
    <row r="130" spans="2:8">
      <c r="B130" t="s">
        <v>587</v>
      </c>
      <c r="C130" t="s">
        <v>293</v>
      </c>
      <c r="D130">
        <v>2117.5</v>
      </c>
      <c r="E130">
        <v>2118</v>
      </c>
      <c r="F130">
        <v>2117</v>
      </c>
      <c r="G130">
        <v>2117.5</v>
      </c>
      <c r="H130">
        <v>39100</v>
      </c>
    </row>
    <row r="131" spans="2:8">
      <c r="B131" t="s">
        <v>587</v>
      </c>
      <c r="C131" t="s">
        <v>294</v>
      </c>
      <c r="D131">
        <v>2117.5</v>
      </c>
      <c r="E131">
        <v>2118</v>
      </c>
      <c r="F131">
        <v>2117</v>
      </c>
      <c r="G131">
        <v>2117.5</v>
      </c>
      <c r="H131">
        <v>62500</v>
      </c>
    </row>
    <row r="132" spans="2:8">
      <c r="B132" t="s">
        <v>587</v>
      </c>
      <c r="C132" t="s">
        <v>295</v>
      </c>
      <c r="D132">
        <v>2117.5</v>
      </c>
      <c r="E132">
        <v>2118</v>
      </c>
      <c r="F132">
        <v>2115</v>
      </c>
      <c r="G132">
        <v>2116</v>
      </c>
      <c r="H132">
        <v>220700</v>
      </c>
    </row>
    <row r="133" spans="2:8">
      <c r="B133" t="s">
        <v>587</v>
      </c>
      <c r="C133" t="s">
        <v>296</v>
      </c>
      <c r="D133">
        <v>2115.5</v>
      </c>
      <c r="E133">
        <v>2116.5</v>
      </c>
      <c r="F133">
        <v>2113</v>
      </c>
      <c r="G133">
        <v>2114</v>
      </c>
      <c r="H133">
        <v>147100</v>
      </c>
    </row>
    <row r="134" spans="2:8">
      <c r="B134" t="s">
        <v>587</v>
      </c>
      <c r="C134" t="s">
        <v>297</v>
      </c>
      <c r="D134">
        <v>2113.5</v>
      </c>
      <c r="E134">
        <v>2114.5</v>
      </c>
      <c r="F134">
        <v>2112.5</v>
      </c>
      <c r="G134">
        <v>2113.5</v>
      </c>
      <c r="H134">
        <v>106300</v>
      </c>
    </row>
    <row r="135" spans="2:8">
      <c r="B135" t="s">
        <v>587</v>
      </c>
      <c r="C135" t="s">
        <v>298</v>
      </c>
      <c r="D135">
        <v>2114</v>
      </c>
      <c r="E135">
        <v>2117.5</v>
      </c>
      <c r="F135">
        <v>2114</v>
      </c>
      <c r="G135">
        <v>2117</v>
      </c>
      <c r="H135">
        <v>112400</v>
      </c>
    </row>
    <row r="136" spans="2:8">
      <c r="B136" t="s">
        <v>587</v>
      </c>
      <c r="C136" t="s">
        <v>299</v>
      </c>
      <c r="D136">
        <v>2116.5</v>
      </c>
      <c r="E136">
        <v>2117</v>
      </c>
      <c r="F136">
        <v>2115.5</v>
      </c>
      <c r="G136">
        <v>2116.5</v>
      </c>
      <c r="H136">
        <v>93100</v>
      </c>
    </row>
    <row r="137" spans="2:8">
      <c r="B137" t="s">
        <v>587</v>
      </c>
      <c r="C137" t="s">
        <v>300</v>
      </c>
      <c r="D137">
        <v>2116</v>
      </c>
      <c r="E137">
        <v>2117</v>
      </c>
      <c r="F137">
        <v>2116</v>
      </c>
      <c r="G137">
        <v>2116.5</v>
      </c>
      <c r="H137">
        <v>75200</v>
      </c>
    </row>
    <row r="138" spans="2:8">
      <c r="B138" t="s">
        <v>587</v>
      </c>
      <c r="C138" t="s">
        <v>301</v>
      </c>
      <c r="D138">
        <v>2117</v>
      </c>
      <c r="E138">
        <v>2117.5</v>
      </c>
      <c r="F138">
        <v>2115.5</v>
      </c>
      <c r="G138">
        <v>2116</v>
      </c>
      <c r="H138">
        <v>65300</v>
      </c>
    </row>
    <row r="139" spans="2:8">
      <c r="B139" t="s">
        <v>587</v>
      </c>
      <c r="C139" t="s">
        <v>302</v>
      </c>
      <c r="D139">
        <v>2116</v>
      </c>
      <c r="E139">
        <v>2117</v>
      </c>
      <c r="F139">
        <v>2116</v>
      </c>
      <c r="G139">
        <v>2117</v>
      </c>
      <c r="H139">
        <v>167500</v>
      </c>
    </row>
    <row r="140" spans="2:8">
      <c r="B140" t="s">
        <v>587</v>
      </c>
      <c r="C140" t="s">
        <v>303</v>
      </c>
      <c r="D140">
        <v>2116.5</v>
      </c>
      <c r="E140">
        <v>2116.5</v>
      </c>
      <c r="F140">
        <v>2115</v>
      </c>
      <c r="G140">
        <v>2115.5</v>
      </c>
      <c r="H140">
        <v>63600</v>
      </c>
    </row>
    <row r="141" spans="2:8">
      <c r="B141" t="s">
        <v>587</v>
      </c>
      <c r="C141" t="s">
        <v>304</v>
      </c>
      <c r="D141">
        <v>2115.5</v>
      </c>
      <c r="E141">
        <v>2118</v>
      </c>
      <c r="F141">
        <v>2115.5</v>
      </c>
      <c r="G141">
        <v>2117.5</v>
      </c>
      <c r="H141">
        <v>160700</v>
      </c>
    </row>
    <row r="142" spans="2:8">
      <c r="B142" t="s">
        <v>587</v>
      </c>
      <c r="C142" t="s">
        <v>305</v>
      </c>
      <c r="D142">
        <v>2117.5</v>
      </c>
      <c r="E142">
        <v>2118.5</v>
      </c>
      <c r="F142">
        <v>2117.5</v>
      </c>
      <c r="G142">
        <v>2118</v>
      </c>
      <c r="H142">
        <v>88100</v>
      </c>
    </row>
    <row r="143" spans="2:8">
      <c r="B143" t="s">
        <v>587</v>
      </c>
      <c r="C143" t="s">
        <v>306</v>
      </c>
      <c r="D143">
        <v>2118.5</v>
      </c>
      <c r="E143">
        <v>2118.5</v>
      </c>
      <c r="F143">
        <v>2118</v>
      </c>
      <c r="G143">
        <v>2118.5</v>
      </c>
      <c r="H143">
        <v>14100</v>
      </c>
    </row>
    <row r="144" spans="2:8">
      <c r="B144" t="s">
        <v>587</v>
      </c>
      <c r="C144" t="s">
        <v>307</v>
      </c>
      <c r="D144">
        <v>2118</v>
      </c>
      <c r="E144">
        <v>2119.5</v>
      </c>
      <c r="F144">
        <v>2117.5</v>
      </c>
      <c r="G144">
        <v>2118.5</v>
      </c>
      <c r="H144">
        <v>158100</v>
      </c>
    </row>
    <row r="145" spans="2:8">
      <c r="B145" t="s">
        <v>587</v>
      </c>
      <c r="C145" t="s">
        <v>308</v>
      </c>
      <c r="D145">
        <v>2118.5</v>
      </c>
      <c r="E145">
        <v>2118.5</v>
      </c>
      <c r="F145">
        <v>2117.5</v>
      </c>
      <c r="G145">
        <v>2118</v>
      </c>
      <c r="H145">
        <v>81100</v>
      </c>
    </row>
    <row r="146" spans="2:8">
      <c r="B146" t="s">
        <v>587</v>
      </c>
      <c r="C146" t="s">
        <v>309</v>
      </c>
      <c r="D146">
        <v>2118</v>
      </c>
      <c r="E146">
        <v>2119.5</v>
      </c>
      <c r="F146">
        <v>2117.5</v>
      </c>
      <c r="G146">
        <v>2119.5</v>
      </c>
      <c r="H146">
        <v>87000</v>
      </c>
    </row>
    <row r="147" spans="2:8">
      <c r="B147" t="s">
        <v>587</v>
      </c>
      <c r="C147" t="s">
        <v>310</v>
      </c>
      <c r="D147">
        <v>2119</v>
      </c>
      <c r="E147">
        <v>2119</v>
      </c>
      <c r="F147">
        <v>2118.5</v>
      </c>
      <c r="G147">
        <v>2118.5</v>
      </c>
      <c r="H147">
        <v>31400</v>
      </c>
    </row>
    <row r="148" spans="2:8">
      <c r="B148" t="s">
        <v>587</v>
      </c>
      <c r="C148" t="s">
        <v>311</v>
      </c>
      <c r="D148">
        <v>2119</v>
      </c>
      <c r="E148">
        <v>2119</v>
      </c>
      <c r="F148">
        <v>2115</v>
      </c>
      <c r="G148">
        <v>2116</v>
      </c>
      <c r="H148">
        <v>95800</v>
      </c>
    </row>
    <row r="149" spans="2:8">
      <c r="B149" t="s">
        <v>587</v>
      </c>
      <c r="C149" t="s">
        <v>312</v>
      </c>
      <c r="D149">
        <v>2115.5</v>
      </c>
      <c r="E149">
        <v>2117.5</v>
      </c>
      <c r="F149">
        <v>2114</v>
      </c>
      <c r="G149">
        <v>2117</v>
      </c>
      <c r="H149">
        <v>204400</v>
      </c>
    </row>
    <row r="150" spans="2:8">
      <c r="B150" t="s">
        <v>587</v>
      </c>
      <c r="C150" t="s">
        <v>313</v>
      </c>
      <c r="D150">
        <v>2117</v>
      </c>
      <c r="E150">
        <v>2118</v>
      </c>
      <c r="F150">
        <v>2116.5</v>
      </c>
      <c r="G150">
        <v>2117.5</v>
      </c>
      <c r="H150">
        <v>28000</v>
      </c>
    </row>
    <row r="151" spans="2:8">
      <c r="B151" t="s">
        <v>587</v>
      </c>
      <c r="C151" t="s">
        <v>314</v>
      </c>
      <c r="D151">
        <v>2117</v>
      </c>
      <c r="E151">
        <v>2117.5</v>
      </c>
      <c r="F151">
        <v>2116</v>
      </c>
      <c r="G151">
        <v>2116.5</v>
      </c>
      <c r="H151">
        <v>63700</v>
      </c>
    </row>
    <row r="152" spans="2:8">
      <c r="B152" t="s">
        <v>587</v>
      </c>
      <c r="C152" t="s">
        <v>315</v>
      </c>
      <c r="D152">
        <v>2116.5</v>
      </c>
      <c r="E152">
        <v>2117</v>
      </c>
      <c r="F152">
        <v>2116</v>
      </c>
      <c r="G152">
        <v>2116</v>
      </c>
      <c r="H152">
        <v>90900</v>
      </c>
    </row>
    <row r="153" spans="2:8">
      <c r="B153" t="s">
        <v>587</v>
      </c>
      <c r="C153" t="s">
        <v>316</v>
      </c>
      <c r="D153">
        <v>2116.5</v>
      </c>
      <c r="E153">
        <v>2116.5</v>
      </c>
      <c r="F153">
        <v>2116.5</v>
      </c>
      <c r="G153">
        <v>2116.5</v>
      </c>
      <c r="H153">
        <v>14500</v>
      </c>
    </row>
    <row r="154" spans="2:8">
      <c r="B154" t="s">
        <v>587</v>
      </c>
      <c r="C154" t="s">
        <v>317</v>
      </c>
      <c r="D154">
        <v>2119</v>
      </c>
      <c r="E154">
        <v>2121.5</v>
      </c>
      <c r="F154">
        <v>2118</v>
      </c>
      <c r="G154">
        <v>2119</v>
      </c>
      <c r="H154">
        <v>990000</v>
      </c>
    </row>
    <row r="155" spans="2:8">
      <c r="B155" t="s">
        <v>587</v>
      </c>
      <c r="C155" t="s">
        <v>318</v>
      </c>
      <c r="D155">
        <v>2119</v>
      </c>
      <c r="E155">
        <v>2120.5</v>
      </c>
      <c r="F155">
        <v>2119</v>
      </c>
      <c r="G155">
        <v>2120</v>
      </c>
      <c r="H155">
        <v>83900</v>
      </c>
    </row>
    <row r="156" spans="2:8">
      <c r="B156" t="s">
        <v>587</v>
      </c>
      <c r="C156" t="s">
        <v>319</v>
      </c>
      <c r="D156">
        <v>2120</v>
      </c>
      <c r="E156">
        <v>2120</v>
      </c>
      <c r="F156">
        <v>2117</v>
      </c>
      <c r="G156">
        <v>2118</v>
      </c>
      <c r="H156">
        <v>193900</v>
      </c>
    </row>
    <row r="157" spans="2:8">
      <c r="B157" t="s">
        <v>587</v>
      </c>
      <c r="C157" t="s">
        <v>320</v>
      </c>
      <c r="D157">
        <v>2118.5</v>
      </c>
      <c r="E157">
        <v>2121.5</v>
      </c>
      <c r="F157">
        <v>2117</v>
      </c>
      <c r="G157">
        <v>2121.5</v>
      </c>
      <c r="H157">
        <v>220600</v>
      </c>
    </row>
    <row r="158" spans="2:8">
      <c r="B158" t="s">
        <v>587</v>
      </c>
      <c r="C158" t="s">
        <v>321</v>
      </c>
      <c r="D158">
        <v>2121.5</v>
      </c>
      <c r="E158">
        <v>2121.5</v>
      </c>
      <c r="F158">
        <v>2120</v>
      </c>
      <c r="G158">
        <v>2120</v>
      </c>
      <c r="H158">
        <v>60500</v>
      </c>
    </row>
    <row r="159" spans="2:8">
      <c r="B159" t="s">
        <v>587</v>
      </c>
      <c r="C159" t="s">
        <v>322</v>
      </c>
      <c r="D159">
        <v>2120</v>
      </c>
      <c r="E159">
        <v>2120</v>
      </c>
      <c r="F159">
        <v>2118</v>
      </c>
      <c r="G159">
        <v>2118.5</v>
      </c>
      <c r="H159">
        <v>111700</v>
      </c>
    </row>
    <row r="160" spans="2:8">
      <c r="B160" t="s">
        <v>587</v>
      </c>
      <c r="C160" t="s">
        <v>323</v>
      </c>
      <c r="D160">
        <v>2118.5</v>
      </c>
      <c r="E160">
        <v>2120</v>
      </c>
      <c r="F160">
        <v>2118</v>
      </c>
      <c r="G160">
        <v>2120</v>
      </c>
      <c r="H160">
        <v>164200</v>
      </c>
    </row>
    <row r="161" spans="2:8">
      <c r="B161" t="s">
        <v>587</v>
      </c>
      <c r="C161" t="s">
        <v>324</v>
      </c>
      <c r="D161">
        <v>2120.5</v>
      </c>
      <c r="E161">
        <v>2121</v>
      </c>
      <c r="F161">
        <v>2119.5</v>
      </c>
      <c r="G161">
        <v>2121</v>
      </c>
      <c r="H161">
        <v>83200</v>
      </c>
    </row>
    <row r="162" spans="2:8">
      <c r="B162" t="s">
        <v>587</v>
      </c>
      <c r="C162" t="s">
        <v>325</v>
      </c>
      <c r="D162">
        <v>2120.5</v>
      </c>
      <c r="E162">
        <v>2121.5</v>
      </c>
      <c r="F162">
        <v>2120.5</v>
      </c>
      <c r="G162">
        <v>2120.5</v>
      </c>
      <c r="H162">
        <v>90300</v>
      </c>
    </row>
    <row r="163" spans="2:8">
      <c r="B163" t="s">
        <v>587</v>
      </c>
      <c r="C163" t="s">
        <v>326</v>
      </c>
      <c r="D163">
        <v>2120.5</v>
      </c>
      <c r="E163">
        <v>2121.5</v>
      </c>
      <c r="F163">
        <v>2120</v>
      </c>
      <c r="G163">
        <v>2121.5</v>
      </c>
      <c r="H163">
        <v>148500</v>
      </c>
    </row>
    <row r="164" spans="2:8">
      <c r="B164" t="s">
        <v>587</v>
      </c>
      <c r="C164" t="s">
        <v>327</v>
      </c>
      <c r="D164">
        <v>2122</v>
      </c>
      <c r="E164">
        <v>2122</v>
      </c>
      <c r="F164">
        <v>2121</v>
      </c>
      <c r="G164">
        <v>2121</v>
      </c>
      <c r="H164">
        <v>28800</v>
      </c>
    </row>
    <row r="165" spans="2:8">
      <c r="B165" t="s">
        <v>587</v>
      </c>
      <c r="C165" t="s">
        <v>328</v>
      </c>
      <c r="D165">
        <v>2121</v>
      </c>
      <c r="E165">
        <v>2121.5</v>
      </c>
      <c r="F165">
        <v>2120.5</v>
      </c>
      <c r="G165">
        <v>2120.5</v>
      </c>
      <c r="H165">
        <v>45400</v>
      </c>
    </row>
    <row r="166" spans="2:8">
      <c r="B166" t="s">
        <v>587</v>
      </c>
      <c r="C166" t="s">
        <v>329</v>
      </c>
      <c r="D166">
        <v>2121</v>
      </c>
      <c r="E166">
        <v>2122.5</v>
      </c>
      <c r="F166">
        <v>2120.5</v>
      </c>
      <c r="G166">
        <v>2122</v>
      </c>
      <c r="H166">
        <v>107900</v>
      </c>
    </row>
    <row r="167" spans="2:8">
      <c r="B167" t="s">
        <v>587</v>
      </c>
      <c r="C167" t="s">
        <v>330</v>
      </c>
      <c r="D167">
        <v>2122.5</v>
      </c>
      <c r="E167">
        <v>2125</v>
      </c>
      <c r="F167">
        <v>2122</v>
      </c>
      <c r="G167">
        <v>2124.5</v>
      </c>
      <c r="H167">
        <v>235700</v>
      </c>
    </row>
    <row r="168" spans="2:8">
      <c r="B168" t="s">
        <v>587</v>
      </c>
      <c r="C168" t="s">
        <v>331</v>
      </c>
      <c r="D168">
        <v>2124.5</v>
      </c>
      <c r="E168">
        <v>2126</v>
      </c>
      <c r="F168">
        <v>2124.5</v>
      </c>
      <c r="G168">
        <v>2125.5</v>
      </c>
      <c r="H168">
        <v>183800</v>
      </c>
    </row>
    <row r="169" spans="2:8">
      <c r="B169" t="s">
        <v>587</v>
      </c>
      <c r="C169" t="s">
        <v>332</v>
      </c>
      <c r="D169">
        <v>2125.5</v>
      </c>
      <c r="E169">
        <v>2126.5</v>
      </c>
      <c r="F169">
        <v>2125</v>
      </c>
      <c r="G169">
        <v>2126</v>
      </c>
      <c r="H169">
        <v>142000</v>
      </c>
    </row>
    <row r="170" spans="2:8">
      <c r="B170" t="s">
        <v>587</v>
      </c>
      <c r="C170" t="s">
        <v>333</v>
      </c>
      <c r="D170">
        <v>2125.5</v>
      </c>
      <c r="E170">
        <v>2126</v>
      </c>
      <c r="F170">
        <v>2125</v>
      </c>
      <c r="G170">
        <v>2125.5</v>
      </c>
      <c r="H170">
        <v>58000</v>
      </c>
    </row>
    <row r="171" spans="2:8">
      <c r="B171" t="s">
        <v>587</v>
      </c>
      <c r="C171" t="s">
        <v>334</v>
      </c>
      <c r="D171">
        <v>2125.5</v>
      </c>
      <c r="E171">
        <v>2127.5</v>
      </c>
      <c r="F171">
        <v>2125</v>
      </c>
      <c r="G171">
        <v>2127.5</v>
      </c>
      <c r="H171">
        <v>123900</v>
      </c>
    </row>
    <row r="172" spans="2:8">
      <c r="B172" t="s">
        <v>587</v>
      </c>
      <c r="C172" t="s">
        <v>335</v>
      </c>
      <c r="D172">
        <v>2127.5</v>
      </c>
      <c r="E172">
        <v>2127.5</v>
      </c>
      <c r="F172">
        <v>2126</v>
      </c>
      <c r="G172">
        <v>2127</v>
      </c>
      <c r="H172">
        <v>177700</v>
      </c>
    </row>
    <row r="173" spans="2:8">
      <c r="B173" t="s">
        <v>587</v>
      </c>
      <c r="C173" t="s">
        <v>336</v>
      </c>
      <c r="D173">
        <v>2127</v>
      </c>
      <c r="E173">
        <v>2127.5</v>
      </c>
      <c r="F173">
        <v>2126.5</v>
      </c>
      <c r="G173">
        <v>2127.5</v>
      </c>
      <c r="H173">
        <v>88600</v>
      </c>
    </row>
    <row r="174" spans="2:8">
      <c r="B174" t="s">
        <v>587</v>
      </c>
      <c r="C174" t="s">
        <v>337</v>
      </c>
      <c r="D174">
        <v>2127.5</v>
      </c>
      <c r="E174">
        <v>2130</v>
      </c>
      <c r="F174">
        <v>2127</v>
      </c>
      <c r="G174">
        <v>2129</v>
      </c>
      <c r="H174">
        <v>455000</v>
      </c>
    </row>
    <row r="175" spans="2:8">
      <c r="B175" t="s">
        <v>587</v>
      </c>
      <c r="C175" t="s">
        <v>338</v>
      </c>
      <c r="D175">
        <v>2128.5</v>
      </c>
      <c r="E175">
        <v>2129</v>
      </c>
      <c r="F175">
        <v>2127.5</v>
      </c>
      <c r="G175">
        <v>2128</v>
      </c>
      <c r="H175">
        <v>107900</v>
      </c>
    </row>
    <row r="176" spans="2:8">
      <c r="B176" t="s">
        <v>587</v>
      </c>
      <c r="C176" t="s">
        <v>339</v>
      </c>
      <c r="D176">
        <v>2128</v>
      </c>
      <c r="E176">
        <v>2129</v>
      </c>
      <c r="F176">
        <v>2128</v>
      </c>
      <c r="G176">
        <v>2128.5</v>
      </c>
      <c r="H176">
        <v>46000</v>
      </c>
    </row>
    <row r="177" spans="2:8">
      <c r="B177" t="s">
        <v>587</v>
      </c>
      <c r="C177" t="s">
        <v>340</v>
      </c>
      <c r="D177">
        <v>2128.5</v>
      </c>
      <c r="E177">
        <v>2130</v>
      </c>
      <c r="F177">
        <v>2127</v>
      </c>
      <c r="G177">
        <v>2129.5</v>
      </c>
      <c r="H177">
        <v>297500</v>
      </c>
    </row>
    <row r="178" spans="2:8">
      <c r="B178" t="s">
        <v>587</v>
      </c>
      <c r="C178" t="s">
        <v>341</v>
      </c>
      <c r="D178">
        <v>2129</v>
      </c>
      <c r="E178">
        <v>2130</v>
      </c>
      <c r="F178">
        <v>2128.5</v>
      </c>
      <c r="G178">
        <v>2129.5</v>
      </c>
      <c r="H178">
        <v>212500</v>
      </c>
    </row>
    <row r="179" spans="2:8">
      <c r="B179" t="s">
        <v>587</v>
      </c>
      <c r="C179" t="s">
        <v>342</v>
      </c>
      <c r="D179">
        <v>2129.5</v>
      </c>
      <c r="E179">
        <v>2132</v>
      </c>
      <c r="F179">
        <v>2129.5</v>
      </c>
      <c r="G179">
        <v>2131.5</v>
      </c>
      <c r="H179">
        <v>240400</v>
      </c>
    </row>
    <row r="180" spans="2:8">
      <c r="B180" t="s">
        <v>587</v>
      </c>
      <c r="C180" t="s">
        <v>343</v>
      </c>
      <c r="D180">
        <v>2131.5</v>
      </c>
      <c r="E180">
        <v>2131.5</v>
      </c>
      <c r="F180">
        <v>2129</v>
      </c>
      <c r="G180">
        <v>2130</v>
      </c>
      <c r="H180">
        <v>230300</v>
      </c>
    </row>
    <row r="181" spans="2:8">
      <c r="B181" t="s">
        <v>587</v>
      </c>
      <c r="C181" t="s">
        <v>344</v>
      </c>
      <c r="D181">
        <v>2129.5</v>
      </c>
      <c r="E181">
        <v>2131.5</v>
      </c>
      <c r="F181">
        <v>2129</v>
      </c>
      <c r="G181">
        <v>2131.5</v>
      </c>
      <c r="H181">
        <v>166900</v>
      </c>
    </row>
    <row r="182" spans="2:8">
      <c r="B182" t="s">
        <v>587</v>
      </c>
      <c r="C182" t="s">
        <v>345</v>
      </c>
      <c r="D182">
        <v>2131.5</v>
      </c>
      <c r="E182">
        <v>2132</v>
      </c>
      <c r="F182">
        <v>2131</v>
      </c>
      <c r="G182">
        <v>2132</v>
      </c>
      <c r="H182">
        <v>95700</v>
      </c>
    </row>
    <row r="183" spans="2:8">
      <c r="B183" t="s">
        <v>587</v>
      </c>
      <c r="C183" t="s">
        <v>346</v>
      </c>
      <c r="D183">
        <v>2131.5</v>
      </c>
      <c r="E183">
        <v>2132</v>
      </c>
      <c r="F183">
        <v>2131</v>
      </c>
      <c r="G183">
        <v>2132</v>
      </c>
      <c r="H183">
        <v>49100</v>
      </c>
    </row>
    <row r="184" spans="2:8">
      <c r="B184" t="s">
        <v>587</v>
      </c>
      <c r="C184" t="s">
        <v>347</v>
      </c>
      <c r="D184">
        <v>2131.5</v>
      </c>
      <c r="E184">
        <v>2132</v>
      </c>
      <c r="F184">
        <v>2129</v>
      </c>
      <c r="G184">
        <v>2130</v>
      </c>
      <c r="H184">
        <v>133000</v>
      </c>
    </row>
    <row r="185" spans="2:8">
      <c r="B185" t="s">
        <v>587</v>
      </c>
      <c r="C185" t="s">
        <v>348</v>
      </c>
      <c r="D185">
        <v>2129.5</v>
      </c>
      <c r="E185">
        <v>2131</v>
      </c>
      <c r="F185">
        <v>2129</v>
      </c>
      <c r="G185">
        <v>2131</v>
      </c>
      <c r="H185">
        <v>169100</v>
      </c>
    </row>
    <row r="186" spans="2:8">
      <c r="B186" t="s">
        <v>587</v>
      </c>
      <c r="C186" t="s">
        <v>349</v>
      </c>
      <c r="D186">
        <v>2130.5</v>
      </c>
      <c r="E186">
        <v>2132.5</v>
      </c>
      <c r="F186">
        <v>2130</v>
      </c>
      <c r="G186">
        <v>2132.5</v>
      </c>
      <c r="H186">
        <v>177300</v>
      </c>
    </row>
    <row r="187" spans="2:8">
      <c r="B187" t="s">
        <v>587</v>
      </c>
      <c r="C187" t="s">
        <v>350</v>
      </c>
      <c r="D187">
        <v>2132.5</v>
      </c>
      <c r="E187">
        <v>2133</v>
      </c>
      <c r="F187">
        <v>2131</v>
      </c>
      <c r="G187">
        <v>2131.5</v>
      </c>
      <c r="H187">
        <v>92600</v>
      </c>
    </row>
    <row r="188" spans="2:8">
      <c r="B188" t="s">
        <v>587</v>
      </c>
      <c r="C188" t="s">
        <v>351</v>
      </c>
      <c r="D188">
        <v>2131</v>
      </c>
      <c r="E188">
        <v>2132.5</v>
      </c>
      <c r="F188">
        <v>2129.5</v>
      </c>
      <c r="G188">
        <v>2132</v>
      </c>
      <c r="H188">
        <v>145600</v>
      </c>
    </row>
    <row r="189" spans="2:8">
      <c r="B189" t="s">
        <v>587</v>
      </c>
      <c r="C189" t="s">
        <v>352</v>
      </c>
      <c r="D189">
        <v>2132</v>
      </c>
      <c r="E189">
        <v>2134</v>
      </c>
      <c r="F189">
        <v>2131.5</v>
      </c>
      <c r="G189">
        <v>2134</v>
      </c>
      <c r="H189">
        <v>304900</v>
      </c>
    </row>
    <row r="190" spans="2:8">
      <c r="B190" t="s">
        <v>587</v>
      </c>
      <c r="C190" t="s">
        <v>353</v>
      </c>
      <c r="D190">
        <v>2133.5</v>
      </c>
      <c r="E190">
        <v>2134.5</v>
      </c>
      <c r="F190">
        <v>2133</v>
      </c>
      <c r="G190">
        <v>2134.5</v>
      </c>
      <c r="H190">
        <v>66600</v>
      </c>
    </row>
    <row r="191" spans="2:8">
      <c r="B191" t="s">
        <v>587</v>
      </c>
      <c r="C191" t="s">
        <v>354</v>
      </c>
      <c r="D191">
        <v>2134</v>
      </c>
      <c r="E191">
        <v>2134</v>
      </c>
      <c r="F191">
        <v>2133</v>
      </c>
      <c r="G191">
        <v>2134</v>
      </c>
      <c r="H191">
        <v>162100</v>
      </c>
    </row>
    <row r="192" spans="2:8">
      <c r="B192" t="s">
        <v>587</v>
      </c>
      <c r="C192" t="s">
        <v>355</v>
      </c>
      <c r="D192">
        <v>2134</v>
      </c>
      <c r="E192">
        <v>2134.5</v>
      </c>
      <c r="F192">
        <v>2134</v>
      </c>
      <c r="G192">
        <v>2134</v>
      </c>
      <c r="H192">
        <v>81900</v>
      </c>
    </row>
    <row r="193" spans="2:8">
      <c r="B193" t="s">
        <v>587</v>
      </c>
      <c r="C193" t="s">
        <v>356</v>
      </c>
      <c r="D193">
        <v>2134</v>
      </c>
      <c r="E193">
        <v>2134.5</v>
      </c>
      <c r="F193">
        <v>2133</v>
      </c>
      <c r="G193">
        <v>2134</v>
      </c>
      <c r="H193">
        <v>126200</v>
      </c>
    </row>
    <row r="194" spans="2:8">
      <c r="B194" t="s">
        <v>587</v>
      </c>
      <c r="C194" t="s">
        <v>357</v>
      </c>
      <c r="D194">
        <v>2134.5</v>
      </c>
      <c r="E194">
        <v>2135.5</v>
      </c>
      <c r="F194">
        <v>2133</v>
      </c>
      <c r="G194">
        <v>2135</v>
      </c>
      <c r="H194">
        <v>482100</v>
      </c>
    </row>
    <row r="195" spans="2:8">
      <c r="B195" t="s">
        <v>587</v>
      </c>
      <c r="C195" t="s">
        <v>358</v>
      </c>
      <c r="D195">
        <v>2135</v>
      </c>
      <c r="E195">
        <v>2136.5</v>
      </c>
      <c r="F195">
        <v>2134.5</v>
      </c>
      <c r="G195">
        <v>2136</v>
      </c>
      <c r="H195">
        <v>92900</v>
      </c>
    </row>
    <row r="196" spans="2:8">
      <c r="B196" t="s">
        <v>587</v>
      </c>
      <c r="C196" t="s">
        <v>359</v>
      </c>
      <c r="D196">
        <v>2136</v>
      </c>
      <c r="E196">
        <v>2136</v>
      </c>
      <c r="F196">
        <v>2135.5</v>
      </c>
      <c r="G196">
        <v>2135.5</v>
      </c>
      <c r="H196">
        <v>48000</v>
      </c>
    </row>
    <row r="197" spans="2:8">
      <c r="B197" t="s">
        <v>587</v>
      </c>
      <c r="C197" t="s">
        <v>360</v>
      </c>
      <c r="D197">
        <v>2136</v>
      </c>
      <c r="E197">
        <v>2136.5</v>
      </c>
      <c r="F197">
        <v>2135</v>
      </c>
      <c r="G197">
        <v>2135</v>
      </c>
      <c r="H197">
        <v>94300</v>
      </c>
    </row>
    <row r="198" spans="2:8">
      <c r="B198" t="s">
        <v>587</v>
      </c>
      <c r="C198" t="s">
        <v>361</v>
      </c>
      <c r="D198">
        <v>2135</v>
      </c>
      <c r="E198">
        <v>2135</v>
      </c>
      <c r="F198">
        <v>2133</v>
      </c>
      <c r="G198">
        <v>2133</v>
      </c>
      <c r="H198">
        <v>170400</v>
      </c>
    </row>
    <row r="199" spans="2:8">
      <c r="B199" t="s">
        <v>587</v>
      </c>
      <c r="C199" t="s">
        <v>362</v>
      </c>
      <c r="D199">
        <v>2133.5</v>
      </c>
      <c r="E199">
        <v>2136.5</v>
      </c>
      <c r="F199">
        <v>2131.5</v>
      </c>
      <c r="G199">
        <v>2136</v>
      </c>
      <c r="H199">
        <v>249900</v>
      </c>
    </row>
    <row r="200" spans="2:8">
      <c r="B200" t="s">
        <v>587</v>
      </c>
      <c r="C200" t="s">
        <v>363</v>
      </c>
      <c r="D200">
        <v>2136</v>
      </c>
      <c r="E200">
        <v>2136.5</v>
      </c>
      <c r="F200">
        <v>2135.5</v>
      </c>
      <c r="G200">
        <v>2135.5</v>
      </c>
      <c r="H200">
        <v>74800</v>
      </c>
    </row>
    <row r="201" spans="2:8">
      <c r="B201" t="s">
        <v>587</v>
      </c>
      <c r="C201" t="s">
        <v>364</v>
      </c>
      <c r="D201">
        <v>2136</v>
      </c>
      <c r="E201">
        <v>2136</v>
      </c>
      <c r="F201">
        <v>2135</v>
      </c>
      <c r="G201">
        <v>2135</v>
      </c>
      <c r="H201">
        <v>48700</v>
      </c>
    </row>
    <row r="202" spans="2:8">
      <c r="B202" t="s">
        <v>587</v>
      </c>
      <c r="C202" t="s">
        <v>365</v>
      </c>
      <c r="D202">
        <v>2135</v>
      </c>
      <c r="E202">
        <v>2135.5</v>
      </c>
      <c r="F202">
        <v>2135</v>
      </c>
      <c r="G202">
        <v>2135</v>
      </c>
      <c r="H202">
        <v>27000</v>
      </c>
    </row>
    <row r="203" spans="2:8">
      <c r="B203" t="s">
        <v>587</v>
      </c>
      <c r="C203" t="s">
        <v>366</v>
      </c>
      <c r="D203">
        <v>2135.5</v>
      </c>
      <c r="E203">
        <v>2136</v>
      </c>
      <c r="F203">
        <v>2134.5</v>
      </c>
      <c r="G203">
        <v>2135.5</v>
      </c>
      <c r="H203">
        <v>157000</v>
      </c>
    </row>
    <row r="204" spans="2:8">
      <c r="B204" t="s">
        <v>587</v>
      </c>
      <c r="C204" t="s">
        <v>367</v>
      </c>
      <c r="D204">
        <v>2135</v>
      </c>
      <c r="E204">
        <v>2135.5</v>
      </c>
      <c r="F204">
        <v>2132</v>
      </c>
      <c r="G204">
        <v>2132.5</v>
      </c>
      <c r="H204">
        <v>81000</v>
      </c>
    </row>
    <row r="205" spans="2:8">
      <c r="B205" t="s">
        <v>587</v>
      </c>
      <c r="C205" t="s">
        <v>368</v>
      </c>
      <c r="D205">
        <v>2132.5</v>
      </c>
      <c r="E205">
        <v>2135</v>
      </c>
      <c r="F205">
        <v>2132.5</v>
      </c>
      <c r="G205">
        <v>2134.5</v>
      </c>
      <c r="H205">
        <v>150200</v>
      </c>
    </row>
    <row r="206" spans="2:8">
      <c r="B206" t="s">
        <v>587</v>
      </c>
      <c r="C206" t="s">
        <v>369</v>
      </c>
      <c r="D206">
        <v>2135</v>
      </c>
      <c r="E206">
        <v>2135.5</v>
      </c>
      <c r="F206">
        <v>2135</v>
      </c>
      <c r="G206">
        <v>2135.5</v>
      </c>
      <c r="H206">
        <v>33600</v>
      </c>
    </row>
    <row r="207" spans="2:8">
      <c r="B207" t="s">
        <v>587</v>
      </c>
      <c r="C207" t="s">
        <v>370</v>
      </c>
      <c r="D207">
        <v>2135.5</v>
      </c>
      <c r="E207">
        <v>2136</v>
      </c>
      <c r="F207">
        <v>2135</v>
      </c>
      <c r="G207">
        <v>2135</v>
      </c>
      <c r="H207">
        <v>44700</v>
      </c>
    </row>
    <row r="208" spans="2:8">
      <c r="B208" t="s">
        <v>587</v>
      </c>
      <c r="C208" t="s">
        <v>371</v>
      </c>
      <c r="D208">
        <v>2135.5</v>
      </c>
      <c r="E208">
        <v>2135.5</v>
      </c>
      <c r="F208">
        <v>2135</v>
      </c>
      <c r="G208">
        <v>2135.5</v>
      </c>
      <c r="H208">
        <v>40200</v>
      </c>
    </row>
    <row r="209" spans="2:8">
      <c r="B209" t="s">
        <v>587</v>
      </c>
      <c r="C209" t="s">
        <v>372</v>
      </c>
      <c r="D209">
        <v>2135</v>
      </c>
      <c r="E209">
        <v>2135.5</v>
      </c>
      <c r="F209">
        <v>2133.5</v>
      </c>
      <c r="G209">
        <v>2135</v>
      </c>
      <c r="H209">
        <v>146100</v>
      </c>
    </row>
    <row r="210" spans="2:8">
      <c r="B210" t="s">
        <v>587</v>
      </c>
      <c r="C210" t="s">
        <v>373</v>
      </c>
      <c r="D210">
        <v>2135</v>
      </c>
      <c r="E210">
        <v>2137</v>
      </c>
      <c r="F210">
        <v>2135</v>
      </c>
      <c r="G210">
        <v>2135.5</v>
      </c>
      <c r="H210">
        <v>340000</v>
      </c>
    </row>
    <row r="211" spans="2:8">
      <c r="B211" t="s">
        <v>587</v>
      </c>
      <c r="C211" t="s">
        <v>374</v>
      </c>
      <c r="D211">
        <v>2135.5</v>
      </c>
      <c r="E211">
        <v>2135.5</v>
      </c>
      <c r="F211">
        <v>2134.5</v>
      </c>
      <c r="G211">
        <v>2135</v>
      </c>
      <c r="H211">
        <v>42200</v>
      </c>
    </row>
    <row r="212" spans="2:8">
      <c r="B212" t="s">
        <v>587</v>
      </c>
      <c r="C212" t="s">
        <v>375</v>
      </c>
      <c r="D212">
        <v>2135</v>
      </c>
      <c r="E212">
        <v>2136.5</v>
      </c>
      <c r="F212">
        <v>2134.5</v>
      </c>
      <c r="G212">
        <v>2136</v>
      </c>
      <c r="H212">
        <v>178500</v>
      </c>
    </row>
    <row r="213" spans="2:8">
      <c r="B213" t="s">
        <v>587</v>
      </c>
      <c r="C213" t="s">
        <v>376</v>
      </c>
      <c r="D213">
        <v>2136</v>
      </c>
      <c r="E213">
        <v>2136.5</v>
      </c>
      <c r="F213">
        <v>2136</v>
      </c>
      <c r="G213">
        <v>2136.5</v>
      </c>
      <c r="H213">
        <v>53800</v>
      </c>
    </row>
    <row r="214" spans="2:8">
      <c r="B214" t="s">
        <v>587</v>
      </c>
      <c r="C214" t="s">
        <v>377</v>
      </c>
      <c r="D214">
        <v>2136</v>
      </c>
      <c r="E214">
        <v>2136.5</v>
      </c>
      <c r="F214">
        <v>2136</v>
      </c>
      <c r="G214">
        <v>2136</v>
      </c>
      <c r="H214">
        <v>69100</v>
      </c>
    </row>
    <row r="215" spans="2:8">
      <c r="B215" t="s">
        <v>587</v>
      </c>
      <c r="C215" t="s">
        <v>378</v>
      </c>
      <c r="D215">
        <v>2136</v>
      </c>
      <c r="E215">
        <v>2136.5</v>
      </c>
      <c r="F215">
        <v>2136</v>
      </c>
      <c r="G215">
        <v>2136.5</v>
      </c>
      <c r="H215">
        <v>70700</v>
      </c>
    </row>
    <row r="216" spans="2:8">
      <c r="B216" t="s">
        <v>587</v>
      </c>
      <c r="C216" t="s">
        <v>379</v>
      </c>
      <c r="D216">
        <v>2136.5</v>
      </c>
      <c r="E216">
        <v>2136.5</v>
      </c>
      <c r="F216">
        <v>2135.5</v>
      </c>
      <c r="G216">
        <v>2136</v>
      </c>
      <c r="H216">
        <v>112100</v>
      </c>
    </row>
    <row r="217" spans="2:8">
      <c r="B217" t="s">
        <v>587</v>
      </c>
      <c r="C217" t="s">
        <v>380</v>
      </c>
      <c r="D217">
        <v>2135.5</v>
      </c>
      <c r="E217">
        <v>2136</v>
      </c>
      <c r="F217">
        <v>2134</v>
      </c>
      <c r="G217">
        <v>2134</v>
      </c>
      <c r="H217">
        <v>102400</v>
      </c>
    </row>
    <row r="218" spans="2:8">
      <c r="B218" t="s">
        <v>587</v>
      </c>
      <c r="C218" t="s">
        <v>381</v>
      </c>
      <c r="D218">
        <v>2134</v>
      </c>
      <c r="E218">
        <v>2137</v>
      </c>
      <c r="F218">
        <v>2134</v>
      </c>
      <c r="G218">
        <v>2136.5</v>
      </c>
      <c r="H218">
        <v>131700</v>
      </c>
    </row>
    <row r="219" spans="2:8">
      <c r="B219" t="s">
        <v>587</v>
      </c>
      <c r="C219" t="s">
        <v>382</v>
      </c>
      <c r="D219">
        <v>2137</v>
      </c>
      <c r="E219">
        <v>2138.5</v>
      </c>
      <c r="F219">
        <v>2136.5</v>
      </c>
      <c r="G219">
        <v>2136.5</v>
      </c>
      <c r="H219">
        <v>211900</v>
      </c>
    </row>
    <row r="220" spans="2:8">
      <c r="B220" t="s">
        <v>587</v>
      </c>
      <c r="C220" t="s">
        <v>383</v>
      </c>
      <c r="D220">
        <v>2137</v>
      </c>
      <c r="E220">
        <v>2137.5</v>
      </c>
      <c r="F220">
        <v>2137</v>
      </c>
      <c r="G220">
        <v>2137</v>
      </c>
      <c r="H220">
        <v>46000</v>
      </c>
    </row>
    <row r="221" spans="2:8">
      <c r="B221" t="s">
        <v>587</v>
      </c>
      <c r="C221" t="s">
        <v>384</v>
      </c>
      <c r="D221">
        <v>2136.5</v>
      </c>
      <c r="E221">
        <v>2137.5</v>
      </c>
      <c r="F221">
        <v>2136.5</v>
      </c>
      <c r="G221">
        <v>2136.5</v>
      </c>
      <c r="H221">
        <v>71100</v>
      </c>
    </row>
    <row r="222" spans="2:8">
      <c r="B222" t="s">
        <v>587</v>
      </c>
      <c r="C222" t="s">
        <v>385</v>
      </c>
      <c r="D222">
        <v>2136.5</v>
      </c>
      <c r="E222">
        <v>2137</v>
      </c>
      <c r="F222">
        <v>2136</v>
      </c>
      <c r="G222">
        <v>2137</v>
      </c>
      <c r="H222">
        <v>50800</v>
      </c>
    </row>
    <row r="223" spans="2:8">
      <c r="B223" t="s">
        <v>587</v>
      </c>
      <c r="C223" t="s">
        <v>386</v>
      </c>
      <c r="D223">
        <v>2136.5</v>
      </c>
      <c r="E223">
        <v>2137.5</v>
      </c>
      <c r="F223">
        <v>2136.5</v>
      </c>
      <c r="G223">
        <v>2137</v>
      </c>
      <c r="H223">
        <v>57200</v>
      </c>
    </row>
    <row r="224" spans="2:8">
      <c r="B224" t="s">
        <v>587</v>
      </c>
      <c r="C224" t="s">
        <v>387</v>
      </c>
      <c r="D224">
        <v>2137</v>
      </c>
      <c r="E224">
        <v>2137.5</v>
      </c>
      <c r="F224">
        <v>2136.5</v>
      </c>
      <c r="G224">
        <v>2137</v>
      </c>
      <c r="H224">
        <v>14700</v>
      </c>
    </row>
    <row r="225" spans="2:8">
      <c r="B225" t="s">
        <v>587</v>
      </c>
      <c r="C225" t="s">
        <v>388</v>
      </c>
      <c r="D225">
        <v>2136.5</v>
      </c>
      <c r="E225">
        <v>2137</v>
      </c>
      <c r="F225">
        <v>2136</v>
      </c>
      <c r="G225">
        <v>2136</v>
      </c>
      <c r="H225">
        <v>35800</v>
      </c>
    </row>
    <row r="226" spans="2:8">
      <c r="B226" t="s">
        <v>587</v>
      </c>
      <c r="C226" t="s">
        <v>389</v>
      </c>
      <c r="D226">
        <v>2136</v>
      </c>
      <c r="E226">
        <v>2137</v>
      </c>
      <c r="F226">
        <v>2135.5</v>
      </c>
      <c r="G226">
        <v>2137</v>
      </c>
      <c r="H226">
        <v>153800</v>
      </c>
    </row>
    <row r="227" spans="2:8">
      <c r="B227" t="s">
        <v>587</v>
      </c>
      <c r="C227" t="s">
        <v>390</v>
      </c>
      <c r="D227">
        <v>2136.5</v>
      </c>
      <c r="E227">
        <v>2137.5</v>
      </c>
      <c r="F227">
        <v>2136.5</v>
      </c>
      <c r="G227">
        <v>2137.5</v>
      </c>
      <c r="H227">
        <v>86100</v>
      </c>
    </row>
    <row r="228" spans="2:8">
      <c r="B228" t="s">
        <v>587</v>
      </c>
      <c r="C228" t="s">
        <v>391</v>
      </c>
      <c r="D228">
        <v>2136.5</v>
      </c>
      <c r="E228">
        <v>2137.5</v>
      </c>
      <c r="F228">
        <v>2136</v>
      </c>
      <c r="G228">
        <v>2137</v>
      </c>
      <c r="H228">
        <v>76700</v>
      </c>
    </row>
    <row r="229" spans="2:8">
      <c r="B229" t="s">
        <v>587</v>
      </c>
      <c r="C229" t="s">
        <v>392</v>
      </c>
      <c r="D229">
        <v>2137</v>
      </c>
      <c r="E229">
        <v>2137</v>
      </c>
      <c r="F229">
        <v>2136.5</v>
      </c>
      <c r="G229">
        <v>2137</v>
      </c>
      <c r="H229">
        <v>129800</v>
      </c>
    </row>
    <row r="230" spans="2:8">
      <c r="B230" t="s">
        <v>587</v>
      </c>
      <c r="C230" t="s">
        <v>393</v>
      </c>
      <c r="D230">
        <v>2137</v>
      </c>
      <c r="E230">
        <v>2137.5</v>
      </c>
      <c r="F230">
        <v>2136.5</v>
      </c>
      <c r="G230">
        <v>2137</v>
      </c>
      <c r="H230">
        <v>61100</v>
      </c>
    </row>
    <row r="231" spans="2:8">
      <c r="B231" t="s">
        <v>587</v>
      </c>
      <c r="C231" t="s">
        <v>394</v>
      </c>
      <c r="D231">
        <v>2137</v>
      </c>
      <c r="E231">
        <v>2137.5</v>
      </c>
      <c r="F231">
        <v>2136</v>
      </c>
      <c r="G231">
        <v>2136</v>
      </c>
      <c r="H231">
        <v>72800</v>
      </c>
    </row>
    <row r="232" spans="2:8">
      <c r="B232" t="s">
        <v>587</v>
      </c>
      <c r="C232" t="s">
        <v>395</v>
      </c>
      <c r="D232">
        <v>2136.5</v>
      </c>
      <c r="E232">
        <v>2137</v>
      </c>
      <c r="F232">
        <v>2135</v>
      </c>
      <c r="G232">
        <v>2136</v>
      </c>
      <c r="H232">
        <v>142300</v>
      </c>
    </row>
    <row r="233" spans="2:8">
      <c r="B233" t="s">
        <v>587</v>
      </c>
      <c r="C233" t="s">
        <v>396</v>
      </c>
      <c r="D233">
        <v>2136.5</v>
      </c>
      <c r="E233">
        <v>2137.5</v>
      </c>
      <c r="F233">
        <v>2136</v>
      </c>
      <c r="G233">
        <v>2136.5</v>
      </c>
      <c r="H233">
        <v>136700</v>
      </c>
    </row>
    <row r="234" spans="2:8">
      <c r="B234" t="s">
        <v>587</v>
      </c>
      <c r="C234" t="s">
        <v>397</v>
      </c>
      <c r="D234">
        <v>2137</v>
      </c>
      <c r="E234">
        <v>2138</v>
      </c>
      <c r="F234">
        <v>2137</v>
      </c>
      <c r="G234">
        <v>2138</v>
      </c>
      <c r="H234">
        <v>53100</v>
      </c>
    </row>
    <row r="235" spans="2:8">
      <c r="B235" t="s">
        <v>587</v>
      </c>
      <c r="C235" t="s">
        <v>398</v>
      </c>
      <c r="D235">
        <v>2137.5</v>
      </c>
      <c r="E235">
        <v>2138</v>
      </c>
      <c r="F235">
        <v>2137</v>
      </c>
      <c r="G235">
        <v>2138</v>
      </c>
      <c r="H235">
        <v>19900</v>
      </c>
    </row>
    <row r="236" spans="2:8">
      <c r="B236" t="s">
        <v>587</v>
      </c>
      <c r="C236" t="s">
        <v>399</v>
      </c>
      <c r="D236">
        <v>2137.5</v>
      </c>
      <c r="E236">
        <v>2138</v>
      </c>
      <c r="F236">
        <v>2137</v>
      </c>
      <c r="G236">
        <v>2137</v>
      </c>
      <c r="H236">
        <v>25600</v>
      </c>
    </row>
    <row r="237" spans="2:8">
      <c r="B237" t="s">
        <v>587</v>
      </c>
      <c r="C237" t="s">
        <v>400</v>
      </c>
      <c r="D237">
        <v>2137.5</v>
      </c>
      <c r="E237">
        <v>2137.5</v>
      </c>
      <c r="F237">
        <v>2136.5</v>
      </c>
      <c r="G237">
        <v>2137</v>
      </c>
      <c r="H237">
        <v>83100</v>
      </c>
    </row>
    <row r="238" spans="2:8">
      <c r="B238" t="s">
        <v>587</v>
      </c>
      <c r="C238" t="s">
        <v>401</v>
      </c>
      <c r="D238">
        <v>2137</v>
      </c>
      <c r="E238">
        <v>2138.5</v>
      </c>
      <c r="F238">
        <v>2136.5</v>
      </c>
      <c r="G238">
        <v>2138</v>
      </c>
      <c r="H238">
        <v>226200</v>
      </c>
    </row>
    <row r="239" spans="2:8">
      <c r="B239" t="s">
        <v>587</v>
      </c>
      <c r="C239" t="s">
        <v>402</v>
      </c>
      <c r="D239">
        <v>2138</v>
      </c>
      <c r="E239">
        <v>2138.5</v>
      </c>
      <c r="F239">
        <v>2137.5</v>
      </c>
      <c r="G239">
        <v>2138</v>
      </c>
      <c r="H239">
        <v>46300</v>
      </c>
    </row>
    <row r="240" spans="2:8">
      <c r="B240" t="s">
        <v>587</v>
      </c>
      <c r="C240" t="s">
        <v>403</v>
      </c>
      <c r="D240">
        <v>2138</v>
      </c>
      <c r="E240">
        <v>2138.5</v>
      </c>
      <c r="F240">
        <v>2137.5</v>
      </c>
      <c r="G240">
        <v>2138</v>
      </c>
      <c r="H240">
        <v>55800</v>
      </c>
    </row>
    <row r="241" spans="2:8">
      <c r="B241" t="s">
        <v>587</v>
      </c>
      <c r="C241" t="s">
        <v>404</v>
      </c>
      <c r="D241">
        <v>2138</v>
      </c>
      <c r="E241">
        <v>2139.5</v>
      </c>
      <c r="F241">
        <v>2138</v>
      </c>
      <c r="G241">
        <v>2139</v>
      </c>
      <c r="H241">
        <v>348700</v>
      </c>
    </row>
    <row r="242" spans="2:8">
      <c r="B242" t="s">
        <v>587</v>
      </c>
      <c r="C242" t="s">
        <v>405</v>
      </c>
      <c r="D242">
        <v>2139</v>
      </c>
      <c r="E242">
        <v>2139.5</v>
      </c>
      <c r="F242">
        <v>2138</v>
      </c>
      <c r="G242">
        <v>2138.5</v>
      </c>
      <c r="H242">
        <v>38400</v>
      </c>
    </row>
    <row r="243" spans="2:8">
      <c r="B243" t="s">
        <v>587</v>
      </c>
      <c r="C243" t="s">
        <v>406</v>
      </c>
      <c r="D243">
        <v>2138</v>
      </c>
      <c r="E243">
        <v>2139</v>
      </c>
      <c r="F243">
        <v>2138</v>
      </c>
      <c r="G243">
        <v>2138.5</v>
      </c>
      <c r="H243">
        <v>56300</v>
      </c>
    </row>
    <row r="244" spans="2:8">
      <c r="B244" t="s">
        <v>587</v>
      </c>
      <c r="C244" t="s">
        <v>407</v>
      </c>
      <c r="D244">
        <v>2138.5</v>
      </c>
      <c r="E244">
        <v>2138.5</v>
      </c>
      <c r="F244">
        <v>2138</v>
      </c>
      <c r="G244">
        <v>2138.5</v>
      </c>
      <c r="H244">
        <v>52700</v>
      </c>
    </row>
    <row r="245" spans="2:8">
      <c r="B245" t="s">
        <v>587</v>
      </c>
      <c r="C245" t="s">
        <v>408</v>
      </c>
      <c r="D245">
        <v>2138.5</v>
      </c>
      <c r="E245">
        <v>2139</v>
      </c>
      <c r="F245">
        <v>2137.5</v>
      </c>
      <c r="G245">
        <v>2137.5</v>
      </c>
      <c r="H245">
        <v>122800</v>
      </c>
    </row>
    <row r="246" spans="2:8">
      <c r="B246" t="s">
        <v>587</v>
      </c>
      <c r="C246" t="s">
        <v>409</v>
      </c>
      <c r="D246">
        <v>2137.5</v>
      </c>
      <c r="E246">
        <v>2138.5</v>
      </c>
      <c r="F246">
        <v>2137</v>
      </c>
      <c r="G246">
        <v>2138</v>
      </c>
      <c r="H246">
        <v>48500</v>
      </c>
    </row>
    <row r="247" spans="2:8">
      <c r="B247" t="s">
        <v>587</v>
      </c>
      <c r="C247" t="s">
        <v>410</v>
      </c>
      <c r="D247">
        <v>2138.5</v>
      </c>
      <c r="E247">
        <v>2138.5</v>
      </c>
      <c r="F247">
        <v>2137.5</v>
      </c>
      <c r="G247">
        <v>2138</v>
      </c>
      <c r="H247">
        <v>52100</v>
      </c>
    </row>
    <row r="248" spans="2:8">
      <c r="B248" t="s">
        <v>587</v>
      </c>
      <c r="C248" t="s">
        <v>411</v>
      </c>
      <c r="D248">
        <v>2137.5</v>
      </c>
      <c r="E248">
        <v>2138</v>
      </c>
      <c r="F248">
        <v>2137</v>
      </c>
      <c r="G248">
        <v>2137.5</v>
      </c>
      <c r="H248">
        <v>93800</v>
      </c>
    </row>
    <row r="249" spans="2:8">
      <c r="B249" t="s">
        <v>587</v>
      </c>
      <c r="C249" t="s">
        <v>412</v>
      </c>
      <c r="D249">
        <v>2138</v>
      </c>
      <c r="E249">
        <v>2138</v>
      </c>
      <c r="F249">
        <v>2137.5</v>
      </c>
      <c r="G249">
        <v>2138</v>
      </c>
      <c r="H249">
        <v>54400</v>
      </c>
    </row>
    <row r="250" spans="2:8">
      <c r="B250" t="s">
        <v>587</v>
      </c>
      <c r="C250" t="s">
        <v>413</v>
      </c>
      <c r="D250">
        <v>2138.5</v>
      </c>
      <c r="E250">
        <v>2139</v>
      </c>
      <c r="F250">
        <v>2138</v>
      </c>
      <c r="G250">
        <v>2138.5</v>
      </c>
      <c r="H250">
        <v>39000</v>
      </c>
    </row>
    <row r="251" spans="2:8">
      <c r="B251" t="s">
        <v>587</v>
      </c>
      <c r="C251" t="s">
        <v>414</v>
      </c>
      <c r="D251">
        <v>2138.5</v>
      </c>
      <c r="E251">
        <v>2139</v>
      </c>
      <c r="F251">
        <v>2138.5</v>
      </c>
      <c r="G251">
        <v>2139</v>
      </c>
      <c r="H251">
        <v>9400</v>
      </c>
    </row>
    <row r="252" spans="2:8">
      <c r="B252" t="s">
        <v>587</v>
      </c>
      <c r="C252" t="s">
        <v>415</v>
      </c>
      <c r="D252">
        <v>2138.5</v>
      </c>
      <c r="E252">
        <v>2139.5</v>
      </c>
      <c r="F252">
        <v>2138.5</v>
      </c>
      <c r="G252">
        <v>2139.5</v>
      </c>
      <c r="H252">
        <v>77300</v>
      </c>
    </row>
    <row r="253" spans="2:8">
      <c r="B253" t="s">
        <v>587</v>
      </c>
      <c r="C253" t="s">
        <v>416</v>
      </c>
      <c r="D253">
        <v>2139</v>
      </c>
      <c r="E253">
        <v>2139.5</v>
      </c>
      <c r="F253">
        <v>2138.5</v>
      </c>
      <c r="G253">
        <v>2139</v>
      </c>
      <c r="H253">
        <v>31600</v>
      </c>
    </row>
    <row r="254" spans="2:8">
      <c r="B254" t="s">
        <v>587</v>
      </c>
      <c r="C254" t="s">
        <v>417</v>
      </c>
      <c r="D254">
        <v>2139</v>
      </c>
      <c r="E254">
        <v>2139</v>
      </c>
      <c r="F254">
        <v>2138</v>
      </c>
      <c r="G254">
        <v>2138.5</v>
      </c>
      <c r="H254">
        <v>27500</v>
      </c>
    </row>
    <row r="255" spans="2:8">
      <c r="B255" t="s">
        <v>587</v>
      </c>
      <c r="C255" t="s">
        <v>418</v>
      </c>
      <c r="D255">
        <v>2138</v>
      </c>
      <c r="E255">
        <v>2138.5</v>
      </c>
      <c r="F255">
        <v>2137</v>
      </c>
      <c r="G255">
        <v>2137.5</v>
      </c>
      <c r="H255">
        <v>144500</v>
      </c>
    </row>
    <row r="256" spans="2:8">
      <c r="B256" t="s">
        <v>587</v>
      </c>
      <c r="C256" t="s">
        <v>419</v>
      </c>
      <c r="D256">
        <v>2137.5</v>
      </c>
      <c r="E256">
        <v>2139</v>
      </c>
      <c r="F256">
        <v>2137</v>
      </c>
      <c r="G256">
        <v>2138.5</v>
      </c>
      <c r="H256">
        <v>96900</v>
      </c>
    </row>
    <row r="257" spans="2:8">
      <c r="B257" t="s">
        <v>587</v>
      </c>
      <c r="C257" t="s">
        <v>420</v>
      </c>
      <c r="D257">
        <v>2138.5</v>
      </c>
      <c r="E257">
        <v>2138.5</v>
      </c>
      <c r="F257">
        <v>2137.5</v>
      </c>
      <c r="G257">
        <v>2138</v>
      </c>
      <c r="H257">
        <v>87700</v>
      </c>
    </row>
    <row r="258" spans="2:8">
      <c r="B258" t="s">
        <v>587</v>
      </c>
      <c r="C258" t="s">
        <v>421</v>
      </c>
      <c r="D258">
        <v>2138</v>
      </c>
      <c r="E258">
        <v>2138.5</v>
      </c>
      <c r="F258">
        <v>2137.5</v>
      </c>
      <c r="G258">
        <v>2138</v>
      </c>
      <c r="H258">
        <v>82100</v>
      </c>
    </row>
    <row r="259" spans="2:8">
      <c r="B259" t="s">
        <v>587</v>
      </c>
      <c r="C259" t="s">
        <v>422</v>
      </c>
      <c r="D259">
        <v>2138</v>
      </c>
      <c r="E259">
        <v>2138.5</v>
      </c>
      <c r="F259">
        <v>2136.5</v>
      </c>
      <c r="G259">
        <v>2136.5</v>
      </c>
      <c r="H259">
        <v>78300</v>
      </c>
    </row>
    <row r="260" spans="2:8">
      <c r="B260" t="s">
        <v>587</v>
      </c>
      <c r="C260" t="s">
        <v>423</v>
      </c>
      <c r="D260">
        <v>2136</v>
      </c>
      <c r="E260">
        <v>2137</v>
      </c>
      <c r="F260">
        <v>2135.5</v>
      </c>
      <c r="G260">
        <v>2136.5</v>
      </c>
      <c r="H260">
        <v>105600</v>
      </c>
    </row>
    <row r="261" spans="2:8">
      <c r="B261" t="s">
        <v>587</v>
      </c>
      <c r="C261" t="s">
        <v>424</v>
      </c>
      <c r="D261">
        <v>2136.5</v>
      </c>
      <c r="E261">
        <v>2136.5</v>
      </c>
      <c r="F261">
        <v>2134</v>
      </c>
      <c r="G261">
        <v>2134</v>
      </c>
      <c r="H261">
        <v>117600</v>
      </c>
    </row>
    <row r="262" spans="2:8">
      <c r="B262" t="s">
        <v>587</v>
      </c>
      <c r="C262" t="s">
        <v>425</v>
      </c>
      <c r="D262">
        <v>2134.5</v>
      </c>
      <c r="E262">
        <v>2134.5</v>
      </c>
      <c r="F262">
        <v>2132.5</v>
      </c>
      <c r="G262">
        <v>2132.5</v>
      </c>
      <c r="H262">
        <v>94400</v>
      </c>
    </row>
    <row r="263" spans="2:8">
      <c r="B263" t="s">
        <v>587</v>
      </c>
      <c r="C263" t="s">
        <v>426</v>
      </c>
      <c r="D263">
        <v>2132.5</v>
      </c>
      <c r="E263">
        <v>2134</v>
      </c>
      <c r="F263">
        <v>2132.5</v>
      </c>
      <c r="G263">
        <v>2133</v>
      </c>
      <c r="H263">
        <v>81200</v>
      </c>
    </row>
    <row r="264" spans="2:8">
      <c r="B264" t="s">
        <v>587</v>
      </c>
      <c r="C264" t="s">
        <v>427</v>
      </c>
      <c r="D264">
        <v>2133</v>
      </c>
      <c r="E264">
        <v>2133.5</v>
      </c>
      <c r="F264">
        <v>2132</v>
      </c>
      <c r="G264">
        <v>2132</v>
      </c>
      <c r="H264">
        <v>83200</v>
      </c>
    </row>
    <row r="265" spans="2:8">
      <c r="B265" t="s">
        <v>587</v>
      </c>
      <c r="C265" t="s">
        <v>428</v>
      </c>
      <c r="D265">
        <v>2131.5</v>
      </c>
      <c r="E265">
        <v>2132</v>
      </c>
      <c r="F265">
        <v>2129</v>
      </c>
      <c r="G265">
        <v>2129</v>
      </c>
      <c r="H265">
        <v>168300</v>
      </c>
    </row>
    <row r="266" spans="2:8">
      <c r="B266" t="s">
        <v>587</v>
      </c>
      <c r="C266" t="s">
        <v>429</v>
      </c>
      <c r="D266">
        <v>2129</v>
      </c>
      <c r="E266">
        <v>2130.5</v>
      </c>
      <c r="F266">
        <v>2129</v>
      </c>
      <c r="G266">
        <v>2130</v>
      </c>
      <c r="H266">
        <v>78900</v>
      </c>
    </row>
    <row r="267" spans="2:8">
      <c r="B267" t="s">
        <v>587</v>
      </c>
      <c r="C267" t="s">
        <v>430</v>
      </c>
      <c r="D267">
        <v>2130</v>
      </c>
      <c r="E267">
        <v>2130</v>
      </c>
      <c r="F267">
        <v>2128.5</v>
      </c>
      <c r="G267">
        <v>2128.5</v>
      </c>
      <c r="H267">
        <v>73000</v>
      </c>
    </row>
    <row r="268" spans="2:8">
      <c r="B268" t="s">
        <v>587</v>
      </c>
      <c r="C268" t="s">
        <v>431</v>
      </c>
      <c r="D268">
        <v>2128</v>
      </c>
      <c r="E268">
        <v>2129</v>
      </c>
      <c r="F268">
        <v>2127.5</v>
      </c>
      <c r="G268">
        <v>2127.5</v>
      </c>
      <c r="H268">
        <v>67300</v>
      </c>
    </row>
    <row r="269" spans="2:8">
      <c r="B269" t="s">
        <v>587</v>
      </c>
      <c r="C269" t="s">
        <v>9</v>
      </c>
      <c r="D269">
        <v>2128</v>
      </c>
      <c r="E269">
        <v>2128.5</v>
      </c>
      <c r="F269">
        <v>2127.5</v>
      </c>
      <c r="G269">
        <v>2127.5</v>
      </c>
      <c r="H269">
        <v>21600</v>
      </c>
    </row>
    <row r="270" spans="2:8">
      <c r="B270" t="s">
        <v>587</v>
      </c>
      <c r="C270" t="s">
        <v>10</v>
      </c>
      <c r="D270">
        <v>2127.5</v>
      </c>
      <c r="E270">
        <v>2128</v>
      </c>
      <c r="F270">
        <v>2127</v>
      </c>
      <c r="G270">
        <v>2127.5</v>
      </c>
      <c r="H270">
        <v>54100</v>
      </c>
    </row>
    <row r="271" spans="2:8">
      <c r="B271" t="s">
        <v>587</v>
      </c>
      <c r="C271" t="s">
        <v>11</v>
      </c>
      <c r="D271">
        <v>2127</v>
      </c>
      <c r="E271">
        <v>2129.5</v>
      </c>
      <c r="F271">
        <v>2127</v>
      </c>
      <c r="G271">
        <v>2128.5</v>
      </c>
      <c r="H271">
        <v>102700</v>
      </c>
    </row>
    <row r="272" spans="2:8">
      <c r="B272" t="s">
        <v>587</v>
      </c>
      <c r="C272" t="s">
        <v>12</v>
      </c>
      <c r="D272">
        <v>2129</v>
      </c>
      <c r="E272">
        <v>2129.5</v>
      </c>
      <c r="F272">
        <v>2128.5</v>
      </c>
      <c r="G272">
        <v>2129</v>
      </c>
      <c r="H272">
        <v>81400</v>
      </c>
    </row>
    <row r="273" spans="2:8">
      <c r="B273" t="s">
        <v>587</v>
      </c>
      <c r="C273" t="s">
        <v>13</v>
      </c>
      <c r="D273">
        <v>2129</v>
      </c>
      <c r="E273">
        <v>2129</v>
      </c>
      <c r="F273">
        <v>2125.5</v>
      </c>
      <c r="G273">
        <v>2125.5</v>
      </c>
      <c r="H273">
        <v>133200</v>
      </c>
    </row>
    <row r="274" spans="2:8">
      <c r="B274" t="s">
        <v>587</v>
      </c>
      <c r="C274" t="s">
        <v>14</v>
      </c>
      <c r="D274">
        <v>2125.5</v>
      </c>
      <c r="E274">
        <v>2127.5</v>
      </c>
      <c r="F274">
        <v>2125.5</v>
      </c>
      <c r="G274">
        <v>2126</v>
      </c>
      <c r="H274">
        <v>49000</v>
      </c>
    </row>
    <row r="275" spans="2:8">
      <c r="B275" t="s">
        <v>587</v>
      </c>
      <c r="C275" t="s">
        <v>15</v>
      </c>
      <c r="D275">
        <v>2125.5</v>
      </c>
      <c r="E275">
        <v>2126</v>
      </c>
      <c r="F275">
        <v>2125</v>
      </c>
      <c r="G275">
        <v>2125</v>
      </c>
      <c r="H275">
        <v>60400</v>
      </c>
    </row>
    <row r="276" spans="2:8">
      <c r="B276" t="s">
        <v>587</v>
      </c>
      <c r="C276" t="s">
        <v>16</v>
      </c>
      <c r="D276">
        <v>2125</v>
      </c>
      <c r="E276">
        <v>2128</v>
      </c>
      <c r="F276">
        <v>2125</v>
      </c>
      <c r="G276">
        <v>2128</v>
      </c>
      <c r="H276">
        <v>88000</v>
      </c>
    </row>
    <row r="277" spans="2:8">
      <c r="B277" t="s">
        <v>587</v>
      </c>
      <c r="C277" t="s">
        <v>17</v>
      </c>
      <c r="D277">
        <v>2128</v>
      </c>
      <c r="E277">
        <v>2128</v>
      </c>
      <c r="F277">
        <v>2126.5</v>
      </c>
      <c r="G277">
        <v>2126.5</v>
      </c>
      <c r="H277">
        <v>46300</v>
      </c>
    </row>
    <row r="278" spans="2:8">
      <c r="B278" t="s">
        <v>587</v>
      </c>
      <c r="C278" t="s">
        <v>18</v>
      </c>
      <c r="D278">
        <v>2127</v>
      </c>
      <c r="E278">
        <v>2128.5</v>
      </c>
      <c r="F278">
        <v>2127</v>
      </c>
      <c r="G278">
        <v>2128.5</v>
      </c>
      <c r="H278">
        <v>88600</v>
      </c>
    </row>
    <row r="279" spans="2:8">
      <c r="B279" t="s">
        <v>587</v>
      </c>
      <c r="C279" t="s">
        <v>19</v>
      </c>
      <c r="D279">
        <v>2127.5</v>
      </c>
      <c r="E279">
        <v>2128.5</v>
      </c>
      <c r="F279">
        <v>2127</v>
      </c>
      <c r="G279">
        <v>2127</v>
      </c>
      <c r="H279">
        <v>54200</v>
      </c>
    </row>
    <row r="280" spans="2:8">
      <c r="B280" t="s">
        <v>587</v>
      </c>
      <c r="C280" t="s">
        <v>20</v>
      </c>
      <c r="D280">
        <v>2127.5</v>
      </c>
      <c r="E280">
        <v>2127.5</v>
      </c>
      <c r="F280">
        <v>2127</v>
      </c>
      <c r="G280">
        <v>2127</v>
      </c>
      <c r="H280">
        <v>9400</v>
      </c>
    </row>
    <row r="281" spans="2:8">
      <c r="B281" t="s">
        <v>587</v>
      </c>
      <c r="C281" t="s">
        <v>21</v>
      </c>
      <c r="D281">
        <v>2127</v>
      </c>
      <c r="E281">
        <v>2127</v>
      </c>
      <c r="F281">
        <v>2125.5</v>
      </c>
      <c r="G281">
        <v>2125.5</v>
      </c>
      <c r="H281">
        <v>48700</v>
      </c>
    </row>
    <row r="282" spans="2:8">
      <c r="B282" t="s">
        <v>587</v>
      </c>
      <c r="C282" t="s">
        <v>22</v>
      </c>
      <c r="D282">
        <v>2126</v>
      </c>
      <c r="E282">
        <v>2126</v>
      </c>
      <c r="F282">
        <v>2125</v>
      </c>
      <c r="G282">
        <v>2125.5</v>
      </c>
      <c r="H282">
        <v>63200</v>
      </c>
    </row>
    <row r="283" spans="2:8">
      <c r="B283" t="s">
        <v>587</v>
      </c>
      <c r="C283" t="s">
        <v>23</v>
      </c>
      <c r="D283">
        <v>2125.5</v>
      </c>
      <c r="E283">
        <v>2126</v>
      </c>
      <c r="F283">
        <v>2125</v>
      </c>
      <c r="G283">
        <v>2125.5</v>
      </c>
      <c r="H283">
        <v>46600</v>
      </c>
    </row>
    <row r="284" spans="2:8">
      <c r="B284" t="s">
        <v>587</v>
      </c>
      <c r="C284" t="s">
        <v>24</v>
      </c>
      <c r="D284">
        <v>2125.5</v>
      </c>
      <c r="E284">
        <v>2125.5</v>
      </c>
      <c r="F284">
        <v>2125</v>
      </c>
      <c r="G284">
        <v>2125</v>
      </c>
      <c r="H284">
        <v>16000</v>
      </c>
    </row>
    <row r="285" spans="2:8">
      <c r="B285" t="s">
        <v>587</v>
      </c>
      <c r="C285" t="s">
        <v>25</v>
      </c>
      <c r="D285">
        <v>2125.5</v>
      </c>
      <c r="E285">
        <v>2126</v>
      </c>
      <c r="F285">
        <v>2125</v>
      </c>
      <c r="G285">
        <v>2125.5</v>
      </c>
      <c r="H285">
        <v>50100</v>
      </c>
    </row>
    <row r="286" spans="2:8">
      <c r="B286" t="s">
        <v>587</v>
      </c>
      <c r="C286" t="s">
        <v>26</v>
      </c>
      <c r="D286">
        <v>2126</v>
      </c>
      <c r="E286">
        <v>2126.5</v>
      </c>
      <c r="F286">
        <v>2125.5</v>
      </c>
      <c r="G286">
        <v>2126</v>
      </c>
      <c r="H286">
        <v>34000</v>
      </c>
    </row>
    <row r="287" spans="2:8">
      <c r="B287" t="s">
        <v>587</v>
      </c>
      <c r="C287" t="s">
        <v>27</v>
      </c>
      <c r="D287">
        <v>2125.5</v>
      </c>
      <c r="E287">
        <v>2126.5</v>
      </c>
      <c r="F287">
        <v>2125</v>
      </c>
      <c r="G287">
        <v>2125</v>
      </c>
      <c r="H287">
        <v>46900</v>
      </c>
    </row>
    <row r="288" spans="2:8">
      <c r="B288" t="s">
        <v>587</v>
      </c>
      <c r="C288" t="s">
        <v>28</v>
      </c>
      <c r="D288">
        <v>2125.5</v>
      </c>
      <c r="E288">
        <v>2125.5</v>
      </c>
      <c r="F288">
        <v>2124</v>
      </c>
      <c r="G288">
        <v>2125</v>
      </c>
      <c r="H288">
        <v>121700</v>
      </c>
    </row>
    <row r="289" spans="2:8">
      <c r="B289" t="s">
        <v>587</v>
      </c>
      <c r="C289" t="s">
        <v>29</v>
      </c>
      <c r="D289">
        <v>2125.5</v>
      </c>
      <c r="E289">
        <v>2125.5</v>
      </c>
      <c r="F289">
        <v>2123.5</v>
      </c>
      <c r="G289">
        <v>2124</v>
      </c>
      <c r="H289">
        <v>43400</v>
      </c>
    </row>
    <row r="290" spans="2:8">
      <c r="B290" t="s">
        <v>587</v>
      </c>
      <c r="C290" t="s">
        <v>30</v>
      </c>
      <c r="D290">
        <v>2124</v>
      </c>
      <c r="E290">
        <v>2124.5</v>
      </c>
      <c r="F290">
        <v>2123.5</v>
      </c>
      <c r="G290">
        <v>2124</v>
      </c>
      <c r="H290">
        <v>42400</v>
      </c>
    </row>
    <row r="291" spans="2:8">
      <c r="B291" t="s">
        <v>587</v>
      </c>
      <c r="C291" t="s">
        <v>31</v>
      </c>
      <c r="D291">
        <v>2124</v>
      </c>
      <c r="E291">
        <v>2124.5</v>
      </c>
      <c r="F291">
        <v>2123.5</v>
      </c>
      <c r="G291">
        <v>2124</v>
      </c>
      <c r="H291">
        <v>34200</v>
      </c>
    </row>
    <row r="292" spans="2:8">
      <c r="B292" t="s">
        <v>587</v>
      </c>
      <c r="C292" t="s">
        <v>32</v>
      </c>
      <c r="D292">
        <v>2124.5</v>
      </c>
      <c r="E292">
        <v>2124.5</v>
      </c>
      <c r="F292">
        <v>2123.5</v>
      </c>
      <c r="G292">
        <v>2124</v>
      </c>
      <c r="H292">
        <v>25200</v>
      </c>
    </row>
    <row r="293" spans="2:8">
      <c r="B293" t="s">
        <v>587</v>
      </c>
      <c r="C293" t="s">
        <v>33</v>
      </c>
      <c r="D293">
        <v>2124.5</v>
      </c>
      <c r="E293">
        <v>2124.5</v>
      </c>
      <c r="F293">
        <v>2124</v>
      </c>
      <c r="G293">
        <v>2124.5</v>
      </c>
      <c r="H293">
        <v>23600</v>
      </c>
    </row>
    <row r="294" spans="2:8">
      <c r="B294" t="s">
        <v>587</v>
      </c>
      <c r="C294" t="s">
        <v>34</v>
      </c>
      <c r="D294">
        <v>2125</v>
      </c>
      <c r="E294">
        <v>2125.5</v>
      </c>
      <c r="F294">
        <v>2124</v>
      </c>
      <c r="G294">
        <v>2124.5</v>
      </c>
      <c r="H294">
        <v>53500</v>
      </c>
    </row>
    <row r="295" spans="2:8">
      <c r="B295" t="s">
        <v>587</v>
      </c>
      <c r="C295" t="s">
        <v>35</v>
      </c>
      <c r="D295">
        <v>2124.5</v>
      </c>
      <c r="E295">
        <v>2125</v>
      </c>
      <c r="F295">
        <v>2124</v>
      </c>
      <c r="G295">
        <v>2124.5</v>
      </c>
      <c r="H295">
        <v>40300</v>
      </c>
    </row>
    <row r="296" spans="2:8">
      <c r="B296" t="s">
        <v>587</v>
      </c>
      <c r="C296" t="s">
        <v>36</v>
      </c>
      <c r="D296">
        <v>2125</v>
      </c>
      <c r="E296">
        <v>2127.5</v>
      </c>
      <c r="F296">
        <v>2124.5</v>
      </c>
      <c r="G296">
        <v>2127</v>
      </c>
      <c r="H296">
        <v>95900</v>
      </c>
    </row>
    <row r="297" spans="2:8">
      <c r="B297" t="s">
        <v>587</v>
      </c>
      <c r="C297" t="s">
        <v>37</v>
      </c>
      <c r="D297">
        <v>2127.5</v>
      </c>
      <c r="E297">
        <v>2127.5</v>
      </c>
      <c r="F297">
        <v>2125.5</v>
      </c>
      <c r="G297">
        <v>2126.5</v>
      </c>
      <c r="H297">
        <v>36900</v>
      </c>
    </row>
    <row r="298" spans="2:8">
      <c r="B298" t="s">
        <v>587</v>
      </c>
      <c r="C298" t="s">
        <v>38</v>
      </c>
      <c r="D298">
        <v>2126.5</v>
      </c>
      <c r="E298">
        <v>2128.5</v>
      </c>
      <c r="F298">
        <v>2126.5</v>
      </c>
      <c r="G298">
        <v>2128</v>
      </c>
      <c r="H298">
        <v>98400</v>
      </c>
    </row>
    <row r="299" spans="2:8">
      <c r="B299" t="s">
        <v>587</v>
      </c>
      <c r="C299" t="s">
        <v>39</v>
      </c>
      <c r="D299">
        <v>2128.5</v>
      </c>
      <c r="E299">
        <v>2129</v>
      </c>
      <c r="F299">
        <v>2127.5</v>
      </c>
      <c r="G299">
        <v>2128</v>
      </c>
      <c r="H299">
        <v>66700</v>
      </c>
    </row>
    <row r="300" spans="2:8">
      <c r="B300" t="s">
        <v>587</v>
      </c>
      <c r="C300" t="s">
        <v>40</v>
      </c>
      <c r="D300">
        <v>2128</v>
      </c>
      <c r="E300">
        <v>2128</v>
      </c>
      <c r="F300">
        <v>2126</v>
      </c>
      <c r="G300">
        <v>2128</v>
      </c>
      <c r="H300">
        <v>52100</v>
      </c>
    </row>
    <row r="301" spans="2:8">
      <c r="B301" t="s">
        <v>587</v>
      </c>
      <c r="C301" t="s">
        <v>41</v>
      </c>
      <c r="D301">
        <v>2128</v>
      </c>
      <c r="E301">
        <v>2128</v>
      </c>
      <c r="F301">
        <v>2126</v>
      </c>
      <c r="G301">
        <v>2126</v>
      </c>
      <c r="H301">
        <v>63000</v>
      </c>
    </row>
    <row r="302" spans="2:8">
      <c r="B302" t="s">
        <v>587</v>
      </c>
      <c r="C302" t="s">
        <v>42</v>
      </c>
      <c r="D302">
        <v>2126.5</v>
      </c>
      <c r="E302">
        <v>2127</v>
      </c>
      <c r="F302">
        <v>2126</v>
      </c>
      <c r="G302">
        <v>2126.5</v>
      </c>
      <c r="H302">
        <v>47500</v>
      </c>
    </row>
    <row r="303" spans="2:8">
      <c r="B303" t="s">
        <v>587</v>
      </c>
      <c r="C303" t="s">
        <v>43</v>
      </c>
      <c r="D303">
        <v>2126.5</v>
      </c>
      <c r="E303">
        <v>2127</v>
      </c>
      <c r="F303">
        <v>2126</v>
      </c>
      <c r="G303">
        <v>2127</v>
      </c>
      <c r="H303">
        <v>37000</v>
      </c>
    </row>
    <row r="304" spans="2:8">
      <c r="B304" t="s">
        <v>587</v>
      </c>
      <c r="C304" t="s">
        <v>44</v>
      </c>
      <c r="D304">
        <v>2126.5</v>
      </c>
      <c r="E304">
        <v>2127</v>
      </c>
      <c r="F304">
        <v>2126.5</v>
      </c>
      <c r="G304">
        <v>2127</v>
      </c>
      <c r="H304">
        <v>35400</v>
      </c>
    </row>
    <row r="305" spans="2:8">
      <c r="B305" t="s">
        <v>587</v>
      </c>
      <c r="C305" t="s">
        <v>45</v>
      </c>
      <c r="D305">
        <v>2127</v>
      </c>
      <c r="E305">
        <v>2127</v>
      </c>
      <c r="F305">
        <v>2126.5</v>
      </c>
      <c r="G305">
        <v>2127</v>
      </c>
      <c r="H305">
        <v>39600</v>
      </c>
    </row>
    <row r="306" spans="2:8">
      <c r="B306" t="s">
        <v>587</v>
      </c>
      <c r="C306" t="s">
        <v>46</v>
      </c>
      <c r="D306">
        <v>2126.5</v>
      </c>
      <c r="E306">
        <v>2127</v>
      </c>
      <c r="F306">
        <v>2126.5</v>
      </c>
      <c r="G306">
        <v>2127</v>
      </c>
      <c r="H306">
        <v>29500</v>
      </c>
    </row>
    <row r="307" spans="2:8">
      <c r="B307" t="s">
        <v>587</v>
      </c>
      <c r="C307" t="s">
        <v>47</v>
      </c>
      <c r="D307">
        <v>2126.5</v>
      </c>
      <c r="E307">
        <v>2127</v>
      </c>
      <c r="F307">
        <v>2126.5</v>
      </c>
      <c r="G307">
        <v>2126.5</v>
      </c>
      <c r="H307">
        <v>16100</v>
      </c>
    </row>
    <row r="308" spans="2:8">
      <c r="B308" t="s">
        <v>587</v>
      </c>
      <c r="C308" t="s">
        <v>48</v>
      </c>
      <c r="D308">
        <v>2127</v>
      </c>
      <c r="E308">
        <v>2130.5</v>
      </c>
      <c r="F308">
        <v>2126.5</v>
      </c>
      <c r="G308">
        <v>2130.5</v>
      </c>
      <c r="H308">
        <v>188300</v>
      </c>
    </row>
    <row r="309" spans="2:8">
      <c r="B309" t="s">
        <v>587</v>
      </c>
      <c r="C309" t="s">
        <v>49</v>
      </c>
      <c r="D309">
        <v>2130</v>
      </c>
      <c r="E309">
        <v>2130.5</v>
      </c>
      <c r="F309">
        <v>2129</v>
      </c>
      <c r="G309">
        <v>2130</v>
      </c>
      <c r="H309">
        <v>117300</v>
      </c>
    </row>
    <row r="310" spans="2:8">
      <c r="B310" t="s">
        <v>587</v>
      </c>
      <c r="C310" t="s">
        <v>50</v>
      </c>
      <c r="D310">
        <v>2130</v>
      </c>
      <c r="E310">
        <v>2130.5</v>
      </c>
      <c r="F310">
        <v>2129</v>
      </c>
      <c r="G310">
        <v>2129</v>
      </c>
      <c r="H310">
        <v>72700</v>
      </c>
    </row>
    <row r="311" spans="2:8">
      <c r="B311" t="s">
        <v>587</v>
      </c>
      <c r="C311" t="s">
        <v>51</v>
      </c>
      <c r="D311">
        <v>2129</v>
      </c>
      <c r="E311">
        <v>2129.5</v>
      </c>
      <c r="F311">
        <v>2128</v>
      </c>
      <c r="G311">
        <v>2128.5</v>
      </c>
      <c r="H311">
        <v>65900</v>
      </c>
    </row>
    <row r="312" spans="2:8">
      <c r="B312" t="s">
        <v>587</v>
      </c>
      <c r="C312" t="s">
        <v>52</v>
      </c>
      <c r="D312">
        <v>2128.5</v>
      </c>
      <c r="E312">
        <v>2129</v>
      </c>
      <c r="F312">
        <v>2127</v>
      </c>
      <c r="G312">
        <v>2127.5</v>
      </c>
      <c r="H312">
        <v>28800</v>
      </c>
    </row>
    <row r="313" spans="2:8">
      <c r="B313" t="s">
        <v>587</v>
      </c>
      <c r="C313" t="s">
        <v>53</v>
      </c>
      <c r="D313">
        <v>2127</v>
      </c>
      <c r="E313">
        <v>2128.5</v>
      </c>
      <c r="F313">
        <v>2127</v>
      </c>
      <c r="G313">
        <v>2128</v>
      </c>
      <c r="H313">
        <v>23500</v>
      </c>
    </row>
    <row r="314" spans="2:8">
      <c r="B314" t="s">
        <v>587</v>
      </c>
      <c r="C314" t="s">
        <v>54</v>
      </c>
      <c r="D314">
        <v>2128</v>
      </c>
      <c r="E314">
        <v>2129</v>
      </c>
      <c r="F314">
        <v>2127.5</v>
      </c>
      <c r="G314">
        <v>2127.5</v>
      </c>
      <c r="H314">
        <v>55600</v>
      </c>
    </row>
    <row r="315" spans="2:8">
      <c r="B315" t="s">
        <v>587</v>
      </c>
      <c r="C315" t="s">
        <v>55</v>
      </c>
      <c r="D315">
        <v>2127.5</v>
      </c>
      <c r="E315">
        <v>2128.5</v>
      </c>
      <c r="F315">
        <v>2127.5</v>
      </c>
      <c r="G315">
        <v>2128</v>
      </c>
      <c r="H315">
        <v>33900</v>
      </c>
    </row>
    <row r="316" spans="2:8">
      <c r="B316" t="s">
        <v>587</v>
      </c>
      <c r="C316" t="s">
        <v>56</v>
      </c>
      <c r="D316">
        <v>2128</v>
      </c>
      <c r="E316">
        <v>2128.5</v>
      </c>
      <c r="F316">
        <v>2127.5</v>
      </c>
      <c r="G316">
        <v>2128</v>
      </c>
      <c r="H316">
        <v>51000</v>
      </c>
    </row>
    <row r="317" spans="2:8">
      <c r="B317" t="s">
        <v>587</v>
      </c>
      <c r="C317" t="s">
        <v>57</v>
      </c>
      <c r="D317">
        <v>2128</v>
      </c>
      <c r="E317">
        <v>2129.5</v>
      </c>
      <c r="F317">
        <v>2127.5</v>
      </c>
      <c r="G317">
        <v>2129</v>
      </c>
      <c r="H317">
        <v>61300</v>
      </c>
    </row>
    <row r="318" spans="2:8">
      <c r="B318" t="s">
        <v>587</v>
      </c>
      <c r="C318" t="s">
        <v>58</v>
      </c>
      <c r="D318">
        <v>2129</v>
      </c>
      <c r="E318">
        <v>2129</v>
      </c>
      <c r="F318">
        <v>2128.5</v>
      </c>
      <c r="G318">
        <v>2128.5</v>
      </c>
      <c r="H318">
        <v>21800</v>
      </c>
    </row>
    <row r="319" spans="2:8">
      <c r="B319" t="s">
        <v>587</v>
      </c>
      <c r="C319" t="s">
        <v>59</v>
      </c>
      <c r="D319">
        <v>2129</v>
      </c>
      <c r="E319">
        <v>2129</v>
      </c>
      <c r="F319">
        <v>2128</v>
      </c>
      <c r="G319">
        <v>2128.5</v>
      </c>
      <c r="H319">
        <v>47000</v>
      </c>
    </row>
    <row r="320" spans="2:8">
      <c r="B320" t="s">
        <v>587</v>
      </c>
      <c r="C320" t="s">
        <v>60</v>
      </c>
      <c r="D320">
        <v>2128</v>
      </c>
      <c r="E320">
        <v>2128.5</v>
      </c>
      <c r="F320">
        <v>2127.5</v>
      </c>
      <c r="G320">
        <v>2127.5</v>
      </c>
      <c r="H320">
        <v>22600</v>
      </c>
    </row>
    <row r="321" spans="1:8">
      <c r="B321" t="s">
        <v>587</v>
      </c>
      <c r="C321" t="s">
        <v>61</v>
      </c>
      <c r="D321">
        <v>2128</v>
      </c>
      <c r="E321">
        <v>2128</v>
      </c>
      <c r="F321">
        <v>2126.5</v>
      </c>
      <c r="G321">
        <v>2127</v>
      </c>
      <c r="H321">
        <v>119500</v>
      </c>
    </row>
    <row r="322" spans="1:8">
      <c r="B322" t="s">
        <v>587</v>
      </c>
      <c r="C322" t="s">
        <v>62</v>
      </c>
      <c r="D322">
        <v>2127</v>
      </c>
      <c r="E322">
        <v>2127.5</v>
      </c>
      <c r="F322">
        <v>2126.5</v>
      </c>
      <c r="G322">
        <v>2127.5</v>
      </c>
      <c r="H322">
        <v>60900</v>
      </c>
    </row>
    <row r="323" spans="1:8">
      <c r="B323" t="s">
        <v>587</v>
      </c>
      <c r="C323" t="s">
        <v>63</v>
      </c>
      <c r="D323">
        <v>2127.5</v>
      </c>
      <c r="E323">
        <v>2128</v>
      </c>
      <c r="F323">
        <v>2127</v>
      </c>
      <c r="G323">
        <v>2127</v>
      </c>
      <c r="H323">
        <v>100100</v>
      </c>
    </row>
    <row r="324" spans="1:8">
      <c r="B324" t="s">
        <v>587</v>
      </c>
      <c r="C324" t="s">
        <v>64</v>
      </c>
      <c r="D324">
        <v>2127</v>
      </c>
      <c r="E324">
        <v>2128</v>
      </c>
      <c r="F324">
        <v>2126</v>
      </c>
      <c r="G324">
        <v>2127</v>
      </c>
      <c r="H324">
        <v>87100</v>
      </c>
    </row>
    <row r="325" spans="1:8">
      <c r="B325" t="s">
        <v>587</v>
      </c>
      <c r="C325" t="s">
        <v>65</v>
      </c>
      <c r="D325">
        <v>2127</v>
      </c>
      <c r="E325">
        <v>2128</v>
      </c>
      <c r="F325">
        <v>2127</v>
      </c>
      <c r="G325">
        <v>2127.5</v>
      </c>
      <c r="H325">
        <v>37000</v>
      </c>
    </row>
    <row r="326" spans="1:8">
      <c r="B326" t="s">
        <v>587</v>
      </c>
      <c r="C326" t="s">
        <v>66</v>
      </c>
      <c r="D326">
        <v>2127</v>
      </c>
      <c r="E326">
        <v>2128</v>
      </c>
      <c r="F326">
        <v>2127</v>
      </c>
      <c r="G326">
        <v>2127.5</v>
      </c>
      <c r="H326">
        <v>51800</v>
      </c>
    </row>
    <row r="327" spans="1:8">
      <c r="B327" t="s">
        <v>587</v>
      </c>
      <c r="C327" t="s">
        <v>164</v>
      </c>
      <c r="D327">
        <v>2127.5</v>
      </c>
      <c r="E327">
        <v>2128</v>
      </c>
      <c r="F327">
        <v>2126.5</v>
      </c>
      <c r="G327">
        <v>2127.5</v>
      </c>
      <c r="H327">
        <v>141000</v>
      </c>
    </row>
    <row r="328" spans="1:8">
      <c r="B328" t="s">
        <v>587</v>
      </c>
      <c r="C328" t="s">
        <v>165</v>
      </c>
      <c r="D328">
        <v>2127.5</v>
      </c>
      <c r="E328">
        <v>2129.5</v>
      </c>
      <c r="F328">
        <v>2127</v>
      </c>
      <c r="G328">
        <v>2129.5</v>
      </c>
      <c r="H328">
        <v>134300</v>
      </c>
    </row>
    <row r="329" spans="1:8">
      <c r="B329" t="s">
        <v>587</v>
      </c>
      <c r="C329" t="s">
        <v>67</v>
      </c>
      <c r="D329" t="s">
        <v>8</v>
      </c>
      <c r="E329" t="s">
        <v>8</v>
      </c>
      <c r="F329" t="s">
        <v>8</v>
      </c>
      <c r="G329" t="s">
        <v>8</v>
      </c>
      <c r="H329">
        <v>0</v>
      </c>
    </row>
    <row r="330" spans="1:8">
      <c r="B330" t="s">
        <v>587</v>
      </c>
      <c r="C330" t="s">
        <v>68</v>
      </c>
      <c r="D330" t="s">
        <v>8</v>
      </c>
      <c r="E330" t="s">
        <v>8</v>
      </c>
      <c r="F330" t="s">
        <v>8</v>
      </c>
      <c r="G330" t="s">
        <v>8</v>
      </c>
      <c r="H330">
        <v>0</v>
      </c>
    </row>
    <row r="331" spans="1:8">
      <c r="B331" t="s">
        <v>587</v>
      </c>
      <c r="C331" t="s">
        <v>69</v>
      </c>
      <c r="D331" t="s">
        <v>8</v>
      </c>
      <c r="E331" t="s">
        <v>8</v>
      </c>
      <c r="F331" t="s">
        <v>8</v>
      </c>
      <c r="G331" t="s">
        <v>8</v>
      </c>
      <c r="H331">
        <v>0</v>
      </c>
    </row>
    <row r="332" spans="1:8">
      <c r="B332" t="s">
        <v>587</v>
      </c>
      <c r="C332" t="s">
        <v>70</v>
      </c>
      <c r="D332" t="s">
        <v>8</v>
      </c>
      <c r="E332" t="s">
        <v>8</v>
      </c>
      <c r="F332" t="s">
        <v>8</v>
      </c>
      <c r="G332" t="s">
        <v>8</v>
      </c>
      <c r="H332">
        <v>0</v>
      </c>
    </row>
    <row r="333" spans="1:8">
      <c r="B333" t="s">
        <v>587</v>
      </c>
      <c r="C333" t="s">
        <v>71</v>
      </c>
      <c r="D333" t="s">
        <v>8</v>
      </c>
      <c r="E333" t="s">
        <v>8</v>
      </c>
      <c r="F333" t="s">
        <v>8</v>
      </c>
      <c r="G333" t="s">
        <v>8</v>
      </c>
      <c r="H333">
        <v>0</v>
      </c>
    </row>
    <row r="334" spans="1:8">
      <c r="B334" t="s">
        <v>587</v>
      </c>
      <c r="C334" t="s">
        <v>72</v>
      </c>
      <c r="D334">
        <v>2127</v>
      </c>
      <c r="E334">
        <v>2127</v>
      </c>
      <c r="F334">
        <v>2127</v>
      </c>
      <c r="G334">
        <v>2127</v>
      </c>
      <c r="H334">
        <v>4582800</v>
      </c>
    </row>
    <row r="335" spans="1:8">
      <c r="A335" s="1" t="s">
        <v>79</v>
      </c>
      <c r="B335" s="1" t="s">
        <v>79</v>
      </c>
      <c r="C335" s="1" t="s">
        <v>79</v>
      </c>
      <c r="D335" s="1" t="s">
        <v>79</v>
      </c>
      <c r="E335" s="1" t="s">
        <v>79</v>
      </c>
      <c r="F335" s="1" t="s">
        <v>79</v>
      </c>
      <c r="G335" s="1" t="s">
        <v>79</v>
      </c>
      <c r="H335" s="1" t="s">
        <v>79</v>
      </c>
    </row>
    <row r="336" spans="1:8">
      <c r="B336" t="s">
        <v>442</v>
      </c>
      <c r="C336" t="s">
        <v>167</v>
      </c>
      <c r="D336">
        <v>2092.5</v>
      </c>
      <c r="E336">
        <v>2092.5</v>
      </c>
      <c r="F336">
        <v>2084</v>
      </c>
      <c r="G336">
        <v>2086.5</v>
      </c>
      <c r="H336">
        <v>483600</v>
      </c>
    </row>
    <row r="337" spans="2:8">
      <c r="B337" t="s">
        <v>442</v>
      </c>
      <c r="C337" t="s">
        <v>168</v>
      </c>
      <c r="D337">
        <v>2086</v>
      </c>
      <c r="E337">
        <v>2088</v>
      </c>
      <c r="F337">
        <v>2083.5</v>
      </c>
      <c r="G337">
        <v>2085</v>
      </c>
      <c r="H337">
        <v>232200</v>
      </c>
    </row>
    <row r="338" spans="2:8">
      <c r="B338" t="s">
        <v>442</v>
      </c>
      <c r="C338" t="s">
        <v>169</v>
      </c>
      <c r="D338">
        <v>2085</v>
      </c>
      <c r="E338">
        <v>2089.5</v>
      </c>
      <c r="F338">
        <v>2083</v>
      </c>
      <c r="G338">
        <v>2085</v>
      </c>
      <c r="H338">
        <v>306400</v>
      </c>
    </row>
    <row r="339" spans="2:8">
      <c r="B339" t="s">
        <v>442</v>
      </c>
      <c r="C339" t="s">
        <v>170</v>
      </c>
      <c r="D339">
        <v>2085.5</v>
      </c>
      <c r="E339">
        <v>2090.5</v>
      </c>
      <c r="F339">
        <v>2083.5</v>
      </c>
      <c r="G339">
        <v>2089</v>
      </c>
      <c r="H339">
        <v>309600</v>
      </c>
    </row>
    <row r="340" spans="2:8">
      <c r="B340" t="s">
        <v>442</v>
      </c>
      <c r="C340" t="s">
        <v>171</v>
      </c>
      <c r="D340">
        <v>2089.5</v>
      </c>
      <c r="E340">
        <v>2089.5</v>
      </c>
      <c r="F340">
        <v>2082.5</v>
      </c>
      <c r="G340">
        <v>2083</v>
      </c>
      <c r="H340">
        <v>179400</v>
      </c>
    </row>
    <row r="341" spans="2:8">
      <c r="B341" t="s">
        <v>442</v>
      </c>
      <c r="C341" t="s">
        <v>172</v>
      </c>
      <c r="D341">
        <v>2083</v>
      </c>
      <c r="E341">
        <v>2086.5</v>
      </c>
      <c r="F341">
        <v>2082</v>
      </c>
      <c r="G341">
        <v>2086.5</v>
      </c>
      <c r="H341">
        <v>123400</v>
      </c>
    </row>
    <row r="342" spans="2:8">
      <c r="B342" t="s">
        <v>442</v>
      </c>
      <c r="C342" t="s">
        <v>173</v>
      </c>
      <c r="D342">
        <v>2086</v>
      </c>
      <c r="E342">
        <v>2089.5</v>
      </c>
      <c r="F342">
        <v>2084</v>
      </c>
      <c r="G342">
        <v>2088</v>
      </c>
      <c r="H342">
        <v>187000</v>
      </c>
    </row>
    <row r="343" spans="2:8">
      <c r="B343" t="s">
        <v>442</v>
      </c>
      <c r="C343" t="s">
        <v>174</v>
      </c>
      <c r="D343">
        <v>2088</v>
      </c>
      <c r="E343">
        <v>2089</v>
      </c>
      <c r="F343">
        <v>2085.5</v>
      </c>
      <c r="G343">
        <v>2086</v>
      </c>
      <c r="H343">
        <v>166400</v>
      </c>
    </row>
    <row r="344" spans="2:8">
      <c r="B344" t="s">
        <v>442</v>
      </c>
      <c r="C344" t="s">
        <v>175</v>
      </c>
      <c r="D344">
        <v>2086</v>
      </c>
      <c r="E344">
        <v>2088</v>
      </c>
      <c r="F344">
        <v>2086</v>
      </c>
      <c r="G344">
        <v>2088</v>
      </c>
      <c r="H344">
        <v>88300</v>
      </c>
    </row>
    <row r="345" spans="2:8">
      <c r="B345" t="s">
        <v>442</v>
      </c>
      <c r="C345" t="s">
        <v>176</v>
      </c>
      <c r="D345">
        <v>2087</v>
      </c>
      <c r="E345">
        <v>2087.5</v>
      </c>
      <c r="F345">
        <v>2084</v>
      </c>
      <c r="G345">
        <v>2086.5</v>
      </c>
      <c r="H345">
        <v>223000</v>
      </c>
    </row>
    <row r="346" spans="2:8">
      <c r="B346" t="s">
        <v>442</v>
      </c>
      <c r="C346" t="s">
        <v>177</v>
      </c>
      <c r="D346">
        <v>2086.5</v>
      </c>
      <c r="E346">
        <v>2088.5</v>
      </c>
      <c r="F346">
        <v>2086</v>
      </c>
      <c r="G346">
        <v>2087</v>
      </c>
      <c r="H346">
        <v>190300</v>
      </c>
    </row>
    <row r="347" spans="2:8">
      <c r="B347" t="s">
        <v>442</v>
      </c>
      <c r="C347" t="s">
        <v>178</v>
      </c>
      <c r="D347">
        <v>2087</v>
      </c>
      <c r="E347">
        <v>2089.5</v>
      </c>
      <c r="F347">
        <v>2086</v>
      </c>
      <c r="G347">
        <v>2086.5</v>
      </c>
      <c r="H347">
        <v>226900</v>
      </c>
    </row>
    <row r="348" spans="2:8">
      <c r="B348" t="s">
        <v>442</v>
      </c>
      <c r="C348" t="s">
        <v>179</v>
      </c>
      <c r="D348">
        <v>2087</v>
      </c>
      <c r="E348">
        <v>2087</v>
      </c>
      <c r="F348">
        <v>2084</v>
      </c>
      <c r="G348">
        <v>2084.5</v>
      </c>
      <c r="H348">
        <v>133200</v>
      </c>
    </row>
    <row r="349" spans="2:8">
      <c r="B349" t="s">
        <v>442</v>
      </c>
      <c r="C349" t="s">
        <v>180</v>
      </c>
      <c r="D349">
        <v>2085</v>
      </c>
      <c r="E349">
        <v>2088</v>
      </c>
      <c r="F349">
        <v>2084.5</v>
      </c>
      <c r="G349">
        <v>2087.5</v>
      </c>
      <c r="H349">
        <v>142000</v>
      </c>
    </row>
    <row r="350" spans="2:8">
      <c r="B350" t="s">
        <v>442</v>
      </c>
      <c r="C350" t="s">
        <v>181</v>
      </c>
      <c r="D350">
        <v>2087.5</v>
      </c>
      <c r="E350">
        <v>2089</v>
      </c>
      <c r="F350">
        <v>2086.5</v>
      </c>
      <c r="G350">
        <v>2086.5</v>
      </c>
      <c r="H350">
        <v>125600</v>
      </c>
    </row>
    <row r="351" spans="2:8">
      <c r="B351" t="s">
        <v>442</v>
      </c>
      <c r="C351" t="s">
        <v>182</v>
      </c>
      <c r="D351">
        <v>2087</v>
      </c>
      <c r="E351">
        <v>2090.5</v>
      </c>
      <c r="F351">
        <v>2086.5</v>
      </c>
      <c r="G351">
        <v>2089.5</v>
      </c>
      <c r="H351">
        <v>120100</v>
      </c>
    </row>
    <row r="352" spans="2:8">
      <c r="B352" t="s">
        <v>442</v>
      </c>
      <c r="C352" t="s">
        <v>183</v>
      </c>
      <c r="D352">
        <v>2089.5</v>
      </c>
      <c r="E352">
        <v>2090.5</v>
      </c>
      <c r="F352">
        <v>2088</v>
      </c>
      <c r="G352">
        <v>2090.5</v>
      </c>
      <c r="H352">
        <v>47100</v>
      </c>
    </row>
    <row r="353" spans="2:8">
      <c r="B353" t="s">
        <v>442</v>
      </c>
      <c r="C353" t="s">
        <v>184</v>
      </c>
      <c r="D353">
        <v>2090.5</v>
      </c>
      <c r="E353">
        <v>2091.5</v>
      </c>
      <c r="F353">
        <v>2088.5</v>
      </c>
      <c r="G353">
        <v>2088.5</v>
      </c>
      <c r="H353">
        <v>83700</v>
      </c>
    </row>
    <row r="354" spans="2:8">
      <c r="B354" t="s">
        <v>442</v>
      </c>
      <c r="C354" t="s">
        <v>185</v>
      </c>
      <c r="D354">
        <v>2089</v>
      </c>
      <c r="E354">
        <v>2089</v>
      </c>
      <c r="F354">
        <v>2085</v>
      </c>
      <c r="G354">
        <v>2085</v>
      </c>
      <c r="H354">
        <v>118700</v>
      </c>
    </row>
    <row r="355" spans="2:8">
      <c r="B355" t="s">
        <v>442</v>
      </c>
      <c r="C355" t="s">
        <v>186</v>
      </c>
      <c r="D355">
        <v>2085</v>
      </c>
      <c r="E355">
        <v>2086.5</v>
      </c>
      <c r="F355">
        <v>2084</v>
      </c>
      <c r="G355">
        <v>2084.5</v>
      </c>
      <c r="H355">
        <v>145200</v>
      </c>
    </row>
    <row r="356" spans="2:8">
      <c r="B356" t="s">
        <v>442</v>
      </c>
      <c r="C356" t="s">
        <v>187</v>
      </c>
      <c r="D356">
        <v>2084.5</v>
      </c>
      <c r="E356">
        <v>2086</v>
      </c>
      <c r="F356">
        <v>2078</v>
      </c>
      <c r="G356">
        <v>2078.5</v>
      </c>
      <c r="H356">
        <v>783300</v>
      </c>
    </row>
    <row r="357" spans="2:8">
      <c r="B357" t="s">
        <v>442</v>
      </c>
      <c r="C357" t="s">
        <v>188</v>
      </c>
      <c r="D357">
        <v>2078.5</v>
      </c>
      <c r="E357">
        <v>2079.5</v>
      </c>
      <c r="F357">
        <v>2077.5</v>
      </c>
      <c r="G357">
        <v>2077.5</v>
      </c>
      <c r="H357">
        <v>160100</v>
      </c>
    </row>
    <row r="358" spans="2:8">
      <c r="B358" t="s">
        <v>442</v>
      </c>
      <c r="C358" t="s">
        <v>189</v>
      </c>
      <c r="D358">
        <v>2078</v>
      </c>
      <c r="E358">
        <v>2079.5</v>
      </c>
      <c r="F358">
        <v>2077</v>
      </c>
      <c r="G358">
        <v>2079.5</v>
      </c>
      <c r="H358">
        <v>171500</v>
      </c>
    </row>
    <row r="359" spans="2:8">
      <c r="B359" t="s">
        <v>442</v>
      </c>
      <c r="C359" t="s">
        <v>190</v>
      </c>
      <c r="D359">
        <v>2079</v>
      </c>
      <c r="E359">
        <v>2079.5</v>
      </c>
      <c r="F359">
        <v>2077.5</v>
      </c>
      <c r="G359">
        <v>2079</v>
      </c>
      <c r="H359">
        <v>96000</v>
      </c>
    </row>
    <row r="360" spans="2:8">
      <c r="B360" t="s">
        <v>442</v>
      </c>
      <c r="C360" t="s">
        <v>191</v>
      </c>
      <c r="D360">
        <v>2079</v>
      </c>
      <c r="E360">
        <v>2081.5</v>
      </c>
      <c r="F360">
        <v>2078</v>
      </c>
      <c r="G360">
        <v>2080.5</v>
      </c>
      <c r="H360">
        <v>156700</v>
      </c>
    </row>
    <row r="361" spans="2:8">
      <c r="B361" t="s">
        <v>442</v>
      </c>
      <c r="C361" t="s">
        <v>192</v>
      </c>
      <c r="D361">
        <v>2080.5</v>
      </c>
      <c r="E361">
        <v>2081</v>
      </c>
      <c r="F361">
        <v>2079.5</v>
      </c>
      <c r="G361">
        <v>2081</v>
      </c>
      <c r="H361">
        <v>49900</v>
      </c>
    </row>
    <row r="362" spans="2:8">
      <c r="B362" t="s">
        <v>442</v>
      </c>
      <c r="C362" t="s">
        <v>193</v>
      </c>
      <c r="D362">
        <v>2081</v>
      </c>
      <c r="E362">
        <v>2085</v>
      </c>
      <c r="F362">
        <v>2081</v>
      </c>
      <c r="G362">
        <v>2084</v>
      </c>
      <c r="H362">
        <v>208100</v>
      </c>
    </row>
    <row r="363" spans="2:8">
      <c r="B363" t="s">
        <v>442</v>
      </c>
      <c r="C363" t="s">
        <v>194</v>
      </c>
      <c r="D363">
        <v>2083.5</v>
      </c>
      <c r="E363">
        <v>2086.5</v>
      </c>
      <c r="F363">
        <v>2083</v>
      </c>
      <c r="G363">
        <v>2085.5</v>
      </c>
      <c r="H363">
        <v>152100</v>
      </c>
    </row>
    <row r="364" spans="2:8">
      <c r="B364" t="s">
        <v>442</v>
      </c>
      <c r="C364" t="s">
        <v>195</v>
      </c>
      <c r="D364">
        <v>2085.5</v>
      </c>
      <c r="E364">
        <v>2086</v>
      </c>
      <c r="F364">
        <v>2084.5</v>
      </c>
      <c r="G364">
        <v>2085.5</v>
      </c>
      <c r="H364">
        <v>91900</v>
      </c>
    </row>
    <row r="365" spans="2:8">
      <c r="B365" t="s">
        <v>442</v>
      </c>
      <c r="C365" t="s">
        <v>196</v>
      </c>
      <c r="D365">
        <v>2085.5</v>
      </c>
      <c r="E365">
        <v>2086.5</v>
      </c>
      <c r="F365">
        <v>2084.5</v>
      </c>
      <c r="G365">
        <v>2086</v>
      </c>
      <c r="H365">
        <v>88400</v>
      </c>
    </row>
    <row r="366" spans="2:8">
      <c r="B366" t="s">
        <v>442</v>
      </c>
      <c r="C366" t="s">
        <v>197</v>
      </c>
      <c r="D366">
        <v>2086</v>
      </c>
      <c r="E366">
        <v>2086.5</v>
      </c>
      <c r="F366">
        <v>2084</v>
      </c>
      <c r="G366">
        <v>2084</v>
      </c>
      <c r="H366">
        <v>50300</v>
      </c>
    </row>
    <row r="367" spans="2:8">
      <c r="B367" t="s">
        <v>442</v>
      </c>
      <c r="C367" t="s">
        <v>198</v>
      </c>
      <c r="D367">
        <v>2084</v>
      </c>
      <c r="E367">
        <v>2085.5</v>
      </c>
      <c r="F367">
        <v>2084</v>
      </c>
      <c r="G367">
        <v>2084.5</v>
      </c>
      <c r="H367">
        <v>81700</v>
      </c>
    </row>
    <row r="368" spans="2:8">
      <c r="B368" t="s">
        <v>442</v>
      </c>
      <c r="C368" t="s">
        <v>199</v>
      </c>
      <c r="D368">
        <v>2084</v>
      </c>
      <c r="E368">
        <v>2084</v>
      </c>
      <c r="F368">
        <v>2081</v>
      </c>
      <c r="G368">
        <v>2082.5</v>
      </c>
      <c r="H368">
        <v>109500</v>
      </c>
    </row>
    <row r="369" spans="2:8">
      <c r="B369" t="s">
        <v>442</v>
      </c>
      <c r="C369" t="s">
        <v>200</v>
      </c>
      <c r="D369">
        <v>2082</v>
      </c>
      <c r="E369">
        <v>2084</v>
      </c>
      <c r="F369">
        <v>2081.5</v>
      </c>
      <c r="G369">
        <v>2084</v>
      </c>
      <c r="H369">
        <v>54200</v>
      </c>
    </row>
    <row r="370" spans="2:8">
      <c r="B370" t="s">
        <v>442</v>
      </c>
      <c r="C370" t="s">
        <v>201</v>
      </c>
      <c r="D370">
        <v>2084</v>
      </c>
      <c r="E370">
        <v>2085</v>
      </c>
      <c r="F370">
        <v>2083.5</v>
      </c>
      <c r="G370">
        <v>2084.5</v>
      </c>
      <c r="H370">
        <v>31500</v>
      </c>
    </row>
    <row r="371" spans="2:8">
      <c r="B371" t="s">
        <v>442</v>
      </c>
      <c r="C371" t="s">
        <v>202</v>
      </c>
      <c r="D371">
        <v>2085</v>
      </c>
      <c r="E371">
        <v>2087.5</v>
      </c>
      <c r="F371">
        <v>2084.5</v>
      </c>
      <c r="G371">
        <v>2087</v>
      </c>
      <c r="H371">
        <v>83900</v>
      </c>
    </row>
    <row r="372" spans="2:8">
      <c r="B372" t="s">
        <v>442</v>
      </c>
      <c r="C372" t="s">
        <v>203</v>
      </c>
      <c r="D372">
        <v>2087.5</v>
      </c>
      <c r="E372">
        <v>2091</v>
      </c>
      <c r="F372">
        <v>2087.5</v>
      </c>
      <c r="G372">
        <v>2089</v>
      </c>
      <c r="H372">
        <v>227200</v>
      </c>
    </row>
    <row r="373" spans="2:8">
      <c r="B373" t="s">
        <v>442</v>
      </c>
      <c r="C373" t="s">
        <v>204</v>
      </c>
      <c r="D373">
        <v>2089</v>
      </c>
      <c r="E373">
        <v>2091</v>
      </c>
      <c r="F373">
        <v>2089</v>
      </c>
      <c r="G373">
        <v>2090.5</v>
      </c>
      <c r="H373">
        <v>60000</v>
      </c>
    </row>
    <row r="374" spans="2:8">
      <c r="B374" t="s">
        <v>442</v>
      </c>
      <c r="C374" t="s">
        <v>205</v>
      </c>
      <c r="D374">
        <v>2090.5</v>
      </c>
      <c r="E374">
        <v>2090.5</v>
      </c>
      <c r="F374">
        <v>2088.5</v>
      </c>
      <c r="G374">
        <v>2089</v>
      </c>
      <c r="H374">
        <v>53400</v>
      </c>
    </row>
    <row r="375" spans="2:8">
      <c r="B375" t="s">
        <v>442</v>
      </c>
      <c r="C375" t="s">
        <v>206</v>
      </c>
      <c r="D375">
        <v>2088.5</v>
      </c>
      <c r="E375">
        <v>2089.5</v>
      </c>
      <c r="F375">
        <v>2088.5</v>
      </c>
      <c r="G375">
        <v>2089.5</v>
      </c>
      <c r="H375">
        <v>34300</v>
      </c>
    </row>
    <row r="376" spans="2:8">
      <c r="B376" t="s">
        <v>442</v>
      </c>
      <c r="C376" t="s">
        <v>207</v>
      </c>
      <c r="D376">
        <v>2089.5</v>
      </c>
      <c r="E376">
        <v>2090.5</v>
      </c>
      <c r="F376">
        <v>2087</v>
      </c>
      <c r="G376">
        <v>2088</v>
      </c>
      <c r="H376">
        <v>84900</v>
      </c>
    </row>
    <row r="377" spans="2:8">
      <c r="B377" t="s">
        <v>442</v>
      </c>
      <c r="C377" t="s">
        <v>208</v>
      </c>
      <c r="D377">
        <v>2087.5</v>
      </c>
      <c r="E377">
        <v>2089</v>
      </c>
      <c r="F377">
        <v>2087.5</v>
      </c>
      <c r="G377">
        <v>2088.5</v>
      </c>
      <c r="H377">
        <v>77600</v>
      </c>
    </row>
    <row r="378" spans="2:8">
      <c r="B378" t="s">
        <v>442</v>
      </c>
      <c r="C378" t="s">
        <v>209</v>
      </c>
      <c r="D378">
        <v>2089</v>
      </c>
      <c r="E378">
        <v>2089.5</v>
      </c>
      <c r="F378">
        <v>2088</v>
      </c>
      <c r="G378">
        <v>2088.5</v>
      </c>
      <c r="H378">
        <v>57300</v>
      </c>
    </row>
    <row r="379" spans="2:8">
      <c r="B379" t="s">
        <v>442</v>
      </c>
      <c r="C379" t="s">
        <v>210</v>
      </c>
      <c r="D379">
        <v>2088</v>
      </c>
      <c r="E379">
        <v>2089</v>
      </c>
      <c r="F379">
        <v>2086</v>
      </c>
      <c r="G379">
        <v>2086</v>
      </c>
      <c r="H379">
        <v>82200</v>
      </c>
    </row>
    <row r="380" spans="2:8">
      <c r="B380" t="s">
        <v>442</v>
      </c>
      <c r="C380" t="s">
        <v>211</v>
      </c>
      <c r="D380">
        <v>2086</v>
      </c>
      <c r="E380">
        <v>2087</v>
      </c>
      <c r="F380">
        <v>2085</v>
      </c>
      <c r="G380">
        <v>2087</v>
      </c>
      <c r="H380">
        <v>122200</v>
      </c>
    </row>
    <row r="381" spans="2:8">
      <c r="B381" t="s">
        <v>442</v>
      </c>
      <c r="C381" t="s">
        <v>212</v>
      </c>
      <c r="D381">
        <v>2087</v>
      </c>
      <c r="E381">
        <v>2089</v>
      </c>
      <c r="F381">
        <v>2086</v>
      </c>
      <c r="G381">
        <v>2088.5</v>
      </c>
      <c r="H381">
        <v>50100</v>
      </c>
    </row>
    <row r="382" spans="2:8">
      <c r="B382" t="s">
        <v>442</v>
      </c>
      <c r="C382" t="s">
        <v>213</v>
      </c>
      <c r="D382">
        <v>2088.5</v>
      </c>
      <c r="E382">
        <v>2090</v>
      </c>
      <c r="F382">
        <v>2088.5</v>
      </c>
      <c r="G382">
        <v>2088.5</v>
      </c>
      <c r="H382">
        <v>51600</v>
      </c>
    </row>
    <row r="383" spans="2:8">
      <c r="B383" t="s">
        <v>442</v>
      </c>
      <c r="C383" t="s">
        <v>214</v>
      </c>
      <c r="D383">
        <v>2089</v>
      </c>
      <c r="E383">
        <v>2089</v>
      </c>
      <c r="F383">
        <v>2087.5</v>
      </c>
      <c r="G383">
        <v>2087.5</v>
      </c>
      <c r="H383">
        <v>61600</v>
      </c>
    </row>
    <row r="384" spans="2:8">
      <c r="B384" t="s">
        <v>442</v>
      </c>
      <c r="C384" t="s">
        <v>215</v>
      </c>
      <c r="D384">
        <v>2087.5</v>
      </c>
      <c r="E384">
        <v>2087.5</v>
      </c>
      <c r="F384">
        <v>2086</v>
      </c>
      <c r="G384">
        <v>2086</v>
      </c>
      <c r="H384">
        <v>47600</v>
      </c>
    </row>
    <row r="385" spans="2:8">
      <c r="B385" t="s">
        <v>442</v>
      </c>
      <c r="C385" t="s">
        <v>216</v>
      </c>
      <c r="D385">
        <v>2086</v>
      </c>
      <c r="E385">
        <v>2087</v>
      </c>
      <c r="F385">
        <v>2085</v>
      </c>
      <c r="G385">
        <v>2086.5</v>
      </c>
      <c r="H385">
        <v>82900</v>
      </c>
    </row>
    <row r="386" spans="2:8">
      <c r="B386" t="s">
        <v>442</v>
      </c>
      <c r="C386" t="s">
        <v>217</v>
      </c>
      <c r="D386">
        <v>2086.5</v>
      </c>
      <c r="E386">
        <v>2087</v>
      </c>
      <c r="F386">
        <v>2085</v>
      </c>
      <c r="G386">
        <v>2086</v>
      </c>
      <c r="H386">
        <v>38700</v>
      </c>
    </row>
    <row r="387" spans="2:8">
      <c r="B387" t="s">
        <v>442</v>
      </c>
      <c r="C387" t="s">
        <v>218</v>
      </c>
      <c r="D387">
        <v>2086</v>
      </c>
      <c r="E387">
        <v>2087</v>
      </c>
      <c r="F387">
        <v>2085.5</v>
      </c>
      <c r="G387">
        <v>2087</v>
      </c>
      <c r="H387">
        <v>27500</v>
      </c>
    </row>
    <row r="388" spans="2:8">
      <c r="B388" t="s">
        <v>442</v>
      </c>
      <c r="C388" t="s">
        <v>219</v>
      </c>
      <c r="D388">
        <v>2087</v>
      </c>
      <c r="E388">
        <v>2087</v>
      </c>
      <c r="F388">
        <v>2085.5</v>
      </c>
      <c r="G388">
        <v>2085.5</v>
      </c>
      <c r="H388">
        <v>34400</v>
      </c>
    </row>
    <row r="389" spans="2:8">
      <c r="B389" t="s">
        <v>442</v>
      </c>
      <c r="C389" t="s">
        <v>220</v>
      </c>
      <c r="D389">
        <v>2085.5</v>
      </c>
      <c r="E389">
        <v>2086.5</v>
      </c>
      <c r="F389">
        <v>2083</v>
      </c>
      <c r="G389">
        <v>2083.5</v>
      </c>
      <c r="H389">
        <v>89300</v>
      </c>
    </row>
    <row r="390" spans="2:8">
      <c r="B390" t="s">
        <v>442</v>
      </c>
      <c r="C390" t="s">
        <v>221</v>
      </c>
      <c r="D390">
        <v>2083.5</v>
      </c>
      <c r="E390">
        <v>2085</v>
      </c>
      <c r="F390">
        <v>2083.5</v>
      </c>
      <c r="G390">
        <v>2084.5</v>
      </c>
      <c r="H390">
        <v>72700</v>
      </c>
    </row>
    <row r="391" spans="2:8">
      <c r="B391" t="s">
        <v>442</v>
      </c>
      <c r="C391" t="s">
        <v>222</v>
      </c>
      <c r="D391">
        <v>2085</v>
      </c>
      <c r="E391">
        <v>2085</v>
      </c>
      <c r="F391">
        <v>2082</v>
      </c>
      <c r="G391">
        <v>2082.5</v>
      </c>
      <c r="H391">
        <v>96000</v>
      </c>
    </row>
    <row r="392" spans="2:8">
      <c r="B392" t="s">
        <v>442</v>
      </c>
      <c r="C392" t="s">
        <v>223</v>
      </c>
      <c r="D392">
        <v>2082</v>
      </c>
      <c r="E392">
        <v>2082</v>
      </c>
      <c r="F392">
        <v>2081</v>
      </c>
      <c r="G392">
        <v>2081.5</v>
      </c>
      <c r="H392">
        <v>51200</v>
      </c>
    </row>
    <row r="393" spans="2:8">
      <c r="B393" t="s">
        <v>442</v>
      </c>
      <c r="C393" t="s">
        <v>224</v>
      </c>
      <c r="D393">
        <v>2081.5</v>
      </c>
      <c r="E393">
        <v>2082</v>
      </c>
      <c r="F393">
        <v>2081</v>
      </c>
      <c r="G393">
        <v>2081</v>
      </c>
      <c r="H393">
        <v>46200</v>
      </c>
    </row>
    <row r="394" spans="2:8">
      <c r="B394" t="s">
        <v>442</v>
      </c>
      <c r="C394" t="s">
        <v>225</v>
      </c>
      <c r="D394">
        <v>2081.5</v>
      </c>
      <c r="E394">
        <v>2082</v>
      </c>
      <c r="F394">
        <v>2080.5</v>
      </c>
      <c r="G394">
        <v>2081</v>
      </c>
      <c r="H394">
        <v>53900</v>
      </c>
    </row>
    <row r="395" spans="2:8">
      <c r="B395" t="s">
        <v>442</v>
      </c>
      <c r="C395" t="s">
        <v>226</v>
      </c>
      <c r="D395">
        <v>2081</v>
      </c>
      <c r="E395">
        <v>2081</v>
      </c>
      <c r="F395">
        <v>2078</v>
      </c>
      <c r="G395">
        <v>2078.5</v>
      </c>
      <c r="H395">
        <v>240000</v>
      </c>
    </row>
    <row r="396" spans="2:8">
      <c r="B396" t="s">
        <v>442</v>
      </c>
      <c r="C396" t="s">
        <v>227</v>
      </c>
      <c r="D396">
        <v>2078.5</v>
      </c>
      <c r="E396">
        <v>2079.5</v>
      </c>
      <c r="F396">
        <v>2077</v>
      </c>
      <c r="G396">
        <v>2079</v>
      </c>
      <c r="H396">
        <v>101000</v>
      </c>
    </row>
    <row r="397" spans="2:8">
      <c r="B397" t="s">
        <v>442</v>
      </c>
      <c r="C397" t="s">
        <v>228</v>
      </c>
      <c r="D397">
        <v>2079.5</v>
      </c>
      <c r="E397">
        <v>2080</v>
      </c>
      <c r="F397">
        <v>2079</v>
      </c>
      <c r="G397">
        <v>2079.5</v>
      </c>
      <c r="H397">
        <v>49400</v>
      </c>
    </row>
    <row r="398" spans="2:8">
      <c r="B398" t="s">
        <v>442</v>
      </c>
      <c r="C398" t="s">
        <v>229</v>
      </c>
      <c r="D398">
        <v>2080</v>
      </c>
      <c r="E398">
        <v>2081</v>
      </c>
      <c r="F398">
        <v>2079.5</v>
      </c>
      <c r="G398">
        <v>2080.5</v>
      </c>
      <c r="H398">
        <v>56500</v>
      </c>
    </row>
    <row r="399" spans="2:8">
      <c r="B399" t="s">
        <v>442</v>
      </c>
      <c r="C399" t="s">
        <v>230</v>
      </c>
      <c r="D399">
        <v>2080</v>
      </c>
      <c r="E399">
        <v>2080.5</v>
      </c>
      <c r="F399">
        <v>2078</v>
      </c>
      <c r="G399">
        <v>2078</v>
      </c>
      <c r="H399">
        <v>136300</v>
      </c>
    </row>
    <row r="400" spans="2:8">
      <c r="B400" t="s">
        <v>442</v>
      </c>
      <c r="C400" t="s">
        <v>231</v>
      </c>
      <c r="D400">
        <v>2077.5</v>
      </c>
      <c r="E400">
        <v>2077.5</v>
      </c>
      <c r="F400">
        <v>2076</v>
      </c>
      <c r="G400">
        <v>2076.5</v>
      </c>
      <c r="H400">
        <v>132100</v>
      </c>
    </row>
    <row r="401" spans="2:8">
      <c r="B401" t="s">
        <v>442</v>
      </c>
      <c r="C401" t="s">
        <v>232</v>
      </c>
      <c r="D401">
        <v>2076</v>
      </c>
      <c r="E401">
        <v>2076.5</v>
      </c>
      <c r="F401">
        <v>2073</v>
      </c>
      <c r="G401">
        <v>2074</v>
      </c>
      <c r="H401">
        <v>422200</v>
      </c>
    </row>
    <row r="402" spans="2:8">
      <c r="B402" t="s">
        <v>442</v>
      </c>
      <c r="C402" t="s">
        <v>233</v>
      </c>
      <c r="D402">
        <v>2074.5</v>
      </c>
      <c r="E402">
        <v>2075</v>
      </c>
      <c r="F402">
        <v>2073</v>
      </c>
      <c r="G402">
        <v>2073</v>
      </c>
      <c r="H402">
        <v>88500</v>
      </c>
    </row>
    <row r="403" spans="2:8">
      <c r="B403" t="s">
        <v>442</v>
      </c>
      <c r="C403" t="s">
        <v>234</v>
      </c>
      <c r="D403">
        <v>2073</v>
      </c>
      <c r="E403">
        <v>2075</v>
      </c>
      <c r="F403">
        <v>2072</v>
      </c>
      <c r="G403">
        <v>2074</v>
      </c>
      <c r="H403">
        <v>158200</v>
      </c>
    </row>
    <row r="404" spans="2:8">
      <c r="B404" t="s">
        <v>442</v>
      </c>
      <c r="C404" t="s">
        <v>235</v>
      </c>
      <c r="D404">
        <v>2074</v>
      </c>
      <c r="E404">
        <v>2076</v>
      </c>
      <c r="F404">
        <v>2074</v>
      </c>
      <c r="G404">
        <v>2075.5</v>
      </c>
      <c r="H404">
        <v>41800</v>
      </c>
    </row>
    <row r="405" spans="2:8">
      <c r="B405" t="s">
        <v>442</v>
      </c>
      <c r="C405" t="s">
        <v>236</v>
      </c>
      <c r="D405">
        <v>2076</v>
      </c>
      <c r="E405">
        <v>2076</v>
      </c>
      <c r="F405">
        <v>2074</v>
      </c>
      <c r="G405">
        <v>2075</v>
      </c>
      <c r="H405">
        <v>52900</v>
      </c>
    </row>
    <row r="406" spans="2:8">
      <c r="B406" t="s">
        <v>442</v>
      </c>
      <c r="C406" t="s">
        <v>237</v>
      </c>
      <c r="D406">
        <v>2075.5</v>
      </c>
      <c r="E406">
        <v>2076</v>
      </c>
      <c r="F406">
        <v>2074.5</v>
      </c>
      <c r="G406">
        <v>2074.5</v>
      </c>
      <c r="H406">
        <v>60900</v>
      </c>
    </row>
    <row r="407" spans="2:8">
      <c r="B407" t="s">
        <v>442</v>
      </c>
      <c r="C407" t="s">
        <v>238</v>
      </c>
      <c r="D407">
        <v>2074.5</v>
      </c>
      <c r="E407">
        <v>2074.5</v>
      </c>
      <c r="F407">
        <v>2073</v>
      </c>
      <c r="G407">
        <v>2073.5</v>
      </c>
      <c r="H407">
        <v>33300</v>
      </c>
    </row>
    <row r="408" spans="2:8">
      <c r="B408" t="s">
        <v>442</v>
      </c>
      <c r="C408" t="s">
        <v>239</v>
      </c>
      <c r="D408">
        <v>2073</v>
      </c>
      <c r="E408">
        <v>2074.5</v>
      </c>
      <c r="F408">
        <v>2073</v>
      </c>
      <c r="G408">
        <v>2074.5</v>
      </c>
      <c r="H408">
        <v>41400</v>
      </c>
    </row>
    <row r="409" spans="2:8">
      <c r="B409" t="s">
        <v>442</v>
      </c>
      <c r="C409" t="s">
        <v>240</v>
      </c>
      <c r="D409">
        <v>2074</v>
      </c>
      <c r="E409">
        <v>2075</v>
      </c>
      <c r="F409">
        <v>2073</v>
      </c>
      <c r="G409">
        <v>2074</v>
      </c>
      <c r="H409">
        <v>138900</v>
      </c>
    </row>
    <row r="410" spans="2:8">
      <c r="B410" t="s">
        <v>442</v>
      </c>
      <c r="C410" t="s">
        <v>241</v>
      </c>
      <c r="D410">
        <v>2074.5</v>
      </c>
      <c r="E410">
        <v>2076.5</v>
      </c>
      <c r="F410">
        <v>2074</v>
      </c>
      <c r="G410">
        <v>2076.5</v>
      </c>
      <c r="H410">
        <v>112700</v>
      </c>
    </row>
    <row r="411" spans="2:8">
      <c r="B411" t="s">
        <v>442</v>
      </c>
      <c r="C411" t="s">
        <v>242</v>
      </c>
      <c r="D411">
        <v>2076.5</v>
      </c>
      <c r="E411">
        <v>2078</v>
      </c>
      <c r="F411">
        <v>2075.5</v>
      </c>
      <c r="G411">
        <v>2076.5</v>
      </c>
      <c r="H411">
        <v>57800</v>
      </c>
    </row>
    <row r="412" spans="2:8">
      <c r="B412" t="s">
        <v>442</v>
      </c>
      <c r="C412" t="s">
        <v>243</v>
      </c>
      <c r="D412">
        <v>2077</v>
      </c>
      <c r="E412">
        <v>2077</v>
      </c>
      <c r="F412">
        <v>2076</v>
      </c>
      <c r="G412">
        <v>2076</v>
      </c>
      <c r="H412">
        <v>17000</v>
      </c>
    </row>
    <row r="413" spans="2:8">
      <c r="B413" t="s">
        <v>442</v>
      </c>
      <c r="C413" t="s">
        <v>244</v>
      </c>
      <c r="D413">
        <v>2076</v>
      </c>
      <c r="E413">
        <v>2076.5</v>
      </c>
      <c r="F413">
        <v>2075</v>
      </c>
      <c r="G413">
        <v>2075.5</v>
      </c>
      <c r="H413">
        <v>89700</v>
      </c>
    </row>
    <row r="414" spans="2:8">
      <c r="B414" t="s">
        <v>442</v>
      </c>
      <c r="C414" t="s">
        <v>245</v>
      </c>
      <c r="D414">
        <v>2075.5</v>
      </c>
      <c r="E414">
        <v>2076</v>
      </c>
      <c r="F414">
        <v>2075.5</v>
      </c>
      <c r="G414">
        <v>2075.5</v>
      </c>
      <c r="H414">
        <v>34400</v>
      </c>
    </row>
    <row r="415" spans="2:8">
      <c r="B415" t="s">
        <v>442</v>
      </c>
      <c r="C415" t="s">
        <v>246</v>
      </c>
      <c r="D415">
        <v>2075</v>
      </c>
      <c r="E415">
        <v>2075</v>
      </c>
      <c r="F415">
        <v>2073</v>
      </c>
      <c r="G415">
        <v>2073.5</v>
      </c>
      <c r="H415">
        <v>107300</v>
      </c>
    </row>
    <row r="416" spans="2:8">
      <c r="B416" t="s">
        <v>442</v>
      </c>
      <c r="C416" t="s">
        <v>247</v>
      </c>
      <c r="D416">
        <v>2073</v>
      </c>
      <c r="E416">
        <v>2073.5</v>
      </c>
      <c r="F416">
        <v>2070.5</v>
      </c>
      <c r="G416">
        <v>2070.5</v>
      </c>
      <c r="H416">
        <v>204900</v>
      </c>
    </row>
    <row r="417" spans="2:8">
      <c r="B417" t="s">
        <v>442</v>
      </c>
      <c r="C417" t="s">
        <v>248</v>
      </c>
      <c r="D417">
        <v>2071</v>
      </c>
      <c r="E417">
        <v>2071</v>
      </c>
      <c r="F417">
        <v>2067</v>
      </c>
      <c r="G417">
        <v>2067.5</v>
      </c>
      <c r="H417">
        <v>707300</v>
      </c>
    </row>
    <row r="418" spans="2:8">
      <c r="B418" t="s">
        <v>442</v>
      </c>
      <c r="C418" t="s">
        <v>249</v>
      </c>
      <c r="D418">
        <v>2067</v>
      </c>
      <c r="E418">
        <v>2068.5</v>
      </c>
      <c r="F418">
        <v>2067</v>
      </c>
      <c r="G418">
        <v>2068</v>
      </c>
      <c r="H418">
        <v>77000</v>
      </c>
    </row>
    <row r="419" spans="2:8">
      <c r="B419" t="s">
        <v>442</v>
      </c>
      <c r="C419" t="s">
        <v>250</v>
      </c>
      <c r="D419">
        <v>2068.5</v>
      </c>
      <c r="E419">
        <v>2069</v>
      </c>
      <c r="F419">
        <v>2067.5</v>
      </c>
      <c r="G419">
        <v>2068.5</v>
      </c>
      <c r="H419">
        <v>41300</v>
      </c>
    </row>
    <row r="420" spans="2:8">
      <c r="B420" t="s">
        <v>442</v>
      </c>
      <c r="C420" t="s">
        <v>251</v>
      </c>
      <c r="D420">
        <v>2068</v>
      </c>
      <c r="E420">
        <v>2069.5</v>
      </c>
      <c r="F420">
        <v>2068</v>
      </c>
      <c r="G420">
        <v>2068.5</v>
      </c>
      <c r="H420">
        <v>63500</v>
      </c>
    </row>
    <row r="421" spans="2:8">
      <c r="B421" t="s">
        <v>442</v>
      </c>
      <c r="C421" t="s">
        <v>252</v>
      </c>
      <c r="D421">
        <v>2068.5</v>
      </c>
      <c r="E421">
        <v>2071.5</v>
      </c>
      <c r="F421">
        <v>2068.5</v>
      </c>
      <c r="G421">
        <v>2071</v>
      </c>
      <c r="H421">
        <v>94800</v>
      </c>
    </row>
    <row r="422" spans="2:8">
      <c r="B422" t="s">
        <v>442</v>
      </c>
      <c r="C422" t="s">
        <v>253</v>
      </c>
      <c r="D422">
        <v>2071</v>
      </c>
      <c r="E422">
        <v>2071.5</v>
      </c>
      <c r="F422">
        <v>2070.5</v>
      </c>
      <c r="G422">
        <v>2071</v>
      </c>
      <c r="H422">
        <v>26500</v>
      </c>
    </row>
    <row r="423" spans="2:8">
      <c r="B423" t="s">
        <v>442</v>
      </c>
      <c r="C423" t="s">
        <v>254</v>
      </c>
      <c r="D423">
        <v>2071</v>
      </c>
      <c r="E423">
        <v>2071</v>
      </c>
      <c r="F423">
        <v>2069</v>
      </c>
      <c r="G423">
        <v>2069</v>
      </c>
      <c r="H423">
        <v>72200</v>
      </c>
    </row>
    <row r="424" spans="2:8">
      <c r="B424" t="s">
        <v>442</v>
      </c>
      <c r="C424" t="s">
        <v>255</v>
      </c>
      <c r="D424">
        <v>2069</v>
      </c>
      <c r="E424">
        <v>2071</v>
      </c>
      <c r="F424">
        <v>2069</v>
      </c>
      <c r="G424">
        <v>2071</v>
      </c>
      <c r="H424">
        <v>41100</v>
      </c>
    </row>
    <row r="425" spans="2:8">
      <c r="B425" t="s">
        <v>442</v>
      </c>
      <c r="C425" t="s">
        <v>256</v>
      </c>
      <c r="D425">
        <v>2070.5</v>
      </c>
      <c r="E425">
        <v>2070.5</v>
      </c>
      <c r="F425">
        <v>2069.5</v>
      </c>
      <c r="G425">
        <v>2070</v>
      </c>
      <c r="H425">
        <v>35100</v>
      </c>
    </row>
    <row r="426" spans="2:8">
      <c r="B426" t="s">
        <v>442</v>
      </c>
      <c r="C426" t="s">
        <v>257</v>
      </c>
      <c r="D426">
        <v>2070</v>
      </c>
      <c r="E426">
        <v>2071.5</v>
      </c>
      <c r="F426">
        <v>2069.5</v>
      </c>
      <c r="G426">
        <v>2071</v>
      </c>
      <c r="H426">
        <v>63700</v>
      </c>
    </row>
    <row r="427" spans="2:8">
      <c r="B427" t="s">
        <v>442</v>
      </c>
      <c r="C427" t="s">
        <v>258</v>
      </c>
      <c r="D427">
        <v>2071.5</v>
      </c>
      <c r="E427">
        <v>2071.5</v>
      </c>
      <c r="F427">
        <v>2070.5</v>
      </c>
      <c r="G427">
        <v>2070.5</v>
      </c>
      <c r="H427">
        <v>16400</v>
      </c>
    </row>
    <row r="428" spans="2:8">
      <c r="B428" t="s">
        <v>442</v>
      </c>
      <c r="C428" t="s">
        <v>259</v>
      </c>
      <c r="D428">
        <v>2071</v>
      </c>
      <c r="E428">
        <v>2071.5</v>
      </c>
      <c r="F428">
        <v>2070.5</v>
      </c>
      <c r="G428">
        <v>2071</v>
      </c>
      <c r="H428">
        <v>46900</v>
      </c>
    </row>
    <row r="429" spans="2:8">
      <c r="B429" t="s">
        <v>442</v>
      </c>
      <c r="C429" t="s">
        <v>260</v>
      </c>
      <c r="D429">
        <v>2071</v>
      </c>
      <c r="E429">
        <v>2071</v>
      </c>
      <c r="F429">
        <v>2068</v>
      </c>
      <c r="G429">
        <v>2069.5</v>
      </c>
      <c r="H429">
        <v>257000</v>
      </c>
    </row>
    <row r="430" spans="2:8">
      <c r="B430" t="s">
        <v>442</v>
      </c>
      <c r="C430" t="s">
        <v>261</v>
      </c>
      <c r="D430">
        <v>2069</v>
      </c>
      <c r="E430">
        <v>2069.5</v>
      </c>
      <c r="F430">
        <v>2068.5</v>
      </c>
      <c r="G430">
        <v>2069.5</v>
      </c>
      <c r="H430">
        <v>13400</v>
      </c>
    </row>
    <row r="431" spans="2:8">
      <c r="B431" t="s">
        <v>442</v>
      </c>
      <c r="C431" t="s">
        <v>262</v>
      </c>
      <c r="D431">
        <v>2069</v>
      </c>
      <c r="E431">
        <v>2069.5</v>
      </c>
      <c r="F431">
        <v>2068</v>
      </c>
      <c r="G431">
        <v>2069.5</v>
      </c>
      <c r="H431">
        <v>57100</v>
      </c>
    </row>
    <row r="432" spans="2:8">
      <c r="B432" t="s">
        <v>442</v>
      </c>
      <c r="C432" t="s">
        <v>263</v>
      </c>
      <c r="D432">
        <v>2069.5</v>
      </c>
      <c r="E432">
        <v>2072</v>
      </c>
      <c r="F432">
        <v>2069.5</v>
      </c>
      <c r="G432">
        <v>2072</v>
      </c>
      <c r="H432">
        <v>68400</v>
      </c>
    </row>
    <row r="433" spans="2:8">
      <c r="B433" t="s">
        <v>442</v>
      </c>
      <c r="C433" t="s">
        <v>264</v>
      </c>
      <c r="D433">
        <v>2071.5</v>
      </c>
      <c r="E433">
        <v>2073</v>
      </c>
      <c r="F433">
        <v>2071</v>
      </c>
      <c r="G433">
        <v>2072.5</v>
      </c>
      <c r="H433">
        <v>61000</v>
      </c>
    </row>
    <row r="434" spans="2:8">
      <c r="B434" t="s">
        <v>442</v>
      </c>
      <c r="C434" t="s">
        <v>265</v>
      </c>
      <c r="D434">
        <v>2072</v>
      </c>
      <c r="E434">
        <v>2072</v>
      </c>
      <c r="F434">
        <v>2068</v>
      </c>
      <c r="G434">
        <v>2068.5</v>
      </c>
      <c r="H434">
        <v>97900</v>
      </c>
    </row>
    <row r="435" spans="2:8">
      <c r="B435" t="s">
        <v>442</v>
      </c>
      <c r="C435" t="s">
        <v>266</v>
      </c>
      <c r="D435">
        <v>2068</v>
      </c>
      <c r="E435">
        <v>2070</v>
      </c>
      <c r="F435">
        <v>2068</v>
      </c>
      <c r="G435">
        <v>2069.5</v>
      </c>
      <c r="H435">
        <v>26800</v>
      </c>
    </row>
    <row r="436" spans="2:8">
      <c r="B436" t="s">
        <v>442</v>
      </c>
      <c r="C436" t="s">
        <v>267</v>
      </c>
      <c r="D436">
        <v>2070</v>
      </c>
      <c r="E436">
        <v>2071</v>
      </c>
      <c r="F436">
        <v>2069.5</v>
      </c>
      <c r="G436">
        <v>2070.5</v>
      </c>
      <c r="H436">
        <v>55900</v>
      </c>
    </row>
    <row r="437" spans="2:8">
      <c r="B437" t="s">
        <v>442</v>
      </c>
      <c r="C437" t="s">
        <v>268</v>
      </c>
      <c r="D437">
        <v>2070.5</v>
      </c>
      <c r="E437">
        <v>2071</v>
      </c>
      <c r="F437">
        <v>2069.5</v>
      </c>
      <c r="G437">
        <v>2070</v>
      </c>
      <c r="H437">
        <v>57500</v>
      </c>
    </row>
    <row r="438" spans="2:8">
      <c r="B438" t="s">
        <v>442</v>
      </c>
      <c r="C438" t="s">
        <v>269</v>
      </c>
      <c r="D438">
        <v>2070.5</v>
      </c>
      <c r="E438">
        <v>2072.5</v>
      </c>
      <c r="F438">
        <v>2070.5</v>
      </c>
      <c r="G438">
        <v>2071.5</v>
      </c>
      <c r="H438">
        <v>50100</v>
      </c>
    </row>
    <row r="439" spans="2:8">
      <c r="B439" t="s">
        <v>442</v>
      </c>
      <c r="C439" t="s">
        <v>270</v>
      </c>
      <c r="D439">
        <v>2072</v>
      </c>
      <c r="E439">
        <v>2072</v>
      </c>
      <c r="F439">
        <v>2071</v>
      </c>
      <c r="G439">
        <v>2071</v>
      </c>
      <c r="H439">
        <v>23000</v>
      </c>
    </row>
    <row r="440" spans="2:8">
      <c r="B440" t="s">
        <v>442</v>
      </c>
      <c r="C440" t="s">
        <v>271</v>
      </c>
      <c r="D440">
        <v>2071</v>
      </c>
      <c r="E440">
        <v>2072.5</v>
      </c>
      <c r="F440">
        <v>2070.5</v>
      </c>
      <c r="G440">
        <v>2072.5</v>
      </c>
      <c r="H440">
        <v>43600</v>
      </c>
    </row>
    <row r="441" spans="2:8">
      <c r="B441" t="s">
        <v>442</v>
      </c>
      <c r="C441" t="s">
        <v>272</v>
      </c>
      <c r="D441">
        <v>2072</v>
      </c>
      <c r="E441">
        <v>2073.5</v>
      </c>
      <c r="F441">
        <v>2072</v>
      </c>
      <c r="G441">
        <v>2073.5</v>
      </c>
      <c r="H441">
        <v>65200</v>
      </c>
    </row>
    <row r="442" spans="2:8">
      <c r="B442" t="s">
        <v>442</v>
      </c>
      <c r="C442" t="s">
        <v>273</v>
      </c>
      <c r="D442">
        <v>2073</v>
      </c>
      <c r="E442">
        <v>2074</v>
      </c>
      <c r="F442">
        <v>2073</v>
      </c>
      <c r="G442">
        <v>2073.5</v>
      </c>
      <c r="H442">
        <v>42800</v>
      </c>
    </row>
    <row r="443" spans="2:8">
      <c r="B443" t="s">
        <v>442</v>
      </c>
      <c r="C443" t="s">
        <v>274</v>
      </c>
      <c r="D443">
        <v>2073</v>
      </c>
      <c r="E443">
        <v>2073.5</v>
      </c>
      <c r="F443">
        <v>2073</v>
      </c>
      <c r="G443">
        <v>2073</v>
      </c>
      <c r="H443">
        <v>19500</v>
      </c>
    </row>
    <row r="444" spans="2:8">
      <c r="B444" t="s">
        <v>442</v>
      </c>
      <c r="C444" t="s">
        <v>275</v>
      </c>
      <c r="D444">
        <v>2073</v>
      </c>
      <c r="E444">
        <v>2073</v>
      </c>
      <c r="F444">
        <v>2071.5</v>
      </c>
      <c r="G444">
        <v>2071.5</v>
      </c>
      <c r="H444">
        <v>42900</v>
      </c>
    </row>
    <row r="445" spans="2:8">
      <c r="B445" t="s">
        <v>442</v>
      </c>
      <c r="C445" t="s">
        <v>276</v>
      </c>
      <c r="D445">
        <v>2071.5</v>
      </c>
      <c r="E445">
        <v>2071.5</v>
      </c>
      <c r="F445">
        <v>2070.5</v>
      </c>
      <c r="G445">
        <v>2071.5</v>
      </c>
      <c r="H445">
        <v>20500</v>
      </c>
    </row>
    <row r="446" spans="2:8">
      <c r="B446" t="s">
        <v>442</v>
      </c>
      <c r="C446" t="s">
        <v>277</v>
      </c>
      <c r="D446">
        <v>2071</v>
      </c>
      <c r="E446">
        <v>2072.5</v>
      </c>
      <c r="F446">
        <v>2071</v>
      </c>
      <c r="G446">
        <v>2072</v>
      </c>
      <c r="H446">
        <v>22600</v>
      </c>
    </row>
    <row r="447" spans="2:8">
      <c r="B447" t="s">
        <v>442</v>
      </c>
      <c r="C447" t="s">
        <v>278</v>
      </c>
      <c r="D447">
        <v>2072</v>
      </c>
      <c r="E447">
        <v>2073.5</v>
      </c>
      <c r="F447">
        <v>2072</v>
      </c>
      <c r="G447">
        <v>2073</v>
      </c>
      <c r="H447">
        <v>39800</v>
      </c>
    </row>
    <row r="448" spans="2:8">
      <c r="B448" t="s">
        <v>442</v>
      </c>
      <c r="C448" t="s">
        <v>279</v>
      </c>
      <c r="D448">
        <v>2073</v>
      </c>
      <c r="E448">
        <v>2073</v>
      </c>
      <c r="F448">
        <v>2071.5</v>
      </c>
      <c r="G448">
        <v>2072</v>
      </c>
      <c r="H448">
        <v>43400</v>
      </c>
    </row>
    <row r="449" spans="2:8">
      <c r="B449" t="s">
        <v>442</v>
      </c>
      <c r="C449" t="s">
        <v>280</v>
      </c>
      <c r="D449">
        <v>2072</v>
      </c>
      <c r="E449">
        <v>2075</v>
      </c>
      <c r="F449">
        <v>2072</v>
      </c>
      <c r="G449">
        <v>2074.5</v>
      </c>
      <c r="H449">
        <v>134400</v>
      </c>
    </row>
    <row r="450" spans="2:8">
      <c r="B450" t="s">
        <v>442</v>
      </c>
      <c r="C450" t="s">
        <v>281</v>
      </c>
      <c r="D450">
        <v>2074.5</v>
      </c>
      <c r="E450">
        <v>2075</v>
      </c>
      <c r="F450">
        <v>2074</v>
      </c>
      <c r="G450">
        <v>2074.5</v>
      </c>
      <c r="H450">
        <v>37200</v>
      </c>
    </row>
    <row r="451" spans="2:8">
      <c r="B451" t="s">
        <v>442</v>
      </c>
      <c r="C451" t="s">
        <v>282</v>
      </c>
      <c r="D451">
        <v>2074.5</v>
      </c>
      <c r="E451">
        <v>2074.5</v>
      </c>
      <c r="F451">
        <v>2073.5</v>
      </c>
      <c r="G451">
        <v>2074</v>
      </c>
      <c r="H451">
        <v>51000</v>
      </c>
    </row>
    <row r="452" spans="2:8">
      <c r="B452" t="s">
        <v>442</v>
      </c>
      <c r="C452" t="s">
        <v>283</v>
      </c>
      <c r="D452">
        <v>2074</v>
      </c>
      <c r="E452">
        <v>2074</v>
      </c>
      <c r="F452">
        <v>2072</v>
      </c>
      <c r="G452">
        <v>2073</v>
      </c>
      <c r="H452">
        <v>38400</v>
      </c>
    </row>
    <row r="453" spans="2:8">
      <c r="B453" t="s">
        <v>442</v>
      </c>
      <c r="C453" t="s">
        <v>284</v>
      </c>
      <c r="D453">
        <v>2072.5</v>
      </c>
      <c r="E453">
        <v>2073</v>
      </c>
      <c r="F453">
        <v>2072.5</v>
      </c>
      <c r="G453">
        <v>2072.5</v>
      </c>
      <c r="H453">
        <v>9600</v>
      </c>
    </row>
    <row r="454" spans="2:8">
      <c r="B454" t="s">
        <v>442</v>
      </c>
      <c r="C454" t="s">
        <v>285</v>
      </c>
      <c r="D454">
        <v>2072.5</v>
      </c>
      <c r="E454">
        <v>2073</v>
      </c>
      <c r="F454">
        <v>2071.5</v>
      </c>
      <c r="G454">
        <v>2072.5</v>
      </c>
      <c r="H454">
        <v>60600</v>
      </c>
    </row>
    <row r="455" spans="2:8">
      <c r="B455" t="s">
        <v>442</v>
      </c>
      <c r="C455" t="s">
        <v>286</v>
      </c>
      <c r="D455">
        <v>2072</v>
      </c>
      <c r="E455">
        <v>2072.5</v>
      </c>
      <c r="F455">
        <v>2071</v>
      </c>
      <c r="G455">
        <v>2071.5</v>
      </c>
      <c r="H455">
        <v>50400</v>
      </c>
    </row>
    <row r="456" spans="2:8">
      <c r="B456" t="s">
        <v>442</v>
      </c>
      <c r="C456" t="s">
        <v>287</v>
      </c>
      <c r="D456">
        <v>2071.5</v>
      </c>
      <c r="E456">
        <v>2071.5</v>
      </c>
      <c r="F456">
        <v>2070</v>
      </c>
      <c r="G456">
        <v>2071</v>
      </c>
      <c r="H456">
        <v>60200</v>
      </c>
    </row>
    <row r="457" spans="2:8">
      <c r="B457" t="s">
        <v>442</v>
      </c>
      <c r="C457" t="s">
        <v>288</v>
      </c>
      <c r="D457">
        <v>2071.5</v>
      </c>
      <c r="E457">
        <v>2073</v>
      </c>
      <c r="F457">
        <v>2071</v>
      </c>
      <c r="G457">
        <v>2072.5</v>
      </c>
      <c r="H457">
        <v>33300</v>
      </c>
    </row>
    <row r="458" spans="2:8">
      <c r="B458" t="s">
        <v>442</v>
      </c>
      <c r="C458" t="s">
        <v>289</v>
      </c>
      <c r="D458">
        <v>2073</v>
      </c>
      <c r="E458">
        <v>2073</v>
      </c>
      <c r="F458">
        <v>2072</v>
      </c>
      <c r="G458">
        <v>2073</v>
      </c>
      <c r="H458">
        <v>25800</v>
      </c>
    </row>
    <row r="459" spans="2:8">
      <c r="B459" t="s">
        <v>442</v>
      </c>
      <c r="C459" t="s">
        <v>290</v>
      </c>
      <c r="D459">
        <v>2072.5</v>
      </c>
      <c r="E459">
        <v>2072.5</v>
      </c>
      <c r="F459">
        <v>2070.5</v>
      </c>
      <c r="G459">
        <v>2072.5</v>
      </c>
      <c r="H459">
        <v>63600</v>
      </c>
    </row>
    <row r="460" spans="2:8">
      <c r="B460" t="s">
        <v>442</v>
      </c>
      <c r="C460" t="s">
        <v>291</v>
      </c>
      <c r="D460">
        <v>2072</v>
      </c>
      <c r="E460">
        <v>2073.5</v>
      </c>
      <c r="F460">
        <v>2071.5</v>
      </c>
      <c r="G460">
        <v>2073.5</v>
      </c>
      <c r="H460">
        <v>49500</v>
      </c>
    </row>
    <row r="461" spans="2:8">
      <c r="B461" t="s">
        <v>442</v>
      </c>
      <c r="C461" t="s">
        <v>292</v>
      </c>
      <c r="D461">
        <v>2074</v>
      </c>
      <c r="E461">
        <v>2074.5</v>
      </c>
      <c r="F461">
        <v>2072.5</v>
      </c>
      <c r="G461">
        <v>2073.5</v>
      </c>
      <c r="H461">
        <v>35300</v>
      </c>
    </row>
    <row r="462" spans="2:8">
      <c r="B462" t="s">
        <v>442</v>
      </c>
      <c r="C462" t="s">
        <v>293</v>
      </c>
      <c r="D462">
        <v>2073.5</v>
      </c>
      <c r="E462">
        <v>2074</v>
      </c>
      <c r="F462">
        <v>2073</v>
      </c>
      <c r="G462">
        <v>2073.5</v>
      </c>
      <c r="H462">
        <v>6800</v>
      </c>
    </row>
    <row r="463" spans="2:8">
      <c r="B463" t="s">
        <v>442</v>
      </c>
      <c r="C463" t="s">
        <v>294</v>
      </c>
      <c r="D463">
        <v>2073</v>
      </c>
      <c r="E463">
        <v>2073.5</v>
      </c>
      <c r="F463">
        <v>2071.5</v>
      </c>
      <c r="G463">
        <v>2072.5</v>
      </c>
      <c r="H463">
        <v>102000</v>
      </c>
    </row>
    <row r="464" spans="2:8">
      <c r="B464" t="s">
        <v>442</v>
      </c>
      <c r="C464" t="s">
        <v>295</v>
      </c>
      <c r="D464">
        <v>2072</v>
      </c>
      <c r="E464">
        <v>2072.5</v>
      </c>
      <c r="F464">
        <v>2071.5</v>
      </c>
      <c r="G464">
        <v>2072.5</v>
      </c>
      <c r="H464">
        <v>11200</v>
      </c>
    </row>
    <row r="465" spans="2:8">
      <c r="B465" t="s">
        <v>442</v>
      </c>
      <c r="C465" t="s">
        <v>296</v>
      </c>
      <c r="D465">
        <v>2072.5</v>
      </c>
      <c r="E465">
        <v>2073</v>
      </c>
      <c r="F465">
        <v>2071.5</v>
      </c>
      <c r="G465">
        <v>2072</v>
      </c>
      <c r="H465">
        <v>21400</v>
      </c>
    </row>
    <row r="466" spans="2:8">
      <c r="B466" t="s">
        <v>442</v>
      </c>
      <c r="C466" t="s">
        <v>297</v>
      </c>
      <c r="D466">
        <v>2071.5</v>
      </c>
      <c r="E466">
        <v>2072</v>
      </c>
      <c r="F466">
        <v>2071</v>
      </c>
      <c r="G466">
        <v>2071.5</v>
      </c>
      <c r="H466">
        <v>43600</v>
      </c>
    </row>
    <row r="467" spans="2:8">
      <c r="B467" t="s">
        <v>442</v>
      </c>
      <c r="C467" t="s">
        <v>298</v>
      </c>
      <c r="D467">
        <v>2071.5</v>
      </c>
      <c r="E467">
        <v>2072</v>
      </c>
      <c r="F467">
        <v>2071</v>
      </c>
      <c r="G467">
        <v>2072</v>
      </c>
      <c r="H467">
        <v>16900</v>
      </c>
    </row>
    <row r="468" spans="2:8">
      <c r="B468" t="s">
        <v>442</v>
      </c>
      <c r="C468" t="s">
        <v>299</v>
      </c>
      <c r="D468">
        <v>2071.5</v>
      </c>
      <c r="E468">
        <v>2072</v>
      </c>
      <c r="F468">
        <v>2071</v>
      </c>
      <c r="G468">
        <v>2071.5</v>
      </c>
      <c r="H468">
        <v>22600</v>
      </c>
    </row>
    <row r="469" spans="2:8">
      <c r="B469" t="s">
        <v>442</v>
      </c>
      <c r="C469" t="s">
        <v>300</v>
      </c>
      <c r="D469">
        <v>2071.5</v>
      </c>
      <c r="E469">
        <v>2072</v>
      </c>
      <c r="F469">
        <v>2071</v>
      </c>
      <c r="G469">
        <v>2071</v>
      </c>
      <c r="H469">
        <v>40700</v>
      </c>
    </row>
    <row r="470" spans="2:8">
      <c r="B470" t="s">
        <v>442</v>
      </c>
      <c r="C470" t="s">
        <v>301</v>
      </c>
      <c r="D470">
        <v>2071</v>
      </c>
      <c r="E470">
        <v>2071</v>
      </c>
      <c r="F470">
        <v>2070</v>
      </c>
      <c r="G470">
        <v>2070.5</v>
      </c>
      <c r="H470">
        <v>98300</v>
      </c>
    </row>
    <row r="471" spans="2:8">
      <c r="B471" t="s">
        <v>442</v>
      </c>
      <c r="C471" t="s">
        <v>302</v>
      </c>
      <c r="D471">
        <v>2070</v>
      </c>
      <c r="E471">
        <v>2070.5</v>
      </c>
      <c r="F471">
        <v>2070</v>
      </c>
      <c r="G471">
        <v>2070</v>
      </c>
      <c r="H471">
        <v>64800</v>
      </c>
    </row>
    <row r="472" spans="2:8">
      <c r="B472" t="s">
        <v>442</v>
      </c>
      <c r="C472" t="s">
        <v>303</v>
      </c>
      <c r="D472">
        <v>2070</v>
      </c>
      <c r="E472">
        <v>2070.5</v>
      </c>
      <c r="F472">
        <v>2069.5</v>
      </c>
      <c r="G472">
        <v>2069.5</v>
      </c>
      <c r="H472">
        <v>108500</v>
      </c>
    </row>
    <row r="473" spans="2:8">
      <c r="B473" t="s">
        <v>442</v>
      </c>
      <c r="C473" t="s">
        <v>304</v>
      </c>
      <c r="D473">
        <v>2069.5</v>
      </c>
      <c r="E473">
        <v>2069.5</v>
      </c>
      <c r="F473">
        <v>2068.5</v>
      </c>
      <c r="G473">
        <v>2069</v>
      </c>
      <c r="H473">
        <v>37800</v>
      </c>
    </row>
    <row r="474" spans="2:8">
      <c r="B474" t="s">
        <v>442</v>
      </c>
      <c r="C474" t="s">
        <v>305</v>
      </c>
      <c r="D474">
        <v>2069</v>
      </c>
      <c r="E474">
        <v>2071</v>
      </c>
      <c r="F474">
        <v>2068.5</v>
      </c>
      <c r="G474">
        <v>2069.5</v>
      </c>
      <c r="H474">
        <v>60300</v>
      </c>
    </row>
    <row r="475" spans="2:8">
      <c r="B475" t="s">
        <v>442</v>
      </c>
      <c r="C475" t="s">
        <v>306</v>
      </c>
      <c r="D475">
        <v>2070</v>
      </c>
      <c r="E475">
        <v>2071</v>
      </c>
      <c r="F475">
        <v>2069.5</v>
      </c>
      <c r="G475">
        <v>2070</v>
      </c>
      <c r="H475">
        <v>70400</v>
      </c>
    </row>
    <row r="476" spans="2:8">
      <c r="B476" t="s">
        <v>442</v>
      </c>
      <c r="C476" t="s">
        <v>307</v>
      </c>
      <c r="D476">
        <v>2070</v>
      </c>
      <c r="E476">
        <v>2071.5</v>
      </c>
      <c r="F476">
        <v>2070</v>
      </c>
      <c r="G476">
        <v>2070.5</v>
      </c>
      <c r="H476">
        <v>26500</v>
      </c>
    </row>
    <row r="477" spans="2:8">
      <c r="B477" t="s">
        <v>442</v>
      </c>
      <c r="C477" t="s">
        <v>308</v>
      </c>
      <c r="D477">
        <v>2070.5</v>
      </c>
      <c r="E477">
        <v>2071</v>
      </c>
      <c r="F477">
        <v>2069.5</v>
      </c>
      <c r="G477">
        <v>2069.5</v>
      </c>
      <c r="H477">
        <v>19400</v>
      </c>
    </row>
    <row r="478" spans="2:8">
      <c r="B478" t="s">
        <v>442</v>
      </c>
      <c r="C478" t="s">
        <v>309</v>
      </c>
      <c r="D478">
        <v>2069.5</v>
      </c>
      <c r="E478">
        <v>2070</v>
      </c>
      <c r="F478">
        <v>2069.5</v>
      </c>
      <c r="G478">
        <v>2069.5</v>
      </c>
      <c r="H478">
        <v>30800</v>
      </c>
    </row>
    <row r="479" spans="2:8">
      <c r="B479" t="s">
        <v>442</v>
      </c>
      <c r="C479" t="s">
        <v>310</v>
      </c>
      <c r="D479">
        <v>2069.5</v>
      </c>
      <c r="E479">
        <v>2071.5</v>
      </c>
      <c r="F479">
        <v>2069</v>
      </c>
      <c r="G479">
        <v>2071.5</v>
      </c>
      <c r="H479">
        <v>52800</v>
      </c>
    </row>
    <row r="480" spans="2:8">
      <c r="B480" t="s">
        <v>442</v>
      </c>
      <c r="C480" t="s">
        <v>311</v>
      </c>
      <c r="D480">
        <v>2071</v>
      </c>
      <c r="E480">
        <v>2071</v>
      </c>
      <c r="F480">
        <v>2070.5</v>
      </c>
      <c r="G480">
        <v>2070.5</v>
      </c>
      <c r="H480">
        <v>9700</v>
      </c>
    </row>
    <row r="481" spans="2:8">
      <c r="B481" t="s">
        <v>442</v>
      </c>
      <c r="C481" t="s">
        <v>312</v>
      </c>
      <c r="D481">
        <v>2070.5</v>
      </c>
      <c r="E481">
        <v>2071</v>
      </c>
      <c r="F481">
        <v>2070.5</v>
      </c>
      <c r="G481">
        <v>2071</v>
      </c>
      <c r="H481">
        <v>31500</v>
      </c>
    </row>
    <row r="482" spans="2:8">
      <c r="B482" t="s">
        <v>442</v>
      </c>
      <c r="C482" t="s">
        <v>313</v>
      </c>
      <c r="D482">
        <v>2070.5</v>
      </c>
      <c r="E482">
        <v>2071.5</v>
      </c>
      <c r="F482">
        <v>2069.5</v>
      </c>
      <c r="G482">
        <v>2070</v>
      </c>
      <c r="H482">
        <v>59500</v>
      </c>
    </row>
    <row r="483" spans="2:8">
      <c r="B483" t="s">
        <v>442</v>
      </c>
      <c r="C483" t="s">
        <v>314</v>
      </c>
      <c r="D483">
        <v>2069.5</v>
      </c>
      <c r="E483">
        <v>2070</v>
      </c>
      <c r="F483">
        <v>2069</v>
      </c>
      <c r="G483">
        <v>2070</v>
      </c>
      <c r="H483">
        <v>34200</v>
      </c>
    </row>
    <row r="484" spans="2:8">
      <c r="B484" t="s">
        <v>442</v>
      </c>
      <c r="C484" t="s">
        <v>315</v>
      </c>
      <c r="D484">
        <v>2069.5</v>
      </c>
      <c r="E484">
        <v>2070</v>
      </c>
      <c r="F484">
        <v>2069</v>
      </c>
      <c r="G484">
        <v>2069.5</v>
      </c>
      <c r="H484">
        <v>33500</v>
      </c>
    </row>
    <row r="485" spans="2:8">
      <c r="B485" t="s">
        <v>442</v>
      </c>
      <c r="C485" t="s">
        <v>316</v>
      </c>
      <c r="D485">
        <v>2068.5</v>
      </c>
      <c r="E485">
        <v>2068.5</v>
      </c>
      <c r="F485">
        <v>2068.5</v>
      </c>
      <c r="G485">
        <v>2068.5</v>
      </c>
      <c r="H485">
        <v>43300</v>
      </c>
    </row>
    <row r="486" spans="2:8">
      <c r="B486" t="s">
        <v>442</v>
      </c>
      <c r="C486" t="s">
        <v>317</v>
      </c>
      <c r="D486">
        <v>2070</v>
      </c>
      <c r="E486">
        <v>2073</v>
      </c>
      <c r="F486">
        <v>2069.5</v>
      </c>
      <c r="G486">
        <v>2072.5</v>
      </c>
      <c r="H486">
        <v>381400</v>
      </c>
    </row>
    <row r="487" spans="2:8">
      <c r="B487" t="s">
        <v>442</v>
      </c>
      <c r="C487" t="s">
        <v>318</v>
      </c>
      <c r="D487">
        <v>2072.5</v>
      </c>
      <c r="E487">
        <v>2073</v>
      </c>
      <c r="F487">
        <v>2070.5</v>
      </c>
      <c r="G487">
        <v>2071</v>
      </c>
      <c r="H487">
        <v>55200</v>
      </c>
    </row>
    <row r="488" spans="2:8">
      <c r="B488" t="s">
        <v>442</v>
      </c>
      <c r="C488" t="s">
        <v>319</v>
      </c>
      <c r="D488">
        <v>2071.5</v>
      </c>
      <c r="E488">
        <v>2073</v>
      </c>
      <c r="F488">
        <v>2071</v>
      </c>
      <c r="G488">
        <v>2072</v>
      </c>
      <c r="H488">
        <v>42100</v>
      </c>
    </row>
    <row r="489" spans="2:8">
      <c r="B489" t="s">
        <v>442</v>
      </c>
      <c r="C489" t="s">
        <v>320</v>
      </c>
      <c r="D489">
        <v>2072.5</v>
      </c>
      <c r="E489">
        <v>2073</v>
      </c>
      <c r="F489">
        <v>2072</v>
      </c>
      <c r="G489">
        <v>2073</v>
      </c>
      <c r="H489">
        <v>15500</v>
      </c>
    </row>
    <row r="490" spans="2:8">
      <c r="B490" t="s">
        <v>442</v>
      </c>
      <c r="C490" t="s">
        <v>321</v>
      </c>
      <c r="D490">
        <v>2073</v>
      </c>
      <c r="E490">
        <v>2075</v>
      </c>
      <c r="F490">
        <v>2073</v>
      </c>
      <c r="G490">
        <v>2074.5</v>
      </c>
      <c r="H490">
        <v>123000</v>
      </c>
    </row>
    <row r="491" spans="2:8">
      <c r="B491" t="s">
        <v>442</v>
      </c>
      <c r="C491" t="s">
        <v>322</v>
      </c>
      <c r="D491">
        <v>2074.5</v>
      </c>
      <c r="E491">
        <v>2076</v>
      </c>
      <c r="F491">
        <v>2074</v>
      </c>
      <c r="G491">
        <v>2075</v>
      </c>
      <c r="H491">
        <v>113400</v>
      </c>
    </row>
    <row r="492" spans="2:8">
      <c r="B492" t="s">
        <v>442</v>
      </c>
      <c r="C492" t="s">
        <v>323</v>
      </c>
      <c r="D492">
        <v>2075.5</v>
      </c>
      <c r="E492">
        <v>2075.5</v>
      </c>
      <c r="F492">
        <v>2074.5</v>
      </c>
      <c r="G492">
        <v>2074.5</v>
      </c>
      <c r="H492">
        <v>52500</v>
      </c>
    </row>
    <row r="493" spans="2:8">
      <c r="B493" t="s">
        <v>442</v>
      </c>
      <c r="C493" t="s">
        <v>324</v>
      </c>
      <c r="D493">
        <v>2074.5</v>
      </c>
      <c r="E493">
        <v>2074.5</v>
      </c>
      <c r="F493">
        <v>2072.5</v>
      </c>
      <c r="G493">
        <v>2074</v>
      </c>
      <c r="H493">
        <v>59400</v>
      </c>
    </row>
    <row r="494" spans="2:8">
      <c r="B494" t="s">
        <v>442</v>
      </c>
      <c r="C494" t="s">
        <v>325</v>
      </c>
      <c r="D494">
        <v>2074</v>
      </c>
      <c r="E494">
        <v>2075</v>
      </c>
      <c r="F494">
        <v>2074</v>
      </c>
      <c r="G494">
        <v>2075</v>
      </c>
      <c r="H494">
        <v>44200</v>
      </c>
    </row>
    <row r="495" spans="2:8">
      <c r="B495" t="s">
        <v>442</v>
      </c>
      <c r="C495" t="s">
        <v>326</v>
      </c>
      <c r="D495">
        <v>2075</v>
      </c>
      <c r="E495">
        <v>2077.5</v>
      </c>
      <c r="F495">
        <v>2075</v>
      </c>
      <c r="G495">
        <v>2077</v>
      </c>
      <c r="H495">
        <v>59500</v>
      </c>
    </row>
    <row r="496" spans="2:8">
      <c r="B496" t="s">
        <v>442</v>
      </c>
      <c r="C496" t="s">
        <v>327</v>
      </c>
      <c r="D496">
        <v>2077</v>
      </c>
      <c r="E496">
        <v>2078</v>
      </c>
      <c r="F496">
        <v>2076</v>
      </c>
      <c r="G496">
        <v>2076.5</v>
      </c>
      <c r="H496">
        <v>45300</v>
      </c>
    </row>
    <row r="497" spans="2:8">
      <c r="B497" t="s">
        <v>442</v>
      </c>
      <c r="C497" t="s">
        <v>328</v>
      </c>
      <c r="D497">
        <v>2076</v>
      </c>
      <c r="E497">
        <v>2077</v>
      </c>
      <c r="F497">
        <v>2076</v>
      </c>
      <c r="G497">
        <v>2076.5</v>
      </c>
      <c r="H497">
        <v>20500</v>
      </c>
    </row>
    <row r="498" spans="2:8">
      <c r="B498" t="s">
        <v>442</v>
      </c>
      <c r="C498" t="s">
        <v>329</v>
      </c>
      <c r="D498">
        <v>2076</v>
      </c>
      <c r="E498">
        <v>2076</v>
      </c>
      <c r="F498">
        <v>2074.5</v>
      </c>
      <c r="G498">
        <v>2075</v>
      </c>
      <c r="H498">
        <v>65600</v>
      </c>
    </row>
    <row r="499" spans="2:8">
      <c r="B499" t="s">
        <v>442</v>
      </c>
      <c r="C499" t="s">
        <v>330</v>
      </c>
      <c r="D499">
        <v>2074.5</v>
      </c>
      <c r="E499">
        <v>2076</v>
      </c>
      <c r="F499">
        <v>2074</v>
      </c>
      <c r="G499">
        <v>2075</v>
      </c>
      <c r="H499">
        <v>46000</v>
      </c>
    </row>
    <row r="500" spans="2:8">
      <c r="B500" t="s">
        <v>442</v>
      </c>
      <c r="C500" t="s">
        <v>331</v>
      </c>
      <c r="D500">
        <v>2075</v>
      </c>
      <c r="E500">
        <v>2076</v>
      </c>
      <c r="F500">
        <v>2075</v>
      </c>
      <c r="G500">
        <v>2076</v>
      </c>
      <c r="H500">
        <v>10300</v>
      </c>
    </row>
    <row r="501" spans="2:8">
      <c r="B501" t="s">
        <v>442</v>
      </c>
      <c r="C501" t="s">
        <v>332</v>
      </c>
      <c r="D501">
        <v>2076</v>
      </c>
      <c r="E501">
        <v>2076.5</v>
      </c>
      <c r="F501">
        <v>2076</v>
      </c>
      <c r="G501">
        <v>2076.5</v>
      </c>
      <c r="H501">
        <v>26000</v>
      </c>
    </row>
    <row r="502" spans="2:8">
      <c r="B502" t="s">
        <v>442</v>
      </c>
      <c r="C502" t="s">
        <v>333</v>
      </c>
      <c r="D502">
        <v>2076.5</v>
      </c>
      <c r="E502">
        <v>2076.5</v>
      </c>
      <c r="F502">
        <v>2075.5</v>
      </c>
      <c r="G502">
        <v>2076</v>
      </c>
      <c r="H502">
        <v>51300</v>
      </c>
    </row>
    <row r="503" spans="2:8">
      <c r="B503" t="s">
        <v>442</v>
      </c>
      <c r="C503" t="s">
        <v>334</v>
      </c>
      <c r="D503">
        <v>2075.5</v>
      </c>
      <c r="E503">
        <v>2076</v>
      </c>
      <c r="F503">
        <v>2075</v>
      </c>
      <c r="G503">
        <v>2075.5</v>
      </c>
      <c r="H503">
        <v>42200</v>
      </c>
    </row>
    <row r="504" spans="2:8">
      <c r="B504" t="s">
        <v>442</v>
      </c>
      <c r="C504" t="s">
        <v>335</v>
      </c>
      <c r="D504">
        <v>2075.5</v>
      </c>
      <c r="E504">
        <v>2076</v>
      </c>
      <c r="F504">
        <v>2075</v>
      </c>
      <c r="G504">
        <v>2075.5</v>
      </c>
      <c r="H504">
        <v>20800</v>
      </c>
    </row>
    <row r="505" spans="2:8">
      <c r="B505" t="s">
        <v>442</v>
      </c>
      <c r="C505" t="s">
        <v>336</v>
      </c>
      <c r="D505">
        <v>2076</v>
      </c>
      <c r="E505">
        <v>2076.5</v>
      </c>
      <c r="F505">
        <v>2075.5</v>
      </c>
      <c r="G505">
        <v>2075.5</v>
      </c>
      <c r="H505">
        <v>51300</v>
      </c>
    </row>
    <row r="506" spans="2:8">
      <c r="B506" t="s">
        <v>442</v>
      </c>
      <c r="C506" t="s">
        <v>337</v>
      </c>
      <c r="D506">
        <v>2075.5</v>
      </c>
      <c r="E506">
        <v>2076</v>
      </c>
      <c r="F506">
        <v>2075.5</v>
      </c>
      <c r="G506">
        <v>2075.5</v>
      </c>
      <c r="H506">
        <v>31800</v>
      </c>
    </row>
    <row r="507" spans="2:8">
      <c r="B507" t="s">
        <v>442</v>
      </c>
      <c r="C507" t="s">
        <v>338</v>
      </c>
      <c r="D507">
        <v>2075</v>
      </c>
      <c r="E507">
        <v>2075</v>
      </c>
      <c r="F507">
        <v>2073.5</v>
      </c>
      <c r="G507">
        <v>2073.5</v>
      </c>
      <c r="H507">
        <v>61200</v>
      </c>
    </row>
    <row r="508" spans="2:8">
      <c r="B508" t="s">
        <v>442</v>
      </c>
      <c r="C508" t="s">
        <v>339</v>
      </c>
      <c r="D508">
        <v>2073.5</v>
      </c>
      <c r="E508">
        <v>2073.5</v>
      </c>
      <c r="F508">
        <v>2072</v>
      </c>
      <c r="G508">
        <v>2072</v>
      </c>
      <c r="H508">
        <v>41900</v>
      </c>
    </row>
    <row r="509" spans="2:8">
      <c r="B509" t="s">
        <v>442</v>
      </c>
      <c r="C509" t="s">
        <v>340</v>
      </c>
      <c r="D509">
        <v>2072</v>
      </c>
      <c r="E509">
        <v>2072.5</v>
      </c>
      <c r="F509">
        <v>2071.5</v>
      </c>
      <c r="G509">
        <v>2072</v>
      </c>
      <c r="H509">
        <v>45000</v>
      </c>
    </row>
    <row r="510" spans="2:8">
      <c r="B510" t="s">
        <v>442</v>
      </c>
      <c r="C510" t="s">
        <v>341</v>
      </c>
      <c r="D510">
        <v>2071.5</v>
      </c>
      <c r="E510">
        <v>2072</v>
      </c>
      <c r="F510">
        <v>2071</v>
      </c>
      <c r="G510">
        <v>2071.5</v>
      </c>
      <c r="H510">
        <v>16100</v>
      </c>
    </row>
    <row r="511" spans="2:8">
      <c r="B511" t="s">
        <v>442</v>
      </c>
      <c r="C511" t="s">
        <v>342</v>
      </c>
      <c r="D511">
        <v>2071</v>
      </c>
      <c r="E511">
        <v>2072.5</v>
      </c>
      <c r="F511">
        <v>2071</v>
      </c>
      <c r="G511">
        <v>2072.5</v>
      </c>
      <c r="H511">
        <v>52800</v>
      </c>
    </row>
    <row r="512" spans="2:8">
      <c r="B512" t="s">
        <v>442</v>
      </c>
      <c r="C512" t="s">
        <v>343</v>
      </c>
      <c r="D512">
        <v>2072.5</v>
      </c>
      <c r="E512">
        <v>2074</v>
      </c>
      <c r="F512">
        <v>2072.5</v>
      </c>
      <c r="G512">
        <v>2074</v>
      </c>
      <c r="H512">
        <v>15800</v>
      </c>
    </row>
    <row r="513" spans="2:8">
      <c r="B513" t="s">
        <v>442</v>
      </c>
      <c r="C513" t="s">
        <v>344</v>
      </c>
      <c r="D513">
        <v>2074</v>
      </c>
      <c r="E513">
        <v>2074.5</v>
      </c>
      <c r="F513">
        <v>2074</v>
      </c>
      <c r="G513">
        <v>2074.5</v>
      </c>
      <c r="H513">
        <v>19000</v>
      </c>
    </row>
    <row r="514" spans="2:8">
      <c r="B514" t="s">
        <v>442</v>
      </c>
      <c r="C514" t="s">
        <v>345</v>
      </c>
      <c r="D514">
        <v>2074.5</v>
      </c>
      <c r="E514">
        <v>2075</v>
      </c>
      <c r="F514">
        <v>2074</v>
      </c>
      <c r="G514">
        <v>2074</v>
      </c>
      <c r="H514">
        <v>26800</v>
      </c>
    </row>
    <row r="515" spans="2:8">
      <c r="B515" t="s">
        <v>442</v>
      </c>
      <c r="C515" t="s">
        <v>346</v>
      </c>
      <c r="D515">
        <v>2074</v>
      </c>
      <c r="E515">
        <v>2074.5</v>
      </c>
      <c r="F515">
        <v>2073.5</v>
      </c>
      <c r="G515">
        <v>2074</v>
      </c>
      <c r="H515">
        <v>57100</v>
      </c>
    </row>
    <row r="516" spans="2:8">
      <c r="B516" t="s">
        <v>442</v>
      </c>
      <c r="C516" t="s">
        <v>347</v>
      </c>
      <c r="D516">
        <v>2073.5</v>
      </c>
      <c r="E516">
        <v>2074.5</v>
      </c>
      <c r="F516">
        <v>2073.5</v>
      </c>
      <c r="G516">
        <v>2074</v>
      </c>
      <c r="H516">
        <v>47200</v>
      </c>
    </row>
    <row r="517" spans="2:8">
      <c r="B517" t="s">
        <v>442</v>
      </c>
      <c r="C517" t="s">
        <v>348</v>
      </c>
      <c r="D517">
        <v>2073.5</v>
      </c>
      <c r="E517">
        <v>2073.5</v>
      </c>
      <c r="F517">
        <v>2073</v>
      </c>
      <c r="G517">
        <v>2073.5</v>
      </c>
      <c r="H517">
        <v>51200</v>
      </c>
    </row>
    <row r="518" spans="2:8">
      <c r="B518" t="s">
        <v>442</v>
      </c>
      <c r="C518" t="s">
        <v>349</v>
      </c>
      <c r="D518">
        <v>2073</v>
      </c>
      <c r="E518">
        <v>2073.5</v>
      </c>
      <c r="F518">
        <v>2072.5</v>
      </c>
      <c r="G518">
        <v>2073</v>
      </c>
      <c r="H518">
        <v>16400</v>
      </c>
    </row>
    <row r="519" spans="2:8">
      <c r="B519" t="s">
        <v>442</v>
      </c>
      <c r="C519" t="s">
        <v>350</v>
      </c>
      <c r="D519">
        <v>2073</v>
      </c>
      <c r="E519">
        <v>2074.5</v>
      </c>
      <c r="F519">
        <v>2073</v>
      </c>
      <c r="G519">
        <v>2074.5</v>
      </c>
      <c r="H519">
        <v>21400</v>
      </c>
    </row>
    <row r="520" spans="2:8">
      <c r="B520" t="s">
        <v>442</v>
      </c>
      <c r="C520" t="s">
        <v>351</v>
      </c>
      <c r="D520">
        <v>2074</v>
      </c>
      <c r="E520">
        <v>2074</v>
      </c>
      <c r="F520">
        <v>2071.5</v>
      </c>
      <c r="G520">
        <v>2073</v>
      </c>
      <c r="H520">
        <v>89400</v>
      </c>
    </row>
    <row r="521" spans="2:8">
      <c r="B521" t="s">
        <v>442</v>
      </c>
      <c r="C521" t="s">
        <v>352</v>
      </c>
      <c r="D521">
        <v>2073</v>
      </c>
      <c r="E521">
        <v>2073.5</v>
      </c>
      <c r="F521">
        <v>2072.5</v>
      </c>
      <c r="G521">
        <v>2073.5</v>
      </c>
      <c r="H521">
        <v>15000</v>
      </c>
    </row>
    <row r="522" spans="2:8">
      <c r="B522" t="s">
        <v>442</v>
      </c>
      <c r="C522" t="s">
        <v>353</v>
      </c>
      <c r="D522">
        <v>2073.5</v>
      </c>
      <c r="E522">
        <v>2074</v>
      </c>
      <c r="F522">
        <v>2073.5</v>
      </c>
      <c r="G522">
        <v>2074</v>
      </c>
      <c r="H522">
        <v>20100</v>
      </c>
    </row>
    <row r="523" spans="2:8">
      <c r="B523" t="s">
        <v>442</v>
      </c>
      <c r="C523" t="s">
        <v>354</v>
      </c>
      <c r="D523">
        <v>2074</v>
      </c>
      <c r="E523">
        <v>2074</v>
      </c>
      <c r="F523">
        <v>2073.5</v>
      </c>
      <c r="G523">
        <v>2073.5</v>
      </c>
      <c r="H523">
        <v>5200</v>
      </c>
    </row>
    <row r="524" spans="2:8">
      <c r="B524" t="s">
        <v>442</v>
      </c>
      <c r="C524" t="s">
        <v>355</v>
      </c>
      <c r="D524">
        <v>2074</v>
      </c>
      <c r="E524">
        <v>2074</v>
      </c>
      <c r="F524">
        <v>2073</v>
      </c>
      <c r="G524">
        <v>2073.5</v>
      </c>
      <c r="H524">
        <v>52700</v>
      </c>
    </row>
    <row r="525" spans="2:8">
      <c r="B525" t="s">
        <v>442</v>
      </c>
      <c r="C525" t="s">
        <v>356</v>
      </c>
      <c r="D525">
        <v>2073</v>
      </c>
      <c r="E525">
        <v>2073.5</v>
      </c>
      <c r="F525">
        <v>2072.5</v>
      </c>
      <c r="G525">
        <v>2073</v>
      </c>
      <c r="H525">
        <v>18900</v>
      </c>
    </row>
    <row r="526" spans="2:8">
      <c r="B526" t="s">
        <v>442</v>
      </c>
      <c r="C526" t="s">
        <v>357</v>
      </c>
      <c r="D526">
        <v>2072.5</v>
      </c>
      <c r="E526">
        <v>2073</v>
      </c>
      <c r="F526">
        <v>2071.5</v>
      </c>
      <c r="G526">
        <v>2071.5</v>
      </c>
      <c r="H526">
        <v>26900</v>
      </c>
    </row>
    <row r="527" spans="2:8">
      <c r="B527" t="s">
        <v>442</v>
      </c>
      <c r="C527" t="s">
        <v>358</v>
      </c>
      <c r="D527">
        <v>2072</v>
      </c>
      <c r="E527">
        <v>2072.5</v>
      </c>
      <c r="F527">
        <v>2071.5</v>
      </c>
      <c r="G527">
        <v>2072</v>
      </c>
      <c r="H527">
        <v>21400</v>
      </c>
    </row>
    <row r="528" spans="2:8">
      <c r="B528" t="s">
        <v>442</v>
      </c>
      <c r="C528" t="s">
        <v>359</v>
      </c>
      <c r="D528">
        <v>2072</v>
      </c>
      <c r="E528">
        <v>2072.5</v>
      </c>
      <c r="F528">
        <v>2072</v>
      </c>
      <c r="G528">
        <v>2072</v>
      </c>
      <c r="H528">
        <v>10300</v>
      </c>
    </row>
    <row r="529" spans="2:8">
      <c r="B529" t="s">
        <v>442</v>
      </c>
      <c r="C529" t="s">
        <v>360</v>
      </c>
      <c r="D529">
        <v>2072</v>
      </c>
      <c r="E529">
        <v>2072.5</v>
      </c>
      <c r="F529">
        <v>2072</v>
      </c>
      <c r="G529">
        <v>2072</v>
      </c>
      <c r="H529">
        <v>6000</v>
      </c>
    </row>
    <row r="530" spans="2:8">
      <c r="B530" t="s">
        <v>442</v>
      </c>
      <c r="C530" t="s">
        <v>361</v>
      </c>
      <c r="D530">
        <v>2072</v>
      </c>
      <c r="E530">
        <v>2074</v>
      </c>
      <c r="F530">
        <v>2072</v>
      </c>
      <c r="G530">
        <v>2074</v>
      </c>
      <c r="H530">
        <v>114800</v>
      </c>
    </row>
    <row r="531" spans="2:8">
      <c r="B531" t="s">
        <v>442</v>
      </c>
      <c r="C531" t="s">
        <v>362</v>
      </c>
      <c r="D531">
        <v>2073.5</v>
      </c>
      <c r="E531">
        <v>2075</v>
      </c>
      <c r="F531">
        <v>2073.5</v>
      </c>
      <c r="G531">
        <v>2075</v>
      </c>
      <c r="H531">
        <v>27700</v>
      </c>
    </row>
    <row r="532" spans="2:8">
      <c r="B532" t="s">
        <v>442</v>
      </c>
      <c r="C532" t="s">
        <v>363</v>
      </c>
      <c r="D532">
        <v>2075</v>
      </c>
      <c r="E532">
        <v>2075</v>
      </c>
      <c r="F532">
        <v>2073.5</v>
      </c>
      <c r="G532">
        <v>2074</v>
      </c>
      <c r="H532">
        <v>47300</v>
      </c>
    </row>
    <row r="533" spans="2:8">
      <c r="B533" t="s">
        <v>442</v>
      </c>
      <c r="C533" t="s">
        <v>364</v>
      </c>
      <c r="D533">
        <v>2074</v>
      </c>
      <c r="E533">
        <v>2074.5</v>
      </c>
      <c r="F533">
        <v>2074</v>
      </c>
      <c r="G533">
        <v>2074.5</v>
      </c>
      <c r="H533">
        <v>18600</v>
      </c>
    </row>
    <row r="534" spans="2:8">
      <c r="B534" t="s">
        <v>442</v>
      </c>
      <c r="C534" t="s">
        <v>365</v>
      </c>
      <c r="D534">
        <v>2074</v>
      </c>
      <c r="E534">
        <v>2075</v>
      </c>
      <c r="F534">
        <v>2074</v>
      </c>
      <c r="G534">
        <v>2075</v>
      </c>
      <c r="H534">
        <v>8300</v>
      </c>
    </row>
    <row r="535" spans="2:8">
      <c r="B535" t="s">
        <v>442</v>
      </c>
      <c r="C535" t="s">
        <v>366</v>
      </c>
      <c r="D535">
        <v>2075</v>
      </c>
      <c r="E535">
        <v>2075</v>
      </c>
      <c r="F535">
        <v>2074</v>
      </c>
      <c r="G535">
        <v>2075</v>
      </c>
      <c r="H535">
        <v>14500</v>
      </c>
    </row>
    <row r="536" spans="2:8">
      <c r="B536" t="s">
        <v>442</v>
      </c>
      <c r="C536" t="s">
        <v>367</v>
      </c>
      <c r="D536">
        <v>2074.5</v>
      </c>
      <c r="E536">
        <v>2074.5</v>
      </c>
      <c r="F536">
        <v>2073.5</v>
      </c>
      <c r="G536">
        <v>2073.5</v>
      </c>
      <c r="H536">
        <v>44400</v>
      </c>
    </row>
    <row r="537" spans="2:8">
      <c r="B537" t="s">
        <v>442</v>
      </c>
      <c r="C537" t="s">
        <v>368</v>
      </c>
      <c r="D537">
        <v>2073</v>
      </c>
      <c r="E537">
        <v>2073</v>
      </c>
      <c r="F537">
        <v>2071.5</v>
      </c>
      <c r="G537">
        <v>2072</v>
      </c>
      <c r="H537">
        <v>30000</v>
      </c>
    </row>
    <row r="538" spans="2:8">
      <c r="B538" t="s">
        <v>442</v>
      </c>
      <c r="C538" t="s">
        <v>369</v>
      </c>
      <c r="D538">
        <v>2072</v>
      </c>
      <c r="E538">
        <v>2073</v>
      </c>
      <c r="F538">
        <v>2072</v>
      </c>
      <c r="G538">
        <v>2073</v>
      </c>
      <c r="H538">
        <v>28500</v>
      </c>
    </row>
    <row r="539" spans="2:8">
      <c r="B539" t="s">
        <v>442</v>
      </c>
      <c r="C539" t="s">
        <v>370</v>
      </c>
      <c r="D539">
        <v>2072.5</v>
      </c>
      <c r="E539">
        <v>2072.5</v>
      </c>
      <c r="F539">
        <v>2072.5</v>
      </c>
      <c r="G539">
        <v>2072.5</v>
      </c>
      <c r="H539">
        <v>11500</v>
      </c>
    </row>
    <row r="540" spans="2:8">
      <c r="B540" t="s">
        <v>442</v>
      </c>
      <c r="C540" t="s">
        <v>371</v>
      </c>
      <c r="D540">
        <v>2072.5</v>
      </c>
      <c r="E540">
        <v>2073.5</v>
      </c>
      <c r="F540">
        <v>2072.5</v>
      </c>
      <c r="G540">
        <v>2073</v>
      </c>
      <c r="H540">
        <v>19600</v>
      </c>
    </row>
    <row r="541" spans="2:8">
      <c r="B541" t="s">
        <v>442</v>
      </c>
      <c r="C541" t="s">
        <v>372</v>
      </c>
      <c r="D541">
        <v>2073.5</v>
      </c>
      <c r="E541">
        <v>2074.5</v>
      </c>
      <c r="F541">
        <v>2073.5</v>
      </c>
      <c r="G541">
        <v>2074.5</v>
      </c>
      <c r="H541">
        <v>45500</v>
      </c>
    </row>
    <row r="542" spans="2:8">
      <c r="B542" t="s">
        <v>442</v>
      </c>
      <c r="C542" t="s">
        <v>373</v>
      </c>
      <c r="D542">
        <v>2074.5</v>
      </c>
      <c r="E542">
        <v>2074.5</v>
      </c>
      <c r="F542">
        <v>2074</v>
      </c>
      <c r="G542">
        <v>2074</v>
      </c>
      <c r="H542">
        <v>6700</v>
      </c>
    </row>
    <row r="543" spans="2:8">
      <c r="B543" t="s">
        <v>442</v>
      </c>
      <c r="C543" t="s">
        <v>374</v>
      </c>
      <c r="D543">
        <v>2074</v>
      </c>
      <c r="E543">
        <v>2074.5</v>
      </c>
      <c r="F543">
        <v>2074</v>
      </c>
      <c r="G543">
        <v>2074</v>
      </c>
      <c r="H543">
        <v>3300</v>
      </c>
    </row>
    <row r="544" spans="2:8">
      <c r="B544" t="s">
        <v>442</v>
      </c>
      <c r="C544" t="s">
        <v>375</v>
      </c>
      <c r="D544">
        <v>2074</v>
      </c>
      <c r="E544">
        <v>2074.5</v>
      </c>
      <c r="F544">
        <v>2074</v>
      </c>
      <c r="G544">
        <v>2074</v>
      </c>
      <c r="H544">
        <v>14800</v>
      </c>
    </row>
    <row r="545" spans="2:8">
      <c r="B545" t="s">
        <v>442</v>
      </c>
      <c r="C545" t="s">
        <v>376</v>
      </c>
      <c r="D545">
        <v>2074</v>
      </c>
      <c r="E545">
        <v>2074.5</v>
      </c>
      <c r="F545">
        <v>2074</v>
      </c>
      <c r="G545">
        <v>2074.5</v>
      </c>
      <c r="H545">
        <v>6200</v>
      </c>
    </row>
    <row r="546" spans="2:8">
      <c r="B546" t="s">
        <v>442</v>
      </c>
      <c r="C546" t="s">
        <v>377</v>
      </c>
      <c r="D546">
        <v>2074.5</v>
      </c>
      <c r="E546">
        <v>2074.5</v>
      </c>
      <c r="F546">
        <v>2073.5</v>
      </c>
      <c r="G546">
        <v>2073.5</v>
      </c>
      <c r="H546">
        <v>50100</v>
      </c>
    </row>
    <row r="547" spans="2:8">
      <c r="B547" t="s">
        <v>442</v>
      </c>
      <c r="C547" t="s">
        <v>378</v>
      </c>
      <c r="D547">
        <v>2074</v>
      </c>
      <c r="E547">
        <v>2074.5</v>
      </c>
      <c r="F547">
        <v>2073.5</v>
      </c>
      <c r="G547">
        <v>2074</v>
      </c>
      <c r="H547">
        <v>31000</v>
      </c>
    </row>
    <row r="548" spans="2:8">
      <c r="B548" t="s">
        <v>442</v>
      </c>
      <c r="C548" t="s">
        <v>379</v>
      </c>
      <c r="D548">
        <v>2074</v>
      </c>
      <c r="E548">
        <v>2074.5</v>
      </c>
      <c r="F548">
        <v>2073.5</v>
      </c>
      <c r="G548">
        <v>2073.5</v>
      </c>
      <c r="H548">
        <v>12000</v>
      </c>
    </row>
    <row r="549" spans="2:8">
      <c r="B549" t="s">
        <v>442</v>
      </c>
      <c r="C549" t="s">
        <v>380</v>
      </c>
      <c r="D549">
        <v>2073.5</v>
      </c>
      <c r="E549">
        <v>2074.5</v>
      </c>
      <c r="F549">
        <v>2073.5</v>
      </c>
      <c r="G549">
        <v>2074</v>
      </c>
      <c r="H549">
        <v>44100</v>
      </c>
    </row>
    <row r="550" spans="2:8">
      <c r="B550" t="s">
        <v>442</v>
      </c>
      <c r="C550" t="s">
        <v>381</v>
      </c>
      <c r="D550">
        <v>2073.5</v>
      </c>
      <c r="E550">
        <v>2074</v>
      </c>
      <c r="F550">
        <v>2073.5</v>
      </c>
      <c r="G550">
        <v>2074</v>
      </c>
      <c r="H550">
        <v>9200</v>
      </c>
    </row>
    <row r="551" spans="2:8">
      <c r="B551" t="s">
        <v>442</v>
      </c>
      <c r="C551" t="s">
        <v>382</v>
      </c>
      <c r="D551">
        <v>2073.5</v>
      </c>
      <c r="E551">
        <v>2074</v>
      </c>
      <c r="F551">
        <v>2073.5</v>
      </c>
      <c r="G551">
        <v>2073.5</v>
      </c>
      <c r="H551">
        <v>400</v>
      </c>
    </row>
    <row r="552" spans="2:8">
      <c r="B552" t="s">
        <v>442</v>
      </c>
      <c r="C552" t="s">
        <v>383</v>
      </c>
      <c r="D552">
        <v>2073.5</v>
      </c>
      <c r="E552">
        <v>2073.5</v>
      </c>
      <c r="F552">
        <v>2072.5</v>
      </c>
      <c r="G552">
        <v>2073.5</v>
      </c>
      <c r="H552">
        <v>117900</v>
      </c>
    </row>
    <row r="553" spans="2:8">
      <c r="B553" t="s">
        <v>442</v>
      </c>
      <c r="C553" t="s">
        <v>384</v>
      </c>
      <c r="D553">
        <v>2073.5</v>
      </c>
      <c r="E553">
        <v>2074</v>
      </c>
      <c r="F553">
        <v>2073</v>
      </c>
      <c r="G553">
        <v>2073</v>
      </c>
      <c r="H553">
        <v>41000</v>
      </c>
    </row>
    <row r="554" spans="2:8">
      <c r="B554" t="s">
        <v>442</v>
      </c>
      <c r="C554" t="s">
        <v>385</v>
      </c>
      <c r="D554">
        <v>2073</v>
      </c>
      <c r="E554">
        <v>2073.5</v>
      </c>
      <c r="F554">
        <v>2073</v>
      </c>
      <c r="G554">
        <v>2073.5</v>
      </c>
      <c r="H554">
        <v>6900</v>
      </c>
    </row>
    <row r="555" spans="2:8">
      <c r="B555" t="s">
        <v>442</v>
      </c>
      <c r="C555" t="s">
        <v>386</v>
      </c>
      <c r="D555">
        <v>2073</v>
      </c>
      <c r="E555">
        <v>2073.5</v>
      </c>
      <c r="F555">
        <v>2073</v>
      </c>
      <c r="G555">
        <v>2073</v>
      </c>
      <c r="H555">
        <v>5400</v>
      </c>
    </row>
    <row r="556" spans="2:8">
      <c r="B556" t="s">
        <v>442</v>
      </c>
      <c r="C556" t="s">
        <v>387</v>
      </c>
      <c r="D556">
        <v>2073</v>
      </c>
      <c r="E556">
        <v>2073.5</v>
      </c>
      <c r="F556">
        <v>2073</v>
      </c>
      <c r="G556">
        <v>2073.5</v>
      </c>
      <c r="H556">
        <v>5700</v>
      </c>
    </row>
    <row r="557" spans="2:8">
      <c r="B557" t="s">
        <v>442</v>
      </c>
      <c r="C557" t="s">
        <v>388</v>
      </c>
      <c r="D557">
        <v>2073</v>
      </c>
      <c r="E557">
        <v>2073.5</v>
      </c>
      <c r="F557">
        <v>2073</v>
      </c>
      <c r="G557">
        <v>2073</v>
      </c>
      <c r="H557">
        <v>11300</v>
      </c>
    </row>
    <row r="558" spans="2:8">
      <c r="B558" t="s">
        <v>442</v>
      </c>
      <c r="C558" t="s">
        <v>389</v>
      </c>
      <c r="D558">
        <v>2073</v>
      </c>
      <c r="E558">
        <v>2073.5</v>
      </c>
      <c r="F558">
        <v>2072.5</v>
      </c>
      <c r="G558">
        <v>2073</v>
      </c>
      <c r="H558">
        <v>54200</v>
      </c>
    </row>
    <row r="559" spans="2:8">
      <c r="B559" t="s">
        <v>442</v>
      </c>
      <c r="C559" t="s">
        <v>390</v>
      </c>
      <c r="D559">
        <v>2073</v>
      </c>
      <c r="E559">
        <v>2073</v>
      </c>
      <c r="F559">
        <v>2070.5</v>
      </c>
      <c r="G559">
        <v>2071</v>
      </c>
      <c r="H559">
        <v>157300</v>
      </c>
    </row>
    <row r="560" spans="2:8">
      <c r="B560" t="s">
        <v>442</v>
      </c>
      <c r="C560" t="s">
        <v>391</v>
      </c>
      <c r="D560">
        <v>2070.5</v>
      </c>
      <c r="E560">
        <v>2072.5</v>
      </c>
      <c r="F560">
        <v>2070.5</v>
      </c>
      <c r="G560">
        <v>2071.5</v>
      </c>
      <c r="H560">
        <v>65500</v>
      </c>
    </row>
    <row r="561" spans="2:8">
      <c r="B561" t="s">
        <v>442</v>
      </c>
      <c r="C561" t="s">
        <v>392</v>
      </c>
      <c r="D561">
        <v>2071</v>
      </c>
      <c r="E561">
        <v>2072</v>
      </c>
      <c r="F561">
        <v>2071</v>
      </c>
      <c r="G561">
        <v>2072</v>
      </c>
      <c r="H561">
        <v>35500</v>
      </c>
    </row>
    <row r="562" spans="2:8">
      <c r="B562" t="s">
        <v>442</v>
      </c>
      <c r="C562" t="s">
        <v>393</v>
      </c>
      <c r="D562">
        <v>2072</v>
      </c>
      <c r="E562">
        <v>2073</v>
      </c>
      <c r="F562">
        <v>2071.5</v>
      </c>
      <c r="G562">
        <v>2072</v>
      </c>
      <c r="H562">
        <v>137200</v>
      </c>
    </row>
    <row r="563" spans="2:8">
      <c r="B563" t="s">
        <v>442</v>
      </c>
      <c r="C563" t="s">
        <v>394</v>
      </c>
      <c r="D563">
        <v>2072</v>
      </c>
      <c r="E563">
        <v>2073</v>
      </c>
      <c r="F563">
        <v>2072</v>
      </c>
      <c r="G563">
        <v>2072</v>
      </c>
      <c r="H563">
        <v>17000</v>
      </c>
    </row>
    <row r="564" spans="2:8">
      <c r="B564" t="s">
        <v>442</v>
      </c>
      <c r="C564" t="s">
        <v>395</v>
      </c>
      <c r="D564">
        <v>2072</v>
      </c>
      <c r="E564">
        <v>2072.5</v>
      </c>
      <c r="F564">
        <v>2071.5</v>
      </c>
      <c r="G564">
        <v>2072</v>
      </c>
      <c r="H564">
        <v>24000</v>
      </c>
    </row>
    <row r="565" spans="2:8">
      <c r="B565" t="s">
        <v>442</v>
      </c>
      <c r="C565" t="s">
        <v>396</v>
      </c>
      <c r="D565">
        <v>2072</v>
      </c>
      <c r="E565">
        <v>2072</v>
      </c>
      <c r="F565">
        <v>2071.5</v>
      </c>
      <c r="G565">
        <v>2072</v>
      </c>
      <c r="H565">
        <v>12900</v>
      </c>
    </row>
    <row r="566" spans="2:8">
      <c r="B566" t="s">
        <v>442</v>
      </c>
      <c r="C566" t="s">
        <v>397</v>
      </c>
      <c r="D566">
        <v>2072</v>
      </c>
      <c r="E566">
        <v>2072.5</v>
      </c>
      <c r="F566">
        <v>2071</v>
      </c>
      <c r="G566">
        <v>2071.5</v>
      </c>
      <c r="H566">
        <v>22400</v>
      </c>
    </row>
    <row r="567" spans="2:8">
      <c r="B567" t="s">
        <v>442</v>
      </c>
      <c r="C567" t="s">
        <v>398</v>
      </c>
      <c r="D567">
        <v>2071.5</v>
      </c>
      <c r="E567">
        <v>2072.5</v>
      </c>
      <c r="F567">
        <v>2071.5</v>
      </c>
      <c r="G567">
        <v>2072.5</v>
      </c>
      <c r="H567">
        <v>16900</v>
      </c>
    </row>
    <row r="568" spans="2:8">
      <c r="B568" t="s">
        <v>442</v>
      </c>
      <c r="C568" t="s">
        <v>399</v>
      </c>
      <c r="D568">
        <v>2072</v>
      </c>
      <c r="E568">
        <v>2072.5</v>
      </c>
      <c r="F568">
        <v>2072</v>
      </c>
      <c r="G568">
        <v>2072</v>
      </c>
      <c r="H568">
        <v>8600</v>
      </c>
    </row>
    <row r="569" spans="2:8">
      <c r="B569" t="s">
        <v>442</v>
      </c>
      <c r="C569" t="s">
        <v>400</v>
      </c>
      <c r="D569">
        <v>2072</v>
      </c>
      <c r="E569">
        <v>2073</v>
      </c>
      <c r="F569">
        <v>2072</v>
      </c>
      <c r="G569">
        <v>2073</v>
      </c>
      <c r="H569">
        <v>30000</v>
      </c>
    </row>
    <row r="570" spans="2:8">
      <c r="B570" t="s">
        <v>442</v>
      </c>
      <c r="C570" t="s">
        <v>401</v>
      </c>
      <c r="D570">
        <v>2073</v>
      </c>
      <c r="E570">
        <v>2074.5</v>
      </c>
      <c r="F570">
        <v>2073</v>
      </c>
      <c r="G570">
        <v>2074.5</v>
      </c>
      <c r="H570">
        <v>43800</v>
      </c>
    </row>
    <row r="571" spans="2:8">
      <c r="B571" t="s">
        <v>442</v>
      </c>
      <c r="C571" t="s">
        <v>402</v>
      </c>
      <c r="D571">
        <v>2074.5</v>
      </c>
      <c r="E571">
        <v>2074.5</v>
      </c>
      <c r="F571">
        <v>2074</v>
      </c>
      <c r="G571">
        <v>2074</v>
      </c>
      <c r="H571">
        <v>3600</v>
      </c>
    </row>
    <row r="572" spans="2:8">
      <c r="B572" t="s">
        <v>442</v>
      </c>
      <c r="C572" t="s">
        <v>403</v>
      </c>
      <c r="D572">
        <v>2074.5</v>
      </c>
      <c r="E572">
        <v>2074.5</v>
      </c>
      <c r="F572">
        <v>2073.5</v>
      </c>
      <c r="G572">
        <v>2073.5</v>
      </c>
      <c r="H572">
        <v>71300</v>
      </c>
    </row>
    <row r="573" spans="2:8">
      <c r="B573" t="s">
        <v>442</v>
      </c>
      <c r="C573" t="s">
        <v>404</v>
      </c>
      <c r="D573">
        <v>2073.5</v>
      </c>
      <c r="E573">
        <v>2074</v>
      </c>
      <c r="F573">
        <v>2073.5</v>
      </c>
      <c r="G573">
        <v>2073.5</v>
      </c>
      <c r="H573">
        <v>6200</v>
      </c>
    </row>
    <row r="574" spans="2:8">
      <c r="B574" t="s">
        <v>442</v>
      </c>
      <c r="C574" t="s">
        <v>405</v>
      </c>
      <c r="D574">
        <v>2073.5</v>
      </c>
      <c r="E574">
        <v>2074.5</v>
      </c>
      <c r="F574">
        <v>2073.5</v>
      </c>
      <c r="G574">
        <v>2074.5</v>
      </c>
      <c r="H574">
        <v>20500</v>
      </c>
    </row>
    <row r="575" spans="2:8">
      <c r="B575" t="s">
        <v>442</v>
      </c>
      <c r="C575" t="s">
        <v>406</v>
      </c>
      <c r="D575">
        <v>2074.5</v>
      </c>
      <c r="E575">
        <v>2075</v>
      </c>
      <c r="F575">
        <v>2074.5</v>
      </c>
      <c r="G575">
        <v>2075</v>
      </c>
      <c r="H575">
        <v>23100</v>
      </c>
    </row>
    <row r="576" spans="2:8">
      <c r="B576" t="s">
        <v>442</v>
      </c>
      <c r="C576" t="s">
        <v>407</v>
      </c>
      <c r="D576">
        <v>2074.5</v>
      </c>
      <c r="E576">
        <v>2074.5</v>
      </c>
      <c r="F576">
        <v>2073.5</v>
      </c>
      <c r="G576">
        <v>2073.5</v>
      </c>
      <c r="H576">
        <v>73200</v>
      </c>
    </row>
    <row r="577" spans="2:8">
      <c r="B577" t="s">
        <v>442</v>
      </c>
      <c r="C577" t="s">
        <v>408</v>
      </c>
      <c r="D577">
        <v>2073.5</v>
      </c>
      <c r="E577">
        <v>2073.5</v>
      </c>
      <c r="F577">
        <v>2073</v>
      </c>
      <c r="G577">
        <v>2073</v>
      </c>
      <c r="H577">
        <v>29900</v>
      </c>
    </row>
    <row r="578" spans="2:8">
      <c r="B578" t="s">
        <v>442</v>
      </c>
      <c r="C578" t="s">
        <v>409</v>
      </c>
      <c r="D578">
        <v>2073</v>
      </c>
      <c r="E578">
        <v>2073.5</v>
      </c>
      <c r="F578">
        <v>2073</v>
      </c>
      <c r="G578">
        <v>2073</v>
      </c>
      <c r="H578">
        <v>2600</v>
      </c>
    </row>
    <row r="579" spans="2:8">
      <c r="B579" t="s">
        <v>442</v>
      </c>
      <c r="C579" t="s">
        <v>410</v>
      </c>
      <c r="D579">
        <v>2073</v>
      </c>
      <c r="E579">
        <v>2073.5</v>
      </c>
      <c r="F579">
        <v>2072.5</v>
      </c>
      <c r="G579">
        <v>2072.5</v>
      </c>
      <c r="H579">
        <v>14400</v>
      </c>
    </row>
    <row r="580" spans="2:8">
      <c r="B580" t="s">
        <v>442</v>
      </c>
      <c r="C580" t="s">
        <v>411</v>
      </c>
      <c r="D580">
        <v>2073</v>
      </c>
      <c r="E580">
        <v>2073</v>
      </c>
      <c r="F580">
        <v>2072.5</v>
      </c>
      <c r="G580">
        <v>2072.5</v>
      </c>
      <c r="H580">
        <v>8200</v>
      </c>
    </row>
    <row r="581" spans="2:8">
      <c r="B581" t="s">
        <v>442</v>
      </c>
      <c r="C581" t="s">
        <v>412</v>
      </c>
      <c r="D581">
        <v>2072.5</v>
      </c>
      <c r="E581">
        <v>2073.5</v>
      </c>
      <c r="F581">
        <v>2072.5</v>
      </c>
      <c r="G581">
        <v>2073</v>
      </c>
      <c r="H581">
        <v>22500</v>
      </c>
    </row>
    <row r="582" spans="2:8">
      <c r="B582" t="s">
        <v>442</v>
      </c>
      <c r="C582" t="s">
        <v>413</v>
      </c>
      <c r="D582">
        <v>2073</v>
      </c>
      <c r="E582">
        <v>2074</v>
      </c>
      <c r="F582">
        <v>2073</v>
      </c>
      <c r="G582">
        <v>2074</v>
      </c>
      <c r="H582">
        <v>11700</v>
      </c>
    </row>
    <row r="583" spans="2:8">
      <c r="B583" t="s">
        <v>442</v>
      </c>
      <c r="C583" t="s">
        <v>414</v>
      </c>
      <c r="D583">
        <v>2073.5</v>
      </c>
      <c r="E583">
        <v>2074</v>
      </c>
      <c r="F583">
        <v>2073</v>
      </c>
      <c r="G583">
        <v>2073</v>
      </c>
      <c r="H583">
        <v>91300</v>
      </c>
    </row>
    <row r="584" spans="2:8">
      <c r="B584" t="s">
        <v>442</v>
      </c>
      <c r="C584" t="s">
        <v>415</v>
      </c>
      <c r="D584">
        <v>2073.5</v>
      </c>
      <c r="E584">
        <v>2073.5</v>
      </c>
      <c r="F584">
        <v>2072</v>
      </c>
      <c r="G584">
        <v>2072</v>
      </c>
      <c r="H584">
        <v>118800</v>
      </c>
    </row>
    <row r="585" spans="2:8">
      <c r="B585" t="s">
        <v>442</v>
      </c>
      <c r="C585" t="s">
        <v>416</v>
      </c>
      <c r="D585">
        <v>2072</v>
      </c>
      <c r="E585">
        <v>2072.5</v>
      </c>
      <c r="F585">
        <v>2072</v>
      </c>
      <c r="G585">
        <v>2072.5</v>
      </c>
      <c r="H585">
        <v>25200</v>
      </c>
    </row>
    <row r="586" spans="2:8">
      <c r="B586" t="s">
        <v>442</v>
      </c>
      <c r="C586" t="s">
        <v>417</v>
      </c>
      <c r="D586">
        <v>2072.5</v>
      </c>
      <c r="E586">
        <v>2072.5</v>
      </c>
      <c r="F586">
        <v>2072</v>
      </c>
      <c r="G586">
        <v>2072</v>
      </c>
      <c r="H586">
        <v>25600</v>
      </c>
    </row>
    <row r="587" spans="2:8">
      <c r="B587" t="s">
        <v>442</v>
      </c>
      <c r="C587" t="s">
        <v>418</v>
      </c>
      <c r="D587">
        <v>2072</v>
      </c>
      <c r="E587">
        <v>2072.5</v>
      </c>
      <c r="F587">
        <v>2071</v>
      </c>
      <c r="G587">
        <v>2071</v>
      </c>
      <c r="H587">
        <v>51700</v>
      </c>
    </row>
    <row r="588" spans="2:8">
      <c r="B588" t="s">
        <v>442</v>
      </c>
      <c r="C588" t="s">
        <v>419</v>
      </c>
      <c r="D588">
        <v>2071.5</v>
      </c>
      <c r="E588">
        <v>2072</v>
      </c>
      <c r="F588">
        <v>2071</v>
      </c>
      <c r="G588">
        <v>2072</v>
      </c>
      <c r="H588">
        <v>62600</v>
      </c>
    </row>
    <row r="589" spans="2:8">
      <c r="B589" t="s">
        <v>442</v>
      </c>
      <c r="C589" t="s">
        <v>420</v>
      </c>
      <c r="D589">
        <v>2071.5</v>
      </c>
      <c r="E589">
        <v>2071.5</v>
      </c>
      <c r="F589">
        <v>2071</v>
      </c>
      <c r="G589">
        <v>2071</v>
      </c>
      <c r="H589">
        <v>16600</v>
      </c>
    </row>
    <row r="590" spans="2:8">
      <c r="B590" t="s">
        <v>442</v>
      </c>
      <c r="C590" t="s">
        <v>421</v>
      </c>
      <c r="D590">
        <v>2071</v>
      </c>
      <c r="E590">
        <v>2071.5</v>
      </c>
      <c r="F590">
        <v>2071</v>
      </c>
      <c r="G590">
        <v>2071</v>
      </c>
      <c r="H590">
        <v>19700</v>
      </c>
    </row>
    <row r="591" spans="2:8">
      <c r="B591" t="s">
        <v>442</v>
      </c>
      <c r="C591" t="s">
        <v>422</v>
      </c>
      <c r="D591">
        <v>2071</v>
      </c>
      <c r="E591">
        <v>2071</v>
      </c>
      <c r="F591">
        <v>2069.5</v>
      </c>
      <c r="G591">
        <v>2070</v>
      </c>
      <c r="H591">
        <v>186900</v>
      </c>
    </row>
    <row r="592" spans="2:8">
      <c r="B592" t="s">
        <v>442</v>
      </c>
      <c r="C592" t="s">
        <v>423</v>
      </c>
      <c r="D592">
        <v>2069.5</v>
      </c>
      <c r="E592">
        <v>2070</v>
      </c>
      <c r="F592">
        <v>2069</v>
      </c>
      <c r="G592">
        <v>2069.5</v>
      </c>
      <c r="H592">
        <v>48600</v>
      </c>
    </row>
    <row r="593" spans="2:8">
      <c r="B593" t="s">
        <v>442</v>
      </c>
      <c r="C593" t="s">
        <v>424</v>
      </c>
      <c r="D593">
        <v>2069.5</v>
      </c>
      <c r="E593">
        <v>2069.5</v>
      </c>
      <c r="F593">
        <v>2069</v>
      </c>
      <c r="G593">
        <v>2069</v>
      </c>
      <c r="H593">
        <v>33100</v>
      </c>
    </row>
    <row r="594" spans="2:8">
      <c r="B594" t="s">
        <v>442</v>
      </c>
      <c r="C594" t="s">
        <v>425</v>
      </c>
      <c r="D594">
        <v>2069</v>
      </c>
      <c r="E594">
        <v>2070</v>
      </c>
      <c r="F594">
        <v>2069</v>
      </c>
      <c r="G594">
        <v>2070</v>
      </c>
      <c r="H594">
        <v>38100</v>
      </c>
    </row>
    <row r="595" spans="2:8">
      <c r="B595" t="s">
        <v>442</v>
      </c>
      <c r="C595" t="s">
        <v>426</v>
      </c>
      <c r="D595">
        <v>2070</v>
      </c>
      <c r="E595">
        <v>2070.5</v>
      </c>
      <c r="F595">
        <v>2069.5</v>
      </c>
      <c r="G595">
        <v>2070</v>
      </c>
      <c r="H595">
        <v>27100</v>
      </c>
    </row>
    <row r="596" spans="2:8">
      <c r="B596" t="s">
        <v>442</v>
      </c>
      <c r="C596" t="s">
        <v>427</v>
      </c>
      <c r="D596">
        <v>2070.5</v>
      </c>
      <c r="E596">
        <v>2070.5</v>
      </c>
      <c r="F596">
        <v>2070</v>
      </c>
      <c r="G596">
        <v>2070.5</v>
      </c>
      <c r="H596">
        <v>20800</v>
      </c>
    </row>
    <row r="597" spans="2:8">
      <c r="B597" t="s">
        <v>442</v>
      </c>
      <c r="C597" t="s">
        <v>428</v>
      </c>
      <c r="D597">
        <v>2071</v>
      </c>
      <c r="E597">
        <v>2071.5</v>
      </c>
      <c r="F597">
        <v>2071</v>
      </c>
      <c r="G597">
        <v>2071</v>
      </c>
      <c r="H597">
        <v>23300</v>
      </c>
    </row>
    <row r="598" spans="2:8">
      <c r="B598" t="s">
        <v>442</v>
      </c>
      <c r="C598" t="s">
        <v>429</v>
      </c>
      <c r="D598">
        <v>2071</v>
      </c>
      <c r="E598">
        <v>2072</v>
      </c>
      <c r="F598">
        <v>2071</v>
      </c>
      <c r="G598">
        <v>2071.5</v>
      </c>
      <c r="H598">
        <v>25100</v>
      </c>
    </row>
    <row r="599" spans="2:8">
      <c r="B599" t="s">
        <v>442</v>
      </c>
      <c r="C599" t="s">
        <v>430</v>
      </c>
      <c r="D599">
        <v>2071.5</v>
      </c>
      <c r="E599">
        <v>2071.5</v>
      </c>
      <c r="F599">
        <v>2071</v>
      </c>
      <c r="G599">
        <v>2071.5</v>
      </c>
      <c r="H599">
        <v>21900</v>
      </c>
    </row>
    <row r="600" spans="2:8">
      <c r="B600" t="s">
        <v>442</v>
      </c>
      <c r="C600" t="s">
        <v>431</v>
      </c>
      <c r="D600">
        <v>2072</v>
      </c>
      <c r="E600">
        <v>2073</v>
      </c>
      <c r="F600">
        <v>2072</v>
      </c>
      <c r="G600">
        <v>2073</v>
      </c>
      <c r="H600">
        <v>37700</v>
      </c>
    </row>
    <row r="601" spans="2:8">
      <c r="B601" t="s">
        <v>442</v>
      </c>
      <c r="C601" t="s">
        <v>9</v>
      </c>
      <c r="D601">
        <v>2072.5</v>
      </c>
      <c r="E601">
        <v>2073</v>
      </c>
      <c r="F601">
        <v>2072</v>
      </c>
      <c r="G601">
        <v>2072</v>
      </c>
      <c r="H601">
        <v>91700</v>
      </c>
    </row>
    <row r="602" spans="2:8">
      <c r="B602" t="s">
        <v>442</v>
      </c>
      <c r="C602" t="s">
        <v>10</v>
      </c>
      <c r="D602">
        <v>2072.5</v>
      </c>
      <c r="E602">
        <v>2072.5</v>
      </c>
      <c r="F602">
        <v>2072</v>
      </c>
      <c r="G602">
        <v>2072.5</v>
      </c>
      <c r="H602">
        <v>3400</v>
      </c>
    </row>
    <row r="603" spans="2:8">
      <c r="B603" t="s">
        <v>442</v>
      </c>
      <c r="C603" t="s">
        <v>11</v>
      </c>
      <c r="D603">
        <v>2072</v>
      </c>
      <c r="E603">
        <v>2073</v>
      </c>
      <c r="F603">
        <v>2072</v>
      </c>
      <c r="G603">
        <v>2073</v>
      </c>
      <c r="H603">
        <v>21800</v>
      </c>
    </row>
    <row r="604" spans="2:8">
      <c r="B604" t="s">
        <v>442</v>
      </c>
      <c r="C604" t="s">
        <v>12</v>
      </c>
      <c r="D604">
        <v>2073</v>
      </c>
      <c r="E604">
        <v>2073.5</v>
      </c>
      <c r="F604">
        <v>2073</v>
      </c>
      <c r="G604">
        <v>2073.5</v>
      </c>
      <c r="H604">
        <v>30600</v>
      </c>
    </row>
    <row r="605" spans="2:8">
      <c r="B605" t="s">
        <v>442</v>
      </c>
      <c r="C605" t="s">
        <v>13</v>
      </c>
      <c r="D605">
        <v>2073</v>
      </c>
      <c r="E605">
        <v>2074</v>
      </c>
      <c r="F605">
        <v>2073</v>
      </c>
      <c r="G605">
        <v>2074</v>
      </c>
      <c r="H605">
        <v>61500</v>
      </c>
    </row>
    <row r="606" spans="2:8">
      <c r="B606" t="s">
        <v>442</v>
      </c>
      <c r="C606" t="s">
        <v>14</v>
      </c>
      <c r="D606">
        <v>2073.5</v>
      </c>
      <c r="E606">
        <v>2074.5</v>
      </c>
      <c r="F606">
        <v>2073.5</v>
      </c>
      <c r="G606">
        <v>2074</v>
      </c>
      <c r="H606">
        <v>48600</v>
      </c>
    </row>
    <row r="607" spans="2:8">
      <c r="B607" t="s">
        <v>442</v>
      </c>
      <c r="C607" t="s">
        <v>15</v>
      </c>
      <c r="D607">
        <v>2074</v>
      </c>
      <c r="E607">
        <v>2075</v>
      </c>
      <c r="F607">
        <v>2073</v>
      </c>
      <c r="G607">
        <v>2073.5</v>
      </c>
      <c r="H607">
        <v>105000</v>
      </c>
    </row>
    <row r="608" spans="2:8">
      <c r="B608" t="s">
        <v>442</v>
      </c>
      <c r="C608" t="s">
        <v>16</v>
      </c>
      <c r="D608">
        <v>2073.5</v>
      </c>
      <c r="E608">
        <v>2074</v>
      </c>
      <c r="F608">
        <v>2073.5</v>
      </c>
      <c r="G608">
        <v>2074</v>
      </c>
      <c r="H608">
        <v>7700</v>
      </c>
    </row>
    <row r="609" spans="2:8">
      <c r="B609" t="s">
        <v>442</v>
      </c>
      <c r="C609" t="s">
        <v>17</v>
      </c>
      <c r="D609">
        <v>2074</v>
      </c>
      <c r="E609">
        <v>2074</v>
      </c>
      <c r="F609">
        <v>2073.5</v>
      </c>
      <c r="G609">
        <v>2074</v>
      </c>
      <c r="H609">
        <v>7900</v>
      </c>
    </row>
    <row r="610" spans="2:8">
      <c r="B610" t="s">
        <v>442</v>
      </c>
      <c r="C610" t="s">
        <v>18</v>
      </c>
      <c r="D610">
        <v>2073.5</v>
      </c>
      <c r="E610">
        <v>2074</v>
      </c>
      <c r="F610">
        <v>2073</v>
      </c>
      <c r="G610">
        <v>2073</v>
      </c>
      <c r="H610">
        <v>49100</v>
      </c>
    </row>
    <row r="611" spans="2:8">
      <c r="B611" t="s">
        <v>442</v>
      </c>
      <c r="C611" t="s">
        <v>19</v>
      </c>
      <c r="D611">
        <v>2073</v>
      </c>
      <c r="E611">
        <v>2073</v>
      </c>
      <c r="F611">
        <v>2071.5</v>
      </c>
      <c r="G611">
        <v>2072.5</v>
      </c>
      <c r="H611">
        <v>69200</v>
      </c>
    </row>
    <row r="612" spans="2:8">
      <c r="B612" t="s">
        <v>442</v>
      </c>
      <c r="C612" t="s">
        <v>20</v>
      </c>
      <c r="D612">
        <v>2072.5</v>
      </c>
      <c r="E612">
        <v>2073</v>
      </c>
      <c r="F612">
        <v>2072</v>
      </c>
      <c r="G612">
        <v>2072.5</v>
      </c>
      <c r="H612">
        <v>14700</v>
      </c>
    </row>
    <row r="613" spans="2:8">
      <c r="B613" t="s">
        <v>442</v>
      </c>
      <c r="C613" t="s">
        <v>21</v>
      </c>
      <c r="D613">
        <v>2073</v>
      </c>
      <c r="E613">
        <v>2073.5</v>
      </c>
      <c r="F613">
        <v>2073</v>
      </c>
      <c r="G613">
        <v>2073.5</v>
      </c>
      <c r="H613">
        <v>11300</v>
      </c>
    </row>
    <row r="614" spans="2:8">
      <c r="B614" t="s">
        <v>442</v>
      </c>
      <c r="C614" t="s">
        <v>22</v>
      </c>
      <c r="D614">
        <v>2073.5</v>
      </c>
      <c r="E614">
        <v>2074</v>
      </c>
      <c r="F614">
        <v>2073.5</v>
      </c>
      <c r="G614">
        <v>2073.5</v>
      </c>
      <c r="H614">
        <v>26200</v>
      </c>
    </row>
    <row r="615" spans="2:8">
      <c r="B615" t="s">
        <v>442</v>
      </c>
      <c r="C615" t="s">
        <v>23</v>
      </c>
      <c r="D615">
        <v>2073.5</v>
      </c>
      <c r="E615">
        <v>2074</v>
      </c>
      <c r="F615">
        <v>2072.5</v>
      </c>
      <c r="G615">
        <v>2073</v>
      </c>
      <c r="H615">
        <v>91400</v>
      </c>
    </row>
    <row r="616" spans="2:8">
      <c r="B616" t="s">
        <v>442</v>
      </c>
      <c r="C616" t="s">
        <v>24</v>
      </c>
      <c r="D616">
        <v>2073</v>
      </c>
      <c r="E616">
        <v>2073.5</v>
      </c>
      <c r="F616">
        <v>2073</v>
      </c>
      <c r="G616">
        <v>2073</v>
      </c>
      <c r="H616">
        <v>15700</v>
      </c>
    </row>
    <row r="617" spans="2:8">
      <c r="B617" t="s">
        <v>442</v>
      </c>
      <c r="C617" t="s">
        <v>25</v>
      </c>
      <c r="D617">
        <v>2073.5</v>
      </c>
      <c r="E617">
        <v>2074.5</v>
      </c>
      <c r="F617">
        <v>2073.5</v>
      </c>
      <c r="G617">
        <v>2074.5</v>
      </c>
      <c r="H617">
        <v>41000</v>
      </c>
    </row>
    <row r="618" spans="2:8">
      <c r="B618" t="s">
        <v>442</v>
      </c>
      <c r="C618" t="s">
        <v>26</v>
      </c>
      <c r="D618">
        <v>2074.5</v>
      </c>
      <c r="E618">
        <v>2074.5</v>
      </c>
      <c r="F618">
        <v>2073.5</v>
      </c>
      <c r="G618">
        <v>2074</v>
      </c>
      <c r="H618">
        <v>27300</v>
      </c>
    </row>
    <row r="619" spans="2:8">
      <c r="B619" t="s">
        <v>442</v>
      </c>
      <c r="C619" t="s">
        <v>27</v>
      </c>
      <c r="D619">
        <v>2073.5</v>
      </c>
      <c r="E619">
        <v>2074</v>
      </c>
      <c r="F619">
        <v>2073</v>
      </c>
      <c r="G619">
        <v>2073.5</v>
      </c>
      <c r="H619">
        <v>15100</v>
      </c>
    </row>
    <row r="620" spans="2:8">
      <c r="B620" t="s">
        <v>442</v>
      </c>
      <c r="C620" t="s">
        <v>28</v>
      </c>
      <c r="D620">
        <v>2073.5</v>
      </c>
      <c r="E620">
        <v>2074</v>
      </c>
      <c r="F620">
        <v>2073</v>
      </c>
      <c r="G620">
        <v>2073</v>
      </c>
      <c r="H620">
        <v>16100</v>
      </c>
    </row>
    <row r="621" spans="2:8">
      <c r="B621" t="s">
        <v>442</v>
      </c>
      <c r="C621" t="s">
        <v>29</v>
      </c>
      <c r="D621">
        <v>2073.5</v>
      </c>
      <c r="E621">
        <v>2074.5</v>
      </c>
      <c r="F621">
        <v>2073.5</v>
      </c>
      <c r="G621">
        <v>2074</v>
      </c>
      <c r="H621">
        <v>48500</v>
      </c>
    </row>
    <row r="622" spans="2:8">
      <c r="B622" t="s">
        <v>442</v>
      </c>
      <c r="C622" t="s">
        <v>30</v>
      </c>
      <c r="D622">
        <v>2074</v>
      </c>
      <c r="E622">
        <v>2074.5</v>
      </c>
      <c r="F622">
        <v>2074</v>
      </c>
      <c r="G622">
        <v>2074</v>
      </c>
      <c r="H622">
        <v>6700</v>
      </c>
    </row>
    <row r="623" spans="2:8">
      <c r="B623" t="s">
        <v>442</v>
      </c>
      <c r="C623" t="s">
        <v>31</v>
      </c>
      <c r="D623">
        <v>2074</v>
      </c>
      <c r="E623">
        <v>2075</v>
      </c>
      <c r="F623">
        <v>2074</v>
      </c>
      <c r="G623">
        <v>2074.5</v>
      </c>
      <c r="H623">
        <v>78700</v>
      </c>
    </row>
    <row r="624" spans="2:8">
      <c r="B624" t="s">
        <v>442</v>
      </c>
      <c r="C624" t="s">
        <v>32</v>
      </c>
      <c r="D624">
        <v>2074.5</v>
      </c>
      <c r="E624">
        <v>2075.5</v>
      </c>
      <c r="F624">
        <v>2074.5</v>
      </c>
      <c r="G624">
        <v>2075</v>
      </c>
      <c r="H624">
        <v>94000</v>
      </c>
    </row>
    <row r="625" spans="2:8">
      <c r="B625" t="s">
        <v>442</v>
      </c>
      <c r="C625" t="s">
        <v>33</v>
      </c>
      <c r="D625">
        <v>2075</v>
      </c>
      <c r="E625">
        <v>2076</v>
      </c>
      <c r="F625">
        <v>2075</v>
      </c>
      <c r="G625">
        <v>2075</v>
      </c>
      <c r="H625">
        <v>88600</v>
      </c>
    </row>
    <row r="626" spans="2:8">
      <c r="B626" t="s">
        <v>442</v>
      </c>
      <c r="C626" t="s">
        <v>34</v>
      </c>
      <c r="D626">
        <v>2075</v>
      </c>
      <c r="E626">
        <v>2075.5</v>
      </c>
      <c r="F626">
        <v>2074.5</v>
      </c>
      <c r="G626">
        <v>2075.5</v>
      </c>
      <c r="H626">
        <v>17000</v>
      </c>
    </row>
    <row r="627" spans="2:8">
      <c r="B627" t="s">
        <v>442</v>
      </c>
      <c r="C627" t="s">
        <v>35</v>
      </c>
      <c r="D627">
        <v>2075.5</v>
      </c>
      <c r="E627">
        <v>2076.5</v>
      </c>
      <c r="F627">
        <v>2075.5</v>
      </c>
      <c r="G627">
        <v>2076</v>
      </c>
      <c r="H627">
        <v>102300</v>
      </c>
    </row>
    <row r="628" spans="2:8">
      <c r="B628" t="s">
        <v>442</v>
      </c>
      <c r="C628" t="s">
        <v>36</v>
      </c>
      <c r="D628">
        <v>2076.5</v>
      </c>
      <c r="E628">
        <v>2077</v>
      </c>
      <c r="F628">
        <v>2076.5</v>
      </c>
      <c r="G628">
        <v>2077</v>
      </c>
      <c r="H628">
        <v>47900</v>
      </c>
    </row>
    <row r="629" spans="2:8">
      <c r="B629" t="s">
        <v>442</v>
      </c>
      <c r="C629" t="s">
        <v>37</v>
      </c>
      <c r="D629">
        <v>2076.5</v>
      </c>
      <c r="E629">
        <v>2077</v>
      </c>
      <c r="F629">
        <v>2075.5</v>
      </c>
      <c r="G629">
        <v>2076</v>
      </c>
      <c r="H629">
        <v>110800</v>
      </c>
    </row>
    <row r="630" spans="2:8">
      <c r="B630" t="s">
        <v>442</v>
      </c>
      <c r="C630" t="s">
        <v>38</v>
      </c>
      <c r="D630">
        <v>2075.5</v>
      </c>
      <c r="E630">
        <v>2076.5</v>
      </c>
      <c r="F630">
        <v>2075.5</v>
      </c>
      <c r="G630">
        <v>2076</v>
      </c>
      <c r="H630">
        <v>12300</v>
      </c>
    </row>
    <row r="631" spans="2:8">
      <c r="B631" t="s">
        <v>442</v>
      </c>
      <c r="C631" t="s">
        <v>39</v>
      </c>
      <c r="D631">
        <v>2075.5</v>
      </c>
      <c r="E631">
        <v>2076.5</v>
      </c>
      <c r="F631">
        <v>2075.5</v>
      </c>
      <c r="G631">
        <v>2076.5</v>
      </c>
      <c r="H631">
        <v>25900</v>
      </c>
    </row>
    <row r="632" spans="2:8">
      <c r="B632" t="s">
        <v>442</v>
      </c>
      <c r="C632" t="s">
        <v>40</v>
      </c>
      <c r="D632">
        <v>2076.5</v>
      </c>
      <c r="E632">
        <v>2076.5</v>
      </c>
      <c r="F632">
        <v>2075.5</v>
      </c>
      <c r="G632">
        <v>2076.5</v>
      </c>
      <c r="H632">
        <v>24700</v>
      </c>
    </row>
    <row r="633" spans="2:8">
      <c r="B633" t="s">
        <v>442</v>
      </c>
      <c r="C633" t="s">
        <v>41</v>
      </c>
      <c r="D633">
        <v>2076</v>
      </c>
      <c r="E633">
        <v>2076.5</v>
      </c>
      <c r="F633">
        <v>2076</v>
      </c>
      <c r="G633">
        <v>2076.5</v>
      </c>
      <c r="H633">
        <v>9200</v>
      </c>
    </row>
    <row r="634" spans="2:8">
      <c r="B634" t="s">
        <v>442</v>
      </c>
      <c r="C634" t="s">
        <v>42</v>
      </c>
      <c r="D634">
        <v>2076</v>
      </c>
      <c r="E634">
        <v>2076.5</v>
      </c>
      <c r="F634">
        <v>2076</v>
      </c>
      <c r="G634">
        <v>2076</v>
      </c>
      <c r="H634">
        <v>7700</v>
      </c>
    </row>
    <row r="635" spans="2:8">
      <c r="B635" t="s">
        <v>442</v>
      </c>
      <c r="C635" t="s">
        <v>43</v>
      </c>
      <c r="D635">
        <v>2076</v>
      </c>
      <c r="E635">
        <v>2078</v>
      </c>
      <c r="F635">
        <v>2076</v>
      </c>
      <c r="G635">
        <v>2078</v>
      </c>
      <c r="H635">
        <v>65900</v>
      </c>
    </row>
    <row r="636" spans="2:8">
      <c r="B636" t="s">
        <v>442</v>
      </c>
      <c r="C636" t="s">
        <v>44</v>
      </c>
      <c r="D636">
        <v>2077.5</v>
      </c>
      <c r="E636">
        <v>2077.5</v>
      </c>
      <c r="F636">
        <v>2076</v>
      </c>
      <c r="G636">
        <v>2076</v>
      </c>
      <c r="H636">
        <v>109000</v>
      </c>
    </row>
    <row r="637" spans="2:8">
      <c r="B637" t="s">
        <v>442</v>
      </c>
      <c r="C637" t="s">
        <v>45</v>
      </c>
      <c r="D637">
        <v>2076</v>
      </c>
      <c r="E637">
        <v>2077.5</v>
      </c>
      <c r="F637">
        <v>2076</v>
      </c>
      <c r="G637">
        <v>2077</v>
      </c>
      <c r="H637">
        <v>74900</v>
      </c>
    </row>
    <row r="638" spans="2:8">
      <c r="B638" t="s">
        <v>442</v>
      </c>
      <c r="C638" t="s">
        <v>46</v>
      </c>
      <c r="D638">
        <v>2076</v>
      </c>
      <c r="E638">
        <v>2077</v>
      </c>
      <c r="F638">
        <v>2076</v>
      </c>
      <c r="G638">
        <v>2076.5</v>
      </c>
      <c r="H638">
        <v>17800</v>
      </c>
    </row>
    <row r="639" spans="2:8">
      <c r="B639" t="s">
        <v>442</v>
      </c>
      <c r="C639" t="s">
        <v>47</v>
      </c>
      <c r="D639">
        <v>2076.5</v>
      </c>
      <c r="E639">
        <v>2076.5</v>
      </c>
      <c r="F639">
        <v>2075.5</v>
      </c>
      <c r="G639">
        <v>2076.5</v>
      </c>
      <c r="H639">
        <v>43600</v>
      </c>
    </row>
    <row r="640" spans="2:8">
      <c r="B640" t="s">
        <v>442</v>
      </c>
      <c r="C640" t="s">
        <v>48</v>
      </c>
      <c r="D640">
        <v>2076.5</v>
      </c>
      <c r="E640">
        <v>2076.5</v>
      </c>
      <c r="F640">
        <v>2075.5</v>
      </c>
      <c r="G640">
        <v>2076</v>
      </c>
      <c r="H640">
        <v>46300</v>
      </c>
    </row>
    <row r="641" spans="2:8">
      <c r="B641" t="s">
        <v>442</v>
      </c>
      <c r="C641" t="s">
        <v>49</v>
      </c>
      <c r="D641">
        <v>2075.5</v>
      </c>
      <c r="E641">
        <v>2077.5</v>
      </c>
      <c r="F641">
        <v>2075.5</v>
      </c>
      <c r="G641">
        <v>2077.5</v>
      </c>
      <c r="H641">
        <v>78100</v>
      </c>
    </row>
    <row r="642" spans="2:8">
      <c r="B642" t="s">
        <v>442</v>
      </c>
      <c r="C642" t="s">
        <v>50</v>
      </c>
      <c r="D642">
        <v>2077</v>
      </c>
      <c r="E642">
        <v>2077.5</v>
      </c>
      <c r="F642">
        <v>2076.5</v>
      </c>
      <c r="G642">
        <v>2077</v>
      </c>
      <c r="H642">
        <v>67300</v>
      </c>
    </row>
    <row r="643" spans="2:8">
      <c r="B643" t="s">
        <v>442</v>
      </c>
      <c r="C643" t="s">
        <v>51</v>
      </c>
      <c r="D643">
        <v>2077</v>
      </c>
      <c r="E643">
        <v>2077.5</v>
      </c>
      <c r="F643">
        <v>2076.5</v>
      </c>
      <c r="G643">
        <v>2077</v>
      </c>
      <c r="H643">
        <v>44800</v>
      </c>
    </row>
    <row r="644" spans="2:8">
      <c r="B644" t="s">
        <v>442</v>
      </c>
      <c r="C644" t="s">
        <v>52</v>
      </c>
      <c r="D644">
        <v>2077</v>
      </c>
      <c r="E644">
        <v>2077.5</v>
      </c>
      <c r="F644">
        <v>2076.5</v>
      </c>
      <c r="G644">
        <v>2077</v>
      </c>
      <c r="H644">
        <v>112700</v>
      </c>
    </row>
    <row r="645" spans="2:8">
      <c r="B645" t="s">
        <v>442</v>
      </c>
      <c r="C645" t="s">
        <v>53</v>
      </c>
      <c r="D645">
        <v>2077</v>
      </c>
      <c r="E645">
        <v>2077.5</v>
      </c>
      <c r="F645">
        <v>2076.5</v>
      </c>
      <c r="G645">
        <v>2077</v>
      </c>
      <c r="H645">
        <v>33900</v>
      </c>
    </row>
    <row r="646" spans="2:8">
      <c r="B646" t="s">
        <v>442</v>
      </c>
      <c r="C646" t="s">
        <v>54</v>
      </c>
      <c r="D646">
        <v>2077</v>
      </c>
      <c r="E646">
        <v>2077</v>
      </c>
      <c r="F646">
        <v>2075.5</v>
      </c>
      <c r="G646">
        <v>2075.5</v>
      </c>
      <c r="H646">
        <v>79000</v>
      </c>
    </row>
    <row r="647" spans="2:8">
      <c r="B647" t="s">
        <v>442</v>
      </c>
      <c r="C647" t="s">
        <v>55</v>
      </c>
      <c r="D647">
        <v>2075.5</v>
      </c>
      <c r="E647">
        <v>2075.5</v>
      </c>
      <c r="F647">
        <v>2074</v>
      </c>
      <c r="G647">
        <v>2074.5</v>
      </c>
      <c r="H647">
        <v>98200</v>
      </c>
    </row>
    <row r="648" spans="2:8">
      <c r="B648" t="s">
        <v>442</v>
      </c>
      <c r="C648" t="s">
        <v>56</v>
      </c>
      <c r="D648">
        <v>2074.5</v>
      </c>
      <c r="E648">
        <v>2075</v>
      </c>
      <c r="F648">
        <v>2074</v>
      </c>
      <c r="G648">
        <v>2075</v>
      </c>
      <c r="H648">
        <v>46400</v>
      </c>
    </row>
    <row r="649" spans="2:8">
      <c r="B649" t="s">
        <v>442</v>
      </c>
      <c r="C649" t="s">
        <v>57</v>
      </c>
      <c r="D649">
        <v>2075</v>
      </c>
      <c r="E649">
        <v>2075.5</v>
      </c>
      <c r="F649">
        <v>2073</v>
      </c>
      <c r="G649">
        <v>2073</v>
      </c>
      <c r="H649">
        <v>46700</v>
      </c>
    </row>
    <row r="650" spans="2:8">
      <c r="B650" t="s">
        <v>442</v>
      </c>
      <c r="C650" t="s">
        <v>58</v>
      </c>
      <c r="D650">
        <v>2073</v>
      </c>
      <c r="E650">
        <v>2074</v>
      </c>
      <c r="F650">
        <v>2073</v>
      </c>
      <c r="G650">
        <v>2074</v>
      </c>
      <c r="H650">
        <v>56100</v>
      </c>
    </row>
    <row r="651" spans="2:8">
      <c r="B651" t="s">
        <v>442</v>
      </c>
      <c r="C651" t="s">
        <v>59</v>
      </c>
      <c r="D651">
        <v>2074</v>
      </c>
      <c r="E651">
        <v>2074</v>
      </c>
      <c r="F651">
        <v>2073.5</v>
      </c>
      <c r="G651">
        <v>2074</v>
      </c>
      <c r="H651">
        <v>12900</v>
      </c>
    </row>
    <row r="652" spans="2:8">
      <c r="B652" t="s">
        <v>442</v>
      </c>
      <c r="C652" t="s">
        <v>60</v>
      </c>
      <c r="D652">
        <v>2074</v>
      </c>
      <c r="E652">
        <v>2074</v>
      </c>
      <c r="F652">
        <v>2073</v>
      </c>
      <c r="G652">
        <v>2073.5</v>
      </c>
      <c r="H652">
        <v>33800</v>
      </c>
    </row>
    <row r="653" spans="2:8">
      <c r="B653" t="s">
        <v>442</v>
      </c>
      <c r="C653" t="s">
        <v>61</v>
      </c>
      <c r="D653">
        <v>2073.5</v>
      </c>
      <c r="E653">
        <v>2074</v>
      </c>
      <c r="F653">
        <v>2072.5</v>
      </c>
      <c r="G653">
        <v>2074</v>
      </c>
      <c r="H653">
        <v>90200</v>
      </c>
    </row>
    <row r="654" spans="2:8">
      <c r="B654" t="s">
        <v>442</v>
      </c>
      <c r="C654" t="s">
        <v>62</v>
      </c>
      <c r="D654">
        <v>2074</v>
      </c>
      <c r="E654">
        <v>2075</v>
      </c>
      <c r="F654">
        <v>2073.5</v>
      </c>
      <c r="G654">
        <v>2074.5</v>
      </c>
      <c r="H654">
        <v>61600</v>
      </c>
    </row>
    <row r="655" spans="2:8">
      <c r="B655" t="s">
        <v>442</v>
      </c>
      <c r="C655" t="s">
        <v>63</v>
      </c>
      <c r="D655">
        <v>2074.5</v>
      </c>
      <c r="E655">
        <v>2075</v>
      </c>
      <c r="F655">
        <v>2074</v>
      </c>
      <c r="G655">
        <v>2075</v>
      </c>
      <c r="H655">
        <v>30000</v>
      </c>
    </row>
    <row r="656" spans="2:8">
      <c r="B656" t="s">
        <v>442</v>
      </c>
      <c r="C656" t="s">
        <v>64</v>
      </c>
      <c r="D656">
        <v>2075</v>
      </c>
      <c r="E656">
        <v>2076.5</v>
      </c>
      <c r="F656">
        <v>2075</v>
      </c>
      <c r="G656">
        <v>2075</v>
      </c>
      <c r="H656">
        <v>67200</v>
      </c>
    </row>
    <row r="657" spans="2:8">
      <c r="B657" t="s">
        <v>442</v>
      </c>
      <c r="C657" t="s">
        <v>65</v>
      </c>
      <c r="D657">
        <v>2075.5</v>
      </c>
      <c r="E657">
        <v>2075.5</v>
      </c>
      <c r="F657">
        <v>2074</v>
      </c>
      <c r="G657">
        <v>2074.5</v>
      </c>
      <c r="H657">
        <v>56300</v>
      </c>
    </row>
    <row r="658" spans="2:8">
      <c r="B658" t="s">
        <v>442</v>
      </c>
      <c r="C658" t="s">
        <v>66</v>
      </c>
      <c r="D658">
        <v>2074.5</v>
      </c>
      <c r="E658">
        <v>2074.5</v>
      </c>
      <c r="F658">
        <v>2073</v>
      </c>
      <c r="G658">
        <v>2074</v>
      </c>
      <c r="H658">
        <v>127300</v>
      </c>
    </row>
    <row r="659" spans="2:8">
      <c r="B659" t="s">
        <v>442</v>
      </c>
      <c r="C659" t="s">
        <v>164</v>
      </c>
      <c r="D659">
        <v>2073</v>
      </c>
      <c r="E659">
        <v>2073.5</v>
      </c>
      <c r="F659">
        <v>2072</v>
      </c>
      <c r="G659">
        <v>2073</v>
      </c>
      <c r="H659">
        <v>83600</v>
      </c>
    </row>
    <row r="660" spans="2:8">
      <c r="B660" t="s">
        <v>442</v>
      </c>
      <c r="C660" t="s">
        <v>165</v>
      </c>
      <c r="D660">
        <v>2072.5</v>
      </c>
      <c r="E660">
        <v>2075</v>
      </c>
      <c r="F660">
        <v>2072.5</v>
      </c>
      <c r="G660">
        <v>2074</v>
      </c>
      <c r="H660">
        <v>169000</v>
      </c>
    </row>
    <row r="661" spans="2:8">
      <c r="B661" t="s">
        <v>442</v>
      </c>
      <c r="C661" t="s">
        <v>67</v>
      </c>
      <c r="D661" t="s">
        <v>8</v>
      </c>
      <c r="E661" t="s">
        <v>8</v>
      </c>
      <c r="F661" t="s">
        <v>8</v>
      </c>
      <c r="G661" t="s">
        <v>8</v>
      </c>
      <c r="H661">
        <v>0</v>
      </c>
    </row>
    <row r="662" spans="2:8">
      <c r="B662" t="s">
        <v>442</v>
      </c>
      <c r="C662" t="s">
        <v>68</v>
      </c>
      <c r="D662" t="s">
        <v>8</v>
      </c>
      <c r="E662" t="s">
        <v>8</v>
      </c>
      <c r="F662" t="s">
        <v>8</v>
      </c>
      <c r="G662" t="s">
        <v>8</v>
      </c>
      <c r="H662">
        <v>0</v>
      </c>
    </row>
    <row r="663" spans="2:8">
      <c r="B663" t="s">
        <v>442</v>
      </c>
      <c r="C663" t="s">
        <v>69</v>
      </c>
      <c r="D663" t="s">
        <v>8</v>
      </c>
      <c r="E663" t="s">
        <v>8</v>
      </c>
      <c r="F663" t="s">
        <v>8</v>
      </c>
      <c r="G663" t="s">
        <v>8</v>
      </c>
      <c r="H663">
        <v>0</v>
      </c>
    </row>
    <row r="664" spans="2:8">
      <c r="B664" t="s">
        <v>442</v>
      </c>
      <c r="C664" t="s">
        <v>70</v>
      </c>
      <c r="D664" t="s">
        <v>8</v>
      </c>
      <c r="E664" t="s">
        <v>8</v>
      </c>
      <c r="F664" t="s">
        <v>8</v>
      </c>
      <c r="G664" t="s">
        <v>8</v>
      </c>
      <c r="H664">
        <v>0</v>
      </c>
    </row>
    <row r="665" spans="2:8">
      <c r="B665" t="s">
        <v>442</v>
      </c>
      <c r="C665" t="s">
        <v>71</v>
      </c>
      <c r="D665" t="s">
        <v>8</v>
      </c>
      <c r="E665" t="s">
        <v>8</v>
      </c>
      <c r="F665" t="s">
        <v>8</v>
      </c>
      <c r="G665" t="s">
        <v>8</v>
      </c>
      <c r="H665">
        <v>0</v>
      </c>
    </row>
    <row r="666" spans="2:8">
      <c r="B666" t="s">
        <v>442</v>
      </c>
      <c r="C666" t="s">
        <v>72</v>
      </c>
      <c r="D666">
        <v>2071.5</v>
      </c>
      <c r="E666">
        <v>2071.5</v>
      </c>
      <c r="F666">
        <v>2071.5</v>
      </c>
      <c r="G666">
        <v>2071.5</v>
      </c>
      <c r="H666">
        <v>4905700</v>
      </c>
    </row>
    <row r="667" spans="2:8">
      <c r="B667" t="s">
        <v>443</v>
      </c>
      <c r="C667" t="s">
        <v>166</v>
      </c>
      <c r="D667">
        <v>2080</v>
      </c>
      <c r="E667">
        <v>2080.5</v>
      </c>
      <c r="F667">
        <v>2065</v>
      </c>
      <c r="G667">
        <v>2066.5</v>
      </c>
      <c r="H667">
        <v>1855800</v>
      </c>
    </row>
    <row r="668" spans="2:8">
      <c r="B668" t="s">
        <v>443</v>
      </c>
      <c r="C668" t="s">
        <v>167</v>
      </c>
      <c r="D668">
        <v>2066</v>
      </c>
      <c r="E668">
        <v>2070</v>
      </c>
      <c r="F668">
        <v>2064</v>
      </c>
      <c r="G668">
        <v>2070</v>
      </c>
      <c r="H668">
        <v>258800</v>
      </c>
    </row>
    <row r="669" spans="2:8">
      <c r="B669" t="s">
        <v>443</v>
      </c>
      <c r="C669" t="s">
        <v>168</v>
      </c>
      <c r="D669">
        <v>2070</v>
      </c>
      <c r="E669">
        <v>2072.5</v>
      </c>
      <c r="F669">
        <v>2069.5</v>
      </c>
      <c r="G669">
        <v>2072</v>
      </c>
      <c r="H669">
        <v>150300</v>
      </c>
    </row>
    <row r="670" spans="2:8">
      <c r="B670" t="s">
        <v>443</v>
      </c>
      <c r="C670" t="s">
        <v>169</v>
      </c>
      <c r="D670">
        <v>2072.5</v>
      </c>
      <c r="E670">
        <v>2075</v>
      </c>
      <c r="F670">
        <v>2072</v>
      </c>
      <c r="G670">
        <v>2073.5</v>
      </c>
      <c r="H670">
        <v>165100</v>
      </c>
    </row>
    <row r="671" spans="2:8">
      <c r="B671" t="s">
        <v>443</v>
      </c>
      <c r="C671" t="s">
        <v>170</v>
      </c>
      <c r="D671">
        <v>2074</v>
      </c>
      <c r="E671">
        <v>2074.5</v>
      </c>
      <c r="F671">
        <v>2072</v>
      </c>
      <c r="G671">
        <v>2074.5</v>
      </c>
      <c r="H671">
        <v>175300</v>
      </c>
    </row>
    <row r="672" spans="2:8">
      <c r="B672" t="s">
        <v>443</v>
      </c>
      <c r="C672" t="s">
        <v>171</v>
      </c>
      <c r="D672">
        <v>2074.5</v>
      </c>
      <c r="E672">
        <v>2078</v>
      </c>
      <c r="F672">
        <v>2074</v>
      </c>
      <c r="G672">
        <v>2078</v>
      </c>
      <c r="H672">
        <v>121000</v>
      </c>
    </row>
    <row r="673" spans="2:8">
      <c r="B673" t="s">
        <v>443</v>
      </c>
      <c r="C673" t="s">
        <v>172</v>
      </c>
      <c r="D673">
        <v>2078</v>
      </c>
      <c r="E673">
        <v>2080</v>
      </c>
      <c r="F673">
        <v>2075</v>
      </c>
      <c r="G673">
        <v>2075</v>
      </c>
      <c r="H673">
        <v>228600</v>
      </c>
    </row>
    <row r="674" spans="2:8">
      <c r="B674" t="s">
        <v>443</v>
      </c>
      <c r="C674" t="s">
        <v>173</v>
      </c>
      <c r="D674">
        <v>2074.5</v>
      </c>
      <c r="E674">
        <v>2076.5</v>
      </c>
      <c r="F674">
        <v>2073.5</v>
      </c>
      <c r="G674">
        <v>2075</v>
      </c>
      <c r="H674">
        <v>97200</v>
      </c>
    </row>
    <row r="675" spans="2:8">
      <c r="B675" t="s">
        <v>443</v>
      </c>
      <c r="C675" t="s">
        <v>174</v>
      </c>
      <c r="D675">
        <v>2075</v>
      </c>
      <c r="E675">
        <v>2076.5</v>
      </c>
      <c r="F675">
        <v>2073.5</v>
      </c>
      <c r="G675">
        <v>2073.5</v>
      </c>
      <c r="H675">
        <v>118100</v>
      </c>
    </row>
    <row r="676" spans="2:8">
      <c r="B676" t="s">
        <v>443</v>
      </c>
      <c r="C676" t="s">
        <v>175</v>
      </c>
      <c r="D676">
        <v>2073</v>
      </c>
      <c r="E676">
        <v>2073</v>
      </c>
      <c r="F676">
        <v>2068.5</v>
      </c>
      <c r="G676">
        <v>2069</v>
      </c>
      <c r="H676">
        <v>207400</v>
      </c>
    </row>
    <row r="677" spans="2:8">
      <c r="B677" t="s">
        <v>443</v>
      </c>
      <c r="C677" t="s">
        <v>176</v>
      </c>
      <c r="D677">
        <v>2069.5</v>
      </c>
      <c r="E677">
        <v>2070</v>
      </c>
      <c r="F677">
        <v>2065.5</v>
      </c>
      <c r="G677">
        <v>2066</v>
      </c>
      <c r="H677">
        <v>180400</v>
      </c>
    </row>
    <row r="678" spans="2:8">
      <c r="B678" t="s">
        <v>443</v>
      </c>
      <c r="C678" t="s">
        <v>177</v>
      </c>
      <c r="D678">
        <v>2066</v>
      </c>
      <c r="E678">
        <v>2069.5</v>
      </c>
      <c r="F678">
        <v>2064</v>
      </c>
      <c r="G678">
        <v>2069.5</v>
      </c>
      <c r="H678">
        <v>213300</v>
      </c>
    </row>
    <row r="679" spans="2:8">
      <c r="B679" t="s">
        <v>443</v>
      </c>
      <c r="C679" t="s">
        <v>178</v>
      </c>
      <c r="D679">
        <v>2069.5</v>
      </c>
      <c r="E679">
        <v>2073</v>
      </c>
      <c r="F679">
        <v>2068</v>
      </c>
      <c r="G679">
        <v>2073</v>
      </c>
      <c r="H679">
        <v>160200</v>
      </c>
    </row>
    <row r="680" spans="2:8">
      <c r="B680" t="s">
        <v>443</v>
      </c>
      <c r="C680" t="s">
        <v>179</v>
      </c>
      <c r="D680">
        <v>2073.5</v>
      </c>
      <c r="E680">
        <v>2074.5</v>
      </c>
      <c r="F680">
        <v>2072.5</v>
      </c>
      <c r="G680">
        <v>2073.5</v>
      </c>
      <c r="H680">
        <v>90800</v>
      </c>
    </row>
    <row r="681" spans="2:8">
      <c r="B681" t="s">
        <v>443</v>
      </c>
      <c r="C681" t="s">
        <v>180</v>
      </c>
      <c r="D681">
        <v>2073.5</v>
      </c>
      <c r="E681">
        <v>2074</v>
      </c>
      <c r="F681">
        <v>2072</v>
      </c>
      <c r="G681">
        <v>2073.5</v>
      </c>
      <c r="H681">
        <v>41500</v>
      </c>
    </row>
    <row r="682" spans="2:8">
      <c r="B682" t="s">
        <v>443</v>
      </c>
      <c r="C682" t="s">
        <v>181</v>
      </c>
      <c r="D682">
        <v>2073.5</v>
      </c>
      <c r="E682">
        <v>2075.5</v>
      </c>
      <c r="F682">
        <v>2073.5</v>
      </c>
      <c r="G682">
        <v>2074</v>
      </c>
      <c r="H682">
        <v>134400</v>
      </c>
    </row>
    <row r="683" spans="2:8">
      <c r="B683" t="s">
        <v>443</v>
      </c>
      <c r="C683" t="s">
        <v>182</v>
      </c>
      <c r="D683">
        <v>2074.5</v>
      </c>
      <c r="E683">
        <v>2076</v>
      </c>
      <c r="F683">
        <v>2074</v>
      </c>
      <c r="G683">
        <v>2075.5</v>
      </c>
      <c r="H683">
        <v>88900</v>
      </c>
    </row>
    <row r="684" spans="2:8">
      <c r="B684" t="s">
        <v>443</v>
      </c>
      <c r="C684" t="s">
        <v>183</v>
      </c>
      <c r="D684">
        <v>2075</v>
      </c>
      <c r="E684">
        <v>2076</v>
      </c>
      <c r="F684">
        <v>2074.5</v>
      </c>
      <c r="G684">
        <v>2075.5</v>
      </c>
      <c r="H684">
        <v>78400</v>
      </c>
    </row>
    <row r="685" spans="2:8">
      <c r="B685" t="s">
        <v>443</v>
      </c>
      <c r="C685" t="s">
        <v>184</v>
      </c>
      <c r="D685">
        <v>2076</v>
      </c>
      <c r="E685">
        <v>2076.5</v>
      </c>
      <c r="F685">
        <v>2074.5</v>
      </c>
      <c r="G685">
        <v>2075.5</v>
      </c>
      <c r="H685">
        <v>74100</v>
      </c>
    </row>
    <row r="686" spans="2:8">
      <c r="B686" t="s">
        <v>443</v>
      </c>
      <c r="C686" t="s">
        <v>185</v>
      </c>
      <c r="D686">
        <v>2075.5</v>
      </c>
      <c r="E686">
        <v>2079</v>
      </c>
      <c r="F686">
        <v>2075.5</v>
      </c>
      <c r="G686">
        <v>2078.5</v>
      </c>
      <c r="H686">
        <v>94500</v>
      </c>
    </row>
    <row r="687" spans="2:8">
      <c r="B687" t="s">
        <v>443</v>
      </c>
      <c r="C687" t="s">
        <v>186</v>
      </c>
      <c r="D687">
        <v>2079</v>
      </c>
      <c r="E687">
        <v>2081</v>
      </c>
      <c r="F687">
        <v>2078.5</v>
      </c>
      <c r="G687">
        <v>2079</v>
      </c>
      <c r="H687">
        <v>261500</v>
      </c>
    </row>
    <row r="688" spans="2:8">
      <c r="B688" t="s">
        <v>443</v>
      </c>
      <c r="C688" t="s">
        <v>187</v>
      </c>
      <c r="D688">
        <v>2079</v>
      </c>
      <c r="E688">
        <v>2080</v>
      </c>
      <c r="F688">
        <v>2077.5</v>
      </c>
      <c r="G688">
        <v>2078.5</v>
      </c>
      <c r="H688">
        <v>87700</v>
      </c>
    </row>
    <row r="689" spans="2:8">
      <c r="B689" t="s">
        <v>443</v>
      </c>
      <c r="C689" t="s">
        <v>188</v>
      </c>
      <c r="D689">
        <v>2078.5</v>
      </c>
      <c r="E689">
        <v>2079.5</v>
      </c>
      <c r="F689">
        <v>2077.5</v>
      </c>
      <c r="G689">
        <v>2079</v>
      </c>
      <c r="H689">
        <v>35100</v>
      </c>
    </row>
    <row r="690" spans="2:8">
      <c r="B690" t="s">
        <v>443</v>
      </c>
      <c r="C690" t="s">
        <v>189</v>
      </c>
      <c r="D690">
        <v>2078.5</v>
      </c>
      <c r="E690">
        <v>2079</v>
      </c>
      <c r="F690">
        <v>2076.5</v>
      </c>
      <c r="G690">
        <v>2077</v>
      </c>
      <c r="H690">
        <v>67600</v>
      </c>
    </row>
    <row r="691" spans="2:8">
      <c r="B691" t="s">
        <v>443</v>
      </c>
      <c r="C691" t="s">
        <v>190</v>
      </c>
      <c r="D691">
        <v>2077</v>
      </c>
      <c r="E691">
        <v>2078</v>
      </c>
      <c r="F691">
        <v>2073.5</v>
      </c>
      <c r="G691">
        <v>2074.5</v>
      </c>
      <c r="H691">
        <v>170600</v>
      </c>
    </row>
    <row r="692" spans="2:8">
      <c r="B692" t="s">
        <v>443</v>
      </c>
      <c r="C692" t="s">
        <v>191</v>
      </c>
      <c r="D692">
        <v>2075</v>
      </c>
      <c r="E692">
        <v>2075.5</v>
      </c>
      <c r="F692">
        <v>2073.5</v>
      </c>
      <c r="G692">
        <v>2073.5</v>
      </c>
      <c r="H692">
        <v>84600</v>
      </c>
    </row>
    <row r="693" spans="2:8">
      <c r="B693" t="s">
        <v>443</v>
      </c>
      <c r="C693" t="s">
        <v>192</v>
      </c>
      <c r="D693">
        <v>2073.5</v>
      </c>
      <c r="E693">
        <v>2074</v>
      </c>
      <c r="F693">
        <v>2072</v>
      </c>
      <c r="G693">
        <v>2073</v>
      </c>
      <c r="H693">
        <v>86200</v>
      </c>
    </row>
    <row r="694" spans="2:8">
      <c r="B694" t="s">
        <v>443</v>
      </c>
      <c r="C694" t="s">
        <v>193</v>
      </c>
      <c r="D694">
        <v>2073</v>
      </c>
      <c r="E694">
        <v>2074.5</v>
      </c>
      <c r="F694">
        <v>2072</v>
      </c>
      <c r="G694">
        <v>2074.5</v>
      </c>
      <c r="H694">
        <v>80100</v>
      </c>
    </row>
    <row r="695" spans="2:8">
      <c r="B695" t="s">
        <v>443</v>
      </c>
      <c r="C695" t="s">
        <v>194</v>
      </c>
      <c r="D695">
        <v>2075</v>
      </c>
      <c r="E695">
        <v>2078.5</v>
      </c>
      <c r="F695">
        <v>2075</v>
      </c>
      <c r="G695">
        <v>2078</v>
      </c>
      <c r="H695">
        <v>139300</v>
      </c>
    </row>
    <row r="696" spans="2:8">
      <c r="B696" t="s">
        <v>443</v>
      </c>
      <c r="C696" t="s">
        <v>195</v>
      </c>
      <c r="D696">
        <v>2077.5</v>
      </c>
      <c r="E696">
        <v>2078.5</v>
      </c>
      <c r="F696">
        <v>2076.5</v>
      </c>
      <c r="G696">
        <v>2077</v>
      </c>
      <c r="H696">
        <v>103400</v>
      </c>
    </row>
    <row r="697" spans="2:8">
      <c r="B697" t="s">
        <v>443</v>
      </c>
      <c r="C697" t="s">
        <v>196</v>
      </c>
      <c r="D697">
        <v>2077</v>
      </c>
      <c r="E697">
        <v>2078</v>
      </c>
      <c r="F697">
        <v>2075.5</v>
      </c>
      <c r="G697">
        <v>2076.5</v>
      </c>
      <c r="H697">
        <v>70000</v>
      </c>
    </row>
    <row r="698" spans="2:8">
      <c r="B698" t="s">
        <v>443</v>
      </c>
      <c r="C698" t="s">
        <v>197</v>
      </c>
      <c r="D698">
        <v>2076.5</v>
      </c>
      <c r="E698">
        <v>2077</v>
      </c>
      <c r="F698">
        <v>2076.5</v>
      </c>
      <c r="G698">
        <v>2076.5</v>
      </c>
      <c r="H698">
        <v>27400</v>
      </c>
    </row>
    <row r="699" spans="2:8">
      <c r="B699" t="s">
        <v>443</v>
      </c>
      <c r="C699" t="s">
        <v>198</v>
      </c>
      <c r="D699">
        <v>2076.5</v>
      </c>
      <c r="E699">
        <v>2079</v>
      </c>
      <c r="F699">
        <v>2076.5</v>
      </c>
      <c r="G699">
        <v>2078</v>
      </c>
      <c r="H699">
        <v>65700</v>
      </c>
    </row>
    <row r="700" spans="2:8">
      <c r="B700" t="s">
        <v>443</v>
      </c>
      <c r="C700" t="s">
        <v>199</v>
      </c>
      <c r="D700">
        <v>2078.5</v>
      </c>
      <c r="E700">
        <v>2079</v>
      </c>
      <c r="F700">
        <v>2077</v>
      </c>
      <c r="G700">
        <v>2077.5</v>
      </c>
      <c r="H700">
        <v>66800</v>
      </c>
    </row>
    <row r="701" spans="2:8">
      <c r="B701" t="s">
        <v>443</v>
      </c>
      <c r="C701" t="s">
        <v>200</v>
      </c>
      <c r="D701">
        <v>2077.5</v>
      </c>
      <c r="E701">
        <v>2078</v>
      </c>
      <c r="F701">
        <v>2077</v>
      </c>
      <c r="G701">
        <v>2077</v>
      </c>
      <c r="H701">
        <v>8900</v>
      </c>
    </row>
    <row r="702" spans="2:8">
      <c r="B702" t="s">
        <v>443</v>
      </c>
      <c r="C702" t="s">
        <v>201</v>
      </c>
      <c r="D702">
        <v>2077.5</v>
      </c>
      <c r="E702">
        <v>2078</v>
      </c>
      <c r="F702">
        <v>2076.5</v>
      </c>
      <c r="G702">
        <v>2077</v>
      </c>
      <c r="H702">
        <v>70500</v>
      </c>
    </row>
    <row r="703" spans="2:8">
      <c r="B703" t="s">
        <v>443</v>
      </c>
      <c r="C703" t="s">
        <v>202</v>
      </c>
      <c r="D703">
        <v>2077</v>
      </c>
      <c r="E703">
        <v>2077.5</v>
      </c>
      <c r="F703">
        <v>2076.5</v>
      </c>
      <c r="G703">
        <v>2076.5</v>
      </c>
      <c r="H703">
        <v>20800</v>
      </c>
    </row>
    <row r="704" spans="2:8">
      <c r="B704" t="s">
        <v>443</v>
      </c>
      <c r="C704" t="s">
        <v>203</v>
      </c>
      <c r="D704">
        <v>2077</v>
      </c>
      <c r="E704">
        <v>2079.5</v>
      </c>
      <c r="F704">
        <v>2077</v>
      </c>
      <c r="G704">
        <v>2079</v>
      </c>
      <c r="H704">
        <v>97700</v>
      </c>
    </row>
    <row r="705" spans="2:8">
      <c r="B705" t="s">
        <v>443</v>
      </c>
      <c r="C705" t="s">
        <v>204</v>
      </c>
      <c r="D705">
        <v>2079</v>
      </c>
      <c r="E705">
        <v>2079</v>
      </c>
      <c r="F705">
        <v>2075.5</v>
      </c>
      <c r="G705">
        <v>2075.5</v>
      </c>
      <c r="H705">
        <v>106000</v>
      </c>
    </row>
    <row r="706" spans="2:8">
      <c r="B706" t="s">
        <v>443</v>
      </c>
      <c r="C706" t="s">
        <v>205</v>
      </c>
      <c r="D706">
        <v>2076</v>
      </c>
      <c r="E706">
        <v>2077</v>
      </c>
      <c r="F706">
        <v>2076</v>
      </c>
      <c r="G706">
        <v>2076.5</v>
      </c>
      <c r="H706">
        <v>14500</v>
      </c>
    </row>
    <row r="707" spans="2:8">
      <c r="B707" t="s">
        <v>443</v>
      </c>
      <c r="C707" t="s">
        <v>206</v>
      </c>
      <c r="D707">
        <v>2076.5</v>
      </c>
      <c r="E707">
        <v>2076.5</v>
      </c>
      <c r="F707">
        <v>2074.5</v>
      </c>
      <c r="G707">
        <v>2075</v>
      </c>
      <c r="H707">
        <v>52200</v>
      </c>
    </row>
    <row r="708" spans="2:8">
      <c r="B708" t="s">
        <v>443</v>
      </c>
      <c r="C708" t="s">
        <v>207</v>
      </c>
      <c r="D708">
        <v>2075</v>
      </c>
      <c r="E708">
        <v>2075</v>
      </c>
      <c r="F708">
        <v>2072.5</v>
      </c>
      <c r="G708">
        <v>2073</v>
      </c>
      <c r="H708">
        <v>146700</v>
      </c>
    </row>
    <row r="709" spans="2:8">
      <c r="B709" t="s">
        <v>443</v>
      </c>
      <c r="C709" t="s">
        <v>208</v>
      </c>
      <c r="D709">
        <v>2073</v>
      </c>
      <c r="E709">
        <v>2073.5</v>
      </c>
      <c r="F709">
        <v>2072</v>
      </c>
      <c r="G709">
        <v>2073.5</v>
      </c>
      <c r="H709">
        <v>74400</v>
      </c>
    </row>
    <row r="710" spans="2:8">
      <c r="B710" t="s">
        <v>443</v>
      </c>
      <c r="C710" t="s">
        <v>209</v>
      </c>
      <c r="D710">
        <v>2073.5</v>
      </c>
      <c r="E710">
        <v>2074</v>
      </c>
      <c r="F710">
        <v>2072.5</v>
      </c>
      <c r="G710">
        <v>2072.5</v>
      </c>
      <c r="H710">
        <v>36100</v>
      </c>
    </row>
    <row r="711" spans="2:8">
      <c r="B711" t="s">
        <v>443</v>
      </c>
      <c r="C711" t="s">
        <v>210</v>
      </c>
      <c r="D711">
        <v>2072</v>
      </c>
      <c r="E711">
        <v>2072.5</v>
      </c>
      <c r="F711">
        <v>2071.5</v>
      </c>
      <c r="G711">
        <v>2072</v>
      </c>
      <c r="H711">
        <v>38400</v>
      </c>
    </row>
    <row r="712" spans="2:8">
      <c r="B712" t="s">
        <v>443</v>
      </c>
      <c r="C712" t="s">
        <v>211</v>
      </c>
      <c r="D712">
        <v>2072.5</v>
      </c>
      <c r="E712">
        <v>2074</v>
      </c>
      <c r="F712">
        <v>2072</v>
      </c>
      <c r="G712">
        <v>2073</v>
      </c>
      <c r="H712">
        <v>64400</v>
      </c>
    </row>
    <row r="713" spans="2:8">
      <c r="B713" t="s">
        <v>443</v>
      </c>
      <c r="C713" t="s">
        <v>212</v>
      </c>
      <c r="D713">
        <v>2073</v>
      </c>
      <c r="E713">
        <v>2073.5</v>
      </c>
      <c r="F713">
        <v>2073</v>
      </c>
      <c r="G713">
        <v>2073</v>
      </c>
      <c r="H713">
        <v>25200</v>
      </c>
    </row>
    <row r="714" spans="2:8">
      <c r="B714" t="s">
        <v>443</v>
      </c>
      <c r="C714" t="s">
        <v>213</v>
      </c>
      <c r="D714">
        <v>2073</v>
      </c>
      <c r="E714">
        <v>2073</v>
      </c>
      <c r="F714">
        <v>2070.5</v>
      </c>
      <c r="G714">
        <v>2071</v>
      </c>
      <c r="H714">
        <v>55700</v>
      </c>
    </row>
    <row r="715" spans="2:8">
      <c r="B715" t="s">
        <v>443</v>
      </c>
      <c r="C715" t="s">
        <v>214</v>
      </c>
      <c r="D715">
        <v>2071</v>
      </c>
      <c r="E715">
        <v>2072</v>
      </c>
      <c r="F715">
        <v>2070.5</v>
      </c>
      <c r="G715">
        <v>2072</v>
      </c>
      <c r="H715">
        <v>52400</v>
      </c>
    </row>
    <row r="716" spans="2:8">
      <c r="B716" t="s">
        <v>443</v>
      </c>
      <c r="C716" t="s">
        <v>215</v>
      </c>
      <c r="D716">
        <v>2072</v>
      </c>
      <c r="E716">
        <v>2073.5</v>
      </c>
      <c r="F716">
        <v>2072</v>
      </c>
      <c r="G716">
        <v>2072</v>
      </c>
      <c r="H716">
        <v>57300</v>
      </c>
    </row>
    <row r="717" spans="2:8">
      <c r="B717" t="s">
        <v>443</v>
      </c>
      <c r="C717" t="s">
        <v>216</v>
      </c>
      <c r="D717">
        <v>2072</v>
      </c>
      <c r="E717">
        <v>2072.5</v>
      </c>
      <c r="F717">
        <v>2071.5</v>
      </c>
      <c r="G717">
        <v>2072.5</v>
      </c>
      <c r="H717">
        <v>24300</v>
      </c>
    </row>
    <row r="718" spans="2:8">
      <c r="B718" t="s">
        <v>443</v>
      </c>
      <c r="C718" t="s">
        <v>217</v>
      </c>
      <c r="D718">
        <v>2072.5</v>
      </c>
      <c r="E718">
        <v>2073.5</v>
      </c>
      <c r="F718">
        <v>2072</v>
      </c>
      <c r="G718">
        <v>2072</v>
      </c>
      <c r="H718">
        <v>57500</v>
      </c>
    </row>
    <row r="719" spans="2:8">
      <c r="B719" t="s">
        <v>443</v>
      </c>
      <c r="C719" t="s">
        <v>218</v>
      </c>
      <c r="D719">
        <v>2072</v>
      </c>
      <c r="E719">
        <v>2073.5</v>
      </c>
      <c r="F719">
        <v>2072</v>
      </c>
      <c r="G719">
        <v>2073.5</v>
      </c>
      <c r="H719">
        <v>43600</v>
      </c>
    </row>
    <row r="720" spans="2:8">
      <c r="B720" t="s">
        <v>443</v>
      </c>
      <c r="C720" t="s">
        <v>219</v>
      </c>
      <c r="D720">
        <v>2073.5</v>
      </c>
      <c r="E720">
        <v>2073.5</v>
      </c>
      <c r="F720">
        <v>2071.5</v>
      </c>
      <c r="G720">
        <v>2071.5</v>
      </c>
      <c r="H720">
        <v>49000</v>
      </c>
    </row>
    <row r="721" spans="2:8">
      <c r="B721" t="s">
        <v>443</v>
      </c>
      <c r="C721" t="s">
        <v>220</v>
      </c>
      <c r="D721">
        <v>2072</v>
      </c>
      <c r="E721">
        <v>2072</v>
      </c>
      <c r="F721">
        <v>2071.5</v>
      </c>
      <c r="G721">
        <v>2071.5</v>
      </c>
      <c r="H721">
        <v>43900</v>
      </c>
    </row>
    <row r="722" spans="2:8">
      <c r="B722" t="s">
        <v>443</v>
      </c>
      <c r="C722" t="s">
        <v>221</v>
      </c>
      <c r="D722">
        <v>2071.5</v>
      </c>
      <c r="E722">
        <v>2073</v>
      </c>
      <c r="F722">
        <v>2071.5</v>
      </c>
      <c r="G722">
        <v>2072.5</v>
      </c>
      <c r="H722">
        <v>27600</v>
      </c>
    </row>
    <row r="723" spans="2:8">
      <c r="B723" t="s">
        <v>443</v>
      </c>
      <c r="C723" t="s">
        <v>222</v>
      </c>
      <c r="D723">
        <v>2072.5</v>
      </c>
      <c r="E723">
        <v>2074</v>
      </c>
      <c r="F723">
        <v>2072.5</v>
      </c>
      <c r="G723">
        <v>2073</v>
      </c>
      <c r="H723">
        <v>24800</v>
      </c>
    </row>
    <row r="724" spans="2:8">
      <c r="B724" t="s">
        <v>443</v>
      </c>
      <c r="C724" t="s">
        <v>223</v>
      </c>
      <c r="D724">
        <v>2073</v>
      </c>
      <c r="E724">
        <v>2073</v>
      </c>
      <c r="F724">
        <v>2072.5</v>
      </c>
      <c r="G724">
        <v>2073</v>
      </c>
      <c r="H724">
        <v>18900</v>
      </c>
    </row>
    <row r="725" spans="2:8">
      <c r="B725" t="s">
        <v>443</v>
      </c>
      <c r="C725" t="s">
        <v>224</v>
      </c>
      <c r="D725">
        <v>2073</v>
      </c>
      <c r="E725">
        <v>2073.5</v>
      </c>
      <c r="F725">
        <v>2073</v>
      </c>
      <c r="G725">
        <v>2073</v>
      </c>
      <c r="H725">
        <v>21500</v>
      </c>
    </row>
    <row r="726" spans="2:8">
      <c r="B726" t="s">
        <v>443</v>
      </c>
      <c r="C726" t="s">
        <v>225</v>
      </c>
      <c r="D726">
        <v>2072.5</v>
      </c>
      <c r="E726">
        <v>2073</v>
      </c>
      <c r="F726">
        <v>2071.5</v>
      </c>
      <c r="G726">
        <v>2072.5</v>
      </c>
      <c r="H726">
        <v>70200</v>
      </c>
    </row>
    <row r="727" spans="2:8">
      <c r="B727" t="s">
        <v>443</v>
      </c>
      <c r="C727" t="s">
        <v>226</v>
      </c>
      <c r="D727">
        <v>2072.5</v>
      </c>
      <c r="E727">
        <v>2075</v>
      </c>
      <c r="F727">
        <v>2072</v>
      </c>
      <c r="G727">
        <v>2072</v>
      </c>
      <c r="H727">
        <v>113000</v>
      </c>
    </row>
    <row r="728" spans="2:8">
      <c r="B728" t="s">
        <v>443</v>
      </c>
      <c r="C728" t="s">
        <v>227</v>
      </c>
      <c r="D728">
        <v>2072.5</v>
      </c>
      <c r="E728">
        <v>2073.5</v>
      </c>
      <c r="F728">
        <v>2072</v>
      </c>
      <c r="G728">
        <v>2072.5</v>
      </c>
      <c r="H728">
        <v>21200</v>
      </c>
    </row>
    <row r="729" spans="2:8">
      <c r="B729" t="s">
        <v>443</v>
      </c>
      <c r="C729" t="s">
        <v>228</v>
      </c>
      <c r="D729">
        <v>2072.5</v>
      </c>
      <c r="E729">
        <v>2074.5</v>
      </c>
      <c r="F729">
        <v>2072.5</v>
      </c>
      <c r="G729">
        <v>2074.5</v>
      </c>
      <c r="H729">
        <v>45500</v>
      </c>
    </row>
    <row r="730" spans="2:8">
      <c r="B730" t="s">
        <v>443</v>
      </c>
      <c r="C730" t="s">
        <v>229</v>
      </c>
      <c r="D730">
        <v>2074.5</v>
      </c>
      <c r="E730">
        <v>2075</v>
      </c>
      <c r="F730">
        <v>2073.5</v>
      </c>
      <c r="G730">
        <v>2074</v>
      </c>
      <c r="H730">
        <v>29400</v>
      </c>
    </row>
    <row r="731" spans="2:8">
      <c r="B731" t="s">
        <v>443</v>
      </c>
      <c r="C731" t="s">
        <v>230</v>
      </c>
      <c r="D731">
        <v>2074.5</v>
      </c>
      <c r="E731">
        <v>2076</v>
      </c>
      <c r="F731">
        <v>2074.5</v>
      </c>
      <c r="G731">
        <v>2075</v>
      </c>
      <c r="H731">
        <v>47500</v>
      </c>
    </row>
    <row r="732" spans="2:8">
      <c r="B732" t="s">
        <v>443</v>
      </c>
      <c r="C732" t="s">
        <v>231</v>
      </c>
      <c r="D732">
        <v>2075.5</v>
      </c>
      <c r="E732">
        <v>2075.5</v>
      </c>
      <c r="F732">
        <v>2073</v>
      </c>
      <c r="G732">
        <v>2073</v>
      </c>
      <c r="H732">
        <v>71300</v>
      </c>
    </row>
    <row r="733" spans="2:8">
      <c r="B733" t="s">
        <v>443</v>
      </c>
      <c r="C733" t="s">
        <v>232</v>
      </c>
      <c r="D733">
        <v>2073</v>
      </c>
      <c r="E733">
        <v>2074</v>
      </c>
      <c r="F733">
        <v>2072</v>
      </c>
      <c r="G733">
        <v>2074</v>
      </c>
      <c r="H733">
        <v>32300</v>
      </c>
    </row>
    <row r="734" spans="2:8">
      <c r="B734" t="s">
        <v>443</v>
      </c>
      <c r="C734" t="s">
        <v>233</v>
      </c>
      <c r="D734">
        <v>2074</v>
      </c>
      <c r="E734">
        <v>2075.5</v>
      </c>
      <c r="F734">
        <v>2074</v>
      </c>
      <c r="G734">
        <v>2075</v>
      </c>
      <c r="H734">
        <v>29300</v>
      </c>
    </row>
    <row r="735" spans="2:8">
      <c r="B735" t="s">
        <v>443</v>
      </c>
      <c r="C735" t="s">
        <v>234</v>
      </c>
      <c r="D735">
        <v>2075</v>
      </c>
      <c r="E735">
        <v>2076</v>
      </c>
      <c r="F735">
        <v>2075</v>
      </c>
      <c r="G735">
        <v>2075</v>
      </c>
      <c r="H735">
        <v>32300</v>
      </c>
    </row>
    <row r="736" spans="2:8">
      <c r="B736" t="s">
        <v>443</v>
      </c>
      <c r="C736" t="s">
        <v>235</v>
      </c>
      <c r="D736">
        <v>2075</v>
      </c>
      <c r="E736">
        <v>2076</v>
      </c>
      <c r="F736">
        <v>2074.5</v>
      </c>
      <c r="G736">
        <v>2076</v>
      </c>
      <c r="H736">
        <v>25800</v>
      </c>
    </row>
    <row r="737" spans="2:8">
      <c r="B737" t="s">
        <v>443</v>
      </c>
      <c r="C737" t="s">
        <v>236</v>
      </c>
      <c r="D737">
        <v>2076</v>
      </c>
      <c r="E737">
        <v>2076.5</v>
      </c>
      <c r="F737">
        <v>2075.5</v>
      </c>
      <c r="G737">
        <v>2076</v>
      </c>
      <c r="H737">
        <v>49300</v>
      </c>
    </row>
    <row r="738" spans="2:8">
      <c r="B738" t="s">
        <v>443</v>
      </c>
      <c r="C738" t="s">
        <v>237</v>
      </c>
      <c r="D738">
        <v>2076</v>
      </c>
      <c r="E738">
        <v>2076.5</v>
      </c>
      <c r="F738">
        <v>2076</v>
      </c>
      <c r="G738">
        <v>2076.5</v>
      </c>
      <c r="H738">
        <v>38700</v>
      </c>
    </row>
    <row r="739" spans="2:8">
      <c r="B739" t="s">
        <v>443</v>
      </c>
      <c r="C739" t="s">
        <v>238</v>
      </c>
      <c r="D739">
        <v>2076.5</v>
      </c>
      <c r="E739">
        <v>2076.5</v>
      </c>
      <c r="F739">
        <v>2075</v>
      </c>
      <c r="G739">
        <v>2075.5</v>
      </c>
      <c r="H739">
        <v>31800</v>
      </c>
    </row>
    <row r="740" spans="2:8">
      <c r="B740" t="s">
        <v>443</v>
      </c>
      <c r="C740" t="s">
        <v>239</v>
      </c>
      <c r="D740">
        <v>2075</v>
      </c>
      <c r="E740">
        <v>2075.5</v>
      </c>
      <c r="F740">
        <v>2075</v>
      </c>
      <c r="G740">
        <v>2075.5</v>
      </c>
      <c r="H740">
        <v>13900</v>
      </c>
    </row>
    <row r="741" spans="2:8">
      <c r="B741" t="s">
        <v>443</v>
      </c>
      <c r="C741" t="s">
        <v>240</v>
      </c>
      <c r="D741">
        <v>2076</v>
      </c>
      <c r="E741">
        <v>2076.5</v>
      </c>
      <c r="F741">
        <v>2076</v>
      </c>
      <c r="G741">
        <v>2076.5</v>
      </c>
      <c r="H741">
        <v>23000</v>
      </c>
    </row>
    <row r="742" spans="2:8">
      <c r="B742" t="s">
        <v>443</v>
      </c>
      <c r="C742" t="s">
        <v>241</v>
      </c>
      <c r="D742">
        <v>2077</v>
      </c>
      <c r="E742">
        <v>2077.5</v>
      </c>
      <c r="F742">
        <v>2076</v>
      </c>
      <c r="G742">
        <v>2076</v>
      </c>
      <c r="H742">
        <v>63000</v>
      </c>
    </row>
    <row r="743" spans="2:8">
      <c r="B743" t="s">
        <v>443</v>
      </c>
      <c r="C743" t="s">
        <v>242</v>
      </c>
      <c r="D743">
        <v>2076.5</v>
      </c>
      <c r="E743">
        <v>2077</v>
      </c>
      <c r="F743">
        <v>2076</v>
      </c>
      <c r="G743">
        <v>2076.5</v>
      </c>
      <c r="H743">
        <v>36600</v>
      </c>
    </row>
    <row r="744" spans="2:8">
      <c r="B744" t="s">
        <v>443</v>
      </c>
      <c r="C744" t="s">
        <v>243</v>
      </c>
      <c r="D744">
        <v>2076.5</v>
      </c>
      <c r="E744">
        <v>2077</v>
      </c>
      <c r="F744">
        <v>2075.5</v>
      </c>
      <c r="G744">
        <v>2075.5</v>
      </c>
      <c r="H744">
        <v>66700</v>
      </c>
    </row>
    <row r="745" spans="2:8">
      <c r="B745" t="s">
        <v>443</v>
      </c>
      <c r="C745" t="s">
        <v>244</v>
      </c>
      <c r="D745">
        <v>2075.5</v>
      </c>
      <c r="E745">
        <v>2076.5</v>
      </c>
      <c r="F745">
        <v>2075.5</v>
      </c>
      <c r="G745">
        <v>2076.5</v>
      </c>
      <c r="H745">
        <v>35600</v>
      </c>
    </row>
    <row r="746" spans="2:8">
      <c r="B746" t="s">
        <v>443</v>
      </c>
      <c r="C746" t="s">
        <v>245</v>
      </c>
      <c r="D746">
        <v>2076.5</v>
      </c>
      <c r="E746">
        <v>2076.5</v>
      </c>
      <c r="F746">
        <v>2074.5</v>
      </c>
      <c r="G746">
        <v>2075</v>
      </c>
      <c r="H746">
        <v>74900</v>
      </c>
    </row>
    <row r="747" spans="2:8">
      <c r="B747" t="s">
        <v>443</v>
      </c>
      <c r="C747" t="s">
        <v>246</v>
      </c>
      <c r="D747">
        <v>2075.5</v>
      </c>
      <c r="E747">
        <v>2076</v>
      </c>
      <c r="F747">
        <v>2074.5</v>
      </c>
      <c r="G747">
        <v>2076</v>
      </c>
      <c r="H747">
        <v>62300</v>
      </c>
    </row>
    <row r="748" spans="2:8">
      <c r="B748" t="s">
        <v>443</v>
      </c>
      <c r="C748" t="s">
        <v>247</v>
      </c>
      <c r="D748">
        <v>2075.5</v>
      </c>
      <c r="E748">
        <v>2075.5</v>
      </c>
      <c r="F748">
        <v>2074.5</v>
      </c>
      <c r="G748">
        <v>2075</v>
      </c>
      <c r="H748">
        <v>18100</v>
      </c>
    </row>
    <row r="749" spans="2:8">
      <c r="B749" t="s">
        <v>443</v>
      </c>
      <c r="C749" t="s">
        <v>248</v>
      </c>
      <c r="D749">
        <v>2075.5</v>
      </c>
      <c r="E749">
        <v>2080</v>
      </c>
      <c r="F749">
        <v>2075.5</v>
      </c>
      <c r="G749">
        <v>2080</v>
      </c>
      <c r="H749">
        <v>227000</v>
      </c>
    </row>
    <row r="750" spans="2:8">
      <c r="B750" t="s">
        <v>443</v>
      </c>
      <c r="C750" t="s">
        <v>249</v>
      </c>
      <c r="D750">
        <v>2079.5</v>
      </c>
      <c r="E750">
        <v>2080</v>
      </c>
      <c r="F750">
        <v>2077</v>
      </c>
      <c r="G750">
        <v>2077.5</v>
      </c>
      <c r="H750">
        <v>36200</v>
      </c>
    </row>
    <row r="751" spans="2:8">
      <c r="B751" t="s">
        <v>443</v>
      </c>
      <c r="C751" t="s">
        <v>250</v>
      </c>
      <c r="D751">
        <v>2077.5</v>
      </c>
      <c r="E751">
        <v>2078</v>
      </c>
      <c r="F751">
        <v>2077</v>
      </c>
      <c r="G751">
        <v>2077.5</v>
      </c>
      <c r="H751">
        <v>35500</v>
      </c>
    </row>
    <row r="752" spans="2:8">
      <c r="B752" t="s">
        <v>443</v>
      </c>
      <c r="C752" t="s">
        <v>251</v>
      </c>
      <c r="D752">
        <v>2077.5</v>
      </c>
      <c r="E752">
        <v>2077.5</v>
      </c>
      <c r="F752">
        <v>2076</v>
      </c>
      <c r="G752">
        <v>2076.5</v>
      </c>
      <c r="H752">
        <v>24600</v>
      </c>
    </row>
    <row r="753" spans="2:8">
      <c r="B753" t="s">
        <v>443</v>
      </c>
      <c r="C753" t="s">
        <v>252</v>
      </c>
      <c r="D753">
        <v>2077</v>
      </c>
      <c r="E753">
        <v>2077.5</v>
      </c>
      <c r="F753">
        <v>2076.5</v>
      </c>
      <c r="G753">
        <v>2077.5</v>
      </c>
      <c r="H753">
        <v>11700</v>
      </c>
    </row>
    <row r="754" spans="2:8">
      <c r="B754" t="s">
        <v>443</v>
      </c>
      <c r="C754" t="s">
        <v>253</v>
      </c>
      <c r="D754">
        <v>2077.5</v>
      </c>
      <c r="E754">
        <v>2078.5</v>
      </c>
      <c r="F754">
        <v>2077.5</v>
      </c>
      <c r="G754">
        <v>2077.5</v>
      </c>
      <c r="H754">
        <v>34800</v>
      </c>
    </row>
    <row r="755" spans="2:8">
      <c r="B755" t="s">
        <v>443</v>
      </c>
      <c r="C755" t="s">
        <v>254</v>
      </c>
      <c r="D755">
        <v>2078</v>
      </c>
      <c r="E755">
        <v>2078</v>
      </c>
      <c r="F755">
        <v>2077</v>
      </c>
      <c r="G755">
        <v>2077</v>
      </c>
      <c r="H755">
        <v>11400</v>
      </c>
    </row>
    <row r="756" spans="2:8">
      <c r="B756" t="s">
        <v>443</v>
      </c>
      <c r="C756" t="s">
        <v>255</v>
      </c>
      <c r="D756">
        <v>2077</v>
      </c>
      <c r="E756">
        <v>2078.5</v>
      </c>
      <c r="F756">
        <v>2077</v>
      </c>
      <c r="G756">
        <v>2077.5</v>
      </c>
      <c r="H756">
        <v>34300</v>
      </c>
    </row>
    <row r="757" spans="2:8">
      <c r="B757" t="s">
        <v>443</v>
      </c>
      <c r="C757" t="s">
        <v>256</v>
      </c>
      <c r="D757">
        <v>2077.5</v>
      </c>
      <c r="E757">
        <v>2077.5</v>
      </c>
      <c r="F757">
        <v>2076</v>
      </c>
      <c r="G757">
        <v>2076</v>
      </c>
      <c r="H757">
        <v>20300</v>
      </c>
    </row>
    <row r="758" spans="2:8">
      <c r="B758" t="s">
        <v>443</v>
      </c>
      <c r="C758" t="s">
        <v>257</v>
      </c>
      <c r="D758">
        <v>2076</v>
      </c>
      <c r="E758">
        <v>2076</v>
      </c>
      <c r="F758">
        <v>2075</v>
      </c>
      <c r="G758">
        <v>2075.5</v>
      </c>
      <c r="H758">
        <v>26900</v>
      </c>
    </row>
    <row r="759" spans="2:8">
      <c r="B759" t="s">
        <v>443</v>
      </c>
      <c r="C759" t="s">
        <v>258</v>
      </c>
      <c r="D759">
        <v>2075</v>
      </c>
      <c r="E759">
        <v>2075.5</v>
      </c>
      <c r="F759">
        <v>2075</v>
      </c>
      <c r="G759">
        <v>2075.5</v>
      </c>
      <c r="H759">
        <v>18900</v>
      </c>
    </row>
    <row r="760" spans="2:8">
      <c r="B760" t="s">
        <v>443</v>
      </c>
      <c r="C760" t="s">
        <v>259</v>
      </c>
      <c r="D760">
        <v>2076</v>
      </c>
      <c r="E760">
        <v>2078</v>
      </c>
      <c r="F760">
        <v>2076</v>
      </c>
      <c r="G760">
        <v>2077</v>
      </c>
      <c r="H760">
        <v>39100</v>
      </c>
    </row>
    <row r="761" spans="2:8">
      <c r="B761" t="s">
        <v>443</v>
      </c>
      <c r="C761" t="s">
        <v>260</v>
      </c>
      <c r="D761">
        <v>2077.5</v>
      </c>
      <c r="E761">
        <v>2077.5</v>
      </c>
      <c r="F761">
        <v>2076.5</v>
      </c>
      <c r="G761">
        <v>2076.5</v>
      </c>
      <c r="H761">
        <v>42700</v>
      </c>
    </row>
    <row r="762" spans="2:8">
      <c r="B762" t="s">
        <v>443</v>
      </c>
      <c r="C762" t="s">
        <v>261</v>
      </c>
      <c r="D762">
        <v>2076</v>
      </c>
      <c r="E762">
        <v>2077</v>
      </c>
      <c r="F762">
        <v>2076</v>
      </c>
      <c r="G762">
        <v>2076.5</v>
      </c>
      <c r="H762">
        <v>23200</v>
      </c>
    </row>
    <row r="763" spans="2:8">
      <c r="B763" t="s">
        <v>443</v>
      </c>
      <c r="C763" t="s">
        <v>262</v>
      </c>
      <c r="D763">
        <v>2076.5</v>
      </c>
      <c r="E763">
        <v>2077.5</v>
      </c>
      <c r="F763">
        <v>2075</v>
      </c>
      <c r="G763">
        <v>2075.5</v>
      </c>
      <c r="H763">
        <v>76300</v>
      </c>
    </row>
    <row r="764" spans="2:8">
      <c r="B764" t="s">
        <v>443</v>
      </c>
      <c r="C764" t="s">
        <v>263</v>
      </c>
      <c r="D764">
        <v>2075</v>
      </c>
      <c r="E764">
        <v>2075</v>
      </c>
      <c r="F764">
        <v>2074.5</v>
      </c>
      <c r="G764">
        <v>2075</v>
      </c>
      <c r="H764">
        <v>31000</v>
      </c>
    </row>
    <row r="765" spans="2:8">
      <c r="B765" t="s">
        <v>443</v>
      </c>
      <c r="C765" t="s">
        <v>264</v>
      </c>
      <c r="D765">
        <v>2075</v>
      </c>
      <c r="E765">
        <v>2075.5</v>
      </c>
      <c r="F765">
        <v>2074</v>
      </c>
      <c r="G765">
        <v>2074</v>
      </c>
      <c r="H765">
        <v>20000</v>
      </c>
    </row>
    <row r="766" spans="2:8">
      <c r="B766" t="s">
        <v>443</v>
      </c>
      <c r="C766" t="s">
        <v>265</v>
      </c>
      <c r="D766">
        <v>2074</v>
      </c>
      <c r="E766">
        <v>2074</v>
      </c>
      <c r="F766">
        <v>2073.5</v>
      </c>
      <c r="G766">
        <v>2073.5</v>
      </c>
      <c r="H766">
        <v>45000</v>
      </c>
    </row>
    <row r="767" spans="2:8">
      <c r="B767" t="s">
        <v>443</v>
      </c>
      <c r="C767" t="s">
        <v>266</v>
      </c>
      <c r="D767">
        <v>2074</v>
      </c>
      <c r="E767">
        <v>2074</v>
      </c>
      <c r="F767">
        <v>2073.5</v>
      </c>
      <c r="G767">
        <v>2073.5</v>
      </c>
      <c r="H767">
        <v>18900</v>
      </c>
    </row>
    <row r="768" spans="2:8">
      <c r="B768" t="s">
        <v>443</v>
      </c>
      <c r="C768" t="s">
        <v>267</v>
      </c>
      <c r="D768">
        <v>2074</v>
      </c>
      <c r="E768">
        <v>2074.5</v>
      </c>
      <c r="F768">
        <v>2073.5</v>
      </c>
      <c r="G768">
        <v>2074.5</v>
      </c>
      <c r="H768">
        <v>52100</v>
      </c>
    </row>
    <row r="769" spans="2:8">
      <c r="B769" t="s">
        <v>443</v>
      </c>
      <c r="C769" t="s">
        <v>268</v>
      </c>
      <c r="D769">
        <v>2074</v>
      </c>
      <c r="E769">
        <v>2075</v>
      </c>
      <c r="F769">
        <v>2073.5</v>
      </c>
      <c r="G769">
        <v>2075</v>
      </c>
      <c r="H769">
        <v>6900</v>
      </c>
    </row>
    <row r="770" spans="2:8">
      <c r="B770" t="s">
        <v>443</v>
      </c>
      <c r="C770" t="s">
        <v>269</v>
      </c>
      <c r="D770">
        <v>2074.5</v>
      </c>
      <c r="E770">
        <v>2075</v>
      </c>
      <c r="F770">
        <v>2074.5</v>
      </c>
      <c r="G770">
        <v>2075</v>
      </c>
      <c r="H770">
        <v>21500</v>
      </c>
    </row>
    <row r="771" spans="2:8">
      <c r="B771" t="s">
        <v>443</v>
      </c>
      <c r="C771" t="s">
        <v>270</v>
      </c>
      <c r="D771">
        <v>2075</v>
      </c>
      <c r="E771">
        <v>2075</v>
      </c>
      <c r="F771">
        <v>2074</v>
      </c>
      <c r="G771">
        <v>2074</v>
      </c>
      <c r="H771">
        <v>33200</v>
      </c>
    </row>
    <row r="772" spans="2:8">
      <c r="B772" t="s">
        <v>443</v>
      </c>
      <c r="C772" t="s">
        <v>271</v>
      </c>
      <c r="D772">
        <v>2074</v>
      </c>
      <c r="E772">
        <v>2075</v>
      </c>
      <c r="F772">
        <v>2073.5</v>
      </c>
      <c r="G772">
        <v>2074</v>
      </c>
      <c r="H772">
        <v>22100</v>
      </c>
    </row>
    <row r="773" spans="2:8">
      <c r="B773" t="s">
        <v>443</v>
      </c>
      <c r="C773" t="s">
        <v>272</v>
      </c>
      <c r="D773">
        <v>2074.5</v>
      </c>
      <c r="E773">
        <v>2076</v>
      </c>
      <c r="F773">
        <v>2074.5</v>
      </c>
      <c r="G773">
        <v>2076</v>
      </c>
      <c r="H773">
        <v>24900</v>
      </c>
    </row>
    <row r="774" spans="2:8">
      <c r="B774" t="s">
        <v>443</v>
      </c>
      <c r="C774" t="s">
        <v>273</v>
      </c>
      <c r="D774">
        <v>2075.5</v>
      </c>
      <c r="E774">
        <v>2076</v>
      </c>
      <c r="F774">
        <v>2075.5</v>
      </c>
      <c r="G774">
        <v>2076</v>
      </c>
      <c r="H774">
        <v>37700</v>
      </c>
    </row>
    <row r="775" spans="2:8">
      <c r="B775" t="s">
        <v>443</v>
      </c>
      <c r="C775" t="s">
        <v>274</v>
      </c>
      <c r="D775">
        <v>2075.5</v>
      </c>
      <c r="E775">
        <v>2076</v>
      </c>
      <c r="F775">
        <v>2075.5</v>
      </c>
      <c r="G775">
        <v>2076</v>
      </c>
      <c r="H775">
        <v>14300</v>
      </c>
    </row>
    <row r="776" spans="2:8">
      <c r="B776" t="s">
        <v>443</v>
      </c>
      <c r="C776" t="s">
        <v>275</v>
      </c>
      <c r="D776">
        <v>2076</v>
      </c>
      <c r="E776">
        <v>2077</v>
      </c>
      <c r="F776">
        <v>2076</v>
      </c>
      <c r="G776">
        <v>2076.5</v>
      </c>
      <c r="H776">
        <v>34600</v>
      </c>
    </row>
    <row r="777" spans="2:8">
      <c r="B777" t="s">
        <v>443</v>
      </c>
      <c r="C777" t="s">
        <v>276</v>
      </c>
      <c r="D777">
        <v>2076.5</v>
      </c>
      <c r="E777">
        <v>2078</v>
      </c>
      <c r="F777">
        <v>2076.5</v>
      </c>
      <c r="G777">
        <v>2077</v>
      </c>
      <c r="H777">
        <v>37900</v>
      </c>
    </row>
    <row r="778" spans="2:8">
      <c r="B778" t="s">
        <v>443</v>
      </c>
      <c r="C778" t="s">
        <v>277</v>
      </c>
      <c r="D778">
        <v>2076.5</v>
      </c>
      <c r="E778">
        <v>2077</v>
      </c>
      <c r="F778">
        <v>2076.5</v>
      </c>
      <c r="G778">
        <v>2076.5</v>
      </c>
      <c r="H778">
        <v>11600</v>
      </c>
    </row>
    <row r="779" spans="2:8">
      <c r="B779" t="s">
        <v>443</v>
      </c>
      <c r="C779" t="s">
        <v>278</v>
      </c>
      <c r="D779">
        <v>2076.5</v>
      </c>
      <c r="E779">
        <v>2077</v>
      </c>
      <c r="F779">
        <v>2076</v>
      </c>
      <c r="G779">
        <v>2076</v>
      </c>
      <c r="H779">
        <v>25600</v>
      </c>
    </row>
    <row r="780" spans="2:8">
      <c r="B780" t="s">
        <v>443</v>
      </c>
      <c r="C780" t="s">
        <v>279</v>
      </c>
      <c r="D780">
        <v>2075.5</v>
      </c>
      <c r="E780">
        <v>2076.5</v>
      </c>
      <c r="F780">
        <v>2075.5</v>
      </c>
      <c r="G780">
        <v>2076.5</v>
      </c>
      <c r="H780">
        <v>21500</v>
      </c>
    </row>
    <row r="781" spans="2:8">
      <c r="B781" t="s">
        <v>443</v>
      </c>
      <c r="C781" t="s">
        <v>280</v>
      </c>
      <c r="D781">
        <v>2076.5</v>
      </c>
      <c r="E781">
        <v>2076.5</v>
      </c>
      <c r="F781">
        <v>2076</v>
      </c>
      <c r="G781">
        <v>2076.5</v>
      </c>
      <c r="H781">
        <v>6900</v>
      </c>
    </row>
    <row r="782" spans="2:8">
      <c r="B782" t="s">
        <v>443</v>
      </c>
      <c r="C782" t="s">
        <v>281</v>
      </c>
      <c r="D782">
        <v>2076.5</v>
      </c>
      <c r="E782">
        <v>2077</v>
      </c>
      <c r="F782">
        <v>2076.5</v>
      </c>
      <c r="G782">
        <v>2076.5</v>
      </c>
      <c r="H782">
        <v>15500</v>
      </c>
    </row>
    <row r="783" spans="2:8">
      <c r="B783" t="s">
        <v>443</v>
      </c>
      <c r="C783" t="s">
        <v>282</v>
      </c>
      <c r="D783">
        <v>2076.5</v>
      </c>
      <c r="E783">
        <v>2076.5</v>
      </c>
      <c r="F783">
        <v>2076</v>
      </c>
      <c r="G783">
        <v>2076.5</v>
      </c>
      <c r="H783">
        <v>15300</v>
      </c>
    </row>
    <row r="784" spans="2:8">
      <c r="B784" t="s">
        <v>443</v>
      </c>
      <c r="C784" t="s">
        <v>283</v>
      </c>
      <c r="D784">
        <v>2077</v>
      </c>
      <c r="E784">
        <v>2078</v>
      </c>
      <c r="F784">
        <v>2076.5</v>
      </c>
      <c r="G784">
        <v>2078</v>
      </c>
      <c r="H784">
        <v>32800</v>
      </c>
    </row>
    <row r="785" spans="2:8">
      <c r="B785" t="s">
        <v>443</v>
      </c>
      <c r="C785" t="s">
        <v>284</v>
      </c>
      <c r="D785">
        <v>2077.5</v>
      </c>
      <c r="E785">
        <v>2078</v>
      </c>
      <c r="F785">
        <v>2077.5</v>
      </c>
      <c r="G785">
        <v>2078</v>
      </c>
      <c r="H785">
        <v>21100</v>
      </c>
    </row>
    <row r="786" spans="2:8">
      <c r="B786" t="s">
        <v>443</v>
      </c>
      <c r="C786" t="s">
        <v>285</v>
      </c>
      <c r="D786">
        <v>2077.5</v>
      </c>
      <c r="E786">
        <v>2078</v>
      </c>
      <c r="F786">
        <v>2077.5</v>
      </c>
      <c r="G786">
        <v>2078</v>
      </c>
      <c r="H786">
        <v>24300</v>
      </c>
    </row>
    <row r="787" spans="2:8">
      <c r="B787" t="s">
        <v>443</v>
      </c>
      <c r="C787" t="s">
        <v>286</v>
      </c>
      <c r="D787">
        <v>2078</v>
      </c>
      <c r="E787">
        <v>2079</v>
      </c>
      <c r="F787">
        <v>2078</v>
      </c>
      <c r="G787">
        <v>2079</v>
      </c>
      <c r="H787">
        <v>23300</v>
      </c>
    </row>
    <row r="788" spans="2:8">
      <c r="B788" t="s">
        <v>443</v>
      </c>
      <c r="C788" t="s">
        <v>287</v>
      </c>
      <c r="D788">
        <v>2079</v>
      </c>
      <c r="E788">
        <v>2079.5</v>
      </c>
      <c r="F788">
        <v>2078.5</v>
      </c>
      <c r="G788">
        <v>2078.5</v>
      </c>
      <c r="H788">
        <v>32800</v>
      </c>
    </row>
    <row r="789" spans="2:8">
      <c r="B789" t="s">
        <v>443</v>
      </c>
      <c r="C789" t="s">
        <v>288</v>
      </c>
      <c r="D789">
        <v>2078.5</v>
      </c>
      <c r="E789">
        <v>2079</v>
      </c>
      <c r="F789">
        <v>2078</v>
      </c>
      <c r="G789">
        <v>2079</v>
      </c>
      <c r="H789">
        <v>20000</v>
      </c>
    </row>
    <row r="790" spans="2:8">
      <c r="B790" t="s">
        <v>443</v>
      </c>
      <c r="C790" t="s">
        <v>289</v>
      </c>
      <c r="D790">
        <v>2079</v>
      </c>
      <c r="E790">
        <v>2079.5</v>
      </c>
      <c r="F790">
        <v>2079</v>
      </c>
      <c r="G790">
        <v>2079.5</v>
      </c>
      <c r="H790">
        <v>25400</v>
      </c>
    </row>
    <row r="791" spans="2:8">
      <c r="B791" t="s">
        <v>443</v>
      </c>
      <c r="C791" t="s">
        <v>290</v>
      </c>
      <c r="D791">
        <v>2079</v>
      </c>
      <c r="E791">
        <v>2079.5</v>
      </c>
      <c r="F791">
        <v>2078</v>
      </c>
      <c r="G791">
        <v>2078</v>
      </c>
      <c r="H791">
        <v>13300</v>
      </c>
    </row>
    <row r="792" spans="2:8">
      <c r="B792" t="s">
        <v>443</v>
      </c>
      <c r="C792" t="s">
        <v>291</v>
      </c>
      <c r="D792">
        <v>2078</v>
      </c>
      <c r="E792">
        <v>2079</v>
      </c>
      <c r="F792">
        <v>2078</v>
      </c>
      <c r="G792">
        <v>2079</v>
      </c>
      <c r="H792">
        <v>33700</v>
      </c>
    </row>
    <row r="793" spans="2:8">
      <c r="B793" t="s">
        <v>443</v>
      </c>
      <c r="C793" t="s">
        <v>292</v>
      </c>
      <c r="D793">
        <v>2079</v>
      </c>
      <c r="E793">
        <v>2081</v>
      </c>
      <c r="F793">
        <v>2079</v>
      </c>
      <c r="G793">
        <v>2081</v>
      </c>
      <c r="H793">
        <v>122100</v>
      </c>
    </row>
    <row r="794" spans="2:8">
      <c r="B794" t="s">
        <v>443</v>
      </c>
      <c r="C794" t="s">
        <v>293</v>
      </c>
      <c r="D794">
        <v>2081</v>
      </c>
      <c r="E794">
        <v>2082</v>
      </c>
      <c r="F794">
        <v>2080.5</v>
      </c>
      <c r="G794">
        <v>2081.5</v>
      </c>
      <c r="H794">
        <v>102900</v>
      </c>
    </row>
    <row r="795" spans="2:8">
      <c r="B795" t="s">
        <v>443</v>
      </c>
      <c r="C795" t="s">
        <v>294</v>
      </c>
      <c r="D795">
        <v>2081.5</v>
      </c>
      <c r="E795">
        <v>2082.5</v>
      </c>
      <c r="F795">
        <v>2081</v>
      </c>
      <c r="G795">
        <v>2082.5</v>
      </c>
      <c r="H795">
        <v>72200</v>
      </c>
    </row>
    <row r="796" spans="2:8">
      <c r="B796" t="s">
        <v>443</v>
      </c>
      <c r="C796" t="s">
        <v>295</v>
      </c>
      <c r="D796">
        <v>2082.5</v>
      </c>
      <c r="E796">
        <v>2082.5</v>
      </c>
      <c r="F796">
        <v>2081.5</v>
      </c>
      <c r="G796">
        <v>2082.5</v>
      </c>
      <c r="H796">
        <v>40900</v>
      </c>
    </row>
    <row r="797" spans="2:8">
      <c r="B797" t="s">
        <v>443</v>
      </c>
      <c r="C797" t="s">
        <v>296</v>
      </c>
      <c r="D797">
        <v>2083</v>
      </c>
      <c r="E797">
        <v>2083.5</v>
      </c>
      <c r="F797">
        <v>2082.5</v>
      </c>
      <c r="G797">
        <v>2083.5</v>
      </c>
      <c r="H797">
        <v>58200</v>
      </c>
    </row>
    <row r="798" spans="2:8">
      <c r="B798" t="s">
        <v>443</v>
      </c>
      <c r="C798" t="s">
        <v>297</v>
      </c>
      <c r="D798">
        <v>2083</v>
      </c>
      <c r="E798">
        <v>2084</v>
      </c>
      <c r="F798">
        <v>2083</v>
      </c>
      <c r="G798">
        <v>2083.5</v>
      </c>
      <c r="H798">
        <v>25800</v>
      </c>
    </row>
    <row r="799" spans="2:8">
      <c r="B799" t="s">
        <v>443</v>
      </c>
      <c r="C799" t="s">
        <v>298</v>
      </c>
      <c r="D799">
        <v>2084</v>
      </c>
      <c r="E799">
        <v>2084</v>
      </c>
      <c r="F799">
        <v>2083</v>
      </c>
      <c r="G799">
        <v>2083.5</v>
      </c>
      <c r="H799">
        <v>38800</v>
      </c>
    </row>
    <row r="800" spans="2:8">
      <c r="B800" t="s">
        <v>443</v>
      </c>
      <c r="C800" t="s">
        <v>299</v>
      </c>
      <c r="D800">
        <v>2083</v>
      </c>
      <c r="E800">
        <v>2083.5</v>
      </c>
      <c r="F800">
        <v>2083</v>
      </c>
      <c r="G800">
        <v>2083.5</v>
      </c>
      <c r="H800">
        <v>17800</v>
      </c>
    </row>
    <row r="801" spans="2:8">
      <c r="B801" t="s">
        <v>443</v>
      </c>
      <c r="C801" t="s">
        <v>300</v>
      </c>
      <c r="D801">
        <v>2084</v>
      </c>
      <c r="E801">
        <v>2084</v>
      </c>
      <c r="F801">
        <v>2083.5</v>
      </c>
      <c r="G801">
        <v>2084</v>
      </c>
      <c r="H801">
        <v>9100</v>
      </c>
    </row>
    <row r="802" spans="2:8">
      <c r="B802" t="s">
        <v>443</v>
      </c>
      <c r="C802" t="s">
        <v>301</v>
      </c>
      <c r="D802">
        <v>2083.5</v>
      </c>
      <c r="E802">
        <v>2083.5</v>
      </c>
      <c r="F802">
        <v>2082.5</v>
      </c>
      <c r="G802">
        <v>2083</v>
      </c>
      <c r="H802">
        <v>105600</v>
      </c>
    </row>
    <row r="803" spans="2:8">
      <c r="B803" t="s">
        <v>443</v>
      </c>
      <c r="C803" t="s">
        <v>302</v>
      </c>
      <c r="D803">
        <v>2083</v>
      </c>
      <c r="E803">
        <v>2084.5</v>
      </c>
      <c r="F803">
        <v>2083</v>
      </c>
      <c r="G803">
        <v>2084.5</v>
      </c>
      <c r="H803">
        <v>55300</v>
      </c>
    </row>
    <row r="804" spans="2:8">
      <c r="B804" t="s">
        <v>443</v>
      </c>
      <c r="C804" t="s">
        <v>303</v>
      </c>
      <c r="D804">
        <v>2084.5</v>
      </c>
      <c r="E804">
        <v>2084.5</v>
      </c>
      <c r="F804">
        <v>2083.5</v>
      </c>
      <c r="G804">
        <v>2084</v>
      </c>
      <c r="H804">
        <v>5500</v>
      </c>
    </row>
    <row r="805" spans="2:8">
      <c r="B805" t="s">
        <v>443</v>
      </c>
      <c r="C805" t="s">
        <v>304</v>
      </c>
      <c r="D805">
        <v>2084</v>
      </c>
      <c r="E805">
        <v>2086</v>
      </c>
      <c r="F805">
        <v>2084</v>
      </c>
      <c r="G805">
        <v>2085.5</v>
      </c>
      <c r="H805">
        <v>151300</v>
      </c>
    </row>
    <row r="806" spans="2:8">
      <c r="B806" t="s">
        <v>443</v>
      </c>
      <c r="C806" t="s">
        <v>305</v>
      </c>
      <c r="D806">
        <v>2086</v>
      </c>
      <c r="E806">
        <v>2086</v>
      </c>
      <c r="F806">
        <v>2084.5</v>
      </c>
      <c r="G806">
        <v>2085.5</v>
      </c>
      <c r="H806">
        <v>85300</v>
      </c>
    </row>
    <row r="807" spans="2:8">
      <c r="B807" t="s">
        <v>443</v>
      </c>
      <c r="C807" t="s">
        <v>306</v>
      </c>
      <c r="D807">
        <v>2086</v>
      </c>
      <c r="E807">
        <v>2086</v>
      </c>
      <c r="F807">
        <v>2085</v>
      </c>
      <c r="G807">
        <v>2085.5</v>
      </c>
      <c r="H807">
        <v>23500</v>
      </c>
    </row>
    <row r="808" spans="2:8">
      <c r="B808" t="s">
        <v>443</v>
      </c>
      <c r="C808" t="s">
        <v>307</v>
      </c>
      <c r="D808">
        <v>2085.5</v>
      </c>
      <c r="E808">
        <v>2085.5</v>
      </c>
      <c r="F808">
        <v>2085</v>
      </c>
      <c r="G808">
        <v>2085</v>
      </c>
      <c r="H808">
        <v>8300</v>
      </c>
    </row>
    <row r="809" spans="2:8">
      <c r="B809" t="s">
        <v>443</v>
      </c>
      <c r="C809" t="s">
        <v>308</v>
      </c>
      <c r="D809">
        <v>2085.5</v>
      </c>
      <c r="E809">
        <v>2087</v>
      </c>
      <c r="F809">
        <v>2085.5</v>
      </c>
      <c r="G809">
        <v>2087</v>
      </c>
      <c r="H809">
        <v>96300</v>
      </c>
    </row>
    <row r="810" spans="2:8">
      <c r="B810" t="s">
        <v>443</v>
      </c>
      <c r="C810" t="s">
        <v>309</v>
      </c>
      <c r="D810">
        <v>2087</v>
      </c>
      <c r="E810">
        <v>2087</v>
      </c>
      <c r="F810">
        <v>2086.5</v>
      </c>
      <c r="G810">
        <v>2087</v>
      </c>
      <c r="H810">
        <v>24900</v>
      </c>
    </row>
    <row r="811" spans="2:8">
      <c r="B811" t="s">
        <v>443</v>
      </c>
      <c r="C811" t="s">
        <v>310</v>
      </c>
      <c r="D811">
        <v>2087</v>
      </c>
      <c r="E811">
        <v>2087.5</v>
      </c>
      <c r="F811">
        <v>2086</v>
      </c>
      <c r="G811">
        <v>2086.5</v>
      </c>
      <c r="H811">
        <v>37200</v>
      </c>
    </row>
    <row r="812" spans="2:8">
      <c r="B812" t="s">
        <v>443</v>
      </c>
      <c r="C812" t="s">
        <v>311</v>
      </c>
      <c r="D812">
        <v>2086</v>
      </c>
      <c r="E812">
        <v>2087</v>
      </c>
      <c r="F812">
        <v>2086</v>
      </c>
      <c r="G812">
        <v>2086.5</v>
      </c>
      <c r="H812">
        <v>17200</v>
      </c>
    </row>
    <row r="813" spans="2:8">
      <c r="B813" t="s">
        <v>443</v>
      </c>
      <c r="C813" t="s">
        <v>312</v>
      </c>
      <c r="D813">
        <v>2087</v>
      </c>
      <c r="E813">
        <v>2087.5</v>
      </c>
      <c r="F813">
        <v>2086.5</v>
      </c>
      <c r="G813">
        <v>2087.5</v>
      </c>
      <c r="H813">
        <v>42000</v>
      </c>
    </row>
    <row r="814" spans="2:8">
      <c r="B814" t="s">
        <v>443</v>
      </c>
      <c r="C814" t="s">
        <v>313</v>
      </c>
      <c r="D814">
        <v>2087</v>
      </c>
      <c r="E814">
        <v>2087</v>
      </c>
      <c r="F814">
        <v>2086.5</v>
      </c>
      <c r="G814">
        <v>2086.5</v>
      </c>
      <c r="H814">
        <v>11900</v>
      </c>
    </row>
    <row r="815" spans="2:8">
      <c r="B815" t="s">
        <v>443</v>
      </c>
      <c r="C815" t="s">
        <v>314</v>
      </c>
      <c r="D815">
        <v>2086.5</v>
      </c>
      <c r="E815">
        <v>2088.5</v>
      </c>
      <c r="F815">
        <v>2086.5</v>
      </c>
      <c r="G815">
        <v>2088.5</v>
      </c>
      <c r="H815">
        <v>94500</v>
      </c>
    </row>
    <row r="816" spans="2:8">
      <c r="B816" t="s">
        <v>443</v>
      </c>
      <c r="C816" t="s">
        <v>315</v>
      </c>
      <c r="D816">
        <v>2088</v>
      </c>
      <c r="E816">
        <v>2088.5</v>
      </c>
      <c r="F816">
        <v>2088</v>
      </c>
      <c r="G816">
        <v>2088</v>
      </c>
      <c r="H816">
        <v>43400</v>
      </c>
    </row>
    <row r="817" spans="2:8">
      <c r="B817" t="s">
        <v>443</v>
      </c>
      <c r="C817" t="s">
        <v>316</v>
      </c>
      <c r="D817">
        <v>2088</v>
      </c>
      <c r="E817">
        <v>2088</v>
      </c>
      <c r="F817">
        <v>2088</v>
      </c>
      <c r="G817">
        <v>2088</v>
      </c>
      <c r="H817">
        <v>19500</v>
      </c>
    </row>
    <row r="818" spans="2:8">
      <c r="B818" t="s">
        <v>443</v>
      </c>
      <c r="C818" t="s">
        <v>317</v>
      </c>
      <c r="D818">
        <v>2085</v>
      </c>
      <c r="E818">
        <v>2086.5</v>
      </c>
      <c r="F818">
        <v>2083</v>
      </c>
      <c r="G818">
        <v>2083</v>
      </c>
      <c r="H818">
        <v>422200</v>
      </c>
    </row>
    <row r="819" spans="2:8">
      <c r="B819" t="s">
        <v>443</v>
      </c>
      <c r="C819" t="s">
        <v>318</v>
      </c>
      <c r="D819">
        <v>2083.5</v>
      </c>
      <c r="E819">
        <v>2083.5</v>
      </c>
      <c r="F819">
        <v>2081</v>
      </c>
      <c r="G819">
        <v>2081.5</v>
      </c>
      <c r="H819">
        <v>113300</v>
      </c>
    </row>
    <row r="820" spans="2:8">
      <c r="B820" t="s">
        <v>443</v>
      </c>
      <c r="C820" t="s">
        <v>319</v>
      </c>
      <c r="D820">
        <v>2081.5</v>
      </c>
      <c r="E820">
        <v>2084</v>
      </c>
      <c r="F820">
        <v>2081.5</v>
      </c>
      <c r="G820">
        <v>2083.5</v>
      </c>
      <c r="H820">
        <v>53800</v>
      </c>
    </row>
    <row r="821" spans="2:8">
      <c r="B821" t="s">
        <v>443</v>
      </c>
      <c r="C821" t="s">
        <v>320</v>
      </c>
      <c r="D821">
        <v>2083.5</v>
      </c>
      <c r="E821">
        <v>2084.5</v>
      </c>
      <c r="F821">
        <v>2083.5</v>
      </c>
      <c r="G821">
        <v>2084</v>
      </c>
      <c r="H821">
        <v>34700</v>
      </c>
    </row>
    <row r="822" spans="2:8">
      <c r="B822" t="s">
        <v>443</v>
      </c>
      <c r="C822" t="s">
        <v>321</v>
      </c>
      <c r="D822">
        <v>2084</v>
      </c>
      <c r="E822">
        <v>2084.5</v>
      </c>
      <c r="F822">
        <v>2083.5</v>
      </c>
      <c r="G822">
        <v>2083.5</v>
      </c>
      <c r="H822">
        <v>39600</v>
      </c>
    </row>
    <row r="823" spans="2:8">
      <c r="B823" t="s">
        <v>443</v>
      </c>
      <c r="C823" t="s">
        <v>322</v>
      </c>
      <c r="D823">
        <v>2083.5</v>
      </c>
      <c r="E823">
        <v>2085</v>
      </c>
      <c r="F823">
        <v>2083.5</v>
      </c>
      <c r="G823">
        <v>2084.5</v>
      </c>
      <c r="H823">
        <v>39400</v>
      </c>
    </row>
    <row r="824" spans="2:8">
      <c r="B824" t="s">
        <v>443</v>
      </c>
      <c r="C824" t="s">
        <v>323</v>
      </c>
      <c r="D824">
        <v>2084.5</v>
      </c>
      <c r="E824">
        <v>2084.5</v>
      </c>
      <c r="F824">
        <v>2083.5</v>
      </c>
      <c r="G824">
        <v>2084.5</v>
      </c>
      <c r="H824">
        <v>30000</v>
      </c>
    </row>
    <row r="825" spans="2:8">
      <c r="B825" t="s">
        <v>443</v>
      </c>
      <c r="C825" t="s">
        <v>324</v>
      </c>
      <c r="D825">
        <v>2084.5</v>
      </c>
      <c r="E825">
        <v>2085</v>
      </c>
      <c r="F825">
        <v>2084.5</v>
      </c>
      <c r="G825">
        <v>2085</v>
      </c>
      <c r="H825">
        <v>18100</v>
      </c>
    </row>
    <row r="826" spans="2:8">
      <c r="B826" t="s">
        <v>443</v>
      </c>
      <c r="C826" t="s">
        <v>325</v>
      </c>
      <c r="D826">
        <v>2084.5</v>
      </c>
      <c r="E826">
        <v>2086</v>
      </c>
      <c r="F826">
        <v>2084.5</v>
      </c>
      <c r="G826">
        <v>2085.5</v>
      </c>
      <c r="H826">
        <v>56800</v>
      </c>
    </row>
    <row r="827" spans="2:8">
      <c r="B827" t="s">
        <v>443</v>
      </c>
      <c r="C827" t="s">
        <v>326</v>
      </c>
      <c r="D827">
        <v>2085.5</v>
      </c>
      <c r="E827">
        <v>2086</v>
      </c>
      <c r="F827">
        <v>2084</v>
      </c>
      <c r="G827">
        <v>2084.5</v>
      </c>
      <c r="H827">
        <v>52100</v>
      </c>
    </row>
    <row r="828" spans="2:8">
      <c r="B828" t="s">
        <v>443</v>
      </c>
      <c r="C828" t="s">
        <v>327</v>
      </c>
      <c r="D828">
        <v>2084.5</v>
      </c>
      <c r="E828">
        <v>2085</v>
      </c>
      <c r="F828">
        <v>2084</v>
      </c>
      <c r="G828">
        <v>2085</v>
      </c>
      <c r="H828">
        <v>24500</v>
      </c>
    </row>
    <row r="829" spans="2:8">
      <c r="B829" t="s">
        <v>443</v>
      </c>
      <c r="C829" t="s">
        <v>328</v>
      </c>
      <c r="D829">
        <v>2085</v>
      </c>
      <c r="E829">
        <v>2085</v>
      </c>
      <c r="F829">
        <v>2084.5</v>
      </c>
      <c r="G829">
        <v>2084.5</v>
      </c>
      <c r="H829">
        <v>7800</v>
      </c>
    </row>
    <row r="830" spans="2:8">
      <c r="B830" t="s">
        <v>443</v>
      </c>
      <c r="C830" t="s">
        <v>329</v>
      </c>
      <c r="D830">
        <v>2084.5</v>
      </c>
      <c r="E830">
        <v>2084.5</v>
      </c>
      <c r="F830">
        <v>2083.5</v>
      </c>
      <c r="G830">
        <v>2084</v>
      </c>
      <c r="H830">
        <v>24000</v>
      </c>
    </row>
    <row r="831" spans="2:8">
      <c r="B831" t="s">
        <v>443</v>
      </c>
      <c r="C831" t="s">
        <v>330</v>
      </c>
      <c r="D831">
        <v>2083.5</v>
      </c>
      <c r="E831">
        <v>2084</v>
      </c>
      <c r="F831">
        <v>2083</v>
      </c>
      <c r="G831">
        <v>2083.5</v>
      </c>
      <c r="H831">
        <v>22300</v>
      </c>
    </row>
    <row r="832" spans="2:8">
      <c r="B832" t="s">
        <v>443</v>
      </c>
      <c r="C832" t="s">
        <v>331</v>
      </c>
      <c r="D832">
        <v>2084</v>
      </c>
      <c r="E832">
        <v>2084.5</v>
      </c>
      <c r="F832">
        <v>2083.5</v>
      </c>
      <c r="G832">
        <v>2084.5</v>
      </c>
      <c r="H832">
        <v>30000</v>
      </c>
    </row>
    <row r="833" spans="2:8">
      <c r="B833" t="s">
        <v>443</v>
      </c>
      <c r="C833" t="s">
        <v>332</v>
      </c>
      <c r="D833">
        <v>2084</v>
      </c>
      <c r="E833">
        <v>2084.5</v>
      </c>
      <c r="F833">
        <v>2084</v>
      </c>
      <c r="G833">
        <v>2084</v>
      </c>
      <c r="H833">
        <v>14400</v>
      </c>
    </row>
    <row r="834" spans="2:8">
      <c r="B834" t="s">
        <v>443</v>
      </c>
      <c r="C834" t="s">
        <v>333</v>
      </c>
      <c r="D834">
        <v>2084</v>
      </c>
      <c r="E834">
        <v>2085.5</v>
      </c>
      <c r="F834">
        <v>2084</v>
      </c>
      <c r="G834">
        <v>2085.5</v>
      </c>
      <c r="H834">
        <v>39200</v>
      </c>
    </row>
    <row r="835" spans="2:8">
      <c r="B835" t="s">
        <v>443</v>
      </c>
      <c r="C835" t="s">
        <v>334</v>
      </c>
      <c r="D835">
        <v>2085</v>
      </c>
      <c r="E835">
        <v>2085.5</v>
      </c>
      <c r="F835">
        <v>2085</v>
      </c>
      <c r="G835">
        <v>2085</v>
      </c>
      <c r="H835">
        <v>21200</v>
      </c>
    </row>
    <row r="836" spans="2:8">
      <c r="B836" t="s">
        <v>443</v>
      </c>
      <c r="C836" t="s">
        <v>335</v>
      </c>
      <c r="D836">
        <v>2084.5</v>
      </c>
      <c r="E836">
        <v>2087</v>
      </c>
      <c r="F836">
        <v>2084.5</v>
      </c>
      <c r="G836">
        <v>2086</v>
      </c>
      <c r="H836">
        <v>46100</v>
      </c>
    </row>
    <row r="837" spans="2:8">
      <c r="B837" t="s">
        <v>443</v>
      </c>
      <c r="C837" t="s">
        <v>336</v>
      </c>
      <c r="D837">
        <v>2086.5</v>
      </c>
      <c r="E837">
        <v>2087.5</v>
      </c>
      <c r="F837">
        <v>2086</v>
      </c>
      <c r="G837">
        <v>2087.5</v>
      </c>
      <c r="H837">
        <v>19400</v>
      </c>
    </row>
    <row r="838" spans="2:8">
      <c r="B838" t="s">
        <v>443</v>
      </c>
      <c r="C838" t="s">
        <v>337</v>
      </c>
      <c r="D838">
        <v>2087.5</v>
      </c>
      <c r="E838">
        <v>2087.5</v>
      </c>
      <c r="F838">
        <v>2085</v>
      </c>
      <c r="G838">
        <v>2085.5</v>
      </c>
      <c r="H838">
        <v>84500</v>
      </c>
    </row>
    <row r="839" spans="2:8">
      <c r="B839" t="s">
        <v>443</v>
      </c>
      <c r="C839" t="s">
        <v>338</v>
      </c>
      <c r="D839">
        <v>2086</v>
      </c>
      <c r="E839">
        <v>2086.5</v>
      </c>
      <c r="F839">
        <v>2084</v>
      </c>
      <c r="G839">
        <v>2084</v>
      </c>
      <c r="H839">
        <v>39200</v>
      </c>
    </row>
    <row r="840" spans="2:8">
      <c r="B840" t="s">
        <v>443</v>
      </c>
      <c r="C840" t="s">
        <v>339</v>
      </c>
      <c r="D840">
        <v>2084</v>
      </c>
      <c r="E840">
        <v>2084.5</v>
      </c>
      <c r="F840">
        <v>2083.5</v>
      </c>
      <c r="G840">
        <v>2084</v>
      </c>
      <c r="H840">
        <v>43200</v>
      </c>
    </row>
    <row r="841" spans="2:8">
      <c r="B841" t="s">
        <v>443</v>
      </c>
      <c r="C841" t="s">
        <v>340</v>
      </c>
      <c r="D841">
        <v>2084</v>
      </c>
      <c r="E841">
        <v>2084.5</v>
      </c>
      <c r="F841">
        <v>2083</v>
      </c>
      <c r="G841">
        <v>2084</v>
      </c>
      <c r="H841">
        <v>32000</v>
      </c>
    </row>
    <row r="842" spans="2:8">
      <c r="B842" t="s">
        <v>443</v>
      </c>
      <c r="C842" t="s">
        <v>341</v>
      </c>
      <c r="D842">
        <v>2084.5</v>
      </c>
      <c r="E842">
        <v>2086</v>
      </c>
      <c r="F842">
        <v>2083.5</v>
      </c>
      <c r="G842">
        <v>2084</v>
      </c>
      <c r="H842">
        <v>109000</v>
      </c>
    </row>
    <row r="843" spans="2:8">
      <c r="B843" t="s">
        <v>443</v>
      </c>
      <c r="C843" t="s">
        <v>342</v>
      </c>
      <c r="D843">
        <v>2084.5</v>
      </c>
      <c r="E843">
        <v>2085</v>
      </c>
      <c r="F843">
        <v>2083.5</v>
      </c>
      <c r="G843">
        <v>2084</v>
      </c>
      <c r="H843">
        <v>24300</v>
      </c>
    </row>
    <row r="844" spans="2:8">
      <c r="B844" t="s">
        <v>443</v>
      </c>
      <c r="C844" t="s">
        <v>343</v>
      </c>
      <c r="D844">
        <v>2084</v>
      </c>
      <c r="E844">
        <v>2085</v>
      </c>
      <c r="F844">
        <v>2083</v>
      </c>
      <c r="G844">
        <v>2085</v>
      </c>
      <c r="H844">
        <v>121900</v>
      </c>
    </row>
    <row r="845" spans="2:8">
      <c r="B845" t="s">
        <v>443</v>
      </c>
      <c r="C845" t="s">
        <v>344</v>
      </c>
      <c r="D845">
        <v>2084.5</v>
      </c>
      <c r="E845">
        <v>2086.5</v>
      </c>
      <c r="F845">
        <v>2084.5</v>
      </c>
      <c r="G845">
        <v>2086.5</v>
      </c>
      <c r="H845">
        <v>31000</v>
      </c>
    </row>
    <row r="846" spans="2:8">
      <c r="B846" t="s">
        <v>443</v>
      </c>
      <c r="C846" t="s">
        <v>345</v>
      </c>
      <c r="D846">
        <v>2086.5</v>
      </c>
      <c r="E846">
        <v>2087.5</v>
      </c>
      <c r="F846">
        <v>2086</v>
      </c>
      <c r="G846">
        <v>2086</v>
      </c>
      <c r="H846">
        <v>62400</v>
      </c>
    </row>
    <row r="847" spans="2:8">
      <c r="B847" t="s">
        <v>443</v>
      </c>
      <c r="C847" t="s">
        <v>346</v>
      </c>
      <c r="D847">
        <v>2086</v>
      </c>
      <c r="E847">
        <v>2086</v>
      </c>
      <c r="F847">
        <v>2085</v>
      </c>
      <c r="G847">
        <v>2085.5</v>
      </c>
      <c r="H847">
        <v>29400</v>
      </c>
    </row>
    <row r="848" spans="2:8">
      <c r="B848" t="s">
        <v>443</v>
      </c>
      <c r="C848" t="s">
        <v>347</v>
      </c>
      <c r="D848">
        <v>2085.5</v>
      </c>
      <c r="E848">
        <v>2086.5</v>
      </c>
      <c r="F848">
        <v>2085</v>
      </c>
      <c r="G848">
        <v>2086</v>
      </c>
      <c r="H848">
        <v>18400</v>
      </c>
    </row>
    <row r="849" spans="2:8">
      <c r="B849" t="s">
        <v>443</v>
      </c>
      <c r="C849" t="s">
        <v>348</v>
      </c>
      <c r="D849">
        <v>2086</v>
      </c>
      <c r="E849">
        <v>2086</v>
      </c>
      <c r="F849">
        <v>2085</v>
      </c>
      <c r="G849">
        <v>2085.5</v>
      </c>
      <c r="H849">
        <v>14300</v>
      </c>
    </row>
    <row r="850" spans="2:8">
      <c r="B850" t="s">
        <v>443</v>
      </c>
      <c r="C850" t="s">
        <v>349</v>
      </c>
      <c r="D850">
        <v>2085.5</v>
      </c>
      <c r="E850">
        <v>2085.5</v>
      </c>
      <c r="F850">
        <v>2085</v>
      </c>
      <c r="G850">
        <v>2085.5</v>
      </c>
      <c r="H850">
        <v>10400</v>
      </c>
    </row>
    <row r="851" spans="2:8">
      <c r="B851" t="s">
        <v>443</v>
      </c>
      <c r="C851" t="s">
        <v>350</v>
      </c>
      <c r="D851">
        <v>2085.5</v>
      </c>
      <c r="E851">
        <v>2085.5</v>
      </c>
      <c r="F851">
        <v>2085</v>
      </c>
      <c r="G851">
        <v>2085.5</v>
      </c>
      <c r="H851">
        <v>15900</v>
      </c>
    </row>
    <row r="852" spans="2:8">
      <c r="B852" t="s">
        <v>443</v>
      </c>
      <c r="C852" t="s">
        <v>351</v>
      </c>
      <c r="D852">
        <v>2085.5</v>
      </c>
      <c r="E852">
        <v>2086</v>
      </c>
      <c r="F852">
        <v>2085.5</v>
      </c>
      <c r="G852">
        <v>2085.5</v>
      </c>
      <c r="H852">
        <v>9500</v>
      </c>
    </row>
    <row r="853" spans="2:8">
      <c r="B853" t="s">
        <v>443</v>
      </c>
      <c r="C853" t="s">
        <v>352</v>
      </c>
      <c r="D853">
        <v>2085.5</v>
      </c>
      <c r="E853">
        <v>2085.5</v>
      </c>
      <c r="F853">
        <v>2085</v>
      </c>
      <c r="G853">
        <v>2085</v>
      </c>
      <c r="H853">
        <v>13600</v>
      </c>
    </row>
    <row r="854" spans="2:8">
      <c r="B854" t="s">
        <v>443</v>
      </c>
      <c r="C854" t="s">
        <v>353</v>
      </c>
      <c r="D854">
        <v>2085.5</v>
      </c>
      <c r="E854">
        <v>2086.5</v>
      </c>
      <c r="F854">
        <v>2085</v>
      </c>
      <c r="G854">
        <v>2085.5</v>
      </c>
      <c r="H854">
        <v>49500</v>
      </c>
    </row>
    <row r="855" spans="2:8">
      <c r="B855" t="s">
        <v>443</v>
      </c>
      <c r="C855" t="s">
        <v>354</v>
      </c>
      <c r="D855">
        <v>2085.5</v>
      </c>
      <c r="E855">
        <v>2086</v>
      </c>
      <c r="F855">
        <v>2085</v>
      </c>
      <c r="G855">
        <v>2085</v>
      </c>
      <c r="H855">
        <v>42200</v>
      </c>
    </row>
    <row r="856" spans="2:8">
      <c r="B856" t="s">
        <v>443</v>
      </c>
      <c r="C856" t="s">
        <v>355</v>
      </c>
      <c r="D856">
        <v>2084.5</v>
      </c>
      <c r="E856">
        <v>2086</v>
      </c>
      <c r="F856">
        <v>2084.5</v>
      </c>
      <c r="G856">
        <v>2085.5</v>
      </c>
      <c r="H856">
        <v>34100</v>
      </c>
    </row>
    <row r="857" spans="2:8">
      <c r="B857" t="s">
        <v>443</v>
      </c>
      <c r="C857" t="s">
        <v>356</v>
      </c>
      <c r="D857">
        <v>2085.5</v>
      </c>
      <c r="E857">
        <v>2086</v>
      </c>
      <c r="F857">
        <v>2085.5</v>
      </c>
      <c r="G857">
        <v>2086</v>
      </c>
      <c r="H857">
        <v>11300</v>
      </c>
    </row>
    <row r="858" spans="2:8">
      <c r="B858" t="s">
        <v>443</v>
      </c>
      <c r="C858" t="s">
        <v>357</v>
      </c>
      <c r="D858">
        <v>2086</v>
      </c>
      <c r="E858">
        <v>2086</v>
      </c>
      <c r="F858">
        <v>2085.5</v>
      </c>
      <c r="G858">
        <v>2085.5</v>
      </c>
      <c r="H858">
        <v>11900</v>
      </c>
    </row>
    <row r="859" spans="2:8">
      <c r="B859" t="s">
        <v>443</v>
      </c>
      <c r="C859" t="s">
        <v>358</v>
      </c>
      <c r="D859">
        <v>2086</v>
      </c>
      <c r="E859">
        <v>2086</v>
      </c>
      <c r="F859">
        <v>2085.5</v>
      </c>
      <c r="G859">
        <v>2086</v>
      </c>
      <c r="H859">
        <v>4000</v>
      </c>
    </row>
    <row r="860" spans="2:8">
      <c r="B860" t="s">
        <v>443</v>
      </c>
      <c r="C860" t="s">
        <v>359</v>
      </c>
      <c r="D860">
        <v>2086</v>
      </c>
      <c r="E860">
        <v>2086.5</v>
      </c>
      <c r="F860">
        <v>2085.5</v>
      </c>
      <c r="G860">
        <v>2086</v>
      </c>
      <c r="H860">
        <v>23900</v>
      </c>
    </row>
    <row r="861" spans="2:8">
      <c r="B861" t="s">
        <v>443</v>
      </c>
      <c r="C861" t="s">
        <v>360</v>
      </c>
      <c r="D861">
        <v>2086</v>
      </c>
      <c r="E861">
        <v>2086</v>
      </c>
      <c r="F861">
        <v>2085</v>
      </c>
      <c r="G861">
        <v>2085.5</v>
      </c>
      <c r="H861">
        <v>12600</v>
      </c>
    </row>
    <row r="862" spans="2:8">
      <c r="B862" t="s">
        <v>443</v>
      </c>
      <c r="C862" t="s">
        <v>361</v>
      </c>
      <c r="D862">
        <v>2085.5</v>
      </c>
      <c r="E862">
        <v>2086</v>
      </c>
      <c r="F862">
        <v>2085.5</v>
      </c>
      <c r="G862">
        <v>2086</v>
      </c>
      <c r="H862">
        <v>16300</v>
      </c>
    </row>
    <row r="863" spans="2:8">
      <c r="B863" t="s">
        <v>443</v>
      </c>
      <c r="C863" t="s">
        <v>362</v>
      </c>
      <c r="D863">
        <v>2086</v>
      </c>
      <c r="E863">
        <v>2086</v>
      </c>
      <c r="F863">
        <v>2085.5</v>
      </c>
      <c r="G863">
        <v>2086</v>
      </c>
      <c r="H863">
        <v>1700</v>
      </c>
    </row>
    <row r="864" spans="2:8">
      <c r="B864" t="s">
        <v>443</v>
      </c>
      <c r="C864" t="s">
        <v>363</v>
      </c>
      <c r="D864">
        <v>2086</v>
      </c>
      <c r="E864">
        <v>2087</v>
      </c>
      <c r="F864">
        <v>2085</v>
      </c>
      <c r="G864">
        <v>2086.5</v>
      </c>
      <c r="H864">
        <v>73000</v>
      </c>
    </row>
    <row r="865" spans="2:8">
      <c r="B865" t="s">
        <v>443</v>
      </c>
      <c r="C865" t="s">
        <v>364</v>
      </c>
      <c r="D865">
        <v>2086.5</v>
      </c>
      <c r="E865">
        <v>2086.5</v>
      </c>
      <c r="F865">
        <v>2086</v>
      </c>
      <c r="G865">
        <v>2086.5</v>
      </c>
      <c r="H865">
        <v>11400</v>
      </c>
    </row>
    <row r="866" spans="2:8">
      <c r="B866" t="s">
        <v>443</v>
      </c>
      <c r="C866" t="s">
        <v>365</v>
      </c>
      <c r="D866">
        <v>2086.5</v>
      </c>
      <c r="E866">
        <v>2086.5</v>
      </c>
      <c r="F866">
        <v>2085.5</v>
      </c>
      <c r="G866">
        <v>2085.5</v>
      </c>
      <c r="H866">
        <v>34900</v>
      </c>
    </row>
    <row r="867" spans="2:8">
      <c r="B867" t="s">
        <v>443</v>
      </c>
      <c r="C867" t="s">
        <v>366</v>
      </c>
      <c r="D867">
        <v>2085.5</v>
      </c>
      <c r="E867">
        <v>2085.5</v>
      </c>
      <c r="F867">
        <v>2084.5</v>
      </c>
      <c r="G867">
        <v>2084.5</v>
      </c>
      <c r="H867">
        <v>35700</v>
      </c>
    </row>
    <row r="868" spans="2:8">
      <c r="B868" t="s">
        <v>443</v>
      </c>
      <c r="C868" t="s">
        <v>367</v>
      </c>
      <c r="D868">
        <v>2085</v>
      </c>
      <c r="E868">
        <v>2085.5</v>
      </c>
      <c r="F868">
        <v>2084.5</v>
      </c>
      <c r="G868">
        <v>2085.5</v>
      </c>
      <c r="H868">
        <v>17500</v>
      </c>
    </row>
    <row r="869" spans="2:8">
      <c r="B869" t="s">
        <v>443</v>
      </c>
      <c r="C869" t="s">
        <v>368</v>
      </c>
      <c r="D869">
        <v>2085.5</v>
      </c>
      <c r="E869">
        <v>2086</v>
      </c>
      <c r="F869">
        <v>2085.5</v>
      </c>
      <c r="G869">
        <v>2085.5</v>
      </c>
      <c r="H869">
        <v>28800</v>
      </c>
    </row>
    <row r="870" spans="2:8">
      <c r="B870" t="s">
        <v>443</v>
      </c>
      <c r="C870" t="s">
        <v>369</v>
      </c>
      <c r="D870">
        <v>2085.5</v>
      </c>
      <c r="E870">
        <v>2086</v>
      </c>
      <c r="F870">
        <v>2085.5</v>
      </c>
      <c r="G870">
        <v>2085.5</v>
      </c>
      <c r="H870">
        <v>7900</v>
      </c>
    </row>
    <row r="871" spans="2:8">
      <c r="B871" t="s">
        <v>443</v>
      </c>
      <c r="C871" t="s">
        <v>370</v>
      </c>
      <c r="D871">
        <v>2085.5</v>
      </c>
      <c r="E871">
        <v>2086.5</v>
      </c>
      <c r="F871">
        <v>2085.5</v>
      </c>
      <c r="G871">
        <v>2086.5</v>
      </c>
      <c r="H871">
        <v>27800</v>
      </c>
    </row>
    <row r="872" spans="2:8">
      <c r="B872" t="s">
        <v>443</v>
      </c>
      <c r="C872" t="s">
        <v>371</v>
      </c>
      <c r="D872">
        <v>2086.5</v>
      </c>
      <c r="E872">
        <v>2086.5</v>
      </c>
      <c r="F872">
        <v>2086</v>
      </c>
      <c r="G872">
        <v>2086.5</v>
      </c>
      <c r="H872">
        <v>10800</v>
      </c>
    </row>
    <row r="873" spans="2:8">
      <c r="B873" t="s">
        <v>443</v>
      </c>
      <c r="C873" t="s">
        <v>372</v>
      </c>
      <c r="D873">
        <v>2086.5</v>
      </c>
      <c r="E873">
        <v>2086.5</v>
      </c>
      <c r="F873">
        <v>2085.5</v>
      </c>
      <c r="G873">
        <v>2085.5</v>
      </c>
      <c r="H873">
        <v>6900</v>
      </c>
    </row>
    <row r="874" spans="2:8">
      <c r="B874" t="s">
        <v>443</v>
      </c>
      <c r="C874" t="s">
        <v>373</v>
      </c>
      <c r="D874">
        <v>2086</v>
      </c>
      <c r="E874">
        <v>2086</v>
      </c>
      <c r="F874">
        <v>2085.5</v>
      </c>
      <c r="G874">
        <v>2085.5</v>
      </c>
      <c r="H874">
        <v>1900</v>
      </c>
    </row>
    <row r="875" spans="2:8">
      <c r="B875" t="s">
        <v>443</v>
      </c>
      <c r="C875" t="s">
        <v>374</v>
      </c>
      <c r="D875">
        <v>2085.5</v>
      </c>
      <c r="E875">
        <v>2086</v>
      </c>
      <c r="F875">
        <v>2085.5</v>
      </c>
      <c r="G875">
        <v>2085.5</v>
      </c>
      <c r="H875">
        <v>8800</v>
      </c>
    </row>
    <row r="876" spans="2:8">
      <c r="B876" t="s">
        <v>443</v>
      </c>
      <c r="C876" t="s">
        <v>375</v>
      </c>
      <c r="D876">
        <v>2085.5</v>
      </c>
      <c r="E876">
        <v>2086</v>
      </c>
      <c r="F876">
        <v>2085</v>
      </c>
      <c r="G876">
        <v>2085.5</v>
      </c>
      <c r="H876">
        <v>20700</v>
      </c>
    </row>
    <row r="877" spans="2:8">
      <c r="B877" t="s">
        <v>443</v>
      </c>
      <c r="C877" t="s">
        <v>376</v>
      </c>
      <c r="D877">
        <v>2085.5</v>
      </c>
      <c r="E877">
        <v>2085.5</v>
      </c>
      <c r="F877">
        <v>2085</v>
      </c>
      <c r="G877">
        <v>2085.5</v>
      </c>
      <c r="H877">
        <v>15000</v>
      </c>
    </row>
    <row r="878" spans="2:8">
      <c r="B878" t="s">
        <v>443</v>
      </c>
      <c r="C878" t="s">
        <v>377</v>
      </c>
      <c r="D878">
        <v>2085.5</v>
      </c>
      <c r="E878">
        <v>2085.5</v>
      </c>
      <c r="F878">
        <v>2084.5</v>
      </c>
      <c r="G878">
        <v>2084.5</v>
      </c>
      <c r="H878">
        <v>82400</v>
      </c>
    </row>
    <row r="879" spans="2:8">
      <c r="B879" t="s">
        <v>443</v>
      </c>
      <c r="C879" t="s">
        <v>378</v>
      </c>
      <c r="D879">
        <v>2084.5</v>
      </c>
      <c r="E879">
        <v>2085</v>
      </c>
      <c r="F879">
        <v>2084</v>
      </c>
      <c r="G879">
        <v>2084.5</v>
      </c>
      <c r="H879">
        <v>31700</v>
      </c>
    </row>
    <row r="880" spans="2:8">
      <c r="B880" t="s">
        <v>443</v>
      </c>
      <c r="C880" t="s">
        <v>379</v>
      </c>
      <c r="D880">
        <v>2084.5</v>
      </c>
      <c r="E880">
        <v>2085</v>
      </c>
      <c r="F880">
        <v>2084.5</v>
      </c>
      <c r="G880">
        <v>2084.5</v>
      </c>
      <c r="H880">
        <v>4500</v>
      </c>
    </row>
    <row r="881" spans="2:8">
      <c r="B881" t="s">
        <v>443</v>
      </c>
      <c r="C881" t="s">
        <v>380</v>
      </c>
      <c r="D881">
        <v>2085</v>
      </c>
      <c r="E881">
        <v>2086</v>
      </c>
      <c r="F881">
        <v>2085</v>
      </c>
      <c r="G881">
        <v>2085.5</v>
      </c>
      <c r="H881">
        <v>16400</v>
      </c>
    </row>
    <row r="882" spans="2:8">
      <c r="B882" t="s">
        <v>443</v>
      </c>
      <c r="C882" t="s">
        <v>381</v>
      </c>
      <c r="D882">
        <v>2085.5</v>
      </c>
      <c r="E882">
        <v>2085.5</v>
      </c>
      <c r="F882">
        <v>2085</v>
      </c>
      <c r="G882">
        <v>2085</v>
      </c>
      <c r="H882">
        <v>3200</v>
      </c>
    </row>
    <row r="883" spans="2:8">
      <c r="B883" t="s">
        <v>443</v>
      </c>
      <c r="C883" t="s">
        <v>382</v>
      </c>
      <c r="D883">
        <v>2085</v>
      </c>
      <c r="E883">
        <v>2085.5</v>
      </c>
      <c r="F883">
        <v>2085</v>
      </c>
      <c r="G883">
        <v>2085</v>
      </c>
      <c r="H883">
        <v>1500</v>
      </c>
    </row>
    <row r="884" spans="2:8">
      <c r="B884" t="s">
        <v>443</v>
      </c>
      <c r="C884" t="s">
        <v>383</v>
      </c>
      <c r="D884">
        <v>2085</v>
      </c>
      <c r="E884">
        <v>2085.5</v>
      </c>
      <c r="F884">
        <v>2084.5</v>
      </c>
      <c r="G884">
        <v>2084.5</v>
      </c>
      <c r="H884">
        <v>14600</v>
      </c>
    </row>
    <row r="885" spans="2:8">
      <c r="B885" t="s">
        <v>443</v>
      </c>
      <c r="C885" t="s">
        <v>384</v>
      </c>
      <c r="D885">
        <v>2085</v>
      </c>
      <c r="E885">
        <v>2085.5</v>
      </c>
      <c r="F885">
        <v>2084.5</v>
      </c>
      <c r="G885">
        <v>2085</v>
      </c>
      <c r="H885">
        <v>34900</v>
      </c>
    </row>
    <row r="886" spans="2:8">
      <c r="B886" t="s">
        <v>443</v>
      </c>
      <c r="C886" t="s">
        <v>385</v>
      </c>
      <c r="D886">
        <v>2085</v>
      </c>
      <c r="E886">
        <v>2085.5</v>
      </c>
      <c r="F886">
        <v>2084.5</v>
      </c>
      <c r="G886">
        <v>2085</v>
      </c>
      <c r="H886">
        <v>35900</v>
      </c>
    </row>
    <row r="887" spans="2:8">
      <c r="B887" t="s">
        <v>443</v>
      </c>
      <c r="C887" t="s">
        <v>386</v>
      </c>
      <c r="D887">
        <v>2085.5</v>
      </c>
      <c r="E887">
        <v>2086</v>
      </c>
      <c r="F887">
        <v>2085</v>
      </c>
      <c r="G887">
        <v>2085.5</v>
      </c>
      <c r="H887">
        <v>7500</v>
      </c>
    </row>
    <row r="888" spans="2:8">
      <c r="B888" t="s">
        <v>443</v>
      </c>
      <c r="C888" t="s">
        <v>387</v>
      </c>
      <c r="D888">
        <v>2085.5</v>
      </c>
      <c r="E888">
        <v>2086</v>
      </c>
      <c r="F888">
        <v>2085.5</v>
      </c>
      <c r="G888">
        <v>2085.5</v>
      </c>
      <c r="H888">
        <v>6100</v>
      </c>
    </row>
    <row r="889" spans="2:8">
      <c r="B889" t="s">
        <v>443</v>
      </c>
      <c r="C889" t="s">
        <v>388</v>
      </c>
      <c r="D889">
        <v>2085.5</v>
      </c>
      <c r="E889">
        <v>2086</v>
      </c>
      <c r="F889">
        <v>2085.5</v>
      </c>
      <c r="G889">
        <v>2086</v>
      </c>
      <c r="H889">
        <v>11600</v>
      </c>
    </row>
    <row r="890" spans="2:8">
      <c r="B890" t="s">
        <v>443</v>
      </c>
      <c r="C890" t="s">
        <v>389</v>
      </c>
      <c r="D890">
        <v>2086</v>
      </c>
      <c r="E890">
        <v>2086</v>
      </c>
      <c r="F890">
        <v>2085</v>
      </c>
      <c r="G890">
        <v>2085</v>
      </c>
      <c r="H890">
        <v>31700</v>
      </c>
    </row>
    <row r="891" spans="2:8">
      <c r="B891" t="s">
        <v>443</v>
      </c>
      <c r="C891" t="s">
        <v>390</v>
      </c>
      <c r="D891">
        <v>2085</v>
      </c>
      <c r="E891">
        <v>2085.5</v>
      </c>
      <c r="F891">
        <v>2084.5</v>
      </c>
      <c r="G891">
        <v>2085</v>
      </c>
      <c r="H891">
        <v>25300</v>
      </c>
    </row>
    <row r="892" spans="2:8">
      <c r="B892" t="s">
        <v>443</v>
      </c>
      <c r="C892" t="s">
        <v>391</v>
      </c>
      <c r="D892">
        <v>2085</v>
      </c>
      <c r="E892">
        <v>2086</v>
      </c>
      <c r="F892">
        <v>2085</v>
      </c>
      <c r="G892">
        <v>2085.5</v>
      </c>
      <c r="H892">
        <v>7300</v>
      </c>
    </row>
    <row r="893" spans="2:8">
      <c r="B893" t="s">
        <v>443</v>
      </c>
      <c r="C893" t="s">
        <v>392</v>
      </c>
      <c r="D893">
        <v>2085</v>
      </c>
      <c r="E893">
        <v>2085</v>
      </c>
      <c r="F893">
        <v>2085</v>
      </c>
      <c r="G893">
        <v>2085</v>
      </c>
      <c r="H893">
        <v>400</v>
      </c>
    </row>
    <row r="894" spans="2:8">
      <c r="B894" t="s">
        <v>443</v>
      </c>
      <c r="C894" t="s">
        <v>393</v>
      </c>
      <c r="D894">
        <v>2085.5</v>
      </c>
      <c r="E894">
        <v>2085.5</v>
      </c>
      <c r="F894">
        <v>2085</v>
      </c>
      <c r="G894">
        <v>2085.5</v>
      </c>
      <c r="H894">
        <v>1600</v>
      </c>
    </row>
    <row r="895" spans="2:8">
      <c r="B895" t="s">
        <v>443</v>
      </c>
      <c r="C895" t="s">
        <v>394</v>
      </c>
      <c r="D895">
        <v>2085.5</v>
      </c>
      <c r="E895">
        <v>2085.5</v>
      </c>
      <c r="F895">
        <v>2084.5</v>
      </c>
      <c r="G895">
        <v>2084.5</v>
      </c>
      <c r="H895">
        <v>38100</v>
      </c>
    </row>
    <row r="896" spans="2:8">
      <c r="B896" t="s">
        <v>443</v>
      </c>
      <c r="C896" t="s">
        <v>395</v>
      </c>
      <c r="D896">
        <v>2084.5</v>
      </c>
      <c r="E896">
        <v>2085</v>
      </c>
      <c r="F896">
        <v>2084</v>
      </c>
      <c r="G896">
        <v>2084</v>
      </c>
      <c r="H896">
        <v>20200</v>
      </c>
    </row>
    <row r="897" spans="2:8">
      <c r="B897" t="s">
        <v>443</v>
      </c>
      <c r="C897" t="s">
        <v>396</v>
      </c>
      <c r="D897">
        <v>2084.5</v>
      </c>
      <c r="E897">
        <v>2085</v>
      </c>
      <c r="F897">
        <v>2084</v>
      </c>
      <c r="G897">
        <v>2084.5</v>
      </c>
      <c r="H897">
        <v>17700</v>
      </c>
    </row>
    <row r="898" spans="2:8">
      <c r="B898" t="s">
        <v>443</v>
      </c>
      <c r="C898" t="s">
        <v>397</v>
      </c>
      <c r="D898">
        <v>2084.5</v>
      </c>
      <c r="E898">
        <v>2085</v>
      </c>
      <c r="F898">
        <v>2084</v>
      </c>
      <c r="G898">
        <v>2084.5</v>
      </c>
      <c r="H898">
        <v>43600</v>
      </c>
    </row>
    <row r="899" spans="2:8">
      <c r="B899" t="s">
        <v>443</v>
      </c>
      <c r="C899" t="s">
        <v>398</v>
      </c>
      <c r="D899">
        <v>2084</v>
      </c>
      <c r="E899">
        <v>2084.5</v>
      </c>
      <c r="F899">
        <v>2083.5</v>
      </c>
      <c r="G899">
        <v>2084</v>
      </c>
      <c r="H899">
        <v>74500</v>
      </c>
    </row>
    <row r="900" spans="2:8">
      <c r="B900" t="s">
        <v>443</v>
      </c>
      <c r="C900" t="s">
        <v>399</v>
      </c>
      <c r="D900">
        <v>2084</v>
      </c>
      <c r="E900">
        <v>2084.5</v>
      </c>
      <c r="F900">
        <v>2084</v>
      </c>
      <c r="G900">
        <v>2084.5</v>
      </c>
      <c r="H900">
        <v>15600</v>
      </c>
    </row>
    <row r="901" spans="2:8">
      <c r="B901" t="s">
        <v>443</v>
      </c>
      <c r="C901" t="s">
        <v>400</v>
      </c>
      <c r="D901">
        <v>2084.5</v>
      </c>
      <c r="E901">
        <v>2084.5</v>
      </c>
      <c r="F901">
        <v>2084.5</v>
      </c>
      <c r="G901">
        <v>2084.5</v>
      </c>
      <c r="H901">
        <v>100</v>
      </c>
    </row>
    <row r="902" spans="2:8">
      <c r="B902" t="s">
        <v>443</v>
      </c>
      <c r="C902" t="s">
        <v>401</v>
      </c>
      <c r="D902">
        <v>2084.5</v>
      </c>
      <c r="E902">
        <v>2084.5</v>
      </c>
      <c r="F902">
        <v>2084.5</v>
      </c>
      <c r="G902">
        <v>2084.5</v>
      </c>
      <c r="H902">
        <v>10900</v>
      </c>
    </row>
    <row r="903" spans="2:8">
      <c r="B903" t="s">
        <v>443</v>
      </c>
      <c r="C903" t="s">
        <v>402</v>
      </c>
      <c r="D903">
        <v>2085</v>
      </c>
      <c r="E903">
        <v>2085</v>
      </c>
      <c r="F903">
        <v>2084.5</v>
      </c>
      <c r="G903">
        <v>2084.5</v>
      </c>
      <c r="H903">
        <v>2500</v>
      </c>
    </row>
    <row r="904" spans="2:8">
      <c r="B904" t="s">
        <v>443</v>
      </c>
      <c r="C904" t="s">
        <v>403</v>
      </c>
      <c r="D904">
        <v>2085</v>
      </c>
      <c r="E904">
        <v>2085.5</v>
      </c>
      <c r="F904">
        <v>2085</v>
      </c>
      <c r="G904">
        <v>2085.5</v>
      </c>
      <c r="H904">
        <v>19800</v>
      </c>
    </row>
    <row r="905" spans="2:8">
      <c r="B905" t="s">
        <v>443</v>
      </c>
      <c r="C905" t="s">
        <v>404</v>
      </c>
      <c r="D905">
        <v>2085.5</v>
      </c>
      <c r="E905">
        <v>2086.5</v>
      </c>
      <c r="F905">
        <v>2085.5</v>
      </c>
      <c r="G905">
        <v>2086.5</v>
      </c>
      <c r="H905">
        <v>54600</v>
      </c>
    </row>
    <row r="906" spans="2:8">
      <c r="B906" t="s">
        <v>443</v>
      </c>
      <c r="C906" t="s">
        <v>405</v>
      </c>
      <c r="D906">
        <v>2086</v>
      </c>
      <c r="E906">
        <v>2086.5</v>
      </c>
      <c r="F906">
        <v>2085.5</v>
      </c>
      <c r="G906">
        <v>2085.5</v>
      </c>
      <c r="H906">
        <v>26000</v>
      </c>
    </row>
    <row r="907" spans="2:8">
      <c r="B907" t="s">
        <v>443</v>
      </c>
      <c r="C907" t="s">
        <v>406</v>
      </c>
      <c r="D907">
        <v>2086</v>
      </c>
      <c r="E907">
        <v>2086</v>
      </c>
      <c r="F907">
        <v>2085.5</v>
      </c>
      <c r="G907">
        <v>2085.5</v>
      </c>
      <c r="H907">
        <v>11700</v>
      </c>
    </row>
    <row r="908" spans="2:8">
      <c r="B908" t="s">
        <v>443</v>
      </c>
      <c r="C908" t="s">
        <v>407</v>
      </c>
      <c r="D908">
        <v>2086</v>
      </c>
      <c r="E908">
        <v>2086</v>
      </c>
      <c r="F908">
        <v>2085.5</v>
      </c>
      <c r="G908">
        <v>2085.5</v>
      </c>
      <c r="H908">
        <v>47900</v>
      </c>
    </row>
    <row r="909" spans="2:8">
      <c r="B909" t="s">
        <v>443</v>
      </c>
      <c r="C909" t="s">
        <v>408</v>
      </c>
      <c r="D909">
        <v>2085</v>
      </c>
      <c r="E909">
        <v>2085.5</v>
      </c>
      <c r="F909">
        <v>2084.5</v>
      </c>
      <c r="G909">
        <v>2085</v>
      </c>
      <c r="H909">
        <v>55900</v>
      </c>
    </row>
    <row r="910" spans="2:8">
      <c r="B910" t="s">
        <v>443</v>
      </c>
      <c r="C910" t="s">
        <v>409</v>
      </c>
      <c r="D910">
        <v>2084.5</v>
      </c>
      <c r="E910">
        <v>2085</v>
      </c>
      <c r="F910">
        <v>2084.5</v>
      </c>
      <c r="G910">
        <v>2085</v>
      </c>
      <c r="H910">
        <v>13200</v>
      </c>
    </row>
    <row r="911" spans="2:8">
      <c r="B911" t="s">
        <v>443</v>
      </c>
      <c r="C911" t="s">
        <v>410</v>
      </c>
      <c r="D911">
        <v>2085</v>
      </c>
      <c r="E911">
        <v>2085</v>
      </c>
      <c r="F911">
        <v>2084.5</v>
      </c>
      <c r="G911">
        <v>2084.5</v>
      </c>
      <c r="H911">
        <v>32000</v>
      </c>
    </row>
    <row r="912" spans="2:8">
      <c r="B912" t="s">
        <v>443</v>
      </c>
      <c r="C912" t="s">
        <v>411</v>
      </c>
      <c r="D912">
        <v>2084.5</v>
      </c>
      <c r="E912">
        <v>2085</v>
      </c>
      <c r="F912">
        <v>2084.5</v>
      </c>
      <c r="G912">
        <v>2085</v>
      </c>
      <c r="H912">
        <v>28900</v>
      </c>
    </row>
    <row r="913" spans="2:8">
      <c r="B913" t="s">
        <v>443</v>
      </c>
      <c r="C913" t="s">
        <v>412</v>
      </c>
      <c r="D913">
        <v>2085.5</v>
      </c>
      <c r="E913">
        <v>2085.5</v>
      </c>
      <c r="F913">
        <v>2085</v>
      </c>
      <c r="G913">
        <v>2085.5</v>
      </c>
      <c r="H913">
        <v>2400</v>
      </c>
    </row>
    <row r="914" spans="2:8">
      <c r="B914" t="s">
        <v>443</v>
      </c>
      <c r="C914" t="s">
        <v>413</v>
      </c>
      <c r="D914">
        <v>2085</v>
      </c>
      <c r="E914">
        <v>2085.5</v>
      </c>
      <c r="F914">
        <v>2085</v>
      </c>
      <c r="G914">
        <v>2085</v>
      </c>
      <c r="H914">
        <v>22600</v>
      </c>
    </row>
    <row r="915" spans="2:8">
      <c r="B915" t="s">
        <v>443</v>
      </c>
      <c r="C915" t="s">
        <v>414</v>
      </c>
      <c r="D915">
        <v>2085</v>
      </c>
      <c r="E915">
        <v>2085.5</v>
      </c>
      <c r="F915">
        <v>2084.5</v>
      </c>
      <c r="G915">
        <v>2084.5</v>
      </c>
      <c r="H915">
        <v>25400</v>
      </c>
    </row>
    <row r="916" spans="2:8">
      <c r="B916" t="s">
        <v>443</v>
      </c>
      <c r="C916" t="s">
        <v>415</v>
      </c>
      <c r="D916">
        <v>2084.5</v>
      </c>
      <c r="E916">
        <v>2085</v>
      </c>
      <c r="F916">
        <v>2084</v>
      </c>
      <c r="G916">
        <v>2084</v>
      </c>
      <c r="H916">
        <v>20700</v>
      </c>
    </row>
    <row r="917" spans="2:8">
      <c r="B917" t="s">
        <v>443</v>
      </c>
      <c r="C917" t="s">
        <v>416</v>
      </c>
      <c r="D917">
        <v>2084</v>
      </c>
      <c r="E917">
        <v>2084</v>
      </c>
      <c r="F917">
        <v>2083</v>
      </c>
      <c r="G917">
        <v>2083</v>
      </c>
      <c r="H917">
        <v>112900</v>
      </c>
    </row>
    <row r="918" spans="2:8">
      <c r="B918" t="s">
        <v>443</v>
      </c>
      <c r="C918" t="s">
        <v>417</v>
      </c>
      <c r="D918">
        <v>2083</v>
      </c>
      <c r="E918">
        <v>2083</v>
      </c>
      <c r="F918">
        <v>2081</v>
      </c>
      <c r="G918">
        <v>2081</v>
      </c>
      <c r="H918">
        <v>53700</v>
      </c>
    </row>
    <row r="919" spans="2:8">
      <c r="B919" t="s">
        <v>443</v>
      </c>
      <c r="C919" t="s">
        <v>418</v>
      </c>
      <c r="D919">
        <v>2081</v>
      </c>
      <c r="E919">
        <v>2082.5</v>
      </c>
      <c r="F919">
        <v>2081</v>
      </c>
      <c r="G919">
        <v>2081.5</v>
      </c>
      <c r="H919">
        <v>49600</v>
      </c>
    </row>
    <row r="920" spans="2:8">
      <c r="B920" t="s">
        <v>443</v>
      </c>
      <c r="C920" t="s">
        <v>419</v>
      </c>
      <c r="D920">
        <v>2082</v>
      </c>
      <c r="E920">
        <v>2083</v>
      </c>
      <c r="F920">
        <v>2081.5</v>
      </c>
      <c r="G920">
        <v>2083</v>
      </c>
      <c r="H920">
        <v>31000</v>
      </c>
    </row>
    <row r="921" spans="2:8">
      <c r="B921" t="s">
        <v>443</v>
      </c>
      <c r="C921" t="s">
        <v>420</v>
      </c>
      <c r="D921">
        <v>2083</v>
      </c>
      <c r="E921">
        <v>2084</v>
      </c>
      <c r="F921">
        <v>2082.5</v>
      </c>
      <c r="G921">
        <v>2083.5</v>
      </c>
      <c r="H921">
        <v>22700</v>
      </c>
    </row>
    <row r="922" spans="2:8">
      <c r="B922" t="s">
        <v>443</v>
      </c>
      <c r="C922" t="s">
        <v>421</v>
      </c>
      <c r="D922">
        <v>2084</v>
      </c>
      <c r="E922">
        <v>2084</v>
      </c>
      <c r="F922">
        <v>2082.5</v>
      </c>
      <c r="G922">
        <v>2083.5</v>
      </c>
      <c r="H922">
        <v>39100</v>
      </c>
    </row>
    <row r="923" spans="2:8">
      <c r="B923" t="s">
        <v>443</v>
      </c>
      <c r="C923" t="s">
        <v>422</v>
      </c>
      <c r="D923">
        <v>2083.5</v>
      </c>
      <c r="E923">
        <v>2084</v>
      </c>
      <c r="F923">
        <v>2083.5</v>
      </c>
      <c r="G923">
        <v>2083.5</v>
      </c>
      <c r="H923">
        <v>4800</v>
      </c>
    </row>
    <row r="924" spans="2:8">
      <c r="B924" t="s">
        <v>443</v>
      </c>
      <c r="C924" t="s">
        <v>423</v>
      </c>
      <c r="D924">
        <v>2084</v>
      </c>
      <c r="E924">
        <v>2084</v>
      </c>
      <c r="F924">
        <v>2083.5</v>
      </c>
      <c r="G924">
        <v>2083.5</v>
      </c>
      <c r="H924">
        <v>5200</v>
      </c>
    </row>
    <row r="925" spans="2:8">
      <c r="B925" t="s">
        <v>443</v>
      </c>
      <c r="C925" t="s">
        <v>424</v>
      </c>
      <c r="D925">
        <v>2083.5</v>
      </c>
      <c r="E925">
        <v>2084</v>
      </c>
      <c r="F925">
        <v>2083.5</v>
      </c>
      <c r="G925">
        <v>2084</v>
      </c>
      <c r="H925">
        <v>34400</v>
      </c>
    </row>
    <row r="926" spans="2:8">
      <c r="B926" t="s">
        <v>443</v>
      </c>
      <c r="C926" t="s">
        <v>425</v>
      </c>
      <c r="D926">
        <v>2084</v>
      </c>
      <c r="E926">
        <v>2084</v>
      </c>
      <c r="F926">
        <v>2083.5</v>
      </c>
      <c r="G926">
        <v>2084</v>
      </c>
      <c r="H926">
        <v>13100</v>
      </c>
    </row>
    <row r="927" spans="2:8">
      <c r="B927" t="s">
        <v>443</v>
      </c>
      <c r="C927" t="s">
        <v>426</v>
      </c>
      <c r="D927">
        <v>2083.5</v>
      </c>
      <c r="E927">
        <v>2084</v>
      </c>
      <c r="F927">
        <v>2083.5</v>
      </c>
      <c r="G927">
        <v>2083.5</v>
      </c>
      <c r="H927">
        <v>14400</v>
      </c>
    </row>
    <row r="928" spans="2:8">
      <c r="B928" t="s">
        <v>443</v>
      </c>
      <c r="C928" t="s">
        <v>427</v>
      </c>
      <c r="D928">
        <v>2084</v>
      </c>
      <c r="E928">
        <v>2084</v>
      </c>
      <c r="F928">
        <v>2083.5</v>
      </c>
      <c r="G928">
        <v>2083.5</v>
      </c>
      <c r="H928">
        <v>22700</v>
      </c>
    </row>
    <row r="929" spans="2:8">
      <c r="B929" t="s">
        <v>443</v>
      </c>
      <c r="C929" t="s">
        <v>428</v>
      </c>
      <c r="D929">
        <v>2083.5</v>
      </c>
      <c r="E929">
        <v>2083.5</v>
      </c>
      <c r="F929">
        <v>2083</v>
      </c>
      <c r="G929">
        <v>2083</v>
      </c>
      <c r="H929">
        <v>13300</v>
      </c>
    </row>
    <row r="930" spans="2:8">
      <c r="B930" t="s">
        <v>443</v>
      </c>
      <c r="C930" t="s">
        <v>429</v>
      </c>
      <c r="D930">
        <v>2083</v>
      </c>
      <c r="E930">
        <v>2083.5</v>
      </c>
      <c r="F930">
        <v>2082.5</v>
      </c>
      <c r="G930">
        <v>2083.5</v>
      </c>
      <c r="H930">
        <v>20300</v>
      </c>
    </row>
    <row r="931" spans="2:8">
      <c r="B931" t="s">
        <v>443</v>
      </c>
      <c r="C931" t="s">
        <v>430</v>
      </c>
      <c r="D931">
        <v>2083</v>
      </c>
      <c r="E931">
        <v>2084</v>
      </c>
      <c r="F931">
        <v>2083</v>
      </c>
      <c r="G931">
        <v>2083.5</v>
      </c>
      <c r="H931">
        <v>19200</v>
      </c>
    </row>
    <row r="932" spans="2:8">
      <c r="B932" t="s">
        <v>443</v>
      </c>
      <c r="C932" t="s">
        <v>431</v>
      </c>
      <c r="D932">
        <v>2083.5</v>
      </c>
      <c r="E932">
        <v>2083.5</v>
      </c>
      <c r="F932">
        <v>2083</v>
      </c>
      <c r="G932">
        <v>2083</v>
      </c>
      <c r="H932">
        <v>23800</v>
      </c>
    </row>
    <row r="933" spans="2:8">
      <c r="B933" t="s">
        <v>443</v>
      </c>
      <c r="C933" t="s">
        <v>9</v>
      </c>
      <c r="D933">
        <v>2083</v>
      </c>
      <c r="E933">
        <v>2083.5</v>
      </c>
      <c r="F933">
        <v>2083</v>
      </c>
      <c r="G933">
        <v>2083</v>
      </c>
      <c r="H933">
        <v>9900</v>
      </c>
    </row>
    <row r="934" spans="2:8">
      <c r="B934" t="s">
        <v>443</v>
      </c>
      <c r="C934" t="s">
        <v>10</v>
      </c>
      <c r="D934">
        <v>2083.5</v>
      </c>
      <c r="E934">
        <v>2083.5</v>
      </c>
      <c r="F934">
        <v>2083</v>
      </c>
      <c r="G934">
        <v>2083.5</v>
      </c>
      <c r="H934">
        <v>27700</v>
      </c>
    </row>
    <row r="935" spans="2:8">
      <c r="B935" t="s">
        <v>443</v>
      </c>
      <c r="C935" t="s">
        <v>11</v>
      </c>
      <c r="D935">
        <v>2083.5</v>
      </c>
      <c r="E935">
        <v>2084</v>
      </c>
      <c r="F935">
        <v>2083</v>
      </c>
      <c r="G935">
        <v>2084</v>
      </c>
      <c r="H935">
        <v>24500</v>
      </c>
    </row>
    <row r="936" spans="2:8">
      <c r="B936" t="s">
        <v>443</v>
      </c>
      <c r="C936" t="s">
        <v>12</v>
      </c>
      <c r="D936">
        <v>2083.5</v>
      </c>
      <c r="E936">
        <v>2084</v>
      </c>
      <c r="F936">
        <v>2083.5</v>
      </c>
      <c r="G936">
        <v>2084</v>
      </c>
      <c r="H936">
        <v>2300</v>
      </c>
    </row>
    <row r="937" spans="2:8">
      <c r="B937" t="s">
        <v>443</v>
      </c>
      <c r="C937" t="s">
        <v>13</v>
      </c>
      <c r="D937">
        <v>2084</v>
      </c>
      <c r="E937">
        <v>2084.5</v>
      </c>
      <c r="F937">
        <v>2083.5</v>
      </c>
      <c r="G937">
        <v>2084</v>
      </c>
      <c r="H937">
        <v>30800</v>
      </c>
    </row>
    <row r="938" spans="2:8">
      <c r="B938" t="s">
        <v>443</v>
      </c>
      <c r="C938" t="s">
        <v>14</v>
      </c>
      <c r="D938">
        <v>2084.5</v>
      </c>
      <c r="E938">
        <v>2085</v>
      </c>
      <c r="F938">
        <v>2084</v>
      </c>
      <c r="G938">
        <v>2085</v>
      </c>
      <c r="H938">
        <v>41900</v>
      </c>
    </row>
    <row r="939" spans="2:8">
      <c r="B939" t="s">
        <v>443</v>
      </c>
      <c r="C939" t="s">
        <v>15</v>
      </c>
      <c r="D939">
        <v>2084.5</v>
      </c>
      <c r="E939">
        <v>2085.5</v>
      </c>
      <c r="F939">
        <v>2084.5</v>
      </c>
      <c r="G939">
        <v>2085</v>
      </c>
      <c r="H939">
        <v>30400</v>
      </c>
    </row>
    <row r="940" spans="2:8">
      <c r="B940" t="s">
        <v>443</v>
      </c>
      <c r="C940" t="s">
        <v>16</v>
      </c>
      <c r="D940">
        <v>2085</v>
      </c>
      <c r="E940">
        <v>2085</v>
      </c>
      <c r="F940">
        <v>2084.5</v>
      </c>
      <c r="G940">
        <v>2085</v>
      </c>
      <c r="H940">
        <v>53200</v>
      </c>
    </row>
    <row r="941" spans="2:8">
      <c r="B941" t="s">
        <v>443</v>
      </c>
      <c r="C941" t="s">
        <v>17</v>
      </c>
      <c r="D941">
        <v>2085</v>
      </c>
      <c r="E941">
        <v>2085.5</v>
      </c>
      <c r="F941">
        <v>2084.5</v>
      </c>
      <c r="G941">
        <v>2085.5</v>
      </c>
      <c r="H941">
        <v>26000</v>
      </c>
    </row>
    <row r="942" spans="2:8">
      <c r="B942" t="s">
        <v>443</v>
      </c>
      <c r="C942" t="s">
        <v>18</v>
      </c>
      <c r="D942">
        <v>2085</v>
      </c>
      <c r="E942">
        <v>2087</v>
      </c>
      <c r="F942">
        <v>2085</v>
      </c>
      <c r="G942">
        <v>2087</v>
      </c>
      <c r="H942">
        <v>83000</v>
      </c>
    </row>
    <row r="943" spans="2:8">
      <c r="B943" t="s">
        <v>443</v>
      </c>
      <c r="C943" t="s">
        <v>19</v>
      </c>
      <c r="D943">
        <v>2086.5</v>
      </c>
      <c r="E943">
        <v>2087</v>
      </c>
      <c r="F943">
        <v>2086.5</v>
      </c>
      <c r="G943">
        <v>2086.5</v>
      </c>
      <c r="H943">
        <v>18900</v>
      </c>
    </row>
    <row r="944" spans="2:8">
      <c r="B944" t="s">
        <v>443</v>
      </c>
      <c r="C944" t="s">
        <v>20</v>
      </c>
      <c r="D944">
        <v>2086.5</v>
      </c>
      <c r="E944">
        <v>2086.5</v>
      </c>
      <c r="F944">
        <v>2086</v>
      </c>
      <c r="G944">
        <v>2086.5</v>
      </c>
      <c r="H944">
        <v>57100</v>
      </c>
    </row>
    <row r="945" spans="2:8">
      <c r="B945" t="s">
        <v>443</v>
      </c>
      <c r="C945" t="s">
        <v>21</v>
      </c>
      <c r="D945">
        <v>2086.5</v>
      </c>
      <c r="E945">
        <v>2086.5</v>
      </c>
      <c r="F945">
        <v>2086</v>
      </c>
      <c r="G945">
        <v>2086.5</v>
      </c>
      <c r="H945">
        <v>11300</v>
      </c>
    </row>
    <row r="946" spans="2:8">
      <c r="B946" t="s">
        <v>443</v>
      </c>
      <c r="C946" t="s">
        <v>22</v>
      </c>
      <c r="D946">
        <v>2085.5</v>
      </c>
      <c r="E946">
        <v>2086.5</v>
      </c>
      <c r="F946">
        <v>2085.5</v>
      </c>
      <c r="G946">
        <v>2086</v>
      </c>
      <c r="H946">
        <v>40900</v>
      </c>
    </row>
    <row r="947" spans="2:8">
      <c r="B947" t="s">
        <v>443</v>
      </c>
      <c r="C947" t="s">
        <v>23</v>
      </c>
      <c r="D947">
        <v>2086</v>
      </c>
      <c r="E947">
        <v>2086.5</v>
      </c>
      <c r="F947">
        <v>2086</v>
      </c>
      <c r="G947">
        <v>2086.5</v>
      </c>
      <c r="H947">
        <v>10400</v>
      </c>
    </row>
    <row r="948" spans="2:8">
      <c r="B948" t="s">
        <v>443</v>
      </c>
      <c r="C948" t="s">
        <v>24</v>
      </c>
      <c r="D948">
        <v>2086.5</v>
      </c>
      <c r="E948">
        <v>2087</v>
      </c>
      <c r="F948">
        <v>2086.5</v>
      </c>
      <c r="G948">
        <v>2086.5</v>
      </c>
      <c r="H948">
        <v>3300</v>
      </c>
    </row>
    <row r="949" spans="2:8">
      <c r="B949" t="s">
        <v>443</v>
      </c>
      <c r="C949" t="s">
        <v>25</v>
      </c>
      <c r="D949">
        <v>2087</v>
      </c>
      <c r="E949">
        <v>2087.5</v>
      </c>
      <c r="F949">
        <v>2086.5</v>
      </c>
      <c r="G949">
        <v>2087</v>
      </c>
      <c r="H949">
        <v>74000</v>
      </c>
    </row>
    <row r="950" spans="2:8">
      <c r="B950" t="s">
        <v>443</v>
      </c>
      <c r="C950" t="s">
        <v>26</v>
      </c>
      <c r="D950">
        <v>2087.5</v>
      </c>
      <c r="E950">
        <v>2088</v>
      </c>
      <c r="F950">
        <v>2087</v>
      </c>
      <c r="G950">
        <v>2088</v>
      </c>
      <c r="H950">
        <v>31400</v>
      </c>
    </row>
    <row r="951" spans="2:8">
      <c r="B951" t="s">
        <v>443</v>
      </c>
      <c r="C951" t="s">
        <v>27</v>
      </c>
      <c r="D951">
        <v>2087.5</v>
      </c>
      <c r="E951">
        <v>2088</v>
      </c>
      <c r="F951">
        <v>2086.5</v>
      </c>
      <c r="G951">
        <v>2087</v>
      </c>
      <c r="H951">
        <v>44600</v>
      </c>
    </row>
    <row r="952" spans="2:8">
      <c r="B952" t="s">
        <v>443</v>
      </c>
      <c r="C952" t="s">
        <v>28</v>
      </c>
      <c r="D952">
        <v>2087</v>
      </c>
      <c r="E952">
        <v>2087.5</v>
      </c>
      <c r="F952">
        <v>2087</v>
      </c>
      <c r="G952">
        <v>2087.5</v>
      </c>
      <c r="H952">
        <v>5000</v>
      </c>
    </row>
    <row r="953" spans="2:8">
      <c r="B953" t="s">
        <v>443</v>
      </c>
      <c r="C953" t="s">
        <v>29</v>
      </c>
      <c r="D953">
        <v>2087</v>
      </c>
      <c r="E953">
        <v>2088.5</v>
      </c>
      <c r="F953">
        <v>2087</v>
      </c>
      <c r="G953">
        <v>2088.5</v>
      </c>
      <c r="H953">
        <v>65300</v>
      </c>
    </row>
    <row r="954" spans="2:8">
      <c r="B954" t="s">
        <v>443</v>
      </c>
      <c r="C954" t="s">
        <v>30</v>
      </c>
      <c r="D954">
        <v>2088</v>
      </c>
      <c r="E954">
        <v>2088.5</v>
      </c>
      <c r="F954">
        <v>2088</v>
      </c>
      <c r="G954">
        <v>2088</v>
      </c>
      <c r="H954">
        <v>14200</v>
      </c>
    </row>
    <row r="955" spans="2:8">
      <c r="B955" t="s">
        <v>443</v>
      </c>
      <c r="C955" t="s">
        <v>31</v>
      </c>
      <c r="D955">
        <v>2088.5</v>
      </c>
      <c r="E955">
        <v>2088.5</v>
      </c>
      <c r="F955">
        <v>2087.5</v>
      </c>
      <c r="G955">
        <v>2088</v>
      </c>
      <c r="H955">
        <v>25900</v>
      </c>
    </row>
    <row r="956" spans="2:8">
      <c r="B956" t="s">
        <v>443</v>
      </c>
      <c r="C956" t="s">
        <v>32</v>
      </c>
      <c r="D956">
        <v>2087.5</v>
      </c>
      <c r="E956">
        <v>2088</v>
      </c>
      <c r="F956">
        <v>2087</v>
      </c>
      <c r="G956">
        <v>2087.5</v>
      </c>
      <c r="H956">
        <v>42700</v>
      </c>
    </row>
    <row r="957" spans="2:8">
      <c r="B957" t="s">
        <v>443</v>
      </c>
      <c r="C957" t="s">
        <v>33</v>
      </c>
      <c r="D957">
        <v>2087.5</v>
      </c>
      <c r="E957">
        <v>2088</v>
      </c>
      <c r="F957">
        <v>2087.5</v>
      </c>
      <c r="G957">
        <v>2087.5</v>
      </c>
      <c r="H957">
        <v>27700</v>
      </c>
    </row>
    <row r="958" spans="2:8">
      <c r="B958" t="s">
        <v>443</v>
      </c>
      <c r="C958" t="s">
        <v>34</v>
      </c>
      <c r="D958">
        <v>2088</v>
      </c>
      <c r="E958">
        <v>2089</v>
      </c>
      <c r="F958">
        <v>2087.5</v>
      </c>
      <c r="G958">
        <v>2089</v>
      </c>
      <c r="H958">
        <v>83800</v>
      </c>
    </row>
    <row r="959" spans="2:8">
      <c r="B959" t="s">
        <v>443</v>
      </c>
      <c r="C959" t="s">
        <v>35</v>
      </c>
      <c r="D959">
        <v>2088.5</v>
      </c>
      <c r="E959">
        <v>2089</v>
      </c>
      <c r="F959">
        <v>2088.5</v>
      </c>
      <c r="G959">
        <v>2088.5</v>
      </c>
      <c r="H959">
        <v>14600</v>
      </c>
    </row>
    <row r="960" spans="2:8">
      <c r="B960" t="s">
        <v>443</v>
      </c>
      <c r="C960" t="s">
        <v>36</v>
      </c>
      <c r="D960">
        <v>2088.5</v>
      </c>
      <c r="E960">
        <v>2088.5</v>
      </c>
      <c r="F960">
        <v>2088</v>
      </c>
      <c r="G960">
        <v>2088.5</v>
      </c>
      <c r="H960">
        <v>10700</v>
      </c>
    </row>
    <row r="961" spans="2:8">
      <c r="B961" t="s">
        <v>443</v>
      </c>
      <c r="C961" t="s">
        <v>37</v>
      </c>
      <c r="D961">
        <v>2088.5</v>
      </c>
      <c r="E961">
        <v>2089.5</v>
      </c>
      <c r="F961">
        <v>2088</v>
      </c>
      <c r="G961">
        <v>2089</v>
      </c>
      <c r="H961">
        <v>47500</v>
      </c>
    </row>
    <row r="962" spans="2:8">
      <c r="B962" t="s">
        <v>443</v>
      </c>
      <c r="C962" t="s">
        <v>38</v>
      </c>
      <c r="D962">
        <v>2089.5</v>
      </c>
      <c r="E962">
        <v>2089.5</v>
      </c>
      <c r="F962">
        <v>2089</v>
      </c>
      <c r="G962">
        <v>2089</v>
      </c>
      <c r="H962">
        <v>36600</v>
      </c>
    </row>
    <row r="963" spans="2:8">
      <c r="B963" t="s">
        <v>443</v>
      </c>
      <c r="C963" t="s">
        <v>39</v>
      </c>
      <c r="D963">
        <v>2089</v>
      </c>
      <c r="E963">
        <v>2089.5</v>
      </c>
      <c r="F963">
        <v>2088.5</v>
      </c>
      <c r="G963">
        <v>2088.5</v>
      </c>
      <c r="H963">
        <v>34600</v>
      </c>
    </row>
    <row r="964" spans="2:8">
      <c r="B964" t="s">
        <v>443</v>
      </c>
      <c r="C964" t="s">
        <v>40</v>
      </c>
      <c r="D964">
        <v>2088.5</v>
      </c>
      <c r="E964">
        <v>2090</v>
      </c>
      <c r="F964">
        <v>2088.5</v>
      </c>
      <c r="G964">
        <v>2089.5</v>
      </c>
      <c r="H964">
        <v>54000</v>
      </c>
    </row>
    <row r="965" spans="2:8">
      <c r="B965" t="s">
        <v>443</v>
      </c>
      <c r="C965" t="s">
        <v>41</v>
      </c>
      <c r="D965">
        <v>2089.5</v>
      </c>
      <c r="E965">
        <v>2090</v>
      </c>
      <c r="F965">
        <v>2089.5</v>
      </c>
      <c r="G965">
        <v>2089.5</v>
      </c>
      <c r="H965">
        <v>26300</v>
      </c>
    </row>
    <row r="966" spans="2:8">
      <c r="B966" t="s">
        <v>443</v>
      </c>
      <c r="C966" t="s">
        <v>42</v>
      </c>
      <c r="D966">
        <v>2089.5</v>
      </c>
      <c r="E966">
        <v>2089.5</v>
      </c>
      <c r="F966">
        <v>2089</v>
      </c>
      <c r="G966">
        <v>2089.5</v>
      </c>
      <c r="H966">
        <v>25600</v>
      </c>
    </row>
    <row r="967" spans="2:8">
      <c r="B967" t="s">
        <v>443</v>
      </c>
      <c r="C967" t="s">
        <v>43</v>
      </c>
      <c r="D967">
        <v>2089</v>
      </c>
      <c r="E967">
        <v>2089.5</v>
      </c>
      <c r="F967">
        <v>2089</v>
      </c>
      <c r="G967">
        <v>2089.5</v>
      </c>
      <c r="H967">
        <v>5100</v>
      </c>
    </row>
    <row r="968" spans="2:8">
      <c r="B968" t="s">
        <v>443</v>
      </c>
      <c r="C968" t="s">
        <v>44</v>
      </c>
      <c r="D968">
        <v>2089</v>
      </c>
      <c r="E968">
        <v>2090.5</v>
      </c>
      <c r="F968">
        <v>2089</v>
      </c>
      <c r="G968">
        <v>2089.5</v>
      </c>
      <c r="H968">
        <v>142700</v>
      </c>
    </row>
    <row r="969" spans="2:8">
      <c r="B969" t="s">
        <v>443</v>
      </c>
      <c r="C969" t="s">
        <v>45</v>
      </c>
      <c r="D969">
        <v>2089.5</v>
      </c>
      <c r="E969">
        <v>2090</v>
      </c>
      <c r="F969">
        <v>2088.5</v>
      </c>
      <c r="G969">
        <v>2089</v>
      </c>
      <c r="H969">
        <v>110400</v>
      </c>
    </row>
    <row r="970" spans="2:8">
      <c r="B970" t="s">
        <v>443</v>
      </c>
      <c r="C970" t="s">
        <v>46</v>
      </c>
      <c r="D970">
        <v>2089</v>
      </c>
      <c r="E970">
        <v>2090</v>
      </c>
      <c r="F970">
        <v>2089</v>
      </c>
      <c r="G970">
        <v>2090</v>
      </c>
      <c r="H970">
        <v>65100</v>
      </c>
    </row>
    <row r="971" spans="2:8">
      <c r="B971" t="s">
        <v>443</v>
      </c>
      <c r="C971" t="s">
        <v>47</v>
      </c>
      <c r="D971">
        <v>2090</v>
      </c>
      <c r="E971">
        <v>2090</v>
      </c>
      <c r="F971">
        <v>2089.5</v>
      </c>
      <c r="G971">
        <v>2089.5</v>
      </c>
      <c r="H971">
        <v>31400</v>
      </c>
    </row>
    <row r="972" spans="2:8">
      <c r="B972" t="s">
        <v>443</v>
      </c>
      <c r="C972" t="s">
        <v>48</v>
      </c>
      <c r="D972">
        <v>2089.5</v>
      </c>
      <c r="E972">
        <v>2090</v>
      </c>
      <c r="F972">
        <v>2089</v>
      </c>
      <c r="G972">
        <v>2090</v>
      </c>
      <c r="H972">
        <v>22800</v>
      </c>
    </row>
    <row r="973" spans="2:8">
      <c r="B973" t="s">
        <v>443</v>
      </c>
      <c r="C973" t="s">
        <v>49</v>
      </c>
      <c r="D973">
        <v>2089.5</v>
      </c>
      <c r="E973">
        <v>2090.5</v>
      </c>
      <c r="F973">
        <v>2089.5</v>
      </c>
      <c r="G973">
        <v>2090.5</v>
      </c>
      <c r="H973">
        <v>63500</v>
      </c>
    </row>
    <row r="974" spans="2:8">
      <c r="B974" t="s">
        <v>443</v>
      </c>
      <c r="C974" t="s">
        <v>50</v>
      </c>
      <c r="D974">
        <v>2090.5</v>
      </c>
      <c r="E974">
        <v>2090.5</v>
      </c>
      <c r="F974">
        <v>2089.5</v>
      </c>
      <c r="G974">
        <v>2089.5</v>
      </c>
      <c r="H974">
        <v>101700</v>
      </c>
    </row>
    <row r="975" spans="2:8">
      <c r="B975" t="s">
        <v>443</v>
      </c>
      <c r="C975" t="s">
        <v>51</v>
      </c>
      <c r="D975">
        <v>2089.5</v>
      </c>
      <c r="E975">
        <v>2089.5</v>
      </c>
      <c r="F975">
        <v>2089</v>
      </c>
      <c r="G975">
        <v>2089</v>
      </c>
      <c r="H975">
        <v>10400</v>
      </c>
    </row>
    <row r="976" spans="2:8">
      <c r="B976" t="s">
        <v>443</v>
      </c>
      <c r="C976" t="s">
        <v>52</v>
      </c>
      <c r="D976">
        <v>2089.5</v>
      </c>
      <c r="E976">
        <v>2090.5</v>
      </c>
      <c r="F976">
        <v>2089.5</v>
      </c>
      <c r="G976">
        <v>2090.5</v>
      </c>
      <c r="H976">
        <v>50100</v>
      </c>
    </row>
    <row r="977" spans="2:8">
      <c r="B977" t="s">
        <v>443</v>
      </c>
      <c r="C977" t="s">
        <v>53</v>
      </c>
      <c r="D977">
        <v>2090.5</v>
      </c>
      <c r="E977">
        <v>2090.5</v>
      </c>
      <c r="F977">
        <v>2090</v>
      </c>
      <c r="G977">
        <v>2090</v>
      </c>
      <c r="H977">
        <v>30800</v>
      </c>
    </row>
    <row r="978" spans="2:8">
      <c r="B978" t="s">
        <v>443</v>
      </c>
      <c r="C978" t="s">
        <v>54</v>
      </c>
      <c r="D978">
        <v>2090.5</v>
      </c>
      <c r="E978">
        <v>2091</v>
      </c>
      <c r="F978">
        <v>2090.5</v>
      </c>
      <c r="G978">
        <v>2090.5</v>
      </c>
      <c r="H978">
        <v>12200</v>
      </c>
    </row>
    <row r="979" spans="2:8">
      <c r="B979" t="s">
        <v>443</v>
      </c>
      <c r="C979" t="s">
        <v>55</v>
      </c>
      <c r="D979">
        <v>2090.5</v>
      </c>
      <c r="E979">
        <v>2090.5</v>
      </c>
      <c r="F979">
        <v>2090</v>
      </c>
      <c r="G979">
        <v>2090.5</v>
      </c>
      <c r="H979">
        <v>13100</v>
      </c>
    </row>
    <row r="980" spans="2:8">
      <c r="B980" t="s">
        <v>443</v>
      </c>
      <c r="C980" t="s">
        <v>56</v>
      </c>
      <c r="D980">
        <v>2090</v>
      </c>
      <c r="E980">
        <v>2090.5</v>
      </c>
      <c r="F980">
        <v>2090</v>
      </c>
      <c r="G980">
        <v>2090.5</v>
      </c>
      <c r="H980">
        <v>22800</v>
      </c>
    </row>
    <row r="981" spans="2:8">
      <c r="B981" t="s">
        <v>443</v>
      </c>
      <c r="C981" t="s">
        <v>57</v>
      </c>
      <c r="D981">
        <v>2090</v>
      </c>
      <c r="E981">
        <v>2091</v>
      </c>
      <c r="F981">
        <v>2090</v>
      </c>
      <c r="G981">
        <v>2091</v>
      </c>
      <c r="H981">
        <v>34100</v>
      </c>
    </row>
    <row r="982" spans="2:8">
      <c r="B982" t="s">
        <v>443</v>
      </c>
      <c r="C982" t="s">
        <v>58</v>
      </c>
      <c r="D982">
        <v>2091</v>
      </c>
      <c r="E982">
        <v>2091.5</v>
      </c>
      <c r="F982">
        <v>2090.5</v>
      </c>
      <c r="G982">
        <v>2091</v>
      </c>
      <c r="H982">
        <v>134400</v>
      </c>
    </row>
    <row r="983" spans="2:8">
      <c r="B983" t="s">
        <v>443</v>
      </c>
      <c r="C983" t="s">
        <v>59</v>
      </c>
      <c r="D983">
        <v>2090.5</v>
      </c>
      <c r="E983">
        <v>2090.5</v>
      </c>
      <c r="F983">
        <v>2090</v>
      </c>
      <c r="G983">
        <v>2090</v>
      </c>
      <c r="H983">
        <v>45600</v>
      </c>
    </row>
    <row r="984" spans="2:8">
      <c r="B984" t="s">
        <v>443</v>
      </c>
      <c r="C984" t="s">
        <v>60</v>
      </c>
      <c r="D984">
        <v>2090.5</v>
      </c>
      <c r="E984">
        <v>2091</v>
      </c>
      <c r="F984">
        <v>2090</v>
      </c>
      <c r="G984">
        <v>2090.5</v>
      </c>
      <c r="H984">
        <v>47100</v>
      </c>
    </row>
    <row r="985" spans="2:8">
      <c r="B985" t="s">
        <v>443</v>
      </c>
      <c r="C985" t="s">
        <v>61</v>
      </c>
      <c r="D985">
        <v>2090</v>
      </c>
      <c r="E985">
        <v>2090.5</v>
      </c>
      <c r="F985">
        <v>2089.5</v>
      </c>
      <c r="G985">
        <v>2090</v>
      </c>
      <c r="H985">
        <v>100000</v>
      </c>
    </row>
    <row r="986" spans="2:8">
      <c r="B986" t="s">
        <v>443</v>
      </c>
      <c r="C986" t="s">
        <v>62</v>
      </c>
      <c r="D986">
        <v>2090.5</v>
      </c>
      <c r="E986">
        <v>2090.5</v>
      </c>
      <c r="F986">
        <v>2089.5</v>
      </c>
      <c r="G986">
        <v>2089.5</v>
      </c>
      <c r="H986">
        <v>25700</v>
      </c>
    </row>
    <row r="987" spans="2:8">
      <c r="B987" t="s">
        <v>443</v>
      </c>
      <c r="C987" t="s">
        <v>63</v>
      </c>
      <c r="D987">
        <v>2089.5</v>
      </c>
      <c r="E987">
        <v>2090</v>
      </c>
      <c r="F987">
        <v>2089.5</v>
      </c>
      <c r="G987">
        <v>2090</v>
      </c>
      <c r="H987">
        <v>22000</v>
      </c>
    </row>
    <row r="988" spans="2:8">
      <c r="B988" t="s">
        <v>443</v>
      </c>
      <c r="C988" t="s">
        <v>64</v>
      </c>
      <c r="D988">
        <v>2089.5</v>
      </c>
      <c r="E988">
        <v>2091</v>
      </c>
      <c r="F988">
        <v>2089.5</v>
      </c>
      <c r="G988">
        <v>2091</v>
      </c>
      <c r="H988">
        <v>79800</v>
      </c>
    </row>
    <row r="989" spans="2:8">
      <c r="B989" t="s">
        <v>443</v>
      </c>
      <c r="C989" t="s">
        <v>65</v>
      </c>
      <c r="D989">
        <v>2091</v>
      </c>
      <c r="E989">
        <v>2091</v>
      </c>
      <c r="F989">
        <v>2090.5</v>
      </c>
      <c r="G989">
        <v>2091</v>
      </c>
      <c r="H989">
        <v>54200</v>
      </c>
    </row>
    <row r="990" spans="2:8">
      <c r="B990" t="s">
        <v>443</v>
      </c>
      <c r="C990" t="s">
        <v>66</v>
      </c>
      <c r="D990">
        <v>2091</v>
      </c>
      <c r="E990">
        <v>2091.5</v>
      </c>
      <c r="F990">
        <v>2090</v>
      </c>
      <c r="G990">
        <v>2090</v>
      </c>
      <c r="H990">
        <v>51800</v>
      </c>
    </row>
    <row r="991" spans="2:8">
      <c r="B991" t="s">
        <v>443</v>
      </c>
      <c r="C991" t="s">
        <v>164</v>
      </c>
      <c r="D991">
        <v>2090.5</v>
      </c>
      <c r="E991">
        <v>2090.5</v>
      </c>
      <c r="F991">
        <v>2089.5</v>
      </c>
      <c r="G991">
        <v>2089.5</v>
      </c>
      <c r="H991">
        <v>57000</v>
      </c>
    </row>
    <row r="992" spans="2:8">
      <c r="B992" t="s">
        <v>443</v>
      </c>
      <c r="C992" t="s">
        <v>165</v>
      </c>
      <c r="D992">
        <v>2090</v>
      </c>
      <c r="E992">
        <v>2092</v>
      </c>
      <c r="F992">
        <v>2089.5</v>
      </c>
      <c r="G992">
        <v>2091.5</v>
      </c>
      <c r="H992">
        <v>251200</v>
      </c>
    </row>
    <row r="993" spans="2:8">
      <c r="B993" t="s">
        <v>443</v>
      </c>
      <c r="C993" t="s">
        <v>67</v>
      </c>
      <c r="D993" t="s">
        <v>8</v>
      </c>
      <c r="E993" t="s">
        <v>8</v>
      </c>
      <c r="F993" t="s">
        <v>8</v>
      </c>
      <c r="G993" t="s">
        <v>8</v>
      </c>
      <c r="H993">
        <v>0</v>
      </c>
    </row>
    <row r="994" spans="2:8">
      <c r="B994" t="s">
        <v>443</v>
      </c>
      <c r="C994" t="s">
        <v>68</v>
      </c>
      <c r="D994" t="s">
        <v>8</v>
      </c>
      <c r="E994" t="s">
        <v>8</v>
      </c>
      <c r="F994" t="s">
        <v>8</v>
      </c>
      <c r="G994" t="s">
        <v>8</v>
      </c>
      <c r="H994">
        <v>0</v>
      </c>
    </row>
    <row r="995" spans="2:8">
      <c r="B995" t="s">
        <v>443</v>
      </c>
      <c r="C995" t="s">
        <v>69</v>
      </c>
      <c r="D995" t="s">
        <v>8</v>
      </c>
      <c r="E995" t="s">
        <v>8</v>
      </c>
      <c r="F995" t="s">
        <v>8</v>
      </c>
      <c r="G995" t="s">
        <v>8</v>
      </c>
      <c r="H995">
        <v>0</v>
      </c>
    </row>
    <row r="996" spans="2:8">
      <c r="B996" t="s">
        <v>443</v>
      </c>
      <c r="C996" t="s">
        <v>70</v>
      </c>
      <c r="D996" t="s">
        <v>8</v>
      </c>
      <c r="E996" t="s">
        <v>8</v>
      </c>
      <c r="F996" t="s">
        <v>8</v>
      </c>
      <c r="G996" t="s">
        <v>8</v>
      </c>
      <c r="H996">
        <v>0</v>
      </c>
    </row>
    <row r="997" spans="2:8">
      <c r="B997" t="s">
        <v>443</v>
      </c>
      <c r="C997" t="s">
        <v>71</v>
      </c>
      <c r="D997" t="s">
        <v>8</v>
      </c>
      <c r="E997" t="s">
        <v>8</v>
      </c>
      <c r="F997" t="s">
        <v>8</v>
      </c>
      <c r="G997" t="s">
        <v>8</v>
      </c>
      <c r="H997">
        <v>0</v>
      </c>
    </row>
    <row r="998" spans="2:8">
      <c r="B998" t="s">
        <v>443</v>
      </c>
      <c r="C998" t="s">
        <v>72</v>
      </c>
      <c r="D998">
        <v>2089</v>
      </c>
      <c r="E998">
        <v>2089</v>
      </c>
      <c r="F998">
        <v>2089</v>
      </c>
      <c r="G998">
        <v>2089</v>
      </c>
      <c r="H998">
        <v>6349000</v>
      </c>
    </row>
    <row r="999" spans="2:8">
      <c r="B999" t="s">
        <v>463</v>
      </c>
      <c r="C999" t="s">
        <v>166</v>
      </c>
      <c r="D999">
        <v>2084</v>
      </c>
      <c r="E999">
        <v>2087.5</v>
      </c>
      <c r="F999">
        <v>2077</v>
      </c>
      <c r="G999">
        <v>2081</v>
      </c>
      <c r="H999">
        <v>2200400</v>
      </c>
    </row>
    <row r="1000" spans="2:8">
      <c r="B1000" t="s">
        <v>463</v>
      </c>
      <c r="C1000" t="s">
        <v>167</v>
      </c>
      <c r="D1000">
        <v>2081</v>
      </c>
      <c r="E1000">
        <v>2085</v>
      </c>
      <c r="F1000">
        <v>2078.5</v>
      </c>
      <c r="G1000">
        <v>2083</v>
      </c>
      <c r="H1000">
        <v>271100</v>
      </c>
    </row>
    <row r="1001" spans="2:8">
      <c r="B1001" t="s">
        <v>463</v>
      </c>
      <c r="C1001" t="s">
        <v>168</v>
      </c>
      <c r="D1001">
        <v>2082.5</v>
      </c>
      <c r="E1001">
        <v>2084</v>
      </c>
      <c r="F1001">
        <v>2079.5</v>
      </c>
      <c r="G1001">
        <v>2084</v>
      </c>
      <c r="H1001">
        <v>254200</v>
      </c>
    </row>
    <row r="1002" spans="2:8">
      <c r="B1002" t="s">
        <v>463</v>
      </c>
      <c r="C1002" t="s">
        <v>169</v>
      </c>
      <c r="D1002">
        <v>2083.5</v>
      </c>
      <c r="E1002">
        <v>2083.5</v>
      </c>
      <c r="F1002">
        <v>2078.5</v>
      </c>
      <c r="G1002">
        <v>2081.5</v>
      </c>
      <c r="H1002">
        <v>242800</v>
      </c>
    </row>
    <row r="1003" spans="2:8">
      <c r="B1003" t="s">
        <v>463</v>
      </c>
      <c r="C1003" t="s">
        <v>170</v>
      </c>
      <c r="D1003">
        <v>2081.5</v>
      </c>
      <c r="E1003">
        <v>2086.5</v>
      </c>
      <c r="F1003">
        <v>2081.5</v>
      </c>
      <c r="G1003">
        <v>2086.5</v>
      </c>
      <c r="H1003">
        <v>209200</v>
      </c>
    </row>
    <row r="1004" spans="2:8">
      <c r="B1004" t="s">
        <v>463</v>
      </c>
      <c r="C1004" t="s">
        <v>171</v>
      </c>
      <c r="D1004">
        <v>2086.5</v>
      </c>
      <c r="E1004">
        <v>2090.5</v>
      </c>
      <c r="F1004">
        <v>2086.5</v>
      </c>
      <c r="G1004">
        <v>2090.5</v>
      </c>
      <c r="H1004">
        <v>288800</v>
      </c>
    </row>
    <row r="1005" spans="2:8">
      <c r="B1005" t="s">
        <v>463</v>
      </c>
      <c r="C1005" t="s">
        <v>172</v>
      </c>
      <c r="D1005">
        <v>2090.5</v>
      </c>
      <c r="E1005">
        <v>2090.5</v>
      </c>
      <c r="F1005">
        <v>2087</v>
      </c>
      <c r="G1005">
        <v>2087</v>
      </c>
      <c r="H1005">
        <v>229500</v>
      </c>
    </row>
    <row r="1006" spans="2:8">
      <c r="B1006" t="s">
        <v>463</v>
      </c>
      <c r="C1006" t="s">
        <v>173</v>
      </c>
      <c r="D1006">
        <v>2087</v>
      </c>
      <c r="E1006">
        <v>2090.5</v>
      </c>
      <c r="F1006">
        <v>2086.5</v>
      </c>
      <c r="G1006">
        <v>2090</v>
      </c>
      <c r="H1006">
        <v>176200</v>
      </c>
    </row>
    <row r="1007" spans="2:8">
      <c r="B1007" t="s">
        <v>463</v>
      </c>
      <c r="C1007" t="s">
        <v>174</v>
      </c>
      <c r="D1007">
        <v>2090</v>
      </c>
      <c r="E1007">
        <v>2092.5</v>
      </c>
      <c r="F1007">
        <v>2090</v>
      </c>
      <c r="G1007">
        <v>2090.5</v>
      </c>
      <c r="H1007">
        <v>181500</v>
      </c>
    </row>
    <row r="1008" spans="2:8">
      <c r="B1008" t="s">
        <v>463</v>
      </c>
      <c r="C1008" t="s">
        <v>175</v>
      </c>
      <c r="D1008">
        <v>2090.5</v>
      </c>
      <c r="E1008">
        <v>2092</v>
      </c>
      <c r="F1008">
        <v>2090</v>
      </c>
      <c r="G1008">
        <v>2091</v>
      </c>
      <c r="H1008">
        <v>123700</v>
      </c>
    </row>
    <row r="1009" spans="2:8">
      <c r="B1009" t="s">
        <v>463</v>
      </c>
      <c r="C1009" t="s">
        <v>176</v>
      </c>
      <c r="D1009">
        <v>2091.5</v>
      </c>
      <c r="E1009">
        <v>2092.5</v>
      </c>
      <c r="F1009">
        <v>2090.5</v>
      </c>
      <c r="G1009">
        <v>2091.5</v>
      </c>
      <c r="H1009">
        <v>116600</v>
      </c>
    </row>
    <row r="1010" spans="2:8">
      <c r="B1010" t="s">
        <v>463</v>
      </c>
      <c r="C1010" t="s">
        <v>177</v>
      </c>
      <c r="D1010">
        <v>2092</v>
      </c>
      <c r="E1010">
        <v>2097.5</v>
      </c>
      <c r="F1010">
        <v>2092</v>
      </c>
      <c r="G1010">
        <v>2095.5</v>
      </c>
      <c r="H1010">
        <v>396300</v>
      </c>
    </row>
    <row r="1011" spans="2:8">
      <c r="B1011" t="s">
        <v>463</v>
      </c>
      <c r="C1011" t="s">
        <v>178</v>
      </c>
      <c r="D1011">
        <v>2095.5</v>
      </c>
      <c r="E1011">
        <v>2097</v>
      </c>
      <c r="F1011">
        <v>2094.5</v>
      </c>
      <c r="G1011">
        <v>2097</v>
      </c>
      <c r="H1011">
        <v>189700</v>
      </c>
    </row>
    <row r="1012" spans="2:8">
      <c r="B1012" t="s">
        <v>463</v>
      </c>
      <c r="C1012" t="s">
        <v>179</v>
      </c>
      <c r="D1012">
        <v>2097</v>
      </c>
      <c r="E1012">
        <v>2097.5</v>
      </c>
      <c r="F1012">
        <v>2092.5</v>
      </c>
      <c r="G1012">
        <v>2094.5</v>
      </c>
      <c r="H1012">
        <v>248400</v>
      </c>
    </row>
    <row r="1013" spans="2:8">
      <c r="B1013" t="s">
        <v>463</v>
      </c>
      <c r="C1013" t="s">
        <v>180</v>
      </c>
      <c r="D1013">
        <v>2094.5</v>
      </c>
      <c r="E1013">
        <v>2096.5</v>
      </c>
      <c r="F1013">
        <v>2090.5</v>
      </c>
      <c r="G1013">
        <v>2091</v>
      </c>
      <c r="H1013">
        <v>201900</v>
      </c>
    </row>
    <row r="1014" spans="2:8">
      <c r="B1014" t="s">
        <v>463</v>
      </c>
      <c r="C1014" t="s">
        <v>181</v>
      </c>
      <c r="D1014">
        <v>2091</v>
      </c>
      <c r="E1014">
        <v>2091.5</v>
      </c>
      <c r="F1014">
        <v>2088</v>
      </c>
      <c r="G1014">
        <v>2089.5</v>
      </c>
      <c r="H1014">
        <v>206000</v>
      </c>
    </row>
    <row r="1015" spans="2:8">
      <c r="B1015" t="s">
        <v>463</v>
      </c>
      <c r="C1015" t="s">
        <v>182</v>
      </c>
      <c r="D1015">
        <v>2089</v>
      </c>
      <c r="E1015">
        <v>2090</v>
      </c>
      <c r="F1015">
        <v>2088</v>
      </c>
      <c r="G1015">
        <v>2090</v>
      </c>
      <c r="H1015">
        <v>51600</v>
      </c>
    </row>
    <row r="1016" spans="2:8">
      <c r="B1016" t="s">
        <v>463</v>
      </c>
      <c r="C1016" t="s">
        <v>183</v>
      </c>
      <c r="D1016">
        <v>2089.5</v>
      </c>
      <c r="E1016">
        <v>2092</v>
      </c>
      <c r="F1016">
        <v>2089</v>
      </c>
      <c r="G1016">
        <v>2090</v>
      </c>
      <c r="H1016">
        <v>101900</v>
      </c>
    </row>
    <row r="1017" spans="2:8">
      <c r="B1017" t="s">
        <v>463</v>
      </c>
      <c r="C1017" t="s">
        <v>184</v>
      </c>
      <c r="D1017">
        <v>2090</v>
      </c>
      <c r="E1017">
        <v>2092.5</v>
      </c>
      <c r="F1017">
        <v>2089.5</v>
      </c>
      <c r="G1017">
        <v>2092</v>
      </c>
      <c r="H1017">
        <v>79100</v>
      </c>
    </row>
    <row r="1018" spans="2:8">
      <c r="B1018" t="s">
        <v>463</v>
      </c>
      <c r="C1018" t="s">
        <v>185</v>
      </c>
      <c r="D1018">
        <v>2092</v>
      </c>
      <c r="E1018">
        <v>2092</v>
      </c>
      <c r="F1018">
        <v>2090</v>
      </c>
      <c r="G1018">
        <v>2092</v>
      </c>
      <c r="H1018">
        <v>62300</v>
      </c>
    </row>
    <row r="1019" spans="2:8">
      <c r="B1019" t="s">
        <v>463</v>
      </c>
      <c r="C1019" t="s">
        <v>186</v>
      </c>
      <c r="D1019">
        <v>2092</v>
      </c>
      <c r="E1019">
        <v>2092</v>
      </c>
      <c r="F1019">
        <v>2090.5</v>
      </c>
      <c r="G1019">
        <v>2091</v>
      </c>
      <c r="H1019">
        <v>71200</v>
      </c>
    </row>
    <row r="1020" spans="2:8">
      <c r="B1020" t="s">
        <v>463</v>
      </c>
      <c r="C1020" t="s">
        <v>187</v>
      </c>
      <c r="D1020">
        <v>2091.5</v>
      </c>
      <c r="E1020">
        <v>2092</v>
      </c>
      <c r="F1020">
        <v>2090.5</v>
      </c>
      <c r="G1020">
        <v>2092</v>
      </c>
      <c r="H1020">
        <v>38400</v>
      </c>
    </row>
    <row r="1021" spans="2:8">
      <c r="B1021" t="s">
        <v>463</v>
      </c>
      <c r="C1021" t="s">
        <v>188</v>
      </c>
      <c r="D1021">
        <v>2092</v>
      </c>
      <c r="E1021">
        <v>2092</v>
      </c>
      <c r="F1021">
        <v>2091</v>
      </c>
      <c r="G1021">
        <v>2092</v>
      </c>
      <c r="H1021">
        <v>93300</v>
      </c>
    </row>
    <row r="1022" spans="2:8">
      <c r="B1022" t="s">
        <v>463</v>
      </c>
      <c r="C1022" t="s">
        <v>189</v>
      </c>
      <c r="D1022">
        <v>2091.5</v>
      </c>
      <c r="E1022">
        <v>2092.5</v>
      </c>
      <c r="F1022">
        <v>2089</v>
      </c>
      <c r="G1022">
        <v>2092.5</v>
      </c>
      <c r="H1022">
        <v>152200</v>
      </c>
    </row>
    <row r="1023" spans="2:8">
      <c r="B1023" t="s">
        <v>463</v>
      </c>
      <c r="C1023" t="s">
        <v>190</v>
      </c>
      <c r="D1023">
        <v>2092.5</v>
      </c>
      <c r="E1023">
        <v>2093</v>
      </c>
      <c r="F1023">
        <v>2091</v>
      </c>
      <c r="G1023">
        <v>2092</v>
      </c>
      <c r="H1023">
        <v>72000</v>
      </c>
    </row>
    <row r="1024" spans="2:8">
      <c r="B1024" t="s">
        <v>463</v>
      </c>
      <c r="C1024" t="s">
        <v>191</v>
      </c>
      <c r="D1024">
        <v>2092</v>
      </c>
      <c r="E1024">
        <v>2092.5</v>
      </c>
      <c r="F1024">
        <v>2091</v>
      </c>
      <c r="G1024">
        <v>2092</v>
      </c>
      <c r="H1024">
        <v>59900</v>
      </c>
    </row>
    <row r="1025" spans="2:8">
      <c r="B1025" t="s">
        <v>463</v>
      </c>
      <c r="C1025" t="s">
        <v>192</v>
      </c>
      <c r="D1025">
        <v>2091.5</v>
      </c>
      <c r="E1025">
        <v>2092</v>
      </c>
      <c r="F1025">
        <v>2089</v>
      </c>
      <c r="G1025">
        <v>2090</v>
      </c>
      <c r="H1025">
        <v>89300</v>
      </c>
    </row>
    <row r="1026" spans="2:8">
      <c r="B1026" t="s">
        <v>463</v>
      </c>
      <c r="C1026" t="s">
        <v>193</v>
      </c>
      <c r="D1026">
        <v>2089.5</v>
      </c>
      <c r="E1026">
        <v>2089.5</v>
      </c>
      <c r="F1026">
        <v>2088.5</v>
      </c>
      <c r="G1026">
        <v>2089</v>
      </c>
      <c r="H1026">
        <v>128100</v>
      </c>
    </row>
    <row r="1027" spans="2:8">
      <c r="B1027" t="s">
        <v>463</v>
      </c>
      <c r="C1027" t="s">
        <v>194</v>
      </c>
      <c r="D1027">
        <v>2089</v>
      </c>
      <c r="E1027">
        <v>2089.5</v>
      </c>
      <c r="F1027">
        <v>2087.5</v>
      </c>
      <c r="G1027">
        <v>2088</v>
      </c>
      <c r="H1027">
        <v>181300</v>
      </c>
    </row>
    <row r="1028" spans="2:8">
      <c r="B1028" t="s">
        <v>463</v>
      </c>
      <c r="C1028" t="s">
        <v>195</v>
      </c>
      <c r="D1028">
        <v>2088.5</v>
      </c>
      <c r="E1028">
        <v>2089</v>
      </c>
      <c r="F1028">
        <v>2087.5</v>
      </c>
      <c r="G1028">
        <v>2088.5</v>
      </c>
      <c r="H1028">
        <v>71300</v>
      </c>
    </row>
    <row r="1029" spans="2:8">
      <c r="B1029" t="s">
        <v>463</v>
      </c>
      <c r="C1029" t="s">
        <v>196</v>
      </c>
      <c r="D1029">
        <v>2089</v>
      </c>
      <c r="E1029">
        <v>2089.5</v>
      </c>
      <c r="F1029">
        <v>2088.5</v>
      </c>
      <c r="G1029">
        <v>2089</v>
      </c>
      <c r="H1029">
        <v>67000</v>
      </c>
    </row>
    <row r="1030" spans="2:8">
      <c r="B1030" t="s">
        <v>463</v>
      </c>
      <c r="C1030" t="s">
        <v>197</v>
      </c>
      <c r="D1030">
        <v>2089</v>
      </c>
      <c r="E1030">
        <v>2091</v>
      </c>
      <c r="F1030">
        <v>2089</v>
      </c>
      <c r="G1030">
        <v>2091</v>
      </c>
      <c r="H1030">
        <v>46100</v>
      </c>
    </row>
    <row r="1031" spans="2:8">
      <c r="B1031" t="s">
        <v>463</v>
      </c>
      <c r="C1031" t="s">
        <v>198</v>
      </c>
      <c r="D1031">
        <v>2091</v>
      </c>
      <c r="E1031">
        <v>2091</v>
      </c>
      <c r="F1031">
        <v>2089.5</v>
      </c>
      <c r="G1031">
        <v>2090</v>
      </c>
      <c r="H1031">
        <v>36900</v>
      </c>
    </row>
    <row r="1032" spans="2:8">
      <c r="B1032" t="s">
        <v>463</v>
      </c>
      <c r="C1032" t="s">
        <v>199</v>
      </c>
      <c r="D1032">
        <v>2090.5</v>
      </c>
      <c r="E1032">
        <v>2091</v>
      </c>
      <c r="F1032">
        <v>2090</v>
      </c>
      <c r="G1032">
        <v>2090.5</v>
      </c>
      <c r="H1032">
        <v>15600</v>
      </c>
    </row>
    <row r="1033" spans="2:8">
      <c r="B1033" t="s">
        <v>463</v>
      </c>
      <c r="C1033" t="s">
        <v>200</v>
      </c>
      <c r="D1033">
        <v>2091</v>
      </c>
      <c r="E1033">
        <v>2093</v>
      </c>
      <c r="F1033">
        <v>2090.5</v>
      </c>
      <c r="G1033">
        <v>2092.5</v>
      </c>
      <c r="H1033">
        <v>158300</v>
      </c>
    </row>
    <row r="1034" spans="2:8">
      <c r="B1034" t="s">
        <v>463</v>
      </c>
      <c r="C1034" t="s">
        <v>201</v>
      </c>
      <c r="D1034">
        <v>2093</v>
      </c>
      <c r="E1034">
        <v>2093</v>
      </c>
      <c r="F1034">
        <v>2089.5</v>
      </c>
      <c r="G1034">
        <v>2091.5</v>
      </c>
      <c r="H1034">
        <v>84500</v>
      </c>
    </row>
    <row r="1035" spans="2:8">
      <c r="B1035" t="s">
        <v>463</v>
      </c>
      <c r="C1035" t="s">
        <v>202</v>
      </c>
      <c r="D1035">
        <v>2091.5</v>
      </c>
      <c r="E1035">
        <v>2091.5</v>
      </c>
      <c r="F1035">
        <v>2090.5</v>
      </c>
      <c r="G1035">
        <v>2091.5</v>
      </c>
      <c r="H1035">
        <v>46000</v>
      </c>
    </row>
    <row r="1036" spans="2:8">
      <c r="B1036" t="s">
        <v>463</v>
      </c>
      <c r="C1036" t="s">
        <v>203</v>
      </c>
      <c r="D1036">
        <v>2092</v>
      </c>
      <c r="E1036">
        <v>2093</v>
      </c>
      <c r="F1036">
        <v>2092</v>
      </c>
      <c r="G1036">
        <v>2092.5</v>
      </c>
      <c r="H1036">
        <v>69700</v>
      </c>
    </row>
    <row r="1037" spans="2:8">
      <c r="B1037" t="s">
        <v>463</v>
      </c>
      <c r="C1037" t="s">
        <v>204</v>
      </c>
      <c r="D1037">
        <v>2093</v>
      </c>
      <c r="E1037">
        <v>2093.5</v>
      </c>
      <c r="F1037">
        <v>2092.5</v>
      </c>
      <c r="G1037">
        <v>2093</v>
      </c>
      <c r="H1037">
        <v>36700</v>
      </c>
    </row>
    <row r="1038" spans="2:8">
      <c r="B1038" t="s">
        <v>463</v>
      </c>
      <c r="C1038" t="s">
        <v>205</v>
      </c>
      <c r="D1038">
        <v>2093</v>
      </c>
      <c r="E1038">
        <v>2093.5</v>
      </c>
      <c r="F1038">
        <v>2092.5</v>
      </c>
      <c r="G1038">
        <v>2093.5</v>
      </c>
      <c r="H1038">
        <v>72800</v>
      </c>
    </row>
    <row r="1039" spans="2:8">
      <c r="B1039" t="s">
        <v>463</v>
      </c>
      <c r="C1039" t="s">
        <v>206</v>
      </c>
      <c r="D1039">
        <v>2093.5</v>
      </c>
      <c r="E1039">
        <v>2094.5</v>
      </c>
      <c r="F1039">
        <v>2092.5</v>
      </c>
      <c r="G1039">
        <v>2094.5</v>
      </c>
      <c r="H1039">
        <v>158300</v>
      </c>
    </row>
    <row r="1040" spans="2:8">
      <c r="B1040" t="s">
        <v>463</v>
      </c>
      <c r="C1040" t="s">
        <v>207</v>
      </c>
      <c r="D1040">
        <v>2094.5</v>
      </c>
      <c r="E1040">
        <v>2094.5</v>
      </c>
      <c r="F1040">
        <v>2092</v>
      </c>
      <c r="G1040">
        <v>2094</v>
      </c>
      <c r="H1040">
        <v>79200</v>
      </c>
    </row>
    <row r="1041" spans="2:8">
      <c r="B1041" t="s">
        <v>463</v>
      </c>
      <c r="C1041" t="s">
        <v>208</v>
      </c>
      <c r="D1041">
        <v>2094</v>
      </c>
      <c r="E1041">
        <v>2095</v>
      </c>
      <c r="F1041">
        <v>2093.5</v>
      </c>
      <c r="G1041">
        <v>2094</v>
      </c>
      <c r="H1041">
        <v>48500</v>
      </c>
    </row>
    <row r="1042" spans="2:8">
      <c r="B1042" t="s">
        <v>463</v>
      </c>
      <c r="C1042" t="s">
        <v>209</v>
      </c>
      <c r="D1042">
        <v>2094.5</v>
      </c>
      <c r="E1042">
        <v>2095</v>
      </c>
      <c r="F1042">
        <v>2094.5</v>
      </c>
      <c r="G1042">
        <v>2095</v>
      </c>
      <c r="H1042">
        <v>30100</v>
      </c>
    </row>
    <row r="1043" spans="2:8">
      <c r="B1043" t="s">
        <v>463</v>
      </c>
      <c r="C1043" t="s">
        <v>210</v>
      </c>
      <c r="D1043">
        <v>2094.5</v>
      </c>
      <c r="E1043">
        <v>2096.5</v>
      </c>
      <c r="F1043">
        <v>2094</v>
      </c>
      <c r="G1043">
        <v>2095</v>
      </c>
      <c r="H1043">
        <v>246800</v>
      </c>
    </row>
    <row r="1044" spans="2:8">
      <c r="B1044" t="s">
        <v>463</v>
      </c>
      <c r="C1044" t="s">
        <v>211</v>
      </c>
      <c r="D1044">
        <v>2095.5</v>
      </c>
      <c r="E1044">
        <v>2095.5</v>
      </c>
      <c r="F1044">
        <v>2094</v>
      </c>
      <c r="G1044">
        <v>2095</v>
      </c>
      <c r="H1044">
        <v>79200</v>
      </c>
    </row>
    <row r="1045" spans="2:8">
      <c r="B1045" t="s">
        <v>463</v>
      </c>
      <c r="C1045" t="s">
        <v>212</v>
      </c>
      <c r="D1045">
        <v>2095</v>
      </c>
      <c r="E1045">
        <v>2095.5</v>
      </c>
      <c r="F1045">
        <v>2093</v>
      </c>
      <c r="G1045">
        <v>2094</v>
      </c>
      <c r="H1045">
        <v>148200</v>
      </c>
    </row>
    <row r="1046" spans="2:8">
      <c r="B1046" t="s">
        <v>463</v>
      </c>
      <c r="C1046" t="s">
        <v>213</v>
      </c>
      <c r="D1046">
        <v>2094</v>
      </c>
      <c r="E1046">
        <v>2095.5</v>
      </c>
      <c r="F1046">
        <v>2093.5</v>
      </c>
      <c r="G1046">
        <v>2094.5</v>
      </c>
      <c r="H1046">
        <v>56200</v>
      </c>
    </row>
    <row r="1047" spans="2:8">
      <c r="B1047" t="s">
        <v>463</v>
      </c>
      <c r="C1047" t="s">
        <v>214</v>
      </c>
      <c r="D1047">
        <v>2095</v>
      </c>
      <c r="E1047">
        <v>2095</v>
      </c>
      <c r="F1047">
        <v>2092</v>
      </c>
      <c r="G1047">
        <v>2092.5</v>
      </c>
      <c r="H1047">
        <v>107000</v>
      </c>
    </row>
    <row r="1048" spans="2:8">
      <c r="B1048" t="s">
        <v>463</v>
      </c>
      <c r="C1048" t="s">
        <v>215</v>
      </c>
      <c r="D1048">
        <v>2092</v>
      </c>
      <c r="E1048">
        <v>2093</v>
      </c>
      <c r="F1048">
        <v>2091.5</v>
      </c>
      <c r="G1048">
        <v>2092.5</v>
      </c>
      <c r="H1048">
        <v>116900</v>
      </c>
    </row>
    <row r="1049" spans="2:8">
      <c r="B1049" t="s">
        <v>463</v>
      </c>
      <c r="C1049" t="s">
        <v>216</v>
      </c>
      <c r="D1049">
        <v>2093</v>
      </c>
      <c r="E1049">
        <v>2093.5</v>
      </c>
      <c r="F1049">
        <v>2091</v>
      </c>
      <c r="G1049">
        <v>2091.5</v>
      </c>
      <c r="H1049">
        <v>63700</v>
      </c>
    </row>
    <row r="1050" spans="2:8">
      <c r="B1050" t="s">
        <v>463</v>
      </c>
      <c r="C1050" t="s">
        <v>217</v>
      </c>
      <c r="D1050">
        <v>2091.5</v>
      </c>
      <c r="E1050">
        <v>2091.5</v>
      </c>
      <c r="F1050">
        <v>2090</v>
      </c>
      <c r="G1050">
        <v>2091</v>
      </c>
      <c r="H1050">
        <v>144500</v>
      </c>
    </row>
    <row r="1051" spans="2:8">
      <c r="B1051" t="s">
        <v>463</v>
      </c>
      <c r="C1051" t="s">
        <v>218</v>
      </c>
      <c r="D1051">
        <v>2091</v>
      </c>
      <c r="E1051">
        <v>2092</v>
      </c>
      <c r="F1051">
        <v>2090.5</v>
      </c>
      <c r="G1051">
        <v>2092</v>
      </c>
      <c r="H1051">
        <v>104600</v>
      </c>
    </row>
    <row r="1052" spans="2:8">
      <c r="B1052" t="s">
        <v>463</v>
      </c>
      <c r="C1052" t="s">
        <v>219</v>
      </c>
      <c r="D1052">
        <v>2092</v>
      </c>
      <c r="E1052">
        <v>2092.5</v>
      </c>
      <c r="F1052">
        <v>2091</v>
      </c>
      <c r="G1052">
        <v>2091</v>
      </c>
      <c r="H1052">
        <v>40700</v>
      </c>
    </row>
    <row r="1053" spans="2:8">
      <c r="B1053" t="s">
        <v>463</v>
      </c>
      <c r="C1053" t="s">
        <v>220</v>
      </c>
      <c r="D1053">
        <v>2091</v>
      </c>
      <c r="E1053">
        <v>2092.5</v>
      </c>
      <c r="F1053">
        <v>2091</v>
      </c>
      <c r="G1053">
        <v>2092</v>
      </c>
      <c r="H1053">
        <v>30600</v>
      </c>
    </row>
    <row r="1054" spans="2:8">
      <c r="B1054" t="s">
        <v>463</v>
      </c>
      <c r="C1054" t="s">
        <v>221</v>
      </c>
      <c r="D1054">
        <v>2091.5</v>
      </c>
      <c r="E1054">
        <v>2092</v>
      </c>
      <c r="F1054">
        <v>2091</v>
      </c>
      <c r="G1054">
        <v>2091</v>
      </c>
      <c r="H1054">
        <v>50800</v>
      </c>
    </row>
    <row r="1055" spans="2:8">
      <c r="B1055" t="s">
        <v>463</v>
      </c>
      <c r="C1055" t="s">
        <v>222</v>
      </c>
      <c r="D1055">
        <v>2091</v>
      </c>
      <c r="E1055">
        <v>2092</v>
      </c>
      <c r="F1055">
        <v>2090</v>
      </c>
      <c r="G1055">
        <v>2091.5</v>
      </c>
      <c r="H1055">
        <v>74400</v>
      </c>
    </row>
    <row r="1056" spans="2:8">
      <c r="B1056" t="s">
        <v>463</v>
      </c>
      <c r="C1056" t="s">
        <v>223</v>
      </c>
      <c r="D1056">
        <v>2091.5</v>
      </c>
      <c r="E1056">
        <v>2092</v>
      </c>
      <c r="F1056">
        <v>2091</v>
      </c>
      <c r="G1056">
        <v>2092</v>
      </c>
      <c r="H1056">
        <v>67200</v>
      </c>
    </row>
    <row r="1057" spans="2:8">
      <c r="B1057" t="s">
        <v>463</v>
      </c>
      <c r="C1057" t="s">
        <v>224</v>
      </c>
      <c r="D1057">
        <v>2092</v>
      </c>
      <c r="E1057">
        <v>2093</v>
      </c>
      <c r="F1057">
        <v>2091</v>
      </c>
      <c r="G1057">
        <v>2093</v>
      </c>
      <c r="H1057">
        <v>66500</v>
      </c>
    </row>
    <row r="1058" spans="2:8">
      <c r="B1058" t="s">
        <v>463</v>
      </c>
      <c r="C1058" t="s">
        <v>225</v>
      </c>
      <c r="D1058">
        <v>2093</v>
      </c>
      <c r="E1058">
        <v>2093.5</v>
      </c>
      <c r="F1058">
        <v>2092.5</v>
      </c>
      <c r="G1058">
        <v>2093</v>
      </c>
      <c r="H1058">
        <v>23000</v>
      </c>
    </row>
    <row r="1059" spans="2:8">
      <c r="B1059" t="s">
        <v>463</v>
      </c>
      <c r="C1059" t="s">
        <v>226</v>
      </c>
      <c r="D1059">
        <v>2093</v>
      </c>
      <c r="E1059">
        <v>2093</v>
      </c>
      <c r="F1059">
        <v>2090.5</v>
      </c>
      <c r="G1059">
        <v>2090.5</v>
      </c>
      <c r="H1059">
        <v>85600</v>
      </c>
    </row>
    <row r="1060" spans="2:8">
      <c r="B1060" t="s">
        <v>463</v>
      </c>
      <c r="C1060" t="s">
        <v>227</v>
      </c>
      <c r="D1060">
        <v>2090.5</v>
      </c>
      <c r="E1060">
        <v>2090.5</v>
      </c>
      <c r="F1060">
        <v>2088.5</v>
      </c>
      <c r="G1060">
        <v>2090</v>
      </c>
      <c r="H1060">
        <v>229100</v>
      </c>
    </row>
    <row r="1061" spans="2:8">
      <c r="B1061" t="s">
        <v>463</v>
      </c>
      <c r="C1061" t="s">
        <v>228</v>
      </c>
      <c r="D1061">
        <v>2090</v>
      </c>
      <c r="E1061">
        <v>2091</v>
      </c>
      <c r="F1061">
        <v>2090</v>
      </c>
      <c r="G1061">
        <v>2091</v>
      </c>
      <c r="H1061">
        <v>20100</v>
      </c>
    </row>
    <row r="1062" spans="2:8">
      <c r="B1062" t="s">
        <v>463</v>
      </c>
      <c r="C1062" t="s">
        <v>229</v>
      </c>
      <c r="D1062">
        <v>2091</v>
      </c>
      <c r="E1062">
        <v>2091</v>
      </c>
      <c r="F1062">
        <v>2090</v>
      </c>
      <c r="G1062">
        <v>2090.5</v>
      </c>
      <c r="H1062">
        <v>24500</v>
      </c>
    </row>
    <row r="1063" spans="2:8">
      <c r="B1063" t="s">
        <v>463</v>
      </c>
      <c r="C1063" t="s">
        <v>230</v>
      </c>
      <c r="D1063">
        <v>2090.5</v>
      </c>
      <c r="E1063">
        <v>2092.5</v>
      </c>
      <c r="F1063">
        <v>2090</v>
      </c>
      <c r="G1063">
        <v>2092.5</v>
      </c>
      <c r="H1063">
        <v>83800</v>
      </c>
    </row>
    <row r="1064" spans="2:8">
      <c r="B1064" t="s">
        <v>463</v>
      </c>
      <c r="C1064" t="s">
        <v>231</v>
      </c>
      <c r="D1064">
        <v>2092</v>
      </c>
      <c r="E1064">
        <v>2092.5</v>
      </c>
      <c r="F1064">
        <v>2090.5</v>
      </c>
      <c r="G1064">
        <v>2092.5</v>
      </c>
      <c r="H1064">
        <v>53300</v>
      </c>
    </row>
    <row r="1065" spans="2:8">
      <c r="B1065" t="s">
        <v>463</v>
      </c>
      <c r="C1065" t="s">
        <v>232</v>
      </c>
      <c r="D1065">
        <v>2092.5</v>
      </c>
      <c r="E1065">
        <v>2094.5</v>
      </c>
      <c r="F1065">
        <v>2092.5</v>
      </c>
      <c r="G1065">
        <v>2094</v>
      </c>
      <c r="H1065">
        <v>69800</v>
      </c>
    </row>
    <row r="1066" spans="2:8">
      <c r="B1066" t="s">
        <v>463</v>
      </c>
      <c r="C1066" t="s">
        <v>233</v>
      </c>
      <c r="D1066">
        <v>2094</v>
      </c>
      <c r="E1066">
        <v>2094.5</v>
      </c>
      <c r="F1066">
        <v>2093</v>
      </c>
      <c r="G1066">
        <v>2094</v>
      </c>
      <c r="H1066">
        <v>47200</v>
      </c>
    </row>
    <row r="1067" spans="2:8">
      <c r="B1067" t="s">
        <v>463</v>
      </c>
      <c r="C1067" t="s">
        <v>234</v>
      </c>
      <c r="D1067">
        <v>2093.5</v>
      </c>
      <c r="E1067">
        <v>2095</v>
      </c>
      <c r="F1067">
        <v>2093.5</v>
      </c>
      <c r="G1067">
        <v>2095</v>
      </c>
      <c r="H1067">
        <v>82200</v>
      </c>
    </row>
    <row r="1068" spans="2:8">
      <c r="B1068" t="s">
        <v>463</v>
      </c>
      <c r="C1068" t="s">
        <v>235</v>
      </c>
      <c r="D1068">
        <v>2094.5</v>
      </c>
      <c r="E1068">
        <v>2096</v>
      </c>
      <c r="F1068">
        <v>2094</v>
      </c>
      <c r="G1068">
        <v>2095</v>
      </c>
      <c r="H1068">
        <v>140000</v>
      </c>
    </row>
    <row r="1069" spans="2:8">
      <c r="B1069" t="s">
        <v>463</v>
      </c>
      <c r="C1069" t="s">
        <v>236</v>
      </c>
      <c r="D1069">
        <v>2095</v>
      </c>
      <c r="E1069">
        <v>2095</v>
      </c>
      <c r="F1069">
        <v>2094</v>
      </c>
      <c r="G1069">
        <v>2095</v>
      </c>
      <c r="H1069">
        <v>20800</v>
      </c>
    </row>
    <row r="1070" spans="2:8">
      <c r="B1070" t="s">
        <v>463</v>
      </c>
      <c r="C1070" t="s">
        <v>237</v>
      </c>
      <c r="D1070">
        <v>2095</v>
      </c>
      <c r="E1070">
        <v>2095.5</v>
      </c>
      <c r="F1070">
        <v>2093.5</v>
      </c>
      <c r="G1070">
        <v>2094.5</v>
      </c>
      <c r="H1070">
        <v>79700</v>
      </c>
    </row>
    <row r="1071" spans="2:8">
      <c r="B1071" t="s">
        <v>463</v>
      </c>
      <c r="C1071" t="s">
        <v>238</v>
      </c>
      <c r="D1071">
        <v>2094</v>
      </c>
      <c r="E1071">
        <v>2094.5</v>
      </c>
      <c r="F1071">
        <v>2093.5</v>
      </c>
      <c r="G1071">
        <v>2093.5</v>
      </c>
      <c r="H1071">
        <v>38500</v>
      </c>
    </row>
    <row r="1072" spans="2:8">
      <c r="B1072" t="s">
        <v>463</v>
      </c>
      <c r="C1072" t="s">
        <v>239</v>
      </c>
      <c r="D1072">
        <v>2093.5</v>
      </c>
      <c r="E1072">
        <v>2094.5</v>
      </c>
      <c r="F1072">
        <v>2093</v>
      </c>
      <c r="G1072">
        <v>2094</v>
      </c>
      <c r="H1072">
        <v>38500</v>
      </c>
    </row>
    <row r="1073" spans="2:8">
      <c r="B1073" t="s">
        <v>463</v>
      </c>
      <c r="C1073" t="s">
        <v>240</v>
      </c>
      <c r="D1073">
        <v>2094</v>
      </c>
      <c r="E1073">
        <v>2095</v>
      </c>
      <c r="F1073">
        <v>2094</v>
      </c>
      <c r="G1073">
        <v>2095</v>
      </c>
      <c r="H1073">
        <v>27800</v>
      </c>
    </row>
    <row r="1074" spans="2:8">
      <c r="B1074" t="s">
        <v>463</v>
      </c>
      <c r="C1074" t="s">
        <v>241</v>
      </c>
      <c r="D1074">
        <v>2095</v>
      </c>
      <c r="E1074">
        <v>2095.5</v>
      </c>
      <c r="F1074">
        <v>2094.5</v>
      </c>
      <c r="G1074">
        <v>2095</v>
      </c>
      <c r="H1074">
        <v>36800</v>
      </c>
    </row>
    <row r="1075" spans="2:8">
      <c r="B1075" t="s">
        <v>463</v>
      </c>
      <c r="C1075" t="s">
        <v>242</v>
      </c>
      <c r="D1075">
        <v>2095.5</v>
      </c>
      <c r="E1075">
        <v>2096</v>
      </c>
      <c r="F1075">
        <v>2094.5</v>
      </c>
      <c r="G1075">
        <v>2095</v>
      </c>
      <c r="H1075">
        <v>56400</v>
      </c>
    </row>
    <row r="1076" spans="2:8">
      <c r="B1076" t="s">
        <v>463</v>
      </c>
      <c r="C1076" t="s">
        <v>243</v>
      </c>
      <c r="D1076">
        <v>2095</v>
      </c>
      <c r="E1076">
        <v>2096.5</v>
      </c>
      <c r="F1076">
        <v>2095</v>
      </c>
      <c r="G1076">
        <v>2095.5</v>
      </c>
      <c r="H1076">
        <v>39400</v>
      </c>
    </row>
    <row r="1077" spans="2:8">
      <c r="B1077" t="s">
        <v>463</v>
      </c>
      <c r="C1077" t="s">
        <v>244</v>
      </c>
      <c r="D1077">
        <v>2095.5</v>
      </c>
      <c r="E1077">
        <v>2096.5</v>
      </c>
      <c r="F1077">
        <v>2095</v>
      </c>
      <c r="G1077">
        <v>2096</v>
      </c>
      <c r="H1077">
        <v>43600</v>
      </c>
    </row>
    <row r="1078" spans="2:8">
      <c r="B1078" t="s">
        <v>463</v>
      </c>
      <c r="C1078" t="s">
        <v>245</v>
      </c>
      <c r="D1078">
        <v>2096</v>
      </c>
      <c r="E1078">
        <v>2096.5</v>
      </c>
      <c r="F1078">
        <v>2096</v>
      </c>
      <c r="G1078">
        <v>2096</v>
      </c>
      <c r="H1078">
        <v>25900</v>
      </c>
    </row>
    <row r="1079" spans="2:8">
      <c r="B1079" t="s">
        <v>463</v>
      </c>
      <c r="C1079" t="s">
        <v>246</v>
      </c>
      <c r="D1079">
        <v>2096</v>
      </c>
      <c r="E1079">
        <v>2098.5</v>
      </c>
      <c r="F1079">
        <v>2096</v>
      </c>
      <c r="G1079">
        <v>2098</v>
      </c>
      <c r="H1079">
        <v>242300</v>
      </c>
    </row>
    <row r="1080" spans="2:8">
      <c r="B1080" t="s">
        <v>463</v>
      </c>
      <c r="C1080" t="s">
        <v>247</v>
      </c>
      <c r="D1080">
        <v>2098.5</v>
      </c>
      <c r="E1080">
        <v>2099.5</v>
      </c>
      <c r="F1080">
        <v>2098.5</v>
      </c>
      <c r="G1080">
        <v>2099</v>
      </c>
      <c r="H1080">
        <v>109400</v>
      </c>
    </row>
    <row r="1081" spans="2:8">
      <c r="B1081" t="s">
        <v>463</v>
      </c>
      <c r="C1081" t="s">
        <v>248</v>
      </c>
      <c r="D1081">
        <v>2099</v>
      </c>
      <c r="E1081">
        <v>2099</v>
      </c>
      <c r="F1081">
        <v>2098</v>
      </c>
      <c r="G1081">
        <v>2099</v>
      </c>
      <c r="H1081">
        <v>39900</v>
      </c>
    </row>
    <row r="1082" spans="2:8">
      <c r="B1082" t="s">
        <v>463</v>
      </c>
      <c r="C1082" t="s">
        <v>249</v>
      </c>
      <c r="D1082">
        <v>2099</v>
      </c>
      <c r="E1082">
        <v>2099</v>
      </c>
      <c r="F1082">
        <v>2098</v>
      </c>
      <c r="G1082">
        <v>2099</v>
      </c>
      <c r="H1082">
        <v>59000</v>
      </c>
    </row>
    <row r="1083" spans="2:8">
      <c r="B1083" t="s">
        <v>463</v>
      </c>
      <c r="C1083" t="s">
        <v>250</v>
      </c>
      <c r="D1083">
        <v>2099</v>
      </c>
      <c r="E1083">
        <v>2099</v>
      </c>
      <c r="F1083">
        <v>2098</v>
      </c>
      <c r="G1083">
        <v>2098</v>
      </c>
      <c r="H1083">
        <v>57900</v>
      </c>
    </row>
    <row r="1084" spans="2:8">
      <c r="B1084" t="s">
        <v>463</v>
      </c>
      <c r="C1084" t="s">
        <v>251</v>
      </c>
      <c r="D1084">
        <v>2098</v>
      </c>
      <c r="E1084">
        <v>2099.5</v>
      </c>
      <c r="F1084">
        <v>2098</v>
      </c>
      <c r="G1084">
        <v>2098.5</v>
      </c>
      <c r="H1084">
        <v>141200</v>
      </c>
    </row>
    <row r="1085" spans="2:8">
      <c r="B1085" t="s">
        <v>463</v>
      </c>
      <c r="C1085" t="s">
        <v>252</v>
      </c>
      <c r="D1085">
        <v>2098.5</v>
      </c>
      <c r="E1085">
        <v>2099</v>
      </c>
      <c r="F1085">
        <v>2097.5</v>
      </c>
      <c r="G1085">
        <v>2098</v>
      </c>
      <c r="H1085">
        <v>86300</v>
      </c>
    </row>
    <row r="1086" spans="2:8">
      <c r="B1086" t="s">
        <v>463</v>
      </c>
      <c r="C1086" t="s">
        <v>253</v>
      </c>
      <c r="D1086">
        <v>2098</v>
      </c>
      <c r="E1086">
        <v>2099.5</v>
      </c>
      <c r="F1086">
        <v>2097.5</v>
      </c>
      <c r="G1086">
        <v>2099</v>
      </c>
      <c r="H1086">
        <v>89600</v>
      </c>
    </row>
    <row r="1087" spans="2:8">
      <c r="B1087" t="s">
        <v>463</v>
      </c>
      <c r="C1087" t="s">
        <v>254</v>
      </c>
      <c r="D1087">
        <v>2099</v>
      </c>
      <c r="E1087">
        <v>2099.5</v>
      </c>
      <c r="F1087">
        <v>2099</v>
      </c>
      <c r="G1087">
        <v>2099</v>
      </c>
      <c r="H1087">
        <v>24100</v>
      </c>
    </row>
    <row r="1088" spans="2:8">
      <c r="B1088" t="s">
        <v>463</v>
      </c>
      <c r="C1088" t="s">
        <v>255</v>
      </c>
      <c r="D1088">
        <v>2098.5</v>
      </c>
      <c r="E1088">
        <v>2099.5</v>
      </c>
      <c r="F1088">
        <v>2098.5</v>
      </c>
      <c r="G1088">
        <v>2099</v>
      </c>
      <c r="H1088">
        <v>48500</v>
      </c>
    </row>
    <row r="1089" spans="2:8">
      <c r="B1089" t="s">
        <v>463</v>
      </c>
      <c r="C1089" t="s">
        <v>256</v>
      </c>
      <c r="D1089">
        <v>2099</v>
      </c>
      <c r="E1089">
        <v>2100</v>
      </c>
      <c r="F1089">
        <v>2099</v>
      </c>
      <c r="G1089">
        <v>2100</v>
      </c>
      <c r="H1089">
        <v>35200</v>
      </c>
    </row>
    <row r="1090" spans="2:8">
      <c r="B1090" t="s">
        <v>463</v>
      </c>
      <c r="C1090" t="s">
        <v>257</v>
      </c>
      <c r="D1090">
        <v>2100</v>
      </c>
      <c r="E1090">
        <v>2102.5</v>
      </c>
      <c r="F1090">
        <v>2100</v>
      </c>
      <c r="G1090">
        <v>2100</v>
      </c>
      <c r="H1090">
        <v>384700</v>
      </c>
    </row>
    <row r="1091" spans="2:8">
      <c r="B1091" t="s">
        <v>463</v>
      </c>
      <c r="C1091" t="s">
        <v>258</v>
      </c>
      <c r="D1091">
        <v>2100</v>
      </c>
      <c r="E1091">
        <v>2101.5</v>
      </c>
      <c r="F1091">
        <v>2100</v>
      </c>
      <c r="G1091">
        <v>2101</v>
      </c>
      <c r="H1091">
        <v>37400</v>
      </c>
    </row>
    <row r="1092" spans="2:8">
      <c r="B1092" t="s">
        <v>463</v>
      </c>
      <c r="C1092" t="s">
        <v>259</v>
      </c>
      <c r="D1092">
        <v>2100.5</v>
      </c>
      <c r="E1092">
        <v>2100.5</v>
      </c>
      <c r="F1092">
        <v>2098.5</v>
      </c>
      <c r="G1092">
        <v>2099</v>
      </c>
      <c r="H1092">
        <v>92800</v>
      </c>
    </row>
    <row r="1093" spans="2:8">
      <c r="B1093" t="s">
        <v>463</v>
      </c>
      <c r="C1093" t="s">
        <v>260</v>
      </c>
      <c r="D1093">
        <v>2099.5</v>
      </c>
      <c r="E1093">
        <v>2099.5</v>
      </c>
      <c r="F1093">
        <v>2099</v>
      </c>
      <c r="G1093">
        <v>2099</v>
      </c>
      <c r="H1093">
        <v>34900</v>
      </c>
    </row>
    <row r="1094" spans="2:8">
      <c r="B1094" t="s">
        <v>463</v>
      </c>
      <c r="C1094" t="s">
        <v>261</v>
      </c>
      <c r="D1094">
        <v>2099</v>
      </c>
      <c r="E1094">
        <v>2099</v>
      </c>
      <c r="F1094">
        <v>2097.5</v>
      </c>
      <c r="G1094">
        <v>2098</v>
      </c>
      <c r="H1094">
        <v>76200</v>
      </c>
    </row>
    <row r="1095" spans="2:8">
      <c r="B1095" t="s">
        <v>463</v>
      </c>
      <c r="C1095" t="s">
        <v>262</v>
      </c>
      <c r="D1095">
        <v>2098</v>
      </c>
      <c r="E1095">
        <v>2099.5</v>
      </c>
      <c r="F1095">
        <v>2098</v>
      </c>
      <c r="G1095">
        <v>2098.5</v>
      </c>
      <c r="H1095">
        <v>80000</v>
      </c>
    </row>
    <row r="1096" spans="2:8">
      <c r="B1096" t="s">
        <v>463</v>
      </c>
      <c r="C1096" t="s">
        <v>263</v>
      </c>
      <c r="D1096">
        <v>2098.5</v>
      </c>
      <c r="E1096">
        <v>2098.5</v>
      </c>
      <c r="F1096">
        <v>2096</v>
      </c>
      <c r="G1096">
        <v>2096.5</v>
      </c>
      <c r="H1096">
        <v>69100</v>
      </c>
    </row>
    <row r="1097" spans="2:8">
      <c r="B1097" t="s">
        <v>463</v>
      </c>
      <c r="C1097" t="s">
        <v>264</v>
      </c>
      <c r="D1097">
        <v>2096</v>
      </c>
      <c r="E1097">
        <v>2096</v>
      </c>
      <c r="F1097">
        <v>2095.5</v>
      </c>
      <c r="G1097">
        <v>2096</v>
      </c>
      <c r="H1097">
        <v>54800</v>
      </c>
    </row>
    <row r="1098" spans="2:8">
      <c r="B1098" t="s">
        <v>463</v>
      </c>
      <c r="C1098" t="s">
        <v>265</v>
      </c>
      <c r="D1098">
        <v>2096</v>
      </c>
      <c r="E1098">
        <v>2096.5</v>
      </c>
      <c r="F1098">
        <v>2094</v>
      </c>
      <c r="G1098">
        <v>2094.5</v>
      </c>
      <c r="H1098">
        <v>72900</v>
      </c>
    </row>
    <row r="1099" spans="2:8">
      <c r="B1099" t="s">
        <v>463</v>
      </c>
      <c r="C1099" t="s">
        <v>266</v>
      </c>
      <c r="D1099">
        <v>2094</v>
      </c>
      <c r="E1099">
        <v>2094.5</v>
      </c>
      <c r="F1099">
        <v>2093.5</v>
      </c>
      <c r="G1099">
        <v>2094</v>
      </c>
      <c r="H1099">
        <v>53100</v>
      </c>
    </row>
    <row r="1100" spans="2:8">
      <c r="B1100" t="s">
        <v>463</v>
      </c>
      <c r="C1100" t="s">
        <v>267</v>
      </c>
      <c r="D1100">
        <v>2093.5</v>
      </c>
      <c r="E1100">
        <v>2094</v>
      </c>
      <c r="F1100">
        <v>2093</v>
      </c>
      <c r="G1100">
        <v>2093.5</v>
      </c>
      <c r="H1100">
        <v>51600</v>
      </c>
    </row>
    <row r="1101" spans="2:8">
      <c r="B1101" t="s">
        <v>463</v>
      </c>
      <c r="C1101" t="s">
        <v>268</v>
      </c>
      <c r="D1101">
        <v>2093.5</v>
      </c>
      <c r="E1101">
        <v>2094.5</v>
      </c>
      <c r="F1101">
        <v>2093</v>
      </c>
      <c r="G1101">
        <v>2094</v>
      </c>
      <c r="H1101">
        <v>41400</v>
      </c>
    </row>
    <row r="1102" spans="2:8">
      <c r="B1102" t="s">
        <v>463</v>
      </c>
      <c r="C1102" t="s">
        <v>269</v>
      </c>
      <c r="D1102">
        <v>2094</v>
      </c>
      <c r="E1102">
        <v>2094</v>
      </c>
      <c r="F1102">
        <v>2093</v>
      </c>
      <c r="G1102">
        <v>2093.5</v>
      </c>
      <c r="H1102">
        <v>59600</v>
      </c>
    </row>
    <row r="1103" spans="2:8">
      <c r="B1103" t="s">
        <v>463</v>
      </c>
      <c r="C1103" t="s">
        <v>270</v>
      </c>
      <c r="D1103">
        <v>2093.5</v>
      </c>
      <c r="E1103">
        <v>2094</v>
      </c>
      <c r="F1103">
        <v>2092.5</v>
      </c>
      <c r="G1103">
        <v>2094</v>
      </c>
      <c r="H1103">
        <v>57600</v>
      </c>
    </row>
    <row r="1104" spans="2:8">
      <c r="B1104" t="s">
        <v>463</v>
      </c>
      <c r="C1104" t="s">
        <v>271</v>
      </c>
      <c r="D1104">
        <v>2094</v>
      </c>
      <c r="E1104">
        <v>2094.5</v>
      </c>
      <c r="F1104">
        <v>2093.5</v>
      </c>
      <c r="G1104">
        <v>2093.5</v>
      </c>
      <c r="H1104">
        <v>35100</v>
      </c>
    </row>
    <row r="1105" spans="2:8">
      <c r="B1105" t="s">
        <v>463</v>
      </c>
      <c r="C1105" t="s">
        <v>272</v>
      </c>
      <c r="D1105">
        <v>2093</v>
      </c>
      <c r="E1105">
        <v>2094.5</v>
      </c>
      <c r="F1105">
        <v>2092.5</v>
      </c>
      <c r="G1105">
        <v>2094.5</v>
      </c>
      <c r="H1105">
        <v>186600</v>
      </c>
    </row>
    <row r="1106" spans="2:8">
      <c r="B1106" t="s">
        <v>463</v>
      </c>
      <c r="C1106" t="s">
        <v>273</v>
      </c>
      <c r="D1106">
        <v>2094.5</v>
      </c>
      <c r="E1106">
        <v>2095</v>
      </c>
      <c r="F1106">
        <v>2094</v>
      </c>
      <c r="G1106">
        <v>2095</v>
      </c>
      <c r="H1106">
        <v>23900</v>
      </c>
    </row>
    <row r="1107" spans="2:8">
      <c r="B1107" t="s">
        <v>463</v>
      </c>
      <c r="C1107" t="s">
        <v>274</v>
      </c>
      <c r="D1107">
        <v>2095</v>
      </c>
      <c r="E1107">
        <v>2095</v>
      </c>
      <c r="F1107">
        <v>2093.5</v>
      </c>
      <c r="G1107">
        <v>2094.5</v>
      </c>
      <c r="H1107">
        <v>70200</v>
      </c>
    </row>
    <row r="1108" spans="2:8">
      <c r="B1108" t="s">
        <v>463</v>
      </c>
      <c r="C1108" t="s">
        <v>275</v>
      </c>
      <c r="D1108">
        <v>2094.5</v>
      </c>
      <c r="E1108">
        <v>2094.5</v>
      </c>
      <c r="F1108">
        <v>2092.5</v>
      </c>
      <c r="G1108">
        <v>2093.5</v>
      </c>
      <c r="H1108">
        <v>139500</v>
      </c>
    </row>
    <row r="1109" spans="2:8">
      <c r="B1109" t="s">
        <v>463</v>
      </c>
      <c r="C1109" t="s">
        <v>276</v>
      </c>
      <c r="D1109">
        <v>2093.5</v>
      </c>
      <c r="E1109">
        <v>2094</v>
      </c>
      <c r="F1109">
        <v>2092.5</v>
      </c>
      <c r="G1109">
        <v>2093</v>
      </c>
      <c r="H1109">
        <v>23000</v>
      </c>
    </row>
    <row r="1110" spans="2:8">
      <c r="B1110" t="s">
        <v>463</v>
      </c>
      <c r="C1110" t="s">
        <v>277</v>
      </c>
      <c r="D1110">
        <v>2093</v>
      </c>
      <c r="E1110">
        <v>2093</v>
      </c>
      <c r="F1110">
        <v>2092</v>
      </c>
      <c r="G1110">
        <v>2092</v>
      </c>
      <c r="H1110">
        <v>65800</v>
      </c>
    </row>
    <row r="1111" spans="2:8">
      <c r="B1111" t="s">
        <v>463</v>
      </c>
      <c r="C1111" t="s">
        <v>278</v>
      </c>
      <c r="D1111">
        <v>2092</v>
      </c>
      <c r="E1111">
        <v>2094</v>
      </c>
      <c r="F1111">
        <v>2092</v>
      </c>
      <c r="G1111">
        <v>2092</v>
      </c>
      <c r="H1111">
        <v>104700</v>
      </c>
    </row>
    <row r="1112" spans="2:8">
      <c r="B1112" t="s">
        <v>463</v>
      </c>
      <c r="C1112" t="s">
        <v>279</v>
      </c>
      <c r="D1112">
        <v>2092</v>
      </c>
      <c r="E1112">
        <v>2092.5</v>
      </c>
      <c r="F1112">
        <v>2091.5</v>
      </c>
      <c r="G1112">
        <v>2092.5</v>
      </c>
      <c r="H1112">
        <v>53900</v>
      </c>
    </row>
    <row r="1113" spans="2:8">
      <c r="B1113" t="s">
        <v>463</v>
      </c>
      <c r="C1113" t="s">
        <v>280</v>
      </c>
      <c r="D1113">
        <v>2092.5</v>
      </c>
      <c r="E1113">
        <v>2094</v>
      </c>
      <c r="F1113">
        <v>2092</v>
      </c>
      <c r="G1113">
        <v>2093.5</v>
      </c>
      <c r="H1113">
        <v>28200</v>
      </c>
    </row>
    <row r="1114" spans="2:8">
      <c r="B1114" t="s">
        <v>463</v>
      </c>
      <c r="C1114" t="s">
        <v>281</v>
      </c>
      <c r="D1114">
        <v>2093.5</v>
      </c>
      <c r="E1114">
        <v>2094</v>
      </c>
      <c r="F1114">
        <v>2092.5</v>
      </c>
      <c r="G1114">
        <v>2093</v>
      </c>
      <c r="H1114">
        <v>23900</v>
      </c>
    </row>
    <row r="1115" spans="2:8">
      <c r="B1115" t="s">
        <v>463</v>
      </c>
      <c r="C1115" t="s">
        <v>282</v>
      </c>
      <c r="D1115">
        <v>2093</v>
      </c>
      <c r="E1115">
        <v>2094</v>
      </c>
      <c r="F1115">
        <v>2093</v>
      </c>
      <c r="G1115">
        <v>2093.5</v>
      </c>
      <c r="H1115">
        <v>38000</v>
      </c>
    </row>
    <row r="1116" spans="2:8">
      <c r="B1116" t="s">
        <v>463</v>
      </c>
      <c r="C1116" t="s">
        <v>283</v>
      </c>
      <c r="D1116">
        <v>2094</v>
      </c>
      <c r="E1116">
        <v>2094.5</v>
      </c>
      <c r="F1116">
        <v>2093.5</v>
      </c>
      <c r="G1116">
        <v>2094.5</v>
      </c>
      <c r="H1116">
        <v>44000</v>
      </c>
    </row>
    <row r="1117" spans="2:8">
      <c r="B1117" t="s">
        <v>463</v>
      </c>
      <c r="C1117" t="s">
        <v>284</v>
      </c>
      <c r="D1117">
        <v>2094.5</v>
      </c>
      <c r="E1117">
        <v>2094.5</v>
      </c>
      <c r="F1117">
        <v>2093</v>
      </c>
      <c r="G1117">
        <v>2093.5</v>
      </c>
      <c r="H1117">
        <v>17600</v>
      </c>
    </row>
    <row r="1118" spans="2:8">
      <c r="B1118" t="s">
        <v>463</v>
      </c>
      <c r="C1118" t="s">
        <v>285</v>
      </c>
      <c r="D1118">
        <v>2093.5</v>
      </c>
      <c r="E1118">
        <v>2094.5</v>
      </c>
      <c r="F1118">
        <v>2093.5</v>
      </c>
      <c r="G1118">
        <v>2093.5</v>
      </c>
      <c r="H1118">
        <v>14800</v>
      </c>
    </row>
    <row r="1119" spans="2:8">
      <c r="B1119" t="s">
        <v>463</v>
      </c>
      <c r="C1119" t="s">
        <v>286</v>
      </c>
      <c r="D1119">
        <v>2093.5</v>
      </c>
      <c r="E1119">
        <v>2096</v>
      </c>
      <c r="F1119">
        <v>2093</v>
      </c>
      <c r="G1119">
        <v>2095.5</v>
      </c>
      <c r="H1119">
        <v>92300</v>
      </c>
    </row>
    <row r="1120" spans="2:8">
      <c r="B1120" t="s">
        <v>463</v>
      </c>
      <c r="C1120" t="s">
        <v>287</v>
      </c>
      <c r="D1120">
        <v>2095.5</v>
      </c>
      <c r="E1120">
        <v>2096</v>
      </c>
      <c r="F1120">
        <v>2095.5</v>
      </c>
      <c r="G1120">
        <v>2096</v>
      </c>
      <c r="H1120">
        <v>23500</v>
      </c>
    </row>
    <row r="1121" spans="2:8">
      <c r="B1121" t="s">
        <v>463</v>
      </c>
      <c r="C1121" t="s">
        <v>288</v>
      </c>
      <c r="D1121">
        <v>2096</v>
      </c>
      <c r="E1121">
        <v>2097</v>
      </c>
      <c r="F1121">
        <v>2095.5</v>
      </c>
      <c r="G1121">
        <v>2097</v>
      </c>
      <c r="H1121">
        <v>42500</v>
      </c>
    </row>
    <row r="1122" spans="2:8">
      <c r="B1122" t="s">
        <v>463</v>
      </c>
      <c r="C1122" t="s">
        <v>289</v>
      </c>
      <c r="D1122">
        <v>2096.5</v>
      </c>
      <c r="E1122">
        <v>2097</v>
      </c>
      <c r="F1122">
        <v>2096.5</v>
      </c>
      <c r="G1122">
        <v>2096.5</v>
      </c>
      <c r="H1122">
        <v>12000</v>
      </c>
    </row>
    <row r="1123" spans="2:8">
      <c r="B1123" t="s">
        <v>463</v>
      </c>
      <c r="C1123" t="s">
        <v>290</v>
      </c>
      <c r="D1123">
        <v>2096.5</v>
      </c>
      <c r="E1123">
        <v>2097</v>
      </c>
      <c r="F1123">
        <v>2096.5</v>
      </c>
      <c r="G1123">
        <v>2096.5</v>
      </c>
      <c r="H1123">
        <v>29100</v>
      </c>
    </row>
    <row r="1124" spans="2:8">
      <c r="B1124" t="s">
        <v>463</v>
      </c>
      <c r="C1124" t="s">
        <v>291</v>
      </c>
      <c r="D1124">
        <v>2097</v>
      </c>
      <c r="E1124">
        <v>2098.5</v>
      </c>
      <c r="F1124">
        <v>2096.5</v>
      </c>
      <c r="G1124">
        <v>2098.5</v>
      </c>
      <c r="H1124">
        <v>63700</v>
      </c>
    </row>
    <row r="1125" spans="2:8">
      <c r="B1125" t="s">
        <v>463</v>
      </c>
      <c r="C1125" t="s">
        <v>292</v>
      </c>
      <c r="D1125">
        <v>2098</v>
      </c>
      <c r="E1125">
        <v>2098.5</v>
      </c>
      <c r="F1125">
        <v>2097.5</v>
      </c>
      <c r="G1125">
        <v>2098</v>
      </c>
      <c r="H1125">
        <v>42200</v>
      </c>
    </row>
    <row r="1126" spans="2:8">
      <c r="B1126" t="s">
        <v>463</v>
      </c>
      <c r="C1126" t="s">
        <v>293</v>
      </c>
      <c r="D1126">
        <v>2098</v>
      </c>
      <c r="E1126">
        <v>2098.5</v>
      </c>
      <c r="F1126">
        <v>2097.5</v>
      </c>
      <c r="G1126">
        <v>2097.5</v>
      </c>
      <c r="H1126">
        <v>21200</v>
      </c>
    </row>
    <row r="1127" spans="2:8">
      <c r="B1127" t="s">
        <v>463</v>
      </c>
      <c r="C1127" t="s">
        <v>294</v>
      </c>
      <c r="D1127">
        <v>2098</v>
      </c>
      <c r="E1127">
        <v>2098.5</v>
      </c>
      <c r="F1127">
        <v>2098</v>
      </c>
      <c r="G1127">
        <v>2098</v>
      </c>
      <c r="H1127">
        <v>19600</v>
      </c>
    </row>
    <row r="1128" spans="2:8">
      <c r="B1128" t="s">
        <v>463</v>
      </c>
      <c r="C1128" t="s">
        <v>295</v>
      </c>
      <c r="D1128">
        <v>2098</v>
      </c>
      <c r="E1128">
        <v>2098.5</v>
      </c>
      <c r="F1128">
        <v>2096.5</v>
      </c>
      <c r="G1128">
        <v>2096.5</v>
      </c>
      <c r="H1128">
        <v>49800</v>
      </c>
    </row>
    <row r="1129" spans="2:8">
      <c r="B1129" t="s">
        <v>463</v>
      </c>
      <c r="C1129" t="s">
        <v>296</v>
      </c>
      <c r="D1129">
        <v>2097</v>
      </c>
      <c r="E1129">
        <v>2098.5</v>
      </c>
      <c r="F1129">
        <v>2097</v>
      </c>
      <c r="G1129">
        <v>2098.5</v>
      </c>
      <c r="H1129">
        <v>17200</v>
      </c>
    </row>
    <row r="1130" spans="2:8">
      <c r="B1130" t="s">
        <v>463</v>
      </c>
      <c r="C1130" t="s">
        <v>297</v>
      </c>
      <c r="D1130">
        <v>2098.5</v>
      </c>
      <c r="E1130">
        <v>2098.5</v>
      </c>
      <c r="F1130">
        <v>2097.5</v>
      </c>
      <c r="G1130">
        <v>2098</v>
      </c>
      <c r="H1130">
        <v>19200</v>
      </c>
    </row>
    <row r="1131" spans="2:8">
      <c r="B1131" t="s">
        <v>463</v>
      </c>
      <c r="C1131" t="s">
        <v>298</v>
      </c>
      <c r="D1131">
        <v>2098</v>
      </c>
      <c r="E1131">
        <v>2099</v>
      </c>
      <c r="F1131">
        <v>2098</v>
      </c>
      <c r="G1131">
        <v>2099</v>
      </c>
      <c r="H1131">
        <v>51900</v>
      </c>
    </row>
    <row r="1132" spans="2:8">
      <c r="B1132" t="s">
        <v>463</v>
      </c>
      <c r="C1132" t="s">
        <v>299</v>
      </c>
      <c r="D1132">
        <v>2098.5</v>
      </c>
      <c r="E1132">
        <v>2098.5</v>
      </c>
      <c r="F1132">
        <v>2097.5</v>
      </c>
      <c r="G1132">
        <v>2098</v>
      </c>
      <c r="H1132">
        <v>35400</v>
      </c>
    </row>
    <row r="1133" spans="2:8">
      <c r="B1133" t="s">
        <v>463</v>
      </c>
      <c r="C1133" t="s">
        <v>300</v>
      </c>
      <c r="D1133">
        <v>2098</v>
      </c>
      <c r="E1133">
        <v>2098</v>
      </c>
      <c r="F1133">
        <v>2097.5</v>
      </c>
      <c r="G1133">
        <v>2097.5</v>
      </c>
      <c r="H1133">
        <v>15100</v>
      </c>
    </row>
    <row r="1134" spans="2:8">
      <c r="B1134" t="s">
        <v>463</v>
      </c>
      <c r="C1134" t="s">
        <v>301</v>
      </c>
      <c r="D1134">
        <v>2097.5</v>
      </c>
      <c r="E1134">
        <v>2098.5</v>
      </c>
      <c r="F1134">
        <v>2097</v>
      </c>
      <c r="G1134">
        <v>2098</v>
      </c>
      <c r="H1134">
        <v>58500</v>
      </c>
    </row>
    <row r="1135" spans="2:8">
      <c r="B1135" t="s">
        <v>463</v>
      </c>
      <c r="C1135" t="s">
        <v>302</v>
      </c>
      <c r="D1135">
        <v>2098</v>
      </c>
      <c r="E1135">
        <v>2098</v>
      </c>
      <c r="F1135">
        <v>2097.5</v>
      </c>
      <c r="G1135">
        <v>2097.5</v>
      </c>
      <c r="H1135">
        <v>2000</v>
      </c>
    </row>
    <row r="1136" spans="2:8">
      <c r="B1136" t="s">
        <v>463</v>
      </c>
      <c r="C1136" t="s">
        <v>303</v>
      </c>
      <c r="D1136">
        <v>2097.5</v>
      </c>
      <c r="E1136">
        <v>2098</v>
      </c>
      <c r="F1136">
        <v>2097.5</v>
      </c>
      <c r="G1136">
        <v>2097.5</v>
      </c>
      <c r="H1136">
        <v>2100</v>
      </c>
    </row>
    <row r="1137" spans="2:8">
      <c r="B1137" t="s">
        <v>463</v>
      </c>
      <c r="C1137" t="s">
        <v>304</v>
      </c>
      <c r="D1137">
        <v>2097.5</v>
      </c>
      <c r="E1137">
        <v>2098</v>
      </c>
      <c r="F1137">
        <v>2097</v>
      </c>
      <c r="G1137">
        <v>2097</v>
      </c>
      <c r="H1137">
        <v>8700</v>
      </c>
    </row>
    <row r="1138" spans="2:8">
      <c r="B1138" t="s">
        <v>463</v>
      </c>
      <c r="C1138" t="s">
        <v>305</v>
      </c>
      <c r="D1138">
        <v>2097</v>
      </c>
      <c r="E1138">
        <v>2097</v>
      </c>
      <c r="F1138">
        <v>2095.5</v>
      </c>
      <c r="G1138">
        <v>2096</v>
      </c>
      <c r="H1138">
        <v>63400</v>
      </c>
    </row>
    <row r="1139" spans="2:8">
      <c r="B1139" t="s">
        <v>463</v>
      </c>
      <c r="C1139" t="s">
        <v>306</v>
      </c>
      <c r="D1139">
        <v>2095.5</v>
      </c>
      <c r="E1139">
        <v>2097.5</v>
      </c>
      <c r="F1139">
        <v>2095.5</v>
      </c>
      <c r="G1139">
        <v>2097</v>
      </c>
      <c r="H1139">
        <v>33700</v>
      </c>
    </row>
    <row r="1140" spans="2:8">
      <c r="B1140" t="s">
        <v>463</v>
      </c>
      <c r="C1140" t="s">
        <v>307</v>
      </c>
      <c r="D1140">
        <v>2097</v>
      </c>
      <c r="E1140">
        <v>2097.5</v>
      </c>
      <c r="F1140">
        <v>2097</v>
      </c>
      <c r="G1140">
        <v>2097</v>
      </c>
      <c r="H1140">
        <v>3300</v>
      </c>
    </row>
    <row r="1141" spans="2:8">
      <c r="B1141" t="s">
        <v>463</v>
      </c>
      <c r="C1141" t="s">
        <v>308</v>
      </c>
      <c r="D1141">
        <v>2097</v>
      </c>
      <c r="E1141">
        <v>2098</v>
      </c>
      <c r="F1141">
        <v>2097</v>
      </c>
      <c r="G1141">
        <v>2097.5</v>
      </c>
      <c r="H1141">
        <v>23100</v>
      </c>
    </row>
    <row r="1142" spans="2:8">
      <c r="B1142" t="s">
        <v>463</v>
      </c>
      <c r="C1142" t="s">
        <v>309</v>
      </c>
      <c r="D1142">
        <v>2097.5</v>
      </c>
      <c r="E1142">
        <v>2098.5</v>
      </c>
      <c r="F1142">
        <v>2097</v>
      </c>
      <c r="G1142">
        <v>2098</v>
      </c>
      <c r="H1142">
        <v>46300</v>
      </c>
    </row>
    <row r="1143" spans="2:8">
      <c r="B1143" t="s">
        <v>463</v>
      </c>
      <c r="C1143" t="s">
        <v>310</v>
      </c>
      <c r="D1143">
        <v>2097.5</v>
      </c>
      <c r="E1143">
        <v>2099</v>
      </c>
      <c r="F1143">
        <v>2097.5</v>
      </c>
      <c r="G1143">
        <v>2098.5</v>
      </c>
      <c r="H1143">
        <v>59500</v>
      </c>
    </row>
    <row r="1144" spans="2:8">
      <c r="B1144" t="s">
        <v>463</v>
      </c>
      <c r="C1144" t="s">
        <v>311</v>
      </c>
      <c r="D1144">
        <v>2098.5</v>
      </c>
      <c r="E1144">
        <v>2099.5</v>
      </c>
      <c r="F1144">
        <v>2098.5</v>
      </c>
      <c r="G1144">
        <v>2099</v>
      </c>
      <c r="H1144">
        <v>34600</v>
      </c>
    </row>
    <row r="1145" spans="2:8">
      <c r="B1145" t="s">
        <v>463</v>
      </c>
      <c r="C1145" t="s">
        <v>312</v>
      </c>
      <c r="D1145">
        <v>2099.5</v>
      </c>
      <c r="E1145">
        <v>2100</v>
      </c>
      <c r="F1145">
        <v>2099</v>
      </c>
      <c r="G1145">
        <v>2099</v>
      </c>
      <c r="H1145">
        <v>23100</v>
      </c>
    </row>
    <row r="1146" spans="2:8">
      <c r="B1146" t="s">
        <v>463</v>
      </c>
      <c r="C1146" t="s">
        <v>313</v>
      </c>
      <c r="D1146">
        <v>2099</v>
      </c>
      <c r="E1146">
        <v>2100</v>
      </c>
      <c r="F1146">
        <v>2099</v>
      </c>
      <c r="G1146">
        <v>2099.5</v>
      </c>
      <c r="H1146">
        <v>19800</v>
      </c>
    </row>
    <row r="1147" spans="2:8">
      <c r="B1147" t="s">
        <v>463</v>
      </c>
      <c r="C1147" t="s">
        <v>314</v>
      </c>
      <c r="D1147">
        <v>2099.5</v>
      </c>
      <c r="E1147">
        <v>2100</v>
      </c>
      <c r="F1147">
        <v>2099</v>
      </c>
      <c r="G1147">
        <v>2099.5</v>
      </c>
      <c r="H1147">
        <v>30600</v>
      </c>
    </row>
    <row r="1148" spans="2:8">
      <c r="B1148" t="s">
        <v>463</v>
      </c>
      <c r="C1148" t="s">
        <v>315</v>
      </c>
      <c r="D1148">
        <v>2099.5</v>
      </c>
      <c r="E1148">
        <v>2101</v>
      </c>
      <c r="F1148">
        <v>2098</v>
      </c>
      <c r="G1148">
        <v>2099</v>
      </c>
      <c r="H1148">
        <v>169300</v>
      </c>
    </row>
    <row r="1149" spans="2:8">
      <c r="B1149" t="s">
        <v>463</v>
      </c>
      <c r="C1149" t="s">
        <v>316</v>
      </c>
      <c r="D1149">
        <v>2100.5</v>
      </c>
      <c r="E1149">
        <v>2100.5</v>
      </c>
      <c r="F1149">
        <v>2100.5</v>
      </c>
      <c r="G1149">
        <v>2100.5</v>
      </c>
      <c r="H1149">
        <v>29000</v>
      </c>
    </row>
    <row r="1150" spans="2:8">
      <c r="B1150" t="s">
        <v>463</v>
      </c>
      <c r="C1150" t="s">
        <v>317</v>
      </c>
      <c r="D1150">
        <v>2099</v>
      </c>
      <c r="E1150">
        <v>2102</v>
      </c>
      <c r="F1150">
        <v>2096.5</v>
      </c>
      <c r="G1150">
        <v>2102</v>
      </c>
      <c r="H1150">
        <v>453100</v>
      </c>
    </row>
    <row r="1151" spans="2:8">
      <c r="B1151" t="s">
        <v>463</v>
      </c>
      <c r="C1151" t="s">
        <v>318</v>
      </c>
      <c r="D1151">
        <v>2102</v>
      </c>
      <c r="E1151">
        <v>2113</v>
      </c>
      <c r="F1151">
        <v>2100.5</v>
      </c>
      <c r="G1151">
        <v>2111</v>
      </c>
      <c r="H1151">
        <v>867700</v>
      </c>
    </row>
    <row r="1152" spans="2:8">
      <c r="B1152" t="s">
        <v>463</v>
      </c>
      <c r="C1152" t="s">
        <v>319</v>
      </c>
      <c r="D1152">
        <v>2110.5</v>
      </c>
      <c r="E1152">
        <v>2110.5</v>
      </c>
      <c r="F1152">
        <v>2105</v>
      </c>
      <c r="G1152">
        <v>2105.5</v>
      </c>
      <c r="H1152">
        <v>130600</v>
      </c>
    </row>
    <row r="1153" spans="2:8">
      <c r="B1153" t="s">
        <v>463</v>
      </c>
      <c r="C1153" t="s">
        <v>320</v>
      </c>
      <c r="D1153">
        <v>2106</v>
      </c>
      <c r="E1153">
        <v>2109.5</v>
      </c>
      <c r="F1153">
        <v>2105.5</v>
      </c>
      <c r="G1153">
        <v>2108.5</v>
      </c>
      <c r="H1153">
        <v>154100</v>
      </c>
    </row>
    <row r="1154" spans="2:8">
      <c r="B1154" t="s">
        <v>463</v>
      </c>
      <c r="C1154" t="s">
        <v>321</v>
      </c>
      <c r="D1154">
        <v>2108.5</v>
      </c>
      <c r="E1154">
        <v>2109.5</v>
      </c>
      <c r="F1154">
        <v>2108</v>
      </c>
      <c r="G1154">
        <v>2109</v>
      </c>
      <c r="H1154">
        <v>102000</v>
      </c>
    </row>
    <row r="1155" spans="2:8">
      <c r="B1155" t="s">
        <v>463</v>
      </c>
      <c r="C1155" t="s">
        <v>322</v>
      </c>
      <c r="D1155">
        <v>2109</v>
      </c>
      <c r="E1155">
        <v>2109</v>
      </c>
      <c r="F1155">
        <v>2107.5</v>
      </c>
      <c r="G1155">
        <v>2107.5</v>
      </c>
      <c r="H1155">
        <v>71600</v>
      </c>
    </row>
    <row r="1156" spans="2:8">
      <c r="B1156" t="s">
        <v>463</v>
      </c>
      <c r="C1156" t="s">
        <v>323</v>
      </c>
      <c r="D1156">
        <v>2107.5</v>
      </c>
      <c r="E1156">
        <v>2108.5</v>
      </c>
      <c r="F1156">
        <v>2106.5</v>
      </c>
      <c r="G1156">
        <v>2108.5</v>
      </c>
      <c r="H1156">
        <v>95700</v>
      </c>
    </row>
    <row r="1157" spans="2:8">
      <c r="B1157" t="s">
        <v>463</v>
      </c>
      <c r="C1157" t="s">
        <v>324</v>
      </c>
      <c r="D1157">
        <v>2108.5</v>
      </c>
      <c r="E1157">
        <v>2108.5</v>
      </c>
      <c r="F1157">
        <v>2105</v>
      </c>
      <c r="G1157">
        <v>2105</v>
      </c>
      <c r="H1157">
        <v>169600</v>
      </c>
    </row>
    <row r="1158" spans="2:8">
      <c r="B1158" t="s">
        <v>463</v>
      </c>
      <c r="C1158" t="s">
        <v>325</v>
      </c>
      <c r="D1158">
        <v>2104.5</v>
      </c>
      <c r="E1158">
        <v>2106</v>
      </c>
      <c r="F1158">
        <v>2104.5</v>
      </c>
      <c r="G1158">
        <v>2105.5</v>
      </c>
      <c r="H1158">
        <v>54500</v>
      </c>
    </row>
    <row r="1159" spans="2:8">
      <c r="B1159" t="s">
        <v>463</v>
      </c>
      <c r="C1159" t="s">
        <v>326</v>
      </c>
      <c r="D1159">
        <v>2106</v>
      </c>
      <c r="E1159">
        <v>2106.5</v>
      </c>
      <c r="F1159">
        <v>2104</v>
      </c>
      <c r="G1159">
        <v>2106.5</v>
      </c>
      <c r="H1159">
        <v>108600</v>
      </c>
    </row>
    <row r="1160" spans="2:8">
      <c r="B1160" t="s">
        <v>463</v>
      </c>
      <c r="C1160" t="s">
        <v>327</v>
      </c>
      <c r="D1160">
        <v>2106.5</v>
      </c>
      <c r="E1160">
        <v>2108</v>
      </c>
      <c r="F1160">
        <v>2106</v>
      </c>
      <c r="G1160">
        <v>2106.5</v>
      </c>
      <c r="H1160">
        <v>63500</v>
      </c>
    </row>
    <row r="1161" spans="2:8">
      <c r="B1161" t="s">
        <v>463</v>
      </c>
      <c r="C1161" t="s">
        <v>328</v>
      </c>
      <c r="D1161">
        <v>2106.5</v>
      </c>
      <c r="E1161">
        <v>2106.5</v>
      </c>
      <c r="F1161">
        <v>2104.5</v>
      </c>
      <c r="G1161">
        <v>2105</v>
      </c>
      <c r="H1161">
        <v>80500</v>
      </c>
    </row>
    <row r="1162" spans="2:8">
      <c r="B1162" t="s">
        <v>463</v>
      </c>
      <c r="C1162" t="s">
        <v>329</v>
      </c>
      <c r="D1162">
        <v>2105</v>
      </c>
      <c r="E1162">
        <v>2105</v>
      </c>
      <c r="F1162">
        <v>2103.5</v>
      </c>
      <c r="G1162">
        <v>2103.5</v>
      </c>
      <c r="H1162">
        <v>62800</v>
      </c>
    </row>
    <row r="1163" spans="2:8">
      <c r="B1163" t="s">
        <v>463</v>
      </c>
      <c r="C1163" t="s">
        <v>330</v>
      </c>
      <c r="D1163">
        <v>2104</v>
      </c>
      <c r="E1163">
        <v>2104.5</v>
      </c>
      <c r="F1163">
        <v>2103</v>
      </c>
      <c r="G1163">
        <v>2103.5</v>
      </c>
      <c r="H1163">
        <v>40700</v>
      </c>
    </row>
    <row r="1164" spans="2:8">
      <c r="B1164" t="s">
        <v>463</v>
      </c>
      <c r="C1164" t="s">
        <v>331</v>
      </c>
      <c r="D1164">
        <v>2103</v>
      </c>
      <c r="E1164">
        <v>2106.5</v>
      </c>
      <c r="F1164">
        <v>2103</v>
      </c>
      <c r="G1164">
        <v>2104.5</v>
      </c>
      <c r="H1164">
        <v>89300</v>
      </c>
    </row>
    <row r="1165" spans="2:8">
      <c r="B1165" t="s">
        <v>463</v>
      </c>
      <c r="C1165" t="s">
        <v>332</v>
      </c>
      <c r="D1165">
        <v>2105</v>
      </c>
      <c r="E1165">
        <v>2106.5</v>
      </c>
      <c r="F1165">
        <v>2104</v>
      </c>
      <c r="G1165">
        <v>2106</v>
      </c>
      <c r="H1165">
        <v>59500</v>
      </c>
    </row>
    <row r="1166" spans="2:8">
      <c r="B1166" t="s">
        <v>463</v>
      </c>
      <c r="C1166" t="s">
        <v>333</v>
      </c>
      <c r="D1166">
        <v>2106</v>
      </c>
      <c r="E1166">
        <v>2107.5</v>
      </c>
      <c r="F1166">
        <v>2106</v>
      </c>
      <c r="G1166">
        <v>2106.5</v>
      </c>
      <c r="H1166">
        <v>33300</v>
      </c>
    </row>
    <row r="1167" spans="2:8">
      <c r="B1167" t="s">
        <v>463</v>
      </c>
      <c r="C1167" t="s">
        <v>334</v>
      </c>
      <c r="D1167">
        <v>2106</v>
      </c>
      <c r="E1167">
        <v>2106</v>
      </c>
      <c r="F1167">
        <v>2104</v>
      </c>
      <c r="G1167">
        <v>2104</v>
      </c>
      <c r="H1167">
        <v>62600</v>
      </c>
    </row>
    <row r="1168" spans="2:8">
      <c r="B1168" t="s">
        <v>463</v>
      </c>
      <c r="C1168" t="s">
        <v>335</v>
      </c>
      <c r="D1168">
        <v>2104.5</v>
      </c>
      <c r="E1168">
        <v>2105</v>
      </c>
      <c r="F1168">
        <v>2103.5</v>
      </c>
      <c r="G1168">
        <v>2105</v>
      </c>
      <c r="H1168">
        <v>46600</v>
      </c>
    </row>
    <row r="1169" spans="2:8">
      <c r="B1169" t="s">
        <v>463</v>
      </c>
      <c r="C1169" t="s">
        <v>336</v>
      </c>
      <c r="D1169">
        <v>2105</v>
      </c>
      <c r="E1169">
        <v>2105.5</v>
      </c>
      <c r="F1169">
        <v>2104.5</v>
      </c>
      <c r="G1169">
        <v>2105.5</v>
      </c>
      <c r="H1169">
        <v>42800</v>
      </c>
    </row>
    <row r="1170" spans="2:8">
      <c r="B1170" t="s">
        <v>463</v>
      </c>
      <c r="C1170" t="s">
        <v>337</v>
      </c>
      <c r="D1170">
        <v>2106</v>
      </c>
      <c r="E1170">
        <v>2108</v>
      </c>
      <c r="F1170">
        <v>2105.5</v>
      </c>
      <c r="G1170">
        <v>2108</v>
      </c>
      <c r="H1170">
        <v>49300</v>
      </c>
    </row>
    <row r="1171" spans="2:8">
      <c r="B1171" t="s">
        <v>463</v>
      </c>
      <c r="C1171" t="s">
        <v>338</v>
      </c>
      <c r="D1171">
        <v>2108</v>
      </c>
      <c r="E1171">
        <v>2109</v>
      </c>
      <c r="F1171">
        <v>2107.5</v>
      </c>
      <c r="G1171">
        <v>2108.5</v>
      </c>
      <c r="H1171">
        <v>93900</v>
      </c>
    </row>
    <row r="1172" spans="2:8">
      <c r="B1172" t="s">
        <v>463</v>
      </c>
      <c r="C1172" t="s">
        <v>339</v>
      </c>
      <c r="D1172">
        <v>2108.5</v>
      </c>
      <c r="E1172">
        <v>2108.5</v>
      </c>
      <c r="F1172">
        <v>2107.5</v>
      </c>
      <c r="G1172">
        <v>2107.5</v>
      </c>
      <c r="H1172">
        <v>75000</v>
      </c>
    </row>
    <row r="1173" spans="2:8">
      <c r="B1173" t="s">
        <v>463</v>
      </c>
      <c r="C1173" t="s">
        <v>340</v>
      </c>
      <c r="D1173">
        <v>2108</v>
      </c>
      <c r="E1173">
        <v>2110</v>
      </c>
      <c r="F1173">
        <v>2108</v>
      </c>
      <c r="G1173">
        <v>2109.5</v>
      </c>
      <c r="H1173">
        <v>78200</v>
      </c>
    </row>
    <row r="1174" spans="2:8">
      <c r="B1174" t="s">
        <v>463</v>
      </c>
      <c r="C1174" t="s">
        <v>341</v>
      </c>
      <c r="D1174">
        <v>2109.5</v>
      </c>
      <c r="E1174">
        <v>2109.5</v>
      </c>
      <c r="F1174">
        <v>2108.5</v>
      </c>
      <c r="G1174">
        <v>2108.5</v>
      </c>
      <c r="H1174">
        <v>30300</v>
      </c>
    </row>
    <row r="1175" spans="2:8">
      <c r="B1175" t="s">
        <v>463</v>
      </c>
      <c r="C1175" t="s">
        <v>342</v>
      </c>
      <c r="D1175">
        <v>2108.5</v>
      </c>
      <c r="E1175">
        <v>2109</v>
      </c>
      <c r="F1175">
        <v>2108</v>
      </c>
      <c r="G1175">
        <v>2108</v>
      </c>
      <c r="H1175">
        <v>58100</v>
      </c>
    </row>
    <row r="1176" spans="2:8">
      <c r="B1176" t="s">
        <v>463</v>
      </c>
      <c r="C1176" t="s">
        <v>343</v>
      </c>
      <c r="D1176">
        <v>2108</v>
      </c>
      <c r="E1176">
        <v>2108.5</v>
      </c>
      <c r="F1176">
        <v>2107</v>
      </c>
      <c r="G1176">
        <v>2107.5</v>
      </c>
      <c r="H1176">
        <v>25800</v>
      </c>
    </row>
    <row r="1177" spans="2:8">
      <c r="B1177" t="s">
        <v>463</v>
      </c>
      <c r="C1177" t="s">
        <v>344</v>
      </c>
      <c r="D1177">
        <v>2107.5</v>
      </c>
      <c r="E1177">
        <v>2108</v>
      </c>
      <c r="F1177">
        <v>2106.5</v>
      </c>
      <c r="G1177">
        <v>2108</v>
      </c>
      <c r="H1177">
        <v>37300</v>
      </c>
    </row>
    <row r="1178" spans="2:8">
      <c r="B1178" t="s">
        <v>463</v>
      </c>
      <c r="C1178" t="s">
        <v>345</v>
      </c>
      <c r="D1178">
        <v>2107.5</v>
      </c>
      <c r="E1178">
        <v>2108</v>
      </c>
      <c r="F1178">
        <v>2107</v>
      </c>
      <c r="G1178">
        <v>2107.5</v>
      </c>
      <c r="H1178">
        <v>29400</v>
      </c>
    </row>
    <row r="1179" spans="2:8">
      <c r="B1179" t="s">
        <v>463</v>
      </c>
      <c r="C1179" t="s">
        <v>346</v>
      </c>
      <c r="D1179">
        <v>2107</v>
      </c>
      <c r="E1179">
        <v>2108</v>
      </c>
      <c r="F1179">
        <v>2107</v>
      </c>
      <c r="G1179">
        <v>2107</v>
      </c>
      <c r="H1179">
        <v>27200</v>
      </c>
    </row>
    <row r="1180" spans="2:8">
      <c r="B1180" t="s">
        <v>463</v>
      </c>
      <c r="C1180" t="s">
        <v>347</v>
      </c>
      <c r="D1180">
        <v>2108</v>
      </c>
      <c r="E1180">
        <v>2108.5</v>
      </c>
      <c r="F1180">
        <v>2105.5</v>
      </c>
      <c r="G1180">
        <v>2106.5</v>
      </c>
      <c r="H1180">
        <v>106800</v>
      </c>
    </row>
    <row r="1181" spans="2:8">
      <c r="B1181" t="s">
        <v>463</v>
      </c>
      <c r="C1181" t="s">
        <v>348</v>
      </c>
      <c r="D1181">
        <v>2106.5</v>
      </c>
      <c r="E1181">
        <v>2107</v>
      </c>
      <c r="F1181">
        <v>2105.5</v>
      </c>
      <c r="G1181">
        <v>2106.5</v>
      </c>
      <c r="H1181">
        <v>65800</v>
      </c>
    </row>
    <row r="1182" spans="2:8">
      <c r="B1182" t="s">
        <v>463</v>
      </c>
      <c r="C1182" t="s">
        <v>349</v>
      </c>
      <c r="D1182">
        <v>2106.5</v>
      </c>
      <c r="E1182">
        <v>2106.5</v>
      </c>
      <c r="F1182">
        <v>2105.5</v>
      </c>
      <c r="G1182">
        <v>2106.5</v>
      </c>
      <c r="H1182">
        <v>20300</v>
      </c>
    </row>
    <row r="1183" spans="2:8">
      <c r="B1183" t="s">
        <v>463</v>
      </c>
      <c r="C1183" t="s">
        <v>350</v>
      </c>
      <c r="D1183">
        <v>2106.5</v>
      </c>
      <c r="E1183">
        <v>2106.5</v>
      </c>
      <c r="F1183">
        <v>2106</v>
      </c>
      <c r="G1183">
        <v>2106</v>
      </c>
      <c r="H1183">
        <v>25100</v>
      </c>
    </row>
    <row r="1184" spans="2:8">
      <c r="B1184" t="s">
        <v>463</v>
      </c>
      <c r="C1184" t="s">
        <v>351</v>
      </c>
      <c r="D1184">
        <v>2106.5</v>
      </c>
      <c r="E1184">
        <v>2106.5</v>
      </c>
      <c r="F1184">
        <v>2104.5</v>
      </c>
      <c r="G1184">
        <v>2105.5</v>
      </c>
      <c r="H1184">
        <v>114500</v>
      </c>
    </row>
    <row r="1185" spans="2:8">
      <c r="B1185" t="s">
        <v>463</v>
      </c>
      <c r="C1185" t="s">
        <v>352</v>
      </c>
      <c r="D1185">
        <v>2105.5</v>
      </c>
      <c r="E1185">
        <v>2105.5</v>
      </c>
      <c r="F1185">
        <v>2104.5</v>
      </c>
      <c r="G1185">
        <v>2104.5</v>
      </c>
      <c r="H1185">
        <v>28700</v>
      </c>
    </row>
    <row r="1186" spans="2:8">
      <c r="B1186" t="s">
        <v>463</v>
      </c>
      <c r="C1186" t="s">
        <v>353</v>
      </c>
      <c r="D1186">
        <v>2105</v>
      </c>
      <c r="E1186">
        <v>2105.5</v>
      </c>
      <c r="F1186">
        <v>2104.5</v>
      </c>
      <c r="G1186">
        <v>2105.5</v>
      </c>
      <c r="H1186">
        <v>22200</v>
      </c>
    </row>
    <row r="1187" spans="2:8">
      <c r="B1187" t="s">
        <v>463</v>
      </c>
      <c r="C1187" t="s">
        <v>354</v>
      </c>
      <c r="D1187">
        <v>2105.5</v>
      </c>
      <c r="E1187">
        <v>2106.5</v>
      </c>
      <c r="F1187">
        <v>2105</v>
      </c>
      <c r="G1187">
        <v>2106.5</v>
      </c>
      <c r="H1187">
        <v>45700</v>
      </c>
    </row>
    <row r="1188" spans="2:8">
      <c r="B1188" t="s">
        <v>463</v>
      </c>
      <c r="C1188" t="s">
        <v>355</v>
      </c>
      <c r="D1188">
        <v>2106</v>
      </c>
      <c r="E1188">
        <v>2106.5</v>
      </c>
      <c r="F1188">
        <v>2105.5</v>
      </c>
      <c r="G1188">
        <v>2106</v>
      </c>
      <c r="H1188">
        <v>35600</v>
      </c>
    </row>
    <row r="1189" spans="2:8">
      <c r="B1189" t="s">
        <v>463</v>
      </c>
      <c r="C1189" t="s">
        <v>356</v>
      </c>
      <c r="D1189">
        <v>2106.5</v>
      </c>
      <c r="E1189">
        <v>2109.5</v>
      </c>
      <c r="F1189">
        <v>2105.5</v>
      </c>
      <c r="G1189">
        <v>2108.5</v>
      </c>
      <c r="H1189">
        <v>92500</v>
      </c>
    </row>
    <row r="1190" spans="2:8">
      <c r="B1190" t="s">
        <v>463</v>
      </c>
      <c r="C1190" t="s">
        <v>357</v>
      </c>
      <c r="D1190">
        <v>2108.5</v>
      </c>
      <c r="E1190">
        <v>2109</v>
      </c>
      <c r="F1190">
        <v>2107.5</v>
      </c>
      <c r="G1190">
        <v>2107.5</v>
      </c>
      <c r="H1190">
        <v>50500</v>
      </c>
    </row>
    <row r="1191" spans="2:8">
      <c r="B1191" t="s">
        <v>463</v>
      </c>
      <c r="C1191" t="s">
        <v>358</v>
      </c>
      <c r="D1191">
        <v>2107.5</v>
      </c>
      <c r="E1191">
        <v>2108</v>
      </c>
      <c r="F1191">
        <v>2107</v>
      </c>
      <c r="G1191">
        <v>2108</v>
      </c>
      <c r="H1191">
        <v>24700</v>
      </c>
    </row>
    <row r="1192" spans="2:8">
      <c r="B1192" t="s">
        <v>463</v>
      </c>
      <c r="C1192" t="s">
        <v>359</v>
      </c>
      <c r="D1192">
        <v>2108</v>
      </c>
      <c r="E1192">
        <v>2108.5</v>
      </c>
      <c r="F1192">
        <v>2107.5</v>
      </c>
      <c r="G1192">
        <v>2108.5</v>
      </c>
      <c r="H1192">
        <v>32100</v>
      </c>
    </row>
    <row r="1193" spans="2:8">
      <c r="B1193" t="s">
        <v>463</v>
      </c>
      <c r="C1193" t="s">
        <v>360</v>
      </c>
      <c r="D1193">
        <v>2108.5</v>
      </c>
      <c r="E1193">
        <v>2109</v>
      </c>
      <c r="F1193">
        <v>2108</v>
      </c>
      <c r="G1193">
        <v>2108.5</v>
      </c>
      <c r="H1193">
        <v>27700</v>
      </c>
    </row>
    <row r="1194" spans="2:8">
      <c r="B1194" t="s">
        <v>463</v>
      </c>
      <c r="C1194" t="s">
        <v>361</v>
      </c>
      <c r="D1194">
        <v>2108.5</v>
      </c>
      <c r="E1194">
        <v>2109</v>
      </c>
      <c r="F1194">
        <v>2107.5</v>
      </c>
      <c r="G1194">
        <v>2109</v>
      </c>
      <c r="H1194">
        <v>42500</v>
      </c>
    </row>
    <row r="1195" spans="2:8">
      <c r="B1195" t="s">
        <v>463</v>
      </c>
      <c r="C1195" t="s">
        <v>362</v>
      </c>
      <c r="D1195">
        <v>2109</v>
      </c>
      <c r="E1195">
        <v>2109</v>
      </c>
      <c r="F1195">
        <v>2106.5</v>
      </c>
      <c r="G1195">
        <v>2107</v>
      </c>
      <c r="H1195">
        <v>56000</v>
      </c>
    </row>
    <row r="1196" spans="2:8">
      <c r="B1196" t="s">
        <v>463</v>
      </c>
      <c r="C1196" t="s">
        <v>363</v>
      </c>
      <c r="D1196">
        <v>2106.5</v>
      </c>
      <c r="E1196">
        <v>2107.5</v>
      </c>
      <c r="F1196">
        <v>2106.5</v>
      </c>
      <c r="G1196">
        <v>2107</v>
      </c>
      <c r="H1196">
        <v>25700</v>
      </c>
    </row>
    <row r="1197" spans="2:8">
      <c r="B1197" t="s">
        <v>463</v>
      </c>
      <c r="C1197" t="s">
        <v>364</v>
      </c>
      <c r="D1197">
        <v>2107</v>
      </c>
      <c r="E1197">
        <v>2107</v>
      </c>
      <c r="F1197">
        <v>2100.5</v>
      </c>
      <c r="G1197">
        <v>2103</v>
      </c>
      <c r="H1197">
        <v>451500</v>
      </c>
    </row>
    <row r="1198" spans="2:8">
      <c r="B1198" t="s">
        <v>463</v>
      </c>
      <c r="C1198" t="s">
        <v>365</v>
      </c>
      <c r="D1198">
        <v>2103</v>
      </c>
      <c r="E1198">
        <v>2104</v>
      </c>
      <c r="F1198">
        <v>2102.5</v>
      </c>
      <c r="G1198">
        <v>2104</v>
      </c>
      <c r="H1198">
        <v>28800</v>
      </c>
    </row>
    <row r="1199" spans="2:8">
      <c r="B1199" t="s">
        <v>463</v>
      </c>
      <c r="C1199" t="s">
        <v>366</v>
      </c>
      <c r="D1199">
        <v>2103.5</v>
      </c>
      <c r="E1199">
        <v>2104</v>
      </c>
      <c r="F1199">
        <v>2103</v>
      </c>
      <c r="G1199">
        <v>2103.5</v>
      </c>
      <c r="H1199">
        <v>22300</v>
      </c>
    </row>
    <row r="1200" spans="2:8">
      <c r="B1200" t="s">
        <v>463</v>
      </c>
      <c r="C1200" t="s">
        <v>367</v>
      </c>
      <c r="D1200">
        <v>2104</v>
      </c>
      <c r="E1200">
        <v>2104</v>
      </c>
      <c r="F1200">
        <v>2103</v>
      </c>
      <c r="G1200">
        <v>2104</v>
      </c>
      <c r="H1200">
        <v>41700</v>
      </c>
    </row>
    <row r="1201" spans="2:8">
      <c r="B1201" t="s">
        <v>463</v>
      </c>
      <c r="C1201" t="s">
        <v>368</v>
      </c>
      <c r="D1201">
        <v>2104</v>
      </c>
      <c r="E1201">
        <v>2104</v>
      </c>
      <c r="F1201">
        <v>2103</v>
      </c>
      <c r="G1201">
        <v>2103</v>
      </c>
      <c r="H1201">
        <v>22300</v>
      </c>
    </row>
    <row r="1202" spans="2:8">
      <c r="B1202" t="s">
        <v>463</v>
      </c>
      <c r="C1202" t="s">
        <v>369</v>
      </c>
      <c r="D1202">
        <v>2103</v>
      </c>
      <c r="E1202">
        <v>2104</v>
      </c>
      <c r="F1202">
        <v>2102.5</v>
      </c>
      <c r="G1202">
        <v>2103</v>
      </c>
      <c r="H1202">
        <v>36200</v>
      </c>
    </row>
    <row r="1203" spans="2:8">
      <c r="B1203" t="s">
        <v>463</v>
      </c>
      <c r="C1203" t="s">
        <v>370</v>
      </c>
      <c r="D1203">
        <v>2103</v>
      </c>
      <c r="E1203">
        <v>2103.5</v>
      </c>
      <c r="F1203">
        <v>2102</v>
      </c>
      <c r="G1203">
        <v>2103</v>
      </c>
      <c r="H1203">
        <v>80900</v>
      </c>
    </row>
    <row r="1204" spans="2:8">
      <c r="B1204" t="s">
        <v>463</v>
      </c>
      <c r="C1204" t="s">
        <v>371</v>
      </c>
      <c r="D1204">
        <v>2102.5</v>
      </c>
      <c r="E1204">
        <v>2103</v>
      </c>
      <c r="F1204">
        <v>2102.5</v>
      </c>
      <c r="G1204">
        <v>2102.5</v>
      </c>
      <c r="H1204">
        <v>28800</v>
      </c>
    </row>
    <row r="1205" spans="2:8">
      <c r="B1205" t="s">
        <v>463</v>
      </c>
      <c r="C1205" t="s">
        <v>372</v>
      </c>
      <c r="D1205">
        <v>2102.5</v>
      </c>
      <c r="E1205">
        <v>2102.5</v>
      </c>
      <c r="F1205">
        <v>2101</v>
      </c>
      <c r="G1205">
        <v>2101</v>
      </c>
      <c r="H1205">
        <v>65000</v>
      </c>
    </row>
    <row r="1206" spans="2:8">
      <c r="B1206" t="s">
        <v>463</v>
      </c>
      <c r="C1206" t="s">
        <v>373</v>
      </c>
      <c r="D1206">
        <v>2101</v>
      </c>
      <c r="E1206">
        <v>2101.5</v>
      </c>
      <c r="F1206">
        <v>2100</v>
      </c>
      <c r="G1206">
        <v>2100.5</v>
      </c>
      <c r="H1206">
        <v>69700</v>
      </c>
    </row>
    <row r="1207" spans="2:8">
      <c r="B1207" t="s">
        <v>463</v>
      </c>
      <c r="C1207" t="s">
        <v>374</v>
      </c>
      <c r="D1207">
        <v>2100.5</v>
      </c>
      <c r="E1207">
        <v>2100.5</v>
      </c>
      <c r="F1207">
        <v>2099</v>
      </c>
      <c r="G1207">
        <v>2099</v>
      </c>
      <c r="H1207">
        <v>68600</v>
      </c>
    </row>
    <row r="1208" spans="2:8">
      <c r="B1208" t="s">
        <v>463</v>
      </c>
      <c r="C1208" t="s">
        <v>375</v>
      </c>
      <c r="D1208">
        <v>2099</v>
      </c>
      <c r="E1208">
        <v>2100.5</v>
      </c>
      <c r="F1208">
        <v>2099</v>
      </c>
      <c r="G1208">
        <v>2100.5</v>
      </c>
      <c r="H1208">
        <v>52300</v>
      </c>
    </row>
    <row r="1209" spans="2:8">
      <c r="B1209" t="s">
        <v>463</v>
      </c>
      <c r="C1209" t="s">
        <v>376</v>
      </c>
      <c r="D1209">
        <v>2100</v>
      </c>
      <c r="E1209">
        <v>2100.5</v>
      </c>
      <c r="F1209">
        <v>2099.5</v>
      </c>
      <c r="G1209">
        <v>2099.5</v>
      </c>
      <c r="H1209">
        <v>40400</v>
      </c>
    </row>
    <row r="1210" spans="2:8">
      <c r="B1210" t="s">
        <v>463</v>
      </c>
      <c r="C1210" t="s">
        <v>377</v>
      </c>
      <c r="D1210">
        <v>2100</v>
      </c>
      <c r="E1210">
        <v>2101.5</v>
      </c>
      <c r="F1210">
        <v>2099.5</v>
      </c>
      <c r="G1210">
        <v>2100.5</v>
      </c>
      <c r="H1210">
        <v>52900</v>
      </c>
    </row>
    <row r="1211" spans="2:8">
      <c r="B1211" t="s">
        <v>463</v>
      </c>
      <c r="C1211" t="s">
        <v>378</v>
      </c>
      <c r="D1211">
        <v>2100.5</v>
      </c>
      <c r="E1211">
        <v>2101</v>
      </c>
      <c r="F1211">
        <v>2099.5</v>
      </c>
      <c r="G1211">
        <v>2100.5</v>
      </c>
      <c r="H1211">
        <v>66000</v>
      </c>
    </row>
    <row r="1212" spans="2:8">
      <c r="B1212" t="s">
        <v>463</v>
      </c>
      <c r="C1212" t="s">
        <v>379</v>
      </c>
      <c r="D1212">
        <v>2101</v>
      </c>
      <c r="E1212">
        <v>2101</v>
      </c>
      <c r="F1212">
        <v>2099.5</v>
      </c>
      <c r="G1212">
        <v>2100</v>
      </c>
      <c r="H1212">
        <v>24100</v>
      </c>
    </row>
    <row r="1213" spans="2:8">
      <c r="B1213" t="s">
        <v>463</v>
      </c>
      <c r="C1213" t="s">
        <v>380</v>
      </c>
      <c r="D1213">
        <v>2100</v>
      </c>
      <c r="E1213">
        <v>2101.5</v>
      </c>
      <c r="F1213">
        <v>2100</v>
      </c>
      <c r="G1213">
        <v>2101</v>
      </c>
      <c r="H1213">
        <v>15500</v>
      </c>
    </row>
    <row r="1214" spans="2:8">
      <c r="B1214" t="s">
        <v>463</v>
      </c>
      <c r="C1214" t="s">
        <v>381</v>
      </c>
      <c r="D1214">
        <v>2101.5</v>
      </c>
      <c r="E1214">
        <v>2101.5</v>
      </c>
      <c r="F1214">
        <v>2101</v>
      </c>
      <c r="G1214">
        <v>2101.5</v>
      </c>
      <c r="H1214">
        <v>24300</v>
      </c>
    </row>
    <row r="1215" spans="2:8">
      <c r="B1215" t="s">
        <v>463</v>
      </c>
      <c r="C1215" t="s">
        <v>382</v>
      </c>
      <c r="D1215">
        <v>2101.5</v>
      </c>
      <c r="E1215">
        <v>2102</v>
      </c>
      <c r="F1215">
        <v>2101</v>
      </c>
      <c r="G1215">
        <v>2101</v>
      </c>
      <c r="H1215">
        <v>49000</v>
      </c>
    </row>
    <row r="1216" spans="2:8">
      <c r="B1216" t="s">
        <v>463</v>
      </c>
      <c r="C1216" t="s">
        <v>383</v>
      </c>
      <c r="D1216">
        <v>2101</v>
      </c>
      <c r="E1216">
        <v>2101.5</v>
      </c>
      <c r="F1216">
        <v>2100</v>
      </c>
      <c r="G1216">
        <v>2101</v>
      </c>
      <c r="H1216">
        <v>30700</v>
      </c>
    </row>
    <row r="1217" spans="2:8">
      <c r="B1217" t="s">
        <v>463</v>
      </c>
      <c r="C1217" t="s">
        <v>384</v>
      </c>
      <c r="D1217">
        <v>2101.5</v>
      </c>
      <c r="E1217">
        <v>2101.5</v>
      </c>
      <c r="F1217">
        <v>2100</v>
      </c>
      <c r="G1217">
        <v>2101</v>
      </c>
      <c r="H1217">
        <v>22000</v>
      </c>
    </row>
    <row r="1218" spans="2:8">
      <c r="B1218" t="s">
        <v>463</v>
      </c>
      <c r="C1218" t="s">
        <v>385</v>
      </c>
      <c r="D1218">
        <v>2101</v>
      </c>
      <c r="E1218">
        <v>2102</v>
      </c>
      <c r="F1218">
        <v>2101</v>
      </c>
      <c r="G1218">
        <v>2102</v>
      </c>
      <c r="H1218">
        <v>17900</v>
      </c>
    </row>
    <row r="1219" spans="2:8">
      <c r="B1219" t="s">
        <v>463</v>
      </c>
      <c r="C1219" t="s">
        <v>386</v>
      </c>
      <c r="D1219">
        <v>2102</v>
      </c>
      <c r="E1219">
        <v>2102.5</v>
      </c>
      <c r="F1219">
        <v>2101</v>
      </c>
      <c r="G1219">
        <v>2102.5</v>
      </c>
      <c r="H1219">
        <v>44100</v>
      </c>
    </row>
    <row r="1220" spans="2:8">
      <c r="B1220" t="s">
        <v>463</v>
      </c>
      <c r="C1220" t="s">
        <v>387</v>
      </c>
      <c r="D1220">
        <v>2102</v>
      </c>
      <c r="E1220">
        <v>2102.5</v>
      </c>
      <c r="F1220">
        <v>2101.5</v>
      </c>
      <c r="G1220">
        <v>2102.5</v>
      </c>
      <c r="H1220">
        <v>16200</v>
      </c>
    </row>
    <row r="1221" spans="2:8">
      <c r="B1221" t="s">
        <v>463</v>
      </c>
      <c r="C1221" t="s">
        <v>388</v>
      </c>
      <c r="D1221">
        <v>2102.5</v>
      </c>
      <c r="E1221">
        <v>2103</v>
      </c>
      <c r="F1221">
        <v>2102</v>
      </c>
      <c r="G1221">
        <v>2103</v>
      </c>
      <c r="H1221">
        <v>9800</v>
      </c>
    </row>
    <row r="1222" spans="2:8">
      <c r="B1222" t="s">
        <v>463</v>
      </c>
      <c r="C1222" t="s">
        <v>389</v>
      </c>
      <c r="D1222">
        <v>2103</v>
      </c>
      <c r="E1222">
        <v>2103</v>
      </c>
      <c r="F1222">
        <v>2102</v>
      </c>
      <c r="G1222">
        <v>2102.5</v>
      </c>
      <c r="H1222">
        <v>36000</v>
      </c>
    </row>
    <row r="1223" spans="2:8">
      <c r="B1223" t="s">
        <v>463</v>
      </c>
      <c r="C1223" t="s">
        <v>390</v>
      </c>
      <c r="D1223">
        <v>2102.5</v>
      </c>
      <c r="E1223">
        <v>2104</v>
      </c>
      <c r="F1223">
        <v>2102.5</v>
      </c>
      <c r="G1223">
        <v>2103.5</v>
      </c>
      <c r="H1223">
        <v>64100</v>
      </c>
    </row>
    <row r="1224" spans="2:8">
      <c r="B1224" t="s">
        <v>463</v>
      </c>
      <c r="C1224" t="s">
        <v>391</v>
      </c>
      <c r="D1224">
        <v>2103.5</v>
      </c>
      <c r="E1224">
        <v>2103.5</v>
      </c>
      <c r="F1224">
        <v>2102</v>
      </c>
      <c r="G1224">
        <v>2102</v>
      </c>
      <c r="H1224">
        <v>49300</v>
      </c>
    </row>
    <row r="1225" spans="2:8">
      <c r="B1225" t="s">
        <v>463</v>
      </c>
      <c r="C1225" t="s">
        <v>392</v>
      </c>
      <c r="D1225">
        <v>2101.5</v>
      </c>
      <c r="E1225">
        <v>2103</v>
      </c>
      <c r="F1225">
        <v>2101</v>
      </c>
      <c r="G1225">
        <v>2103</v>
      </c>
      <c r="H1225">
        <v>48900</v>
      </c>
    </row>
    <row r="1226" spans="2:8">
      <c r="B1226" t="s">
        <v>463</v>
      </c>
      <c r="C1226" t="s">
        <v>393</v>
      </c>
      <c r="D1226">
        <v>2102.5</v>
      </c>
      <c r="E1226">
        <v>2103</v>
      </c>
      <c r="F1226">
        <v>2102.5</v>
      </c>
      <c r="G1226">
        <v>2102.5</v>
      </c>
      <c r="H1226">
        <v>35700</v>
      </c>
    </row>
    <row r="1227" spans="2:8">
      <c r="B1227" t="s">
        <v>463</v>
      </c>
      <c r="C1227" t="s">
        <v>394</v>
      </c>
      <c r="D1227">
        <v>2102.5</v>
      </c>
      <c r="E1227">
        <v>2102.5</v>
      </c>
      <c r="F1227">
        <v>2102</v>
      </c>
      <c r="G1227">
        <v>2102</v>
      </c>
      <c r="H1227">
        <v>7500</v>
      </c>
    </row>
    <row r="1228" spans="2:8">
      <c r="B1228" t="s">
        <v>463</v>
      </c>
      <c r="C1228" t="s">
        <v>395</v>
      </c>
      <c r="D1228">
        <v>2102</v>
      </c>
      <c r="E1228">
        <v>2105.5</v>
      </c>
      <c r="F1228">
        <v>2102</v>
      </c>
      <c r="G1228">
        <v>2105</v>
      </c>
      <c r="H1228">
        <v>142300</v>
      </c>
    </row>
    <row r="1229" spans="2:8">
      <c r="B1229" t="s">
        <v>463</v>
      </c>
      <c r="C1229" t="s">
        <v>396</v>
      </c>
      <c r="D1229">
        <v>2105</v>
      </c>
      <c r="E1229">
        <v>2106</v>
      </c>
      <c r="F1229">
        <v>2104.5</v>
      </c>
      <c r="G1229">
        <v>2105.5</v>
      </c>
      <c r="H1229">
        <v>70300</v>
      </c>
    </row>
    <row r="1230" spans="2:8">
      <c r="B1230" t="s">
        <v>463</v>
      </c>
      <c r="C1230" t="s">
        <v>397</v>
      </c>
      <c r="D1230">
        <v>2105.5</v>
      </c>
      <c r="E1230">
        <v>2105.5</v>
      </c>
      <c r="F1230">
        <v>2105</v>
      </c>
      <c r="G1230">
        <v>2105.5</v>
      </c>
      <c r="H1230">
        <v>13500</v>
      </c>
    </row>
    <row r="1231" spans="2:8">
      <c r="B1231" t="s">
        <v>463</v>
      </c>
      <c r="C1231" t="s">
        <v>398</v>
      </c>
      <c r="D1231">
        <v>2105</v>
      </c>
      <c r="E1231">
        <v>2105.5</v>
      </c>
      <c r="F1231">
        <v>2105</v>
      </c>
      <c r="G1231">
        <v>2105.5</v>
      </c>
      <c r="H1231">
        <v>55600</v>
      </c>
    </row>
    <row r="1232" spans="2:8">
      <c r="B1232" t="s">
        <v>463</v>
      </c>
      <c r="C1232" t="s">
        <v>399</v>
      </c>
      <c r="D1232">
        <v>2105</v>
      </c>
      <c r="E1232">
        <v>2106</v>
      </c>
      <c r="F1232">
        <v>2104.5</v>
      </c>
      <c r="G1232">
        <v>2106</v>
      </c>
      <c r="H1232">
        <v>64400</v>
      </c>
    </row>
    <row r="1233" spans="2:8">
      <c r="B1233" t="s">
        <v>463</v>
      </c>
      <c r="C1233" t="s">
        <v>400</v>
      </c>
      <c r="D1233">
        <v>2106</v>
      </c>
      <c r="E1233">
        <v>2106</v>
      </c>
      <c r="F1233">
        <v>2105.5</v>
      </c>
      <c r="G1233">
        <v>2105.5</v>
      </c>
      <c r="H1233">
        <v>16100</v>
      </c>
    </row>
    <row r="1234" spans="2:8">
      <c r="B1234" t="s">
        <v>463</v>
      </c>
      <c r="C1234" t="s">
        <v>401</v>
      </c>
      <c r="D1234">
        <v>2105.5</v>
      </c>
      <c r="E1234">
        <v>2108</v>
      </c>
      <c r="F1234">
        <v>2105.5</v>
      </c>
      <c r="G1234">
        <v>2107.5</v>
      </c>
      <c r="H1234">
        <v>142700</v>
      </c>
    </row>
    <row r="1235" spans="2:8">
      <c r="B1235" t="s">
        <v>463</v>
      </c>
      <c r="C1235" t="s">
        <v>402</v>
      </c>
      <c r="D1235">
        <v>2107.5</v>
      </c>
      <c r="E1235">
        <v>2108.5</v>
      </c>
      <c r="F1235">
        <v>2107.5</v>
      </c>
      <c r="G1235">
        <v>2108</v>
      </c>
      <c r="H1235">
        <v>65400</v>
      </c>
    </row>
    <row r="1236" spans="2:8">
      <c r="B1236" t="s">
        <v>463</v>
      </c>
      <c r="C1236" t="s">
        <v>403</v>
      </c>
      <c r="D1236">
        <v>2108</v>
      </c>
      <c r="E1236">
        <v>2108</v>
      </c>
      <c r="F1236">
        <v>2107.5</v>
      </c>
      <c r="G1236">
        <v>2108</v>
      </c>
      <c r="H1236">
        <v>88700</v>
      </c>
    </row>
    <row r="1237" spans="2:8">
      <c r="B1237" t="s">
        <v>463</v>
      </c>
      <c r="C1237" t="s">
        <v>404</v>
      </c>
      <c r="D1237">
        <v>2108</v>
      </c>
      <c r="E1237">
        <v>2108</v>
      </c>
      <c r="F1237">
        <v>2107.5</v>
      </c>
      <c r="G1237">
        <v>2107.5</v>
      </c>
      <c r="H1237">
        <v>18900</v>
      </c>
    </row>
    <row r="1238" spans="2:8">
      <c r="B1238" t="s">
        <v>463</v>
      </c>
      <c r="C1238" t="s">
        <v>405</v>
      </c>
      <c r="D1238">
        <v>2108</v>
      </c>
      <c r="E1238">
        <v>2108</v>
      </c>
      <c r="F1238">
        <v>2106.5</v>
      </c>
      <c r="G1238">
        <v>2106.5</v>
      </c>
      <c r="H1238">
        <v>131900</v>
      </c>
    </row>
    <row r="1239" spans="2:8">
      <c r="B1239" t="s">
        <v>463</v>
      </c>
      <c r="C1239" t="s">
        <v>406</v>
      </c>
      <c r="D1239">
        <v>2106.5</v>
      </c>
      <c r="E1239">
        <v>2107.5</v>
      </c>
      <c r="F1239">
        <v>2106.5</v>
      </c>
      <c r="G1239">
        <v>2107</v>
      </c>
      <c r="H1239">
        <v>68500</v>
      </c>
    </row>
    <row r="1240" spans="2:8">
      <c r="B1240" t="s">
        <v>463</v>
      </c>
      <c r="C1240" t="s">
        <v>407</v>
      </c>
      <c r="D1240">
        <v>2107</v>
      </c>
      <c r="E1240">
        <v>2107</v>
      </c>
      <c r="F1240">
        <v>2105</v>
      </c>
      <c r="G1240">
        <v>2105</v>
      </c>
      <c r="H1240">
        <v>81800</v>
      </c>
    </row>
    <row r="1241" spans="2:8">
      <c r="B1241" t="s">
        <v>463</v>
      </c>
      <c r="C1241" t="s">
        <v>408</v>
      </c>
      <c r="D1241">
        <v>2105.5</v>
      </c>
      <c r="E1241">
        <v>2105.5</v>
      </c>
      <c r="F1241">
        <v>2104.5</v>
      </c>
      <c r="G1241">
        <v>2105.5</v>
      </c>
      <c r="H1241">
        <v>53600</v>
      </c>
    </row>
    <row r="1242" spans="2:8">
      <c r="B1242" t="s">
        <v>463</v>
      </c>
      <c r="C1242" t="s">
        <v>409</v>
      </c>
      <c r="D1242">
        <v>2105.5</v>
      </c>
      <c r="E1242">
        <v>2107</v>
      </c>
      <c r="F1242">
        <v>2105</v>
      </c>
      <c r="G1242">
        <v>2106.5</v>
      </c>
      <c r="H1242">
        <v>114900</v>
      </c>
    </row>
    <row r="1243" spans="2:8">
      <c r="B1243" t="s">
        <v>463</v>
      </c>
      <c r="C1243" t="s">
        <v>410</v>
      </c>
      <c r="D1243">
        <v>2106.5</v>
      </c>
      <c r="E1243">
        <v>2107</v>
      </c>
      <c r="F1243">
        <v>2106.5</v>
      </c>
      <c r="G1243">
        <v>2107</v>
      </c>
      <c r="H1243">
        <v>15900</v>
      </c>
    </row>
    <row r="1244" spans="2:8">
      <c r="B1244" t="s">
        <v>463</v>
      </c>
      <c r="C1244" t="s">
        <v>411</v>
      </c>
      <c r="D1244">
        <v>2107</v>
      </c>
      <c r="E1244">
        <v>2107.5</v>
      </c>
      <c r="F1244">
        <v>2106.5</v>
      </c>
      <c r="G1244">
        <v>2107.5</v>
      </c>
      <c r="H1244">
        <v>16200</v>
      </c>
    </row>
    <row r="1245" spans="2:8">
      <c r="B1245" t="s">
        <v>463</v>
      </c>
      <c r="C1245" t="s">
        <v>412</v>
      </c>
      <c r="D1245">
        <v>2107</v>
      </c>
      <c r="E1245">
        <v>2108</v>
      </c>
      <c r="F1245">
        <v>2107</v>
      </c>
      <c r="G1245">
        <v>2107</v>
      </c>
      <c r="H1245">
        <v>38500</v>
      </c>
    </row>
    <row r="1246" spans="2:8">
      <c r="B1246" t="s">
        <v>463</v>
      </c>
      <c r="C1246" t="s">
        <v>413</v>
      </c>
      <c r="D1246">
        <v>2107</v>
      </c>
      <c r="E1246">
        <v>2108.5</v>
      </c>
      <c r="F1246">
        <v>2107</v>
      </c>
      <c r="G1246">
        <v>2108</v>
      </c>
      <c r="H1246">
        <v>79400</v>
      </c>
    </row>
    <row r="1247" spans="2:8">
      <c r="B1247" t="s">
        <v>463</v>
      </c>
      <c r="C1247" t="s">
        <v>414</v>
      </c>
      <c r="D1247">
        <v>2108</v>
      </c>
      <c r="E1247">
        <v>2108.5</v>
      </c>
      <c r="F1247">
        <v>2107.5</v>
      </c>
      <c r="G1247">
        <v>2108.5</v>
      </c>
      <c r="H1247">
        <v>51600</v>
      </c>
    </row>
    <row r="1248" spans="2:8">
      <c r="B1248" t="s">
        <v>463</v>
      </c>
      <c r="C1248" t="s">
        <v>415</v>
      </c>
      <c r="D1248">
        <v>2108.5</v>
      </c>
      <c r="E1248">
        <v>2108.5</v>
      </c>
      <c r="F1248">
        <v>2108</v>
      </c>
      <c r="G1248">
        <v>2108.5</v>
      </c>
      <c r="H1248">
        <v>38600</v>
      </c>
    </row>
    <row r="1249" spans="2:8">
      <c r="B1249" t="s">
        <v>463</v>
      </c>
      <c r="C1249" t="s">
        <v>416</v>
      </c>
      <c r="D1249">
        <v>2108.5</v>
      </c>
      <c r="E1249">
        <v>2108.5</v>
      </c>
      <c r="F1249">
        <v>2107</v>
      </c>
      <c r="G1249">
        <v>2107.5</v>
      </c>
      <c r="H1249">
        <v>45000</v>
      </c>
    </row>
    <row r="1250" spans="2:8">
      <c r="B1250" t="s">
        <v>463</v>
      </c>
      <c r="C1250" t="s">
        <v>417</v>
      </c>
      <c r="D1250">
        <v>2108</v>
      </c>
      <c r="E1250">
        <v>2108.5</v>
      </c>
      <c r="F1250">
        <v>2108</v>
      </c>
      <c r="G1250">
        <v>2108</v>
      </c>
      <c r="H1250">
        <v>30000</v>
      </c>
    </row>
    <row r="1251" spans="2:8">
      <c r="B1251" t="s">
        <v>463</v>
      </c>
      <c r="C1251" t="s">
        <v>418</v>
      </c>
      <c r="D1251">
        <v>2108.5</v>
      </c>
      <c r="E1251">
        <v>2109</v>
      </c>
      <c r="F1251">
        <v>2108</v>
      </c>
      <c r="G1251">
        <v>2109</v>
      </c>
      <c r="H1251">
        <v>68500</v>
      </c>
    </row>
    <row r="1252" spans="2:8">
      <c r="B1252" t="s">
        <v>463</v>
      </c>
      <c r="C1252" t="s">
        <v>419</v>
      </c>
      <c r="D1252">
        <v>2109</v>
      </c>
      <c r="E1252">
        <v>2109.5</v>
      </c>
      <c r="F1252">
        <v>2108.5</v>
      </c>
      <c r="G1252">
        <v>2109</v>
      </c>
      <c r="H1252">
        <v>59800</v>
      </c>
    </row>
    <row r="1253" spans="2:8">
      <c r="B1253" t="s">
        <v>463</v>
      </c>
      <c r="C1253" t="s">
        <v>420</v>
      </c>
      <c r="D1253">
        <v>2109</v>
      </c>
      <c r="E1253">
        <v>2110.5</v>
      </c>
      <c r="F1253">
        <v>2109</v>
      </c>
      <c r="G1253">
        <v>2110.5</v>
      </c>
      <c r="H1253">
        <v>203800</v>
      </c>
    </row>
    <row r="1254" spans="2:8">
      <c r="B1254" t="s">
        <v>463</v>
      </c>
      <c r="C1254" t="s">
        <v>421</v>
      </c>
      <c r="D1254">
        <v>2110</v>
      </c>
      <c r="E1254">
        <v>2111</v>
      </c>
      <c r="F1254">
        <v>2110</v>
      </c>
      <c r="G1254">
        <v>2110.5</v>
      </c>
      <c r="H1254">
        <v>18300</v>
      </c>
    </row>
    <row r="1255" spans="2:8">
      <c r="B1255" t="s">
        <v>463</v>
      </c>
      <c r="C1255" t="s">
        <v>422</v>
      </c>
      <c r="D1255">
        <v>2110.5</v>
      </c>
      <c r="E1255">
        <v>2111</v>
      </c>
      <c r="F1255">
        <v>2110</v>
      </c>
      <c r="G1255">
        <v>2110.5</v>
      </c>
      <c r="H1255">
        <v>20900</v>
      </c>
    </row>
    <row r="1256" spans="2:8">
      <c r="B1256" t="s">
        <v>463</v>
      </c>
      <c r="C1256" t="s">
        <v>423</v>
      </c>
      <c r="D1256">
        <v>2110.5</v>
      </c>
      <c r="E1256">
        <v>2110.5</v>
      </c>
      <c r="F1256">
        <v>2109.5</v>
      </c>
      <c r="G1256">
        <v>2110</v>
      </c>
      <c r="H1256">
        <v>62900</v>
      </c>
    </row>
    <row r="1257" spans="2:8">
      <c r="B1257" t="s">
        <v>463</v>
      </c>
      <c r="C1257" t="s">
        <v>424</v>
      </c>
      <c r="D1257">
        <v>2110</v>
      </c>
      <c r="E1257">
        <v>2110.5</v>
      </c>
      <c r="F1257">
        <v>2109</v>
      </c>
      <c r="G1257">
        <v>2109.5</v>
      </c>
      <c r="H1257">
        <v>42200</v>
      </c>
    </row>
    <row r="1258" spans="2:8">
      <c r="B1258" t="s">
        <v>463</v>
      </c>
      <c r="C1258" t="s">
        <v>425</v>
      </c>
      <c r="D1258">
        <v>2109</v>
      </c>
      <c r="E1258">
        <v>2109.5</v>
      </c>
      <c r="F1258">
        <v>2107.5</v>
      </c>
      <c r="G1258">
        <v>2108.5</v>
      </c>
      <c r="H1258">
        <v>66400</v>
      </c>
    </row>
    <row r="1259" spans="2:8">
      <c r="B1259" t="s">
        <v>463</v>
      </c>
      <c r="C1259" t="s">
        <v>426</v>
      </c>
      <c r="D1259">
        <v>2109</v>
      </c>
      <c r="E1259">
        <v>2109</v>
      </c>
      <c r="F1259">
        <v>2107.5</v>
      </c>
      <c r="G1259">
        <v>2108.5</v>
      </c>
      <c r="H1259">
        <v>69900</v>
      </c>
    </row>
    <row r="1260" spans="2:8">
      <c r="B1260" t="s">
        <v>463</v>
      </c>
      <c r="C1260" t="s">
        <v>427</v>
      </c>
      <c r="D1260">
        <v>2108.5</v>
      </c>
      <c r="E1260">
        <v>2109</v>
      </c>
      <c r="F1260">
        <v>2107.5</v>
      </c>
      <c r="G1260">
        <v>2108</v>
      </c>
      <c r="H1260">
        <v>33400</v>
      </c>
    </row>
    <row r="1261" spans="2:8">
      <c r="B1261" t="s">
        <v>463</v>
      </c>
      <c r="C1261" t="s">
        <v>428</v>
      </c>
      <c r="D1261">
        <v>2107.5</v>
      </c>
      <c r="E1261">
        <v>2107.5</v>
      </c>
      <c r="F1261">
        <v>2106.5</v>
      </c>
      <c r="G1261">
        <v>2107</v>
      </c>
      <c r="H1261">
        <v>84900</v>
      </c>
    </row>
    <row r="1262" spans="2:8">
      <c r="B1262" t="s">
        <v>463</v>
      </c>
      <c r="C1262" t="s">
        <v>429</v>
      </c>
      <c r="D1262">
        <v>2107</v>
      </c>
      <c r="E1262">
        <v>2107</v>
      </c>
      <c r="F1262">
        <v>2106.5</v>
      </c>
      <c r="G1262">
        <v>2107</v>
      </c>
      <c r="H1262">
        <v>19100</v>
      </c>
    </row>
    <row r="1263" spans="2:8">
      <c r="B1263" t="s">
        <v>463</v>
      </c>
      <c r="C1263" t="s">
        <v>430</v>
      </c>
      <c r="D1263">
        <v>2107</v>
      </c>
      <c r="E1263">
        <v>2108</v>
      </c>
      <c r="F1263">
        <v>2107</v>
      </c>
      <c r="G1263">
        <v>2107.5</v>
      </c>
      <c r="H1263">
        <v>22900</v>
      </c>
    </row>
    <row r="1264" spans="2:8">
      <c r="B1264" t="s">
        <v>463</v>
      </c>
      <c r="C1264" t="s">
        <v>431</v>
      </c>
      <c r="D1264">
        <v>2107.5</v>
      </c>
      <c r="E1264">
        <v>2108</v>
      </c>
      <c r="F1264">
        <v>2107.5</v>
      </c>
      <c r="G1264">
        <v>2107.5</v>
      </c>
      <c r="H1264">
        <v>12400</v>
      </c>
    </row>
    <row r="1265" spans="2:8">
      <c r="B1265" t="s">
        <v>463</v>
      </c>
      <c r="C1265" t="s">
        <v>9</v>
      </c>
      <c r="D1265">
        <v>2107.5</v>
      </c>
      <c r="E1265">
        <v>2108</v>
      </c>
      <c r="F1265">
        <v>2107</v>
      </c>
      <c r="G1265">
        <v>2107</v>
      </c>
      <c r="H1265">
        <v>48800</v>
      </c>
    </row>
    <row r="1266" spans="2:8">
      <c r="B1266" t="s">
        <v>463</v>
      </c>
      <c r="C1266" t="s">
        <v>10</v>
      </c>
      <c r="D1266">
        <v>2107</v>
      </c>
      <c r="E1266">
        <v>2107.5</v>
      </c>
      <c r="F1266">
        <v>2107</v>
      </c>
      <c r="G1266">
        <v>2107.5</v>
      </c>
      <c r="H1266">
        <v>31000</v>
      </c>
    </row>
    <row r="1267" spans="2:8">
      <c r="B1267" t="s">
        <v>463</v>
      </c>
      <c r="C1267" t="s">
        <v>11</v>
      </c>
      <c r="D1267">
        <v>2107</v>
      </c>
      <c r="E1267">
        <v>2107.5</v>
      </c>
      <c r="F1267">
        <v>2106.5</v>
      </c>
      <c r="G1267">
        <v>2107.5</v>
      </c>
      <c r="H1267">
        <v>34800</v>
      </c>
    </row>
    <row r="1268" spans="2:8">
      <c r="B1268" t="s">
        <v>463</v>
      </c>
      <c r="C1268" t="s">
        <v>12</v>
      </c>
      <c r="D1268">
        <v>2107</v>
      </c>
      <c r="E1268">
        <v>2107.5</v>
      </c>
      <c r="F1268">
        <v>2107</v>
      </c>
      <c r="G1268">
        <v>2107</v>
      </c>
      <c r="H1268">
        <v>28400</v>
      </c>
    </row>
    <row r="1269" spans="2:8">
      <c r="B1269" t="s">
        <v>463</v>
      </c>
      <c r="C1269" t="s">
        <v>13</v>
      </c>
      <c r="D1269">
        <v>2107</v>
      </c>
      <c r="E1269">
        <v>2107.5</v>
      </c>
      <c r="F1269">
        <v>2107</v>
      </c>
      <c r="G1269">
        <v>2107.5</v>
      </c>
      <c r="H1269">
        <v>10100</v>
      </c>
    </row>
    <row r="1270" spans="2:8">
      <c r="B1270" t="s">
        <v>463</v>
      </c>
      <c r="C1270" t="s">
        <v>14</v>
      </c>
      <c r="D1270">
        <v>2107</v>
      </c>
      <c r="E1270">
        <v>2107</v>
      </c>
      <c r="F1270">
        <v>2106.5</v>
      </c>
      <c r="G1270">
        <v>2106.5</v>
      </c>
      <c r="H1270">
        <v>30000</v>
      </c>
    </row>
    <row r="1271" spans="2:8">
      <c r="B1271" t="s">
        <v>463</v>
      </c>
      <c r="C1271" t="s">
        <v>15</v>
      </c>
      <c r="D1271">
        <v>2107</v>
      </c>
      <c r="E1271">
        <v>2107</v>
      </c>
      <c r="F1271">
        <v>2106.5</v>
      </c>
      <c r="G1271">
        <v>2106.5</v>
      </c>
      <c r="H1271">
        <v>28500</v>
      </c>
    </row>
    <row r="1272" spans="2:8">
      <c r="B1272" t="s">
        <v>463</v>
      </c>
      <c r="C1272" t="s">
        <v>16</v>
      </c>
      <c r="D1272">
        <v>2106.5</v>
      </c>
      <c r="E1272">
        <v>2106.5</v>
      </c>
      <c r="F1272">
        <v>2105.5</v>
      </c>
      <c r="G1272">
        <v>2106</v>
      </c>
      <c r="H1272">
        <v>40700</v>
      </c>
    </row>
    <row r="1273" spans="2:8">
      <c r="B1273" t="s">
        <v>463</v>
      </c>
      <c r="C1273" t="s">
        <v>17</v>
      </c>
      <c r="D1273">
        <v>2106</v>
      </c>
      <c r="E1273">
        <v>2106</v>
      </c>
      <c r="F1273">
        <v>2106</v>
      </c>
      <c r="G1273">
        <v>2106</v>
      </c>
      <c r="H1273">
        <v>23400</v>
      </c>
    </row>
    <row r="1274" spans="2:8">
      <c r="B1274" t="s">
        <v>463</v>
      </c>
      <c r="C1274" t="s">
        <v>18</v>
      </c>
      <c r="D1274">
        <v>2106</v>
      </c>
      <c r="E1274">
        <v>2106.5</v>
      </c>
      <c r="F1274">
        <v>2106</v>
      </c>
      <c r="G1274">
        <v>2106.5</v>
      </c>
      <c r="H1274">
        <v>20600</v>
      </c>
    </row>
    <row r="1275" spans="2:8">
      <c r="B1275" t="s">
        <v>463</v>
      </c>
      <c r="C1275" t="s">
        <v>19</v>
      </c>
      <c r="D1275">
        <v>2106.5</v>
      </c>
      <c r="E1275">
        <v>2108</v>
      </c>
      <c r="F1275">
        <v>2105.5</v>
      </c>
      <c r="G1275">
        <v>2107.5</v>
      </c>
      <c r="H1275">
        <v>67000</v>
      </c>
    </row>
    <row r="1276" spans="2:8">
      <c r="B1276" t="s">
        <v>463</v>
      </c>
      <c r="C1276" t="s">
        <v>20</v>
      </c>
      <c r="D1276">
        <v>2107.5</v>
      </c>
      <c r="E1276">
        <v>2107.5</v>
      </c>
      <c r="F1276">
        <v>2106.5</v>
      </c>
      <c r="G1276">
        <v>2106.5</v>
      </c>
      <c r="H1276">
        <v>6900</v>
      </c>
    </row>
    <row r="1277" spans="2:8">
      <c r="B1277" t="s">
        <v>463</v>
      </c>
      <c r="C1277" t="s">
        <v>21</v>
      </c>
      <c r="D1277">
        <v>2106.5</v>
      </c>
      <c r="E1277">
        <v>2107.5</v>
      </c>
      <c r="F1277">
        <v>2106.5</v>
      </c>
      <c r="G1277">
        <v>2107.5</v>
      </c>
      <c r="H1277">
        <v>25600</v>
      </c>
    </row>
    <row r="1278" spans="2:8">
      <c r="B1278" t="s">
        <v>463</v>
      </c>
      <c r="C1278" t="s">
        <v>22</v>
      </c>
      <c r="D1278">
        <v>2107.5</v>
      </c>
      <c r="E1278">
        <v>2107.5</v>
      </c>
      <c r="F1278">
        <v>2106.5</v>
      </c>
      <c r="G1278">
        <v>2106.5</v>
      </c>
      <c r="H1278">
        <v>31600</v>
      </c>
    </row>
    <row r="1279" spans="2:8">
      <c r="B1279" t="s">
        <v>463</v>
      </c>
      <c r="C1279" t="s">
        <v>23</v>
      </c>
      <c r="D1279">
        <v>2106.5</v>
      </c>
      <c r="E1279">
        <v>2108</v>
      </c>
      <c r="F1279">
        <v>2106.5</v>
      </c>
      <c r="G1279">
        <v>2108</v>
      </c>
      <c r="H1279">
        <v>46800</v>
      </c>
    </row>
    <row r="1280" spans="2:8">
      <c r="B1280" t="s">
        <v>463</v>
      </c>
      <c r="C1280" t="s">
        <v>24</v>
      </c>
      <c r="D1280">
        <v>2107.5</v>
      </c>
      <c r="E1280">
        <v>2107.5</v>
      </c>
      <c r="F1280">
        <v>2107</v>
      </c>
      <c r="G1280">
        <v>2107.5</v>
      </c>
      <c r="H1280">
        <v>14000</v>
      </c>
    </row>
    <row r="1281" spans="2:8">
      <c r="B1281" t="s">
        <v>463</v>
      </c>
      <c r="C1281" t="s">
        <v>25</v>
      </c>
      <c r="D1281">
        <v>2107.5</v>
      </c>
      <c r="E1281">
        <v>2109</v>
      </c>
      <c r="F1281">
        <v>2107.5</v>
      </c>
      <c r="G1281">
        <v>2108.5</v>
      </c>
      <c r="H1281">
        <v>41800</v>
      </c>
    </row>
    <row r="1282" spans="2:8">
      <c r="B1282" t="s">
        <v>463</v>
      </c>
      <c r="C1282" t="s">
        <v>26</v>
      </c>
      <c r="D1282">
        <v>2108.5</v>
      </c>
      <c r="E1282">
        <v>2109</v>
      </c>
      <c r="F1282">
        <v>2108</v>
      </c>
      <c r="G1282">
        <v>2108</v>
      </c>
      <c r="H1282">
        <v>28700</v>
      </c>
    </row>
    <row r="1283" spans="2:8">
      <c r="B1283" t="s">
        <v>463</v>
      </c>
      <c r="C1283" t="s">
        <v>27</v>
      </c>
      <c r="D1283">
        <v>2108</v>
      </c>
      <c r="E1283">
        <v>2108</v>
      </c>
      <c r="F1283">
        <v>2107.5</v>
      </c>
      <c r="G1283">
        <v>2107.5</v>
      </c>
      <c r="H1283">
        <v>84400</v>
      </c>
    </row>
    <row r="1284" spans="2:8">
      <c r="B1284" t="s">
        <v>463</v>
      </c>
      <c r="C1284" t="s">
        <v>28</v>
      </c>
      <c r="D1284">
        <v>2107.5</v>
      </c>
      <c r="E1284">
        <v>2109</v>
      </c>
      <c r="F1284">
        <v>2107.5</v>
      </c>
      <c r="G1284">
        <v>2108</v>
      </c>
      <c r="H1284">
        <v>27200</v>
      </c>
    </row>
    <row r="1285" spans="2:8">
      <c r="B1285" t="s">
        <v>463</v>
      </c>
      <c r="C1285" t="s">
        <v>29</v>
      </c>
      <c r="D1285">
        <v>2108.5</v>
      </c>
      <c r="E1285">
        <v>2108.5</v>
      </c>
      <c r="F1285">
        <v>2108</v>
      </c>
      <c r="G1285">
        <v>2108.5</v>
      </c>
      <c r="H1285">
        <v>17900</v>
      </c>
    </row>
    <row r="1286" spans="2:8">
      <c r="B1286" t="s">
        <v>463</v>
      </c>
      <c r="C1286" t="s">
        <v>30</v>
      </c>
      <c r="D1286">
        <v>2108</v>
      </c>
      <c r="E1286">
        <v>2108.5</v>
      </c>
      <c r="F1286">
        <v>2108</v>
      </c>
      <c r="G1286">
        <v>2108.5</v>
      </c>
      <c r="H1286">
        <v>37600</v>
      </c>
    </row>
    <row r="1287" spans="2:8">
      <c r="B1287" t="s">
        <v>463</v>
      </c>
      <c r="C1287" t="s">
        <v>31</v>
      </c>
      <c r="D1287">
        <v>2108</v>
      </c>
      <c r="E1287">
        <v>2108.5</v>
      </c>
      <c r="F1287">
        <v>2108</v>
      </c>
      <c r="G1287">
        <v>2108</v>
      </c>
      <c r="H1287">
        <v>25700</v>
      </c>
    </row>
    <row r="1288" spans="2:8">
      <c r="B1288" t="s">
        <v>463</v>
      </c>
      <c r="C1288" t="s">
        <v>32</v>
      </c>
      <c r="D1288">
        <v>2108</v>
      </c>
      <c r="E1288">
        <v>2109</v>
      </c>
      <c r="F1288">
        <v>2108</v>
      </c>
      <c r="G1288">
        <v>2108.5</v>
      </c>
      <c r="H1288">
        <v>25500</v>
      </c>
    </row>
    <row r="1289" spans="2:8">
      <c r="B1289" t="s">
        <v>463</v>
      </c>
      <c r="C1289" t="s">
        <v>33</v>
      </c>
      <c r="D1289">
        <v>2109</v>
      </c>
      <c r="E1289">
        <v>2109</v>
      </c>
      <c r="F1289">
        <v>2108.5</v>
      </c>
      <c r="G1289">
        <v>2109</v>
      </c>
      <c r="H1289">
        <v>25000</v>
      </c>
    </row>
    <row r="1290" spans="2:8">
      <c r="B1290" t="s">
        <v>463</v>
      </c>
      <c r="C1290" t="s">
        <v>34</v>
      </c>
      <c r="D1290">
        <v>2109</v>
      </c>
      <c r="E1290">
        <v>2109</v>
      </c>
      <c r="F1290">
        <v>2108.5</v>
      </c>
      <c r="G1290">
        <v>2109</v>
      </c>
      <c r="H1290">
        <v>11000</v>
      </c>
    </row>
    <row r="1291" spans="2:8">
      <c r="B1291" t="s">
        <v>463</v>
      </c>
      <c r="C1291" t="s">
        <v>35</v>
      </c>
      <c r="D1291">
        <v>2109</v>
      </c>
      <c r="E1291">
        <v>2109</v>
      </c>
      <c r="F1291">
        <v>2108.5</v>
      </c>
      <c r="G1291">
        <v>2108.5</v>
      </c>
      <c r="H1291">
        <v>39300</v>
      </c>
    </row>
    <row r="1292" spans="2:8">
      <c r="B1292" t="s">
        <v>463</v>
      </c>
      <c r="C1292" t="s">
        <v>36</v>
      </c>
      <c r="D1292">
        <v>2109</v>
      </c>
      <c r="E1292">
        <v>2109</v>
      </c>
      <c r="F1292">
        <v>2108.5</v>
      </c>
      <c r="G1292">
        <v>2109</v>
      </c>
      <c r="H1292">
        <v>17000</v>
      </c>
    </row>
    <row r="1293" spans="2:8">
      <c r="B1293" t="s">
        <v>463</v>
      </c>
      <c r="C1293" t="s">
        <v>37</v>
      </c>
      <c r="D1293">
        <v>2109</v>
      </c>
      <c r="E1293">
        <v>2110.5</v>
      </c>
      <c r="F1293">
        <v>2109</v>
      </c>
      <c r="G1293">
        <v>2110</v>
      </c>
      <c r="H1293">
        <v>102700</v>
      </c>
    </row>
    <row r="1294" spans="2:8">
      <c r="B1294" t="s">
        <v>463</v>
      </c>
      <c r="C1294" t="s">
        <v>38</v>
      </c>
      <c r="D1294">
        <v>2110</v>
      </c>
      <c r="E1294">
        <v>2110</v>
      </c>
      <c r="F1294">
        <v>2109</v>
      </c>
      <c r="G1294">
        <v>2109</v>
      </c>
      <c r="H1294">
        <v>54600</v>
      </c>
    </row>
    <row r="1295" spans="2:8">
      <c r="B1295" t="s">
        <v>463</v>
      </c>
      <c r="C1295" t="s">
        <v>39</v>
      </c>
      <c r="D1295">
        <v>2109</v>
      </c>
      <c r="E1295">
        <v>2109.5</v>
      </c>
      <c r="F1295">
        <v>2109</v>
      </c>
      <c r="G1295">
        <v>2109</v>
      </c>
      <c r="H1295">
        <v>12000</v>
      </c>
    </row>
    <row r="1296" spans="2:8">
      <c r="B1296" t="s">
        <v>463</v>
      </c>
      <c r="C1296" t="s">
        <v>40</v>
      </c>
      <c r="D1296">
        <v>2109.5</v>
      </c>
      <c r="E1296">
        <v>2111</v>
      </c>
      <c r="F1296">
        <v>2109</v>
      </c>
      <c r="G1296">
        <v>2111</v>
      </c>
      <c r="H1296">
        <v>96100</v>
      </c>
    </row>
    <row r="1297" spans="2:8">
      <c r="B1297" t="s">
        <v>463</v>
      </c>
      <c r="C1297" t="s">
        <v>41</v>
      </c>
      <c r="D1297">
        <v>2111</v>
      </c>
      <c r="E1297">
        <v>2111</v>
      </c>
      <c r="F1297">
        <v>2109.5</v>
      </c>
      <c r="G1297">
        <v>2110</v>
      </c>
      <c r="H1297">
        <v>26700</v>
      </c>
    </row>
    <row r="1298" spans="2:8">
      <c r="B1298" t="s">
        <v>463</v>
      </c>
      <c r="C1298" t="s">
        <v>42</v>
      </c>
      <c r="D1298">
        <v>2109.5</v>
      </c>
      <c r="E1298">
        <v>2110.5</v>
      </c>
      <c r="F1298">
        <v>2109.5</v>
      </c>
      <c r="G1298">
        <v>2110.5</v>
      </c>
      <c r="H1298">
        <v>49200</v>
      </c>
    </row>
    <row r="1299" spans="2:8">
      <c r="B1299" t="s">
        <v>463</v>
      </c>
      <c r="C1299" t="s">
        <v>43</v>
      </c>
      <c r="D1299">
        <v>2110.5</v>
      </c>
      <c r="E1299">
        <v>2111.5</v>
      </c>
      <c r="F1299">
        <v>2110</v>
      </c>
      <c r="G1299">
        <v>2111</v>
      </c>
      <c r="H1299">
        <v>84500</v>
      </c>
    </row>
    <row r="1300" spans="2:8">
      <c r="B1300" t="s">
        <v>463</v>
      </c>
      <c r="C1300" t="s">
        <v>44</v>
      </c>
      <c r="D1300">
        <v>2111.5</v>
      </c>
      <c r="E1300">
        <v>2111.5</v>
      </c>
      <c r="F1300">
        <v>2110.5</v>
      </c>
      <c r="G1300">
        <v>2111</v>
      </c>
      <c r="H1300">
        <v>70400</v>
      </c>
    </row>
    <row r="1301" spans="2:8">
      <c r="B1301" t="s">
        <v>463</v>
      </c>
      <c r="C1301" t="s">
        <v>45</v>
      </c>
      <c r="D1301">
        <v>2111.5</v>
      </c>
      <c r="E1301">
        <v>2112</v>
      </c>
      <c r="F1301">
        <v>2111</v>
      </c>
      <c r="G1301">
        <v>2111.5</v>
      </c>
      <c r="H1301">
        <v>76300</v>
      </c>
    </row>
    <row r="1302" spans="2:8">
      <c r="B1302" t="s">
        <v>463</v>
      </c>
      <c r="C1302" t="s">
        <v>46</v>
      </c>
      <c r="D1302">
        <v>2112</v>
      </c>
      <c r="E1302">
        <v>2112</v>
      </c>
      <c r="F1302">
        <v>2110.5</v>
      </c>
      <c r="G1302">
        <v>2111.5</v>
      </c>
      <c r="H1302">
        <v>61800</v>
      </c>
    </row>
    <row r="1303" spans="2:8">
      <c r="B1303" t="s">
        <v>463</v>
      </c>
      <c r="C1303" t="s">
        <v>47</v>
      </c>
      <c r="D1303">
        <v>2111</v>
      </c>
      <c r="E1303">
        <v>2111.5</v>
      </c>
      <c r="F1303">
        <v>2110.5</v>
      </c>
      <c r="G1303">
        <v>2111</v>
      </c>
      <c r="H1303">
        <v>63600</v>
      </c>
    </row>
    <row r="1304" spans="2:8">
      <c r="B1304" t="s">
        <v>463</v>
      </c>
      <c r="C1304" t="s">
        <v>48</v>
      </c>
      <c r="D1304">
        <v>2110.5</v>
      </c>
      <c r="E1304">
        <v>2111.5</v>
      </c>
      <c r="F1304">
        <v>2110.5</v>
      </c>
      <c r="G1304">
        <v>2111</v>
      </c>
      <c r="H1304">
        <v>27500</v>
      </c>
    </row>
    <row r="1305" spans="2:8">
      <c r="B1305" t="s">
        <v>463</v>
      </c>
      <c r="C1305" t="s">
        <v>49</v>
      </c>
      <c r="D1305">
        <v>2111</v>
      </c>
      <c r="E1305">
        <v>2111.5</v>
      </c>
      <c r="F1305">
        <v>2109.5</v>
      </c>
      <c r="G1305">
        <v>2109.5</v>
      </c>
      <c r="H1305">
        <v>56200</v>
      </c>
    </row>
    <row r="1306" spans="2:8">
      <c r="B1306" t="s">
        <v>463</v>
      </c>
      <c r="C1306" t="s">
        <v>50</v>
      </c>
      <c r="D1306">
        <v>2109</v>
      </c>
      <c r="E1306">
        <v>2109.5</v>
      </c>
      <c r="F1306">
        <v>2109</v>
      </c>
      <c r="G1306">
        <v>2109.5</v>
      </c>
      <c r="H1306">
        <v>12400</v>
      </c>
    </row>
    <row r="1307" spans="2:8">
      <c r="B1307" t="s">
        <v>463</v>
      </c>
      <c r="C1307" t="s">
        <v>51</v>
      </c>
      <c r="D1307">
        <v>2109.5</v>
      </c>
      <c r="E1307">
        <v>2110.5</v>
      </c>
      <c r="F1307">
        <v>2109</v>
      </c>
      <c r="G1307">
        <v>2110.5</v>
      </c>
      <c r="H1307">
        <v>75600</v>
      </c>
    </row>
    <row r="1308" spans="2:8">
      <c r="B1308" t="s">
        <v>463</v>
      </c>
      <c r="C1308" t="s">
        <v>52</v>
      </c>
      <c r="D1308">
        <v>2110.5</v>
      </c>
      <c r="E1308">
        <v>2110.5</v>
      </c>
      <c r="F1308">
        <v>2109.5</v>
      </c>
      <c r="G1308">
        <v>2110.5</v>
      </c>
      <c r="H1308">
        <v>41600</v>
      </c>
    </row>
    <row r="1309" spans="2:8">
      <c r="B1309" t="s">
        <v>463</v>
      </c>
      <c r="C1309" t="s">
        <v>53</v>
      </c>
      <c r="D1309">
        <v>2110.5</v>
      </c>
      <c r="E1309">
        <v>2112</v>
      </c>
      <c r="F1309">
        <v>2110.5</v>
      </c>
      <c r="G1309">
        <v>2111</v>
      </c>
      <c r="H1309">
        <v>56200</v>
      </c>
    </row>
    <row r="1310" spans="2:8">
      <c r="B1310" t="s">
        <v>463</v>
      </c>
      <c r="C1310" t="s">
        <v>54</v>
      </c>
      <c r="D1310">
        <v>2112</v>
      </c>
      <c r="E1310">
        <v>2112.5</v>
      </c>
      <c r="F1310">
        <v>2111</v>
      </c>
      <c r="G1310">
        <v>2111.5</v>
      </c>
      <c r="H1310">
        <v>103100</v>
      </c>
    </row>
    <row r="1311" spans="2:8">
      <c r="B1311" t="s">
        <v>463</v>
      </c>
      <c r="C1311" t="s">
        <v>55</v>
      </c>
      <c r="D1311">
        <v>2110.5</v>
      </c>
      <c r="E1311">
        <v>2112.5</v>
      </c>
      <c r="F1311">
        <v>2110.5</v>
      </c>
      <c r="G1311">
        <v>2112.5</v>
      </c>
      <c r="H1311">
        <v>48400</v>
      </c>
    </row>
    <row r="1312" spans="2:8">
      <c r="B1312" t="s">
        <v>463</v>
      </c>
      <c r="C1312" t="s">
        <v>56</v>
      </c>
      <c r="D1312">
        <v>2112.5</v>
      </c>
      <c r="E1312">
        <v>2112.5</v>
      </c>
      <c r="F1312">
        <v>2111.5</v>
      </c>
      <c r="G1312">
        <v>2112</v>
      </c>
      <c r="H1312">
        <v>53200</v>
      </c>
    </row>
    <row r="1313" spans="2:8">
      <c r="B1313" t="s">
        <v>463</v>
      </c>
      <c r="C1313" t="s">
        <v>57</v>
      </c>
      <c r="D1313">
        <v>2112</v>
      </c>
      <c r="E1313">
        <v>2112</v>
      </c>
      <c r="F1313">
        <v>2111.5</v>
      </c>
      <c r="G1313">
        <v>2111.5</v>
      </c>
      <c r="H1313">
        <v>13700</v>
      </c>
    </row>
    <row r="1314" spans="2:8">
      <c r="B1314" t="s">
        <v>463</v>
      </c>
      <c r="C1314" t="s">
        <v>58</v>
      </c>
      <c r="D1314">
        <v>2111.5</v>
      </c>
      <c r="E1314">
        <v>2111.5</v>
      </c>
      <c r="F1314">
        <v>2111</v>
      </c>
      <c r="G1314">
        <v>2111.5</v>
      </c>
      <c r="H1314">
        <v>41500</v>
      </c>
    </row>
    <row r="1315" spans="2:8">
      <c r="B1315" t="s">
        <v>463</v>
      </c>
      <c r="C1315" t="s">
        <v>59</v>
      </c>
      <c r="D1315">
        <v>2112</v>
      </c>
      <c r="E1315">
        <v>2112</v>
      </c>
      <c r="F1315">
        <v>2111</v>
      </c>
      <c r="G1315">
        <v>2111.5</v>
      </c>
      <c r="H1315">
        <v>44600</v>
      </c>
    </row>
    <row r="1316" spans="2:8">
      <c r="B1316" t="s">
        <v>463</v>
      </c>
      <c r="C1316" t="s">
        <v>60</v>
      </c>
      <c r="D1316">
        <v>2111.5</v>
      </c>
      <c r="E1316">
        <v>2112</v>
      </c>
      <c r="F1316">
        <v>2110.5</v>
      </c>
      <c r="G1316">
        <v>2111.5</v>
      </c>
      <c r="H1316">
        <v>82900</v>
      </c>
    </row>
    <row r="1317" spans="2:8">
      <c r="B1317" t="s">
        <v>463</v>
      </c>
      <c r="C1317" t="s">
        <v>61</v>
      </c>
      <c r="D1317">
        <v>2111.5</v>
      </c>
      <c r="E1317">
        <v>2112.5</v>
      </c>
      <c r="F1317">
        <v>2111.5</v>
      </c>
      <c r="G1317">
        <v>2112.5</v>
      </c>
      <c r="H1317">
        <v>70300</v>
      </c>
    </row>
    <row r="1318" spans="2:8">
      <c r="B1318" t="s">
        <v>463</v>
      </c>
      <c r="C1318" t="s">
        <v>62</v>
      </c>
      <c r="D1318">
        <v>2112.5</v>
      </c>
      <c r="E1318">
        <v>2112.5</v>
      </c>
      <c r="F1318">
        <v>2111.5</v>
      </c>
      <c r="G1318">
        <v>2112</v>
      </c>
      <c r="H1318">
        <v>53200</v>
      </c>
    </row>
    <row r="1319" spans="2:8">
      <c r="B1319" t="s">
        <v>463</v>
      </c>
      <c r="C1319" t="s">
        <v>63</v>
      </c>
      <c r="D1319">
        <v>2112</v>
      </c>
      <c r="E1319">
        <v>2112.5</v>
      </c>
      <c r="F1319">
        <v>2111.5</v>
      </c>
      <c r="G1319">
        <v>2112</v>
      </c>
      <c r="H1319">
        <v>36800</v>
      </c>
    </row>
    <row r="1320" spans="2:8">
      <c r="B1320" t="s">
        <v>463</v>
      </c>
      <c r="C1320" t="s">
        <v>64</v>
      </c>
      <c r="D1320">
        <v>2111.5</v>
      </c>
      <c r="E1320">
        <v>2111.5</v>
      </c>
      <c r="F1320">
        <v>2110</v>
      </c>
      <c r="G1320">
        <v>2110</v>
      </c>
      <c r="H1320">
        <v>132900</v>
      </c>
    </row>
    <row r="1321" spans="2:8">
      <c r="B1321" t="s">
        <v>463</v>
      </c>
      <c r="C1321" t="s">
        <v>65</v>
      </c>
      <c r="D1321">
        <v>2110.5</v>
      </c>
      <c r="E1321">
        <v>2111</v>
      </c>
      <c r="F1321">
        <v>2110.5</v>
      </c>
      <c r="G1321">
        <v>2110.5</v>
      </c>
      <c r="H1321">
        <v>61700</v>
      </c>
    </row>
    <row r="1322" spans="2:8">
      <c r="B1322" t="s">
        <v>463</v>
      </c>
      <c r="C1322" t="s">
        <v>66</v>
      </c>
      <c r="D1322">
        <v>2110.5</v>
      </c>
      <c r="E1322">
        <v>2111.5</v>
      </c>
      <c r="F1322">
        <v>2110.5</v>
      </c>
      <c r="G1322">
        <v>2111</v>
      </c>
      <c r="H1322">
        <v>46900</v>
      </c>
    </row>
    <row r="1323" spans="2:8">
      <c r="B1323" t="s">
        <v>463</v>
      </c>
      <c r="C1323" t="s">
        <v>164</v>
      </c>
      <c r="D1323">
        <v>2110.5</v>
      </c>
      <c r="E1323">
        <v>2112.5</v>
      </c>
      <c r="F1323">
        <v>2110.5</v>
      </c>
      <c r="G1323">
        <v>2112.5</v>
      </c>
      <c r="H1323">
        <v>121900</v>
      </c>
    </row>
    <row r="1324" spans="2:8">
      <c r="B1324" t="s">
        <v>463</v>
      </c>
      <c r="C1324" t="s">
        <v>165</v>
      </c>
      <c r="D1324">
        <v>2112</v>
      </c>
      <c r="E1324">
        <v>2113</v>
      </c>
      <c r="F1324">
        <v>2111</v>
      </c>
      <c r="G1324">
        <v>2113</v>
      </c>
      <c r="H1324">
        <v>126600</v>
      </c>
    </row>
    <row r="1325" spans="2:8">
      <c r="B1325" t="s">
        <v>463</v>
      </c>
      <c r="C1325" t="s">
        <v>67</v>
      </c>
      <c r="D1325" t="s">
        <v>8</v>
      </c>
      <c r="E1325" t="s">
        <v>8</v>
      </c>
      <c r="F1325" t="s">
        <v>8</v>
      </c>
      <c r="G1325" t="s">
        <v>8</v>
      </c>
      <c r="H1325">
        <v>0</v>
      </c>
    </row>
    <row r="1326" spans="2:8">
      <c r="B1326" t="s">
        <v>463</v>
      </c>
      <c r="C1326" t="s">
        <v>68</v>
      </c>
      <c r="D1326" t="s">
        <v>8</v>
      </c>
      <c r="E1326" t="s">
        <v>8</v>
      </c>
      <c r="F1326" t="s">
        <v>8</v>
      </c>
      <c r="G1326" t="s">
        <v>8</v>
      </c>
      <c r="H1326">
        <v>0</v>
      </c>
    </row>
    <row r="1327" spans="2:8">
      <c r="B1327" t="s">
        <v>463</v>
      </c>
      <c r="C1327" t="s">
        <v>69</v>
      </c>
      <c r="D1327" t="s">
        <v>8</v>
      </c>
      <c r="E1327" t="s">
        <v>8</v>
      </c>
      <c r="F1327" t="s">
        <v>8</v>
      </c>
      <c r="G1327" t="s">
        <v>8</v>
      </c>
      <c r="H1327">
        <v>0</v>
      </c>
    </row>
    <row r="1328" spans="2:8">
      <c r="B1328" t="s">
        <v>463</v>
      </c>
      <c r="C1328" t="s">
        <v>70</v>
      </c>
      <c r="D1328" t="s">
        <v>8</v>
      </c>
      <c r="E1328" t="s">
        <v>8</v>
      </c>
      <c r="F1328" t="s">
        <v>8</v>
      </c>
      <c r="G1328" t="s">
        <v>8</v>
      </c>
      <c r="H1328">
        <v>0</v>
      </c>
    </row>
    <row r="1329" spans="2:8">
      <c r="B1329" t="s">
        <v>463</v>
      </c>
      <c r="C1329" t="s">
        <v>71</v>
      </c>
      <c r="D1329" t="s">
        <v>8</v>
      </c>
      <c r="E1329" t="s">
        <v>8</v>
      </c>
      <c r="F1329" t="s">
        <v>8</v>
      </c>
      <c r="G1329" t="s">
        <v>8</v>
      </c>
      <c r="H1329">
        <v>0</v>
      </c>
    </row>
    <row r="1330" spans="2:8">
      <c r="B1330" t="s">
        <v>463</v>
      </c>
      <c r="C1330" t="s">
        <v>72</v>
      </c>
      <c r="D1330">
        <v>2110.5</v>
      </c>
      <c r="E1330">
        <v>2110.5</v>
      </c>
      <c r="F1330">
        <v>2110.5</v>
      </c>
      <c r="G1330">
        <v>2110.5</v>
      </c>
      <c r="H1330">
        <v>6681700</v>
      </c>
    </row>
    <row r="1331" spans="2:8">
      <c r="B1331" t="s">
        <v>587</v>
      </c>
      <c r="C1331" t="s">
        <v>166</v>
      </c>
      <c r="D1331">
        <v>2080</v>
      </c>
      <c r="E1331">
        <v>2083</v>
      </c>
      <c r="F1331">
        <v>2071</v>
      </c>
      <c r="G1331">
        <v>2072</v>
      </c>
      <c r="H1331">
        <v>3271500</v>
      </c>
    </row>
    <row r="1332" spans="2:8">
      <c r="B1332" t="s">
        <v>587</v>
      </c>
      <c r="C1332" t="s">
        <v>167</v>
      </c>
      <c r="D1332">
        <v>2072</v>
      </c>
      <c r="E1332">
        <v>2084.5</v>
      </c>
      <c r="F1332">
        <v>2071.5</v>
      </c>
      <c r="G1332">
        <v>2083.5</v>
      </c>
      <c r="H1332">
        <v>429400</v>
      </c>
    </row>
    <row r="1333" spans="2:8">
      <c r="B1333" t="s">
        <v>587</v>
      </c>
      <c r="C1333" t="s">
        <v>168</v>
      </c>
      <c r="D1333">
        <v>2084</v>
      </c>
      <c r="E1333">
        <v>2086</v>
      </c>
      <c r="F1333">
        <v>2080</v>
      </c>
      <c r="G1333">
        <v>2085.5</v>
      </c>
      <c r="H1333">
        <v>360600</v>
      </c>
    </row>
    <row r="1334" spans="2:8">
      <c r="B1334" t="s">
        <v>587</v>
      </c>
      <c r="C1334" t="s">
        <v>169</v>
      </c>
      <c r="D1334">
        <v>2085.5</v>
      </c>
      <c r="E1334">
        <v>2092.5</v>
      </c>
      <c r="F1334">
        <v>2085</v>
      </c>
      <c r="G1334">
        <v>2089.5</v>
      </c>
      <c r="H1334">
        <v>383600</v>
      </c>
    </row>
    <row r="1335" spans="2:8">
      <c r="B1335" t="s">
        <v>587</v>
      </c>
      <c r="C1335" t="s">
        <v>170</v>
      </c>
      <c r="D1335">
        <v>2090</v>
      </c>
      <c r="E1335">
        <v>2091</v>
      </c>
      <c r="F1335">
        <v>2087.5</v>
      </c>
      <c r="G1335">
        <v>2089</v>
      </c>
      <c r="H1335">
        <v>238800</v>
      </c>
    </row>
    <row r="1336" spans="2:8">
      <c r="B1336" t="s">
        <v>587</v>
      </c>
      <c r="C1336" t="s">
        <v>171</v>
      </c>
      <c r="D1336">
        <v>2089</v>
      </c>
      <c r="E1336">
        <v>2091</v>
      </c>
      <c r="F1336">
        <v>2086.5</v>
      </c>
      <c r="G1336">
        <v>2087</v>
      </c>
      <c r="H1336">
        <v>295900</v>
      </c>
    </row>
    <row r="1337" spans="2:8">
      <c r="B1337" t="s">
        <v>587</v>
      </c>
      <c r="C1337" t="s">
        <v>172</v>
      </c>
      <c r="D1337">
        <v>2087.5</v>
      </c>
      <c r="E1337">
        <v>2090.5</v>
      </c>
      <c r="F1337">
        <v>2086.5</v>
      </c>
      <c r="G1337">
        <v>2087</v>
      </c>
      <c r="H1337">
        <v>151300</v>
      </c>
    </row>
    <row r="1338" spans="2:8">
      <c r="B1338" t="s">
        <v>587</v>
      </c>
      <c r="C1338" t="s">
        <v>173</v>
      </c>
      <c r="D1338">
        <v>2087.5</v>
      </c>
      <c r="E1338">
        <v>2089.5</v>
      </c>
      <c r="F1338">
        <v>2085</v>
      </c>
      <c r="G1338">
        <v>2086.5</v>
      </c>
      <c r="H1338">
        <v>224400</v>
      </c>
    </row>
    <row r="1339" spans="2:8">
      <c r="B1339" t="s">
        <v>587</v>
      </c>
      <c r="C1339" t="s">
        <v>174</v>
      </c>
      <c r="D1339">
        <v>2086</v>
      </c>
      <c r="E1339">
        <v>2086</v>
      </c>
      <c r="F1339">
        <v>2083</v>
      </c>
      <c r="G1339">
        <v>2084.5</v>
      </c>
      <c r="H1339">
        <v>182600</v>
      </c>
    </row>
    <row r="1340" spans="2:8">
      <c r="B1340" t="s">
        <v>587</v>
      </c>
      <c r="C1340" t="s">
        <v>175</v>
      </c>
      <c r="D1340">
        <v>2084</v>
      </c>
      <c r="E1340">
        <v>2087.5</v>
      </c>
      <c r="F1340">
        <v>2083.5</v>
      </c>
      <c r="G1340">
        <v>2085.5</v>
      </c>
      <c r="H1340">
        <v>163300</v>
      </c>
    </row>
    <row r="1341" spans="2:8">
      <c r="B1341" t="s">
        <v>587</v>
      </c>
      <c r="C1341" t="s">
        <v>176</v>
      </c>
      <c r="D1341">
        <v>2085</v>
      </c>
      <c r="E1341">
        <v>2087.5</v>
      </c>
      <c r="F1341">
        <v>2083.5</v>
      </c>
      <c r="G1341">
        <v>2083.5</v>
      </c>
      <c r="H1341">
        <v>180900</v>
      </c>
    </row>
    <row r="1342" spans="2:8">
      <c r="B1342" t="s">
        <v>587</v>
      </c>
      <c r="C1342" t="s">
        <v>177</v>
      </c>
      <c r="D1342">
        <v>2083.5</v>
      </c>
      <c r="E1342">
        <v>2089.5</v>
      </c>
      <c r="F1342">
        <v>2083.5</v>
      </c>
      <c r="G1342">
        <v>2086.5</v>
      </c>
      <c r="H1342">
        <v>167200</v>
      </c>
    </row>
    <row r="1343" spans="2:8">
      <c r="B1343" t="s">
        <v>587</v>
      </c>
      <c r="C1343" t="s">
        <v>178</v>
      </c>
      <c r="D1343">
        <v>2086</v>
      </c>
      <c r="E1343">
        <v>2088</v>
      </c>
      <c r="F1343">
        <v>2085</v>
      </c>
      <c r="G1343">
        <v>2085.5</v>
      </c>
      <c r="H1343">
        <v>108800</v>
      </c>
    </row>
    <row r="1344" spans="2:8">
      <c r="B1344" t="s">
        <v>587</v>
      </c>
      <c r="C1344" t="s">
        <v>179</v>
      </c>
      <c r="D1344">
        <v>2085.5</v>
      </c>
      <c r="E1344">
        <v>2089</v>
      </c>
      <c r="F1344">
        <v>2085</v>
      </c>
      <c r="G1344">
        <v>2089</v>
      </c>
      <c r="H1344">
        <v>138100</v>
      </c>
    </row>
    <row r="1345" spans="2:8">
      <c r="B1345" t="s">
        <v>587</v>
      </c>
      <c r="C1345" t="s">
        <v>180</v>
      </c>
      <c r="D1345">
        <v>2089</v>
      </c>
      <c r="E1345">
        <v>2090</v>
      </c>
      <c r="F1345">
        <v>2087.5</v>
      </c>
      <c r="G1345">
        <v>2089.5</v>
      </c>
      <c r="H1345">
        <v>97200</v>
      </c>
    </row>
    <row r="1346" spans="2:8">
      <c r="B1346" t="s">
        <v>587</v>
      </c>
      <c r="C1346" t="s">
        <v>181</v>
      </c>
      <c r="D1346">
        <v>2089.5</v>
      </c>
      <c r="E1346">
        <v>2090</v>
      </c>
      <c r="F1346">
        <v>2086</v>
      </c>
      <c r="G1346">
        <v>2086.5</v>
      </c>
      <c r="H1346">
        <v>123200</v>
      </c>
    </row>
    <row r="1347" spans="2:8">
      <c r="B1347" t="s">
        <v>587</v>
      </c>
      <c r="C1347" t="s">
        <v>182</v>
      </c>
      <c r="D1347">
        <v>2086.5</v>
      </c>
      <c r="E1347">
        <v>2089</v>
      </c>
      <c r="F1347">
        <v>2085.5</v>
      </c>
      <c r="G1347">
        <v>2088.5</v>
      </c>
      <c r="H1347">
        <v>68700</v>
      </c>
    </row>
    <row r="1348" spans="2:8">
      <c r="B1348" t="s">
        <v>587</v>
      </c>
      <c r="C1348" t="s">
        <v>183</v>
      </c>
      <c r="D1348">
        <v>2088.5</v>
      </c>
      <c r="E1348">
        <v>2089</v>
      </c>
      <c r="F1348">
        <v>2087</v>
      </c>
      <c r="G1348">
        <v>2088.5</v>
      </c>
      <c r="H1348">
        <v>51100</v>
      </c>
    </row>
    <row r="1349" spans="2:8">
      <c r="B1349" t="s">
        <v>587</v>
      </c>
      <c r="C1349" t="s">
        <v>184</v>
      </c>
      <c r="D1349">
        <v>2088</v>
      </c>
      <c r="E1349">
        <v>2091</v>
      </c>
      <c r="F1349">
        <v>2088</v>
      </c>
      <c r="G1349">
        <v>2090</v>
      </c>
      <c r="H1349">
        <v>181500</v>
      </c>
    </row>
    <row r="1350" spans="2:8">
      <c r="B1350" t="s">
        <v>587</v>
      </c>
      <c r="C1350" t="s">
        <v>185</v>
      </c>
      <c r="D1350">
        <v>2090.5</v>
      </c>
      <c r="E1350">
        <v>2094</v>
      </c>
      <c r="F1350">
        <v>2090.5</v>
      </c>
      <c r="G1350">
        <v>2092</v>
      </c>
      <c r="H1350">
        <v>277000</v>
      </c>
    </row>
    <row r="1351" spans="2:8">
      <c r="B1351" t="s">
        <v>587</v>
      </c>
      <c r="C1351" t="s">
        <v>186</v>
      </c>
      <c r="D1351">
        <v>2092</v>
      </c>
      <c r="E1351">
        <v>2092.5</v>
      </c>
      <c r="F1351">
        <v>2087</v>
      </c>
      <c r="G1351">
        <v>2088</v>
      </c>
      <c r="H1351">
        <v>208800</v>
      </c>
    </row>
    <row r="1352" spans="2:8">
      <c r="B1352" t="s">
        <v>587</v>
      </c>
      <c r="C1352" t="s">
        <v>187</v>
      </c>
      <c r="D1352">
        <v>2088.5</v>
      </c>
      <c r="E1352">
        <v>2092</v>
      </c>
      <c r="F1352">
        <v>2088.5</v>
      </c>
      <c r="G1352">
        <v>2090.5</v>
      </c>
      <c r="H1352">
        <v>75900</v>
      </c>
    </row>
    <row r="1353" spans="2:8">
      <c r="B1353" t="s">
        <v>587</v>
      </c>
      <c r="C1353" t="s">
        <v>188</v>
      </c>
      <c r="D1353">
        <v>2090.5</v>
      </c>
      <c r="E1353">
        <v>2091.5</v>
      </c>
      <c r="F1353">
        <v>2089.5</v>
      </c>
      <c r="G1353">
        <v>2090.5</v>
      </c>
      <c r="H1353">
        <v>109800</v>
      </c>
    </row>
    <row r="1354" spans="2:8">
      <c r="B1354" t="s">
        <v>587</v>
      </c>
      <c r="C1354" t="s">
        <v>189</v>
      </c>
      <c r="D1354">
        <v>2090.5</v>
      </c>
      <c r="E1354">
        <v>2092.5</v>
      </c>
      <c r="F1354">
        <v>2089.5</v>
      </c>
      <c r="G1354">
        <v>2092</v>
      </c>
      <c r="H1354">
        <v>185400</v>
      </c>
    </row>
    <row r="1355" spans="2:8">
      <c r="B1355" t="s">
        <v>587</v>
      </c>
      <c r="C1355" t="s">
        <v>190</v>
      </c>
      <c r="D1355">
        <v>2092</v>
      </c>
      <c r="E1355">
        <v>2093</v>
      </c>
      <c r="F1355">
        <v>2090</v>
      </c>
      <c r="G1355">
        <v>2092</v>
      </c>
      <c r="H1355">
        <v>117600</v>
      </c>
    </row>
    <row r="1356" spans="2:8">
      <c r="B1356" t="s">
        <v>587</v>
      </c>
      <c r="C1356" t="s">
        <v>191</v>
      </c>
      <c r="D1356">
        <v>2092</v>
      </c>
      <c r="E1356">
        <v>2095</v>
      </c>
      <c r="F1356">
        <v>2092</v>
      </c>
      <c r="G1356">
        <v>2094</v>
      </c>
      <c r="H1356">
        <v>219900</v>
      </c>
    </row>
    <row r="1357" spans="2:8">
      <c r="B1357" t="s">
        <v>587</v>
      </c>
      <c r="C1357" t="s">
        <v>192</v>
      </c>
      <c r="D1357">
        <v>2094</v>
      </c>
      <c r="E1357">
        <v>2094.5</v>
      </c>
      <c r="F1357">
        <v>2093</v>
      </c>
      <c r="G1357">
        <v>2093.5</v>
      </c>
      <c r="H1357">
        <v>113500</v>
      </c>
    </row>
    <row r="1358" spans="2:8">
      <c r="B1358" t="s">
        <v>587</v>
      </c>
      <c r="C1358" t="s">
        <v>193</v>
      </c>
      <c r="D1358">
        <v>2093.5</v>
      </c>
      <c r="E1358">
        <v>2094</v>
      </c>
      <c r="F1358">
        <v>2091.5</v>
      </c>
      <c r="G1358">
        <v>2093</v>
      </c>
      <c r="H1358">
        <v>194300</v>
      </c>
    </row>
    <row r="1359" spans="2:8">
      <c r="B1359" t="s">
        <v>587</v>
      </c>
      <c r="C1359" t="s">
        <v>194</v>
      </c>
      <c r="D1359">
        <v>2093</v>
      </c>
      <c r="E1359">
        <v>2097.5</v>
      </c>
      <c r="F1359">
        <v>2093</v>
      </c>
      <c r="G1359">
        <v>2097</v>
      </c>
      <c r="H1359">
        <v>264200</v>
      </c>
    </row>
    <row r="1360" spans="2:8">
      <c r="B1360" t="s">
        <v>587</v>
      </c>
      <c r="C1360" t="s">
        <v>195</v>
      </c>
      <c r="D1360">
        <v>2096.5</v>
      </c>
      <c r="E1360">
        <v>2100</v>
      </c>
      <c r="F1360">
        <v>2096</v>
      </c>
      <c r="G1360">
        <v>2099.5</v>
      </c>
      <c r="H1360">
        <v>153400</v>
      </c>
    </row>
    <row r="1361" spans="2:8">
      <c r="B1361" t="s">
        <v>587</v>
      </c>
      <c r="C1361" t="s">
        <v>196</v>
      </c>
      <c r="D1361">
        <v>2099.5</v>
      </c>
      <c r="E1361">
        <v>2100.5</v>
      </c>
      <c r="F1361">
        <v>2098</v>
      </c>
      <c r="G1361">
        <v>2100</v>
      </c>
      <c r="H1361">
        <v>147300</v>
      </c>
    </row>
    <row r="1362" spans="2:8">
      <c r="B1362" t="s">
        <v>587</v>
      </c>
      <c r="C1362" t="s">
        <v>197</v>
      </c>
      <c r="D1362">
        <v>2100</v>
      </c>
      <c r="E1362">
        <v>2101.5</v>
      </c>
      <c r="F1362">
        <v>2099</v>
      </c>
      <c r="G1362">
        <v>2101</v>
      </c>
      <c r="H1362">
        <v>144600</v>
      </c>
    </row>
    <row r="1363" spans="2:8">
      <c r="B1363" t="s">
        <v>587</v>
      </c>
      <c r="C1363" t="s">
        <v>198</v>
      </c>
      <c r="D1363">
        <v>2101</v>
      </c>
      <c r="E1363">
        <v>2102.5</v>
      </c>
      <c r="F1363">
        <v>2099</v>
      </c>
      <c r="G1363">
        <v>2099</v>
      </c>
      <c r="H1363">
        <v>138700</v>
      </c>
    </row>
    <row r="1364" spans="2:8">
      <c r="B1364" t="s">
        <v>587</v>
      </c>
      <c r="C1364" t="s">
        <v>199</v>
      </c>
      <c r="D1364">
        <v>2100</v>
      </c>
      <c r="E1364">
        <v>2102</v>
      </c>
      <c r="F1364">
        <v>2098.5</v>
      </c>
      <c r="G1364">
        <v>2101.5</v>
      </c>
      <c r="H1364">
        <v>155800</v>
      </c>
    </row>
    <row r="1365" spans="2:8">
      <c r="B1365" t="s">
        <v>587</v>
      </c>
      <c r="C1365" t="s">
        <v>200</v>
      </c>
      <c r="D1365">
        <v>2101</v>
      </c>
      <c r="E1365">
        <v>2102.5</v>
      </c>
      <c r="F1365">
        <v>2097.5</v>
      </c>
      <c r="G1365">
        <v>2097.5</v>
      </c>
      <c r="H1365">
        <v>221000</v>
      </c>
    </row>
    <row r="1366" spans="2:8">
      <c r="B1366" t="s">
        <v>587</v>
      </c>
      <c r="C1366" t="s">
        <v>201</v>
      </c>
      <c r="D1366">
        <v>2097</v>
      </c>
      <c r="E1366">
        <v>2100</v>
      </c>
      <c r="F1366">
        <v>2096.5</v>
      </c>
      <c r="G1366">
        <v>2099.5</v>
      </c>
      <c r="H1366">
        <v>124600</v>
      </c>
    </row>
    <row r="1367" spans="2:8">
      <c r="B1367" t="s">
        <v>587</v>
      </c>
      <c r="C1367" t="s">
        <v>202</v>
      </c>
      <c r="D1367">
        <v>2099</v>
      </c>
      <c r="E1367">
        <v>2100.5</v>
      </c>
      <c r="F1367">
        <v>2098</v>
      </c>
      <c r="G1367">
        <v>2100.5</v>
      </c>
      <c r="H1367">
        <v>203200</v>
      </c>
    </row>
    <row r="1368" spans="2:8">
      <c r="B1368" t="s">
        <v>587</v>
      </c>
      <c r="C1368" t="s">
        <v>203</v>
      </c>
      <c r="D1368">
        <v>2100.5</v>
      </c>
      <c r="E1368">
        <v>2102</v>
      </c>
      <c r="F1368">
        <v>2100</v>
      </c>
      <c r="G1368">
        <v>2102</v>
      </c>
      <c r="H1368">
        <v>61800</v>
      </c>
    </row>
    <row r="1369" spans="2:8">
      <c r="B1369" t="s">
        <v>587</v>
      </c>
      <c r="C1369" t="s">
        <v>204</v>
      </c>
      <c r="D1369">
        <v>2101.5</v>
      </c>
      <c r="E1369">
        <v>2103</v>
      </c>
      <c r="F1369">
        <v>2101.5</v>
      </c>
      <c r="G1369">
        <v>2103</v>
      </c>
      <c r="H1369">
        <v>126200</v>
      </c>
    </row>
    <row r="1370" spans="2:8">
      <c r="B1370" t="s">
        <v>587</v>
      </c>
      <c r="C1370" t="s">
        <v>205</v>
      </c>
      <c r="D1370">
        <v>2103</v>
      </c>
      <c r="E1370">
        <v>2104.5</v>
      </c>
      <c r="F1370">
        <v>2102.5</v>
      </c>
      <c r="G1370">
        <v>2104.5</v>
      </c>
      <c r="H1370">
        <v>119400</v>
      </c>
    </row>
    <row r="1371" spans="2:8">
      <c r="B1371" t="s">
        <v>587</v>
      </c>
      <c r="C1371" t="s">
        <v>206</v>
      </c>
      <c r="D1371">
        <v>2104.5</v>
      </c>
      <c r="E1371">
        <v>2108.5</v>
      </c>
      <c r="F1371">
        <v>2104</v>
      </c>
      <c r="G1371">
        <v>2108</v>
      </c>
      <c r="H1371">
        <v>336500</v>
      </c>
    </row>
    <row r="1372" spans="2:8">
      <c r="B1372" t="s">
        <v>587</v>
      </c>
      <c r="C1372" t="s">
        <v>207</v>
      </c>
      <c r="D1372">
        <v>2108</v>
      </c>
      <c r="E1372">
        <v>2109</v>
      </c>
      <c r="F1372">
        <v>2107.5</v>
      </c>
      <c r="G1372">
        <v>2109</v>
      </c>
      <c r="H1372">
        <v>167700</v>
      </c>
    </row>
    <row r="1373" spans="2:8">
      <c r="B1373" t="s">
        <v>587</v>
      </c>
      <c r="C1373" t="s">
        <v>208</v>
      </c>
      <c r="D1373">
        <v>2109</v>
      </c>
      <c r="E1373">
        <v>2109.5</v>
      </c>
      <c r="F1373">
        <v>2107</v>
      </c>
      <c r="G1373">
        <v>2107.5</v>
      </c>
      <c r="H1373">
        <v>174100</v>
      </c>
    </row>
    <row r="1374" spans="2:8">
      <c r="B1374" t="s">
        <v>587</v>
      </c>
      <c r="C1374" t="s">
        <v>209</v>
      </c>
      <c r="D1374">
        <v>2107</v>
      </c>
      <c r="E1374">
        <v>2110</v>
      </c>
      <c r="F1374">
        <v>2107</v>
      </c>
      <c r="G1374">
        <v>2109.5</v>
      </c>
      <c r="H1374">
        <v>141800</v>
      </c>
    </row>
    <row r="1375" spans="2:8">
      <c r="B1375" t="s">
        <v>587</v>
      </c>
      <c r="C1375" t="s">
        <v>210</v>
      </c>
      <c r="D1375">
        <v>2110</v>
      </c>
      <c r="E1375">
        <v>2110</v>
      </c>
      <c r="F1375">
        <v>2108</v>
      </c>
      <c r="G1375">
        <v>2108</v>
      </c>
      <c r="H1375">
        <v>62900</v>
      </c>
    </row>
    <row r="1376" spans="2:8">
      <c r="B1376" t="s">
        <v>587</v>
      </c>
      <c r="C1376" t="s">
        <v>211</v>
      </c>
      <c r="D1376">
        <v>2108</v>
      </c>
      <c r="E1376">
        <v>2109.5</v>
      </c>
      <c r="F1376">
        <v>2107.5</v>
      </c>
      <c r="G1376">
        <v>2108.5</v>
      </c>
      <c r="H1376">
        <v>129500</v>
      </c>
    </row>
    <row r="1377" spans="2:8">
      <c r="B1377" t="s">
        <v>587</v>
      </c>
      <c r="C1377" t="s">
        <v>212</v>
      </c>
      <c r="D1377">
        <v>2108.5</v>
      </c>
      <c r="E1377">
        <v>2108.5</v>
      </c>
      <c r="F1377">
        <v>2106</v>
      </c>
      <c r="G1377">
        <v>2107.5</v>
      </c>
      <c r="H1377">
        <v>180500</v>
      </c>
    </row>
    <row r="1378" spans="2:8">
      <c r="B1378" t="s">
        <v>587</v>
      </c>
      <c r="C1378" t="s">
        <v>213</v>
      </c>
      <c r="D1378">
        <v>2107.5</v>
      </c>
      <c r="E1378">
        <v>2107.5</v>
      </c>
      <c r="F1378">
        <v>2105</v>
      </c>
      <c r="G1378">
        <v>2105.5</v>
      </c>
      <c r="H1378">
        <v>95600</v>
      </c>
    </row>
    <row r="1379" spans="2:8">
      <c r="B1379" t="s">
        <v>587</v>
      </c>
      <c r="C1379" t="s">
        <v>214</v>
      </c>
      <c r="D1379">
        <v>2105</v>
      </c>
      <c r="E1379">
        <v>2106</v>
      </c>
      <c r="F1379">
        <v>2105</v>
      </c>
      <c r="G1379">
        <v>2105.5</v>
      </c>
      <c r="H1379">
        <v>80100</v>
      </c>
    </row>
    <row r="1380" spans="2:8">
      <c r="B1380" t="s">
        <v>587</v>
      </c>
      <c r="C1380" t="s">
        <v>215</v>
      </c>
      <c r="D1380">
        <v>2105</v>
      </c>
      <c r="E1380">
        <v>2106</v>
      </c>
      <c r="F1380">
        <v>2104</v>
      </c>
      <c r="G1380">
        <v>2105</v>
      </c>
      <c r="H1380">
        <v>176300</v>
      </c>
    </row>
    <row r="1381" spans="2:8">
      <c r="B1381" t="s">
        <v>587</v>
      </c>
      <c r="C1381" t="s">
        <v>216</v>
      </c>
      <c r="D1381">
        <v>2104.5</v>
      </c>
      <c r="E1381">
        <v>2105</v>
      </c>
      <c r="F1381">
        <v>2102.5</v>
      </c>
      <c r="G1381">
        <v>2103</v>
      </c>
      <c r="H1381">
        <v>118100</v>
      </c>
    </row>
    <row r="1382" spans="2:8">
      <c r="B1382" t="s">
        <v>587</v>
      </c>
      <c r="C1382" t="s">
        <v>217</v>
      </c>
      <c r="D1382">
        <v>2103</v>
      </c>
      <c r="E1382">
        <v>2103</v>
      </c>
      <c r="F1382">
        <v>2102</v>
      </c>
      <c r="G1382">
        <v>2102</v>
      </c>
      <c r="H1382">
        <v>57300</v>
      </c>
    </row>
    <row r="1383" spans="2:8">
      <c r="B1383" t="s">
        <v>587</v>
      </c>
      <c r="C1383" t="s">
        <v>218</v>
      </c>
      <c r="D1383">
        <v>2102</v>
      </c>
      <c r="E1383">
        <v>2102</v>
      </c>
      <c r="F1383">
        <v>2097</v>
      </c>
      <c r="G1383">
        <v>2097</v>
      </c>
      <c r="H1383">
        <v>259000</v>
      </c>
    </row>
    <row r="1384" spans="2:8">
      <c r="B1384" t="s">
        <v>587</v>
      </c>
      <c r="C1384" t="s">
        <v>219</v>
      </c>
      <c r="D1384">
        <v>2097</v>
      </c>
      <c r="E1384">
        <v>2098.5</v>
      </c>
      <c r="F1384">
        <v>2096</v>
      </c>
      <c r="G1384">
        <v>2098.5</v>
      </c>
      <c r="H1384">
        <v>175600</v>
      </c>
    </row>
    <row r="1385" spans="2:8">
      <c r="B1385" t="s">
        <v>587</v>
      </c>
      <c r="C1385" t="s">
        <v>220</v>
      </c>
      <c r="D1385">
        <v>2098.5</v>
      </c>
      <c r="E1385">
        <v>2099.5</v>
      </c>
      <c r="F1385">
        <v>2098</v>
      </c>
      <c r="G1385">
        <v>2099</v>
      </c>
      <c r="H1385">
        <v>48500</v>
      </c>
    </row>
    <row r="1386" spans="2:8">
      <c r="B1386" t="s">
        <v>587</v>
      </c>
      <c r="C1386" t="s">
        <v>221</v>
      </c>
      <c r="D1386">
        <v>2099</v>
      </c>
      <c r="E1386">
        <v>2099</v>
      </c>
      <c r="F1386">
        <v>2096.5</v>
      </c>
      <c r="G1386">
        <v>2098</v>
      </c>
      <c r="H1386">
        <v>100900</v>
      </c>
    </row>
    <row r="1387" spans="2:8">
      <c r="B1387" t="s">
        <v>587</v>
      </c>
      <c r="C1387" t="s">
        <v>222</v>
      </c>
      <c r="D1387">
        <v>2098.5</v>
      </c>
      <c r="E1387">
        <v>2100</v>
      </c>
      <c r="F1387">
        <v>2098</v>
      </c>
      <c r="G1387">
        <v>2099.5</v>
      </c>
      <c r="H1387">
        <v>74100</v>
      </c>
    </row>
    <row r="1388" spans="2:8">
      <c r="B1388" t="s">
        <v>587</v>
      </c>
      <c r="C1388" t="s">
        <v>223</v>
      </c>
      <c r="D1388">
        <v>2100</v>
      </c>
      <c r="E1388">
        <v>2102</v>
      </c>
      <c r="F1388">
        <v>2099</v>
      </c>
      <c r="G1388">
        <v>2101.5</v>
      </c>
      <c r="H1388">
        <v>209100</v>
      </c>
    </row>
    <row r="1389" spans="2:8">
      <c r="B1389" t="s">
        <v>587</v>
      </c>
      <c r="C1389" t="s">
        <v>224</v>
      </c>
      <c r="D1389">
        <v>2101.5</v>
      </c>
      <c r="E1389">
        <v>2104</v>
      </c>
      <c r="F1389">
        <v>2101</v>
      </c>
      <c r="G1389">
        <v>2104</v>
      </c>
      <c r="H1389">
        <v>56400</v>
      </c>
    </row>
    <row r="1390" spans="2:8">
      <c r="B1390" t="s">
        <v>587</v>
      </c>
      <c r="C1390" t="s">
        <v>225</v>
      </c>
      <c r="D1390">
        <v>2103.5</v>
      </c>
      <c r="E1390">
        <v>2105</v>
      </c>
      <c r="F1390">
        <v>2100.5</v>
      </c>
      <c r="G1390">
        <v>2101.5</v>
      </c>
      <c r="H1390">
        <v>198500</v>
      </c>
    </row>
    <row r="1391" spans="2:8">
      <c r="B1391" t="s">
        <v>587</v>
      </c>
      <c r="C1391" t="s">
        <v>226</v>
      </c>
      <c r="D1391">
        <v>2101</v>
      </c>
      <c r="E1391">
        <v>2105</v>
      </c>
      <c r="F1391">
        <v>2100.5</v>
      </c>
      <c r="G1391">
        <v>2104.5</v>
      </c>
      <c r="H1391">
        <v>125000</v>
      </c>
    </row>
    <row r="1392" spans="2:8">
      <c r="B1392" t="s">
        <v>587</v>
      </c>
      <c r="C1392" t="s">
        <v>227</v>
      </c>
      <c r="D1392">
        <v>2104.5</v>
      </c>
      <c r="E1392">
        <v>2106</v>
      </c>
      <c r="F1392">
        <v>2104.5</v>
      </c>
      <c r="G1392">
        <v>2106</v>
      </c>
      <c r="H1392">
        <v>80300</v>
      </c>
    </row>
    <row r="1393" spans="2:8">
      <c r="B1393" t="s">
        <v>587</v>
      </c>
      <c r="C1393" t="s">
        <v>228</v>
      </c>
      <c r="D1393">
        <v>2105.5</v>
      </c>
      <c r="E1393">
        <v>2107.5</v>
      </c>
      <c r="F1393">
        <v>2105</v>
      </c>
      <c r="G1393">
        <v>2107.5</v>
      </c>
      <c r="H1393">
        <v>141000</v>
      </c>
    </row>
    <row r="1394" spans="2:8">
      <c r="B1394" t="s">
        <v>587</v>
      </c>
      <c r="C1394" t="s">
        <v>229</v>
      </c>
      <c r="D1394">
        <v>2107</v>
      </c>
      <c r="E1394">
        <v>2109</v>
      </c>
      <c r="F1394">
        <v>2106</v>
      </c>
      <c r="G1394">
        <v>2106.5</v>
      </c>
      <c r="H1394">
        <v>141800</v>
      </c>
    </row>
    <row r="1395" spans="2:8">
      <c r="B1395" t="s">
        <v>587</v>
      </c>
      <c r="C1395" t="s">
        <v>230</v>
      </c>
      <c r="D1395">
        <v>2106.5</v>
      </c>
      <c r="E1395">
        <v>2109</v>
      </c>
      <c r="F1395">
        <v>2106.5</v>
      </c>
      <c r="G1395">
        <v>2108</v>
      </c>
      <c r="H1395">
        <v>92300</v>
      </c>
    </row>
    <row r="1396" spans="2:8">
      <c r="B1396" t="s">
        <v>587</v>
      </c>
      <c r="C1396" t="s">
        <v>231</v>
      </c>
      <c r="D1396">
        <v>2108.5</v>
      </c>
      <c r="E1396">
        <v>2109.5</v>
      </c>
      <c r="F1396">
        <v>2107</v>
      </c>
      <c r="G1396">
        <v>2109</v>
      </c>
      <c r="H1396">
        <v>174100</v>
      </c>
    </row>
    <row r="1397" spans="2:8">
      <c r="B1397" t="s">
        <v>587</v>
      </c>
      <c r="C1397" t="s">
        <v>232</v>
      </c>
      <c r="D1397">
        <v>2109</v>
      </c>
      <c r="E1397">
        <v>2109.5</v>
      </c>
      <c r="F1397">
        <v>2108.5</v>
      </c>
      <c r="G1397">
        <v>2109.5</v>
      </c>
      <c r="H1397">
        <v>72700</v>
      </c>
    </row>
    <row r="1398" spans="2:8">
      <c r="B1398" t="s">
        <v>587</v>
      </c>
      <c r="C1398" t="s">
        <v>233</v>
      </c>
      <c r="D1398">
        <v>2109.5</v>
      </c>
      <c r="E1398">
        <v>2110</v>
      </c>
      <c r="F1398">
        <v>2108.5</v>
      </c>
      <c r="G1398">
        <v>2110</v>
      </c>
      <c r="H1398">
        <v>216400</v>
      </c>
    </row>
    <row r="1399" spans="2:8">
      <c r="B1399" t="s">
        <v>587</v>
      </c>
      <c r="C1399" t="s">
        <v>234</v>
      </c>
      <c r="D1399">
        <v>2110</v>
      </c>
      <c r="E1399">
        <v>2110.5</v>
      </c>
      <c r="F1399">
        <v>2108</v>
      </c>
      <c r="G1399">
        <v>2108</v>
      </c>
      <c r="H1399">
        <v>90900</v>
      </c>
    </row>
    <row r="1400" spans="2:8">
      <c r="B1400" t="s">
        <v>587</v>
      </c>
      <c r="C1400" t="s">
        <v>235</v>
      </c>
      <c r="D1400">
        <v>2108.5</v>
      </c>
      <c r="E1400">
        <v>2109.5</v>
      </c>
      <c r="F1400">
        <v>2108</v>
      </c>
      <c r="G1400">
        <v>2108.5</v>
      </c>
      <c r="H1400">
        <v>68900</v>
      </c>
    </row>
    <row r="1401" spans="2:8">
      <c r="B1401" t="s">
        <v>587</v>
      </c>
      <c r="C1401" t="s">
        <v>236</v>
      </c>
      <c r="D1401">
        <v>2108.5</v>
      </c>
      <c r="E1401">
        <v>2108.5</v>
      </c>
      <c r="F1401">
        <v>2105</v>
      </c>
      <c r="G1401">
        <v>2105</v>
      </c>
      <c r="H1401">
        <v>102300</v>
      </c>
    </row>
    <row r="1402" spans="2:8">
      <c r="B1402" t="s">
        <v>587</v>
      </c>
      <c r="C1402" t="s">
        <v>237</v>
      </c>
      <c r="D1402">
        <v>2106</v>
      </c>
      <c r="E1402">
        <v>2107</v>
      </c>
      <c r="F1402">
        <v>2105</v>
      </c>
      <c r="G1402">
        <v>2106</v>
      </c>
      <c r="H1402">
        <v>79700</v>
      </c>
    </row>
    <row r="1403" spans="2:8">
      <c r="B1403" t="s">
        <v>587</v>
      </c>
      <c r="C1403" t="s">
        <v>238</v>
      </c>
      <c r="D1403">
        <v>2106.5</v>
      </c>
      <c r="E1403">
        <v>2106.5</v>
      </c>
      <c r="F1403">
        <v>2105</v>
      </c>
      <c r="G1403">
        <v>2105.5</v>
      </c>
      <c r="H1403">
        <v>65600</v>
      </c>
    </row>
    <row r="1404" spans="2:8">
      <c r="B1404" t="s">
        <v>587</v>
      </c>
      <c r="C1404" t="s">
        <v>239</v>
      </c>
      <c r="D1404">
        <v>2105.5</v>
      </c>
      <c r="E1404">
        <v>2107</v>
      </c>
      <c r="F1404">
        <v>2104.5</v>
      </c>
      <c r="G1404">
        <v>2106.5</v>
      </c>
      <c r="H1404">
        <v>97200</v>
      </c>
    </row>
    <row r="1405" spans="2:8">
      <c r="B1405" t="s">
        <v>587</v>
      </c>
      <c r="C1405" t="s">
        <v>240</v>
      </c>
      <c r="D1405">
        <v>2106.5</v>
      </c>
      <c r="E1405">
        <v>2107</v>
      </c>
      <c r="F1405">
        <v>2105</v>
      </c>
      <c r="G1405">
        <v>2107</v>
      </c>
      <c r="H1405">
        <v>69400</v>
      </c>
    </row>
    <row r="1406" spans="2:8">
      <c r="B1406" t="s">
        <v>587</v>
      </c>
      <c r="C1406" t="s">
        <v>241</v>
      </c>
      <c r="D1406">
        <v>2107</v>
      </c>
      <c r="E1406">
        <v>2108</v>
      </c>
      <c r="F1406">
        <v>2107</v>
      </c>
      <c r="G1406">
        <v>2107.5</v>
      </c>
      <c r="H1406">
        <v>32100</v>
      </c>
    </row>
    <row r="1407" spans="2:8">
      <c r="B1407" t="s">
        <v>587</v>
      </c>
      <c r="C1407" t="s">
        <v>242</v>
      </c>
      <c r="D1407">
        <v>2107.5</v>
      </c>
      <c r="E1407">
        <v>2107.5</v>
      </c>
      <c r="F1407">
        <v>2104.5</v>
      </c>
      <c r="G1407">
        <v>2106.5</v>
      </c>
      <c r="H1407">
        <v>68900</v>
      </c>
    </row>
    <row r="1408" spans="2:8">
      <c r="B1408" t="s">
        <v>587</v>
      </c>
      <c r="C1408" t="s">
        <v>243</v>
      </c>
      <c r="D1408">
        <v>2106.5</v>
      </c>
      <c r="E1408">
        <v>2107</v>
      </c>
      <c r="F1408">
        <v>2106</v>
      </c>
      <c r="G1408">
        <v>2106.5</v>
      </c>
      <c r="H1408">
        <v>18600</v>
      </c>
    </row>
    <row r="1409" spans="2:8">
      <c r="B1409" t="s">
        <v>587</v>
      </c>
      <c r="C1409" t="s">
        <v>244</v>
      </c>
      <c r="D1409">
        <v>2107</v>
      </c>
      <c r="E1409">
        <v>2107</v>
      </c>
      <c r="F1409">
        <v>2105</v>
      </c>
      <c r="G1409">
        <v>2107</v>
      </c>
      <c r="H1409">
        <v>49600</v>
      </c>
    </row>
    <row r="1410" spans="2:8">
      <c r="B1410" t="s">
        <v>587</v>
      </c>
      <c r="C1410" t="s">
        <v>245</v>
      </c>
      <c r="D1410">
        <v>2106.5</v>
      </c>
      <c r="E1410">
        <v>2107.5</v>
      </c>
      <c r="F1410">
        <v>2106</v>
      </c>
      <c r="G1410">
        <v>2107</v>
      </c>
      <c r="H1410">
        <v>46900</v>
      </c>
    </row>
    <row r="1411" spans="2:8">
      <c r="B1411" t="s">
        <v>587</v>
      </c>
      <c r="C1411" t="s">
        <v>246</v>
      </c>
      <c r="D1411">
        <v>2107</v>
      </c>
      <c r="E1411">
        <v>2108</v>
      </c>
      <c r="F1411">
        <v>2107</v>
      </c>
      <c r="G1411">
        <v>2107</v>
      </c>
      <c r="H1411">
        <v>138800</v>
      </c>
    </row>
    <row r="1412" spans="2:8">
      <c r="B1412" t="s">
        <v>587</v>
      </c>
      <c r="C1412" t="s">
        <v>247</v>
      </c>
      <c r="D1412">
        <v>2107</v>
      </c>
      <c r="E1412">
        <v>2108</v>
      </c>
      <c r="F1412">
        <v>2105.5</v>
      </c>
      <c r="G1412">
        <v>2107.5</v>
      </c>
      <c r="H1412">
        <v>56100</v>
      </c>
    </row>
    <row r="1413" spans="2:8">
      <c r="B1413" t="s">
        <v>587</v>
      </c>
      <c r="C1413" t="s">
        <v>248</v>
      </c>
      <c r="D1413">
        <v>2108</v>
      </c>
      <c r="E1413">
        <v>2108</v>
      </c>
      <c r="F1413">
        <v>2106.5</v>
      </c>
      <c r="G1413">
        <v>2107.5</v>
      </c>
      <c r="H1413">
        <v>45000</v>
      </c>
    </row>
    <row r="1414" spans="2:8">
      <c r="B1414" t="s">
        <v>587</v>
      </c>
      <c r="C1414" t="s">
        <v>249</v>
      </c>
      <c r="D1414">
        <v>2107.5</v>
      </c>
      <c r="E1414">
        <v>2107.5</v>
      </c>
      <c r="F1414">
        <v>2105.5</v>
      </c>
      <c r="G1414">
        <v>2105.5</v>
      </c>
      <c r="H1414">
        <v>53000</v>
      </c>
    </row>
    <row r="1415" spans="2:8">
      <c r="B1415" t="s">
        <v>587</v>
      </c>
      <c r="C1415" t="s">
        <v>250</v>
      </c>
      <c r="D1415">
        <v>2105.5</v>
      </c>
      <c r="E1415">
        <v>2105.5</v>
      </c>
      <c r="F1415">
        <v>2104.5</v>
      </c>
      <c r="G1415">
        <v>2105</v>
      </c>
      <c r="H1415">
        <v>35600</v>
      </c>
    </row>
    <row r="1416" spans="2:8">
      <c r="B1416" t="s">
        <v>587</v>
      </c>
      <c r="C1416" t="s">
        <v>251</v>
      </c>
      <c r="D1416">
        <v>2105.5</v>
      </c>
      <c r="E1416">
        <v>2105.5</v>
      </c>
      <c r="F1416">
        <v>2105</v>
      </c>
      <c r="G1416">
        <v>2105</v>
      </c>
      <c r="H1416">
        <v>26000</v>
      </c>
    </row>
    <row r="1417" spans="2:8">
      <c r="B1417" t="s">
        <v>587</v>
      </c>
      <c r="C1417" t="s">
        <v>252</v>
      </c>
      <c r="D1417">
        <v>2105.5</v>
      </c>
      <c r="E1417">
        <v>2106</v>
      </c>
      <c r="F1417">
        <v>2105</v>
      </c>
      <c r="G1417">
        <v>2105.5</v>
      </c>
      <c r="H1417">
        <v>36800</v>
      </c>
    </row>
    <row r="1418" spans="2:8">
      <c r="B1418" t="s">
        <v>587</v>
      </c>
      <c r="C1418" t="s">
        <v>253</v>
      </c>
      <c r="D1418">
        <v>2106</v>
      </c>
      <c r="E1418">
        <v>2107</v>
      </c>
      <c r="F1418">
        <v>2105.5</v>
      </c>
      <c r="G1418">
        <v>2107</v>
      </c>
      <c r="H1418">
        <v>43800</v>
      </c>
    </row>
    <row r="1419" spans="2:8">
      <c r="B1419" t="s">
        <v>587</v>
      </c>
      <c r="C1419" t="s">
        <v>254</v>
      </c>
      <c r="D1419">
        <v>2107</v>
      </c>
      <c r="E1419">
        <v>2107.5</v>
      </c>
      <c r="F1419">
        <v>2106</v>
      </c>
      <c r="G1419">
        <v>2106.5</v>
      </c>
      <c r="H1419">
        <v>95700</v>
      </c>
    </row>
    <row r="1420" spans="2:8">
      <c r="B1420" t="s">
        <v>587</v>
      </c>
      <c r="C1420" t="s">
        <v>255</v>
      </c>
      <c r="D1420">
        <v>2106.5</v>
      </c>
      <c r="E1420">
        <v>2107.5</v>
      </c>
      <c r="F1420">
        <v>2105.5</v>
      </c>
      <c r="G1420">
        <v>2107</v>
      </c>
      <c r="H1420">
        <v>68900</v>
      </c>
    </row>
    <row r="1421" spans="2:8">
      <c r="B1421" t="s">
        <v>587</v>
      </c>
      <c r="C1421" t="s">
        <v>256</v>
      </c>
      <c r="D1421">
        <v>2106.5</v>
      </c>
      <c r="E1421">
        <v>2107.5</v>
      </c>
      <c r="F1421">
        <v>2106.5</v>
      </c>
      <c r="G1421">
        <v>2107.5</v>
      </c>
      <c r="H1421">
        <v>30300</v>
      </c>
    </row>
    <row r="1422" spans="2:8">
      <c r="B1422" t="s">
        <v>587</v>
      </c>
      <c r="C1422" t="s">
        <v>257</v>
      </c>
      <c r="D1422">
        <v>2107</v>
      </c>
      <c r="E1422">
        <v>2108.5</v>
      </c>
      <c r="F1422">
        <v>2107</v>
      </c>
      <c r="G1422">
        <v>2108.5</v>
      </c>
      <c r="H1422">
        <v>81400</v>
      </c>
    </row>
    <row r="1423" spans="2:8">
      <c r="B1423" t="s">
        <v>587</v>
      </c>
      <c r="C1423" t="s">
        <v>258</v>
      </c>
      <c r="D1423">
        <v>2108</v>
      </c>
      <c r="E1423">
        <v>2108</v>
      </c>
      <c r="F1423">
        <v>2106.5</v>
      </c>
      <c r="G1423">
        <v>2106.5</v>
      </c>
      <c r="H1423">
        <v>60300</v>
      </c>
    </row>
    <row r="1424" spans="2:8">
      <c r="B1424" t="s">
        <v>587</v>
      </c>
      <c r="C1424" t="s">
        <v>259</v>
      </c>
      <c r="D1424">
        <v>2106.5</v>
      </c>
      <c r="E1424">
        <v>2107.5</v>
      </c>
      <c r="F1424">
        <v>2106</v>
      </c>
      <c r="G1424">
        <v>2107.5</v>
      </c>
      <c r="H1424">
        <v>50300</v>
      </c>
    </row>
    <row r="1425" spans="2:8">
      <c r="B1425" t="s">
        <v>587</v>
      </c>
      <c r="C1425" t="s">
        <v>260</v>
      </c>
      <c r="D1425">
        <v>2107.5</v>
      </c>
      <c r="E1425">
        <v>2108</v>
      </c>
      <c r="F1425">
        <v>2106.5</v>
      </c>
      <c r="G1425">
        <v>2107</v>
      </c>
      <c r="H1425">
        <v>37500</v>
      </c>
    </row>
    <row r="1426" spans="2:8">
      <c r="B1426" t="s">
        <v>587</v>
      </c>
      <c r="C1426" t="s">
        <v>261</v>
      </c>
      <c r="D1426">
        <v>2107.5</v>
      </c>
      <c r="E1426">
        <v>2107.5</v>
      </c>
      <c r="F1426">
        <v>2106.5</v>
      </c>
      <c r="G1426">
        <v>2106.5</v>
      </c>
      <c r="H1426">
        <v>24400</v>
      </c>
    </row>
    <row r="1427" spans="2:8">
      <c r="B1427" t="s">
        <v>587</v>
      </c>
      <c r="C1427" t="s">
        <v>262</v>
      </c>
      <c r="D1427">
        <v>2106</v>
      </c>
      <c r="E1427">
        <v>2109</v>
      </c>
      <c r="F1427">
        <v>2105.5</v>
      </c>
      <c r="G1427">
        <v>2108.5</v>
      </c>
      <c r="H1427">
        <v>123400</v>
      </c>
    </row>
    <row r="1428" spans="2:8">
      <c r="B1428" t="s">
        <v>587</v>
      </c>
      <c r="C1428" t="s">
        <v>263</v>
      </c>
      <c r="D1428">
        <v>2108.5</v>
      </c>
      <c r="E1428">
        <v>2109</v>
      </c>
      <c r="F1428">
        <v>2107.5</v>
      </c>
      <c r="G1428">
        <v>2107.5</v>
      </c>
      <c r="H1428">
        <v>39800</v>
      </c>
    </row>
    <row r="1429" spans="2:8">
      <c r="B1429" t="s">
        <v>587</v>
      </c>
      <c r="C1429" t="s">
        <v>264</v>
      </c>
      <c r="D1429">
        <v>2107.5</v>
      </c>
      <c r="E1429">
        <v>2108.5</v>
      </c>
      <c r="F1429">
        <v>2107</v>
      </c>
      <c r="G1429">
        <v>2108.5</v>
      </c>
      <c r="H1429">
        <v>27300</v>
      </c>
    </row>
    <row r="1430" spans="2:8">
      <c r="B1430" t="s">
        <v>587</v>
      </c>
      <c r="C1430" t="s">
        <v>265</v>
      </c>
      <c r="D1430">
        <v>2108.5</v>
      </c>
      <c r="E1430">
        <v>2110.5</v>
      </c>
      <c r="F1430">
        <v>2108</v>
      </c>
      <c r="G1430">
        <v>2110.5</v>
      </c>
      <c r="H1430">
        <v>129200</v>
      </c>
    </row>
    <row r="1431" spans="2:8">
      <c r="B1431" t="s">
        <v>587</v>
      </c>
      <c r="C1431" t="s">
        <v>266</v>
      </c>
      <c r="D1431">
        <v>2110.5</v>
      </c>
      <c r="E1431">
        <v>2112</v>
      </c>
      <c r="F1431">
        <v>2110.5</v>
      </c>
      <c r="G1431">
        <v>2110.5</v>
      </c>
      <c r="H1431">
        <v>193700</v>
      </c>
    </row>
    <row r="1432" spans="2:8">
      <c r="B1432" t="s">
        <v>587</v>
      </c>
      <c r="C1432" t="s">
        <v>267</v>
      </c>
      <c r="D1432">
        <v>2110.5</v>
      </c>
      <c r="E1432">
        <v>2111</v>
      </c>
      <c r="F1432">
        <v>2110</v>
      </c>
      <c r="G1432">
        <v>2111</v>
      </c>
      <c r="H1432">
        <v>69400</v>
      </c>
    </row>
    <row r="1433" spans="2:8">
      <c r="B1433" t="s">
        <v>587</v>
      </c>
      <c r="C1433" t="s">
        <v>268</v>
      </c>
      <c r="D1433">
        <v>2111.5</v>
      </c>
      <c r="E1433">
        <v>2112</v>
      </c>
      <c r="F1433">
        <v>2111</v>
      </c>
      <c r="G1433">
        <v>2112</v>
      </c>
      <c r="H1433">
        <v>58300</v>
      </c>
    </row>
    <row r="1434" spans="2:8">
      <c r="B1434" t="s">
        <v>587</v>
      </c>
      <c r="C1434" t="s">
        <v>269</v>
      </c>
      <c r="D1434">
        <v>2111.5</v>
      </c>
      <c r="E1434">
        <v>2111.5</v>
      </c>
      <c r="F1434">
        <v>2110</v>
      </c>
      <c r="G1434">
        <v>2111.5</v>
      </c>
      <c r="H1434">
        <v>48700</v>
      </c>
    </row>
    <row r="1435" spans="2:8">
      <c r="B1435" t="s">
        <v>587</v>
      </c>
      <c r="C1435" t="s">
        <v>270</v>
      </c>
      <c r="D1435">
        <v>2111</v>
      </c>
      <c r="E1435">
        <v>2111</v>
      </c>
      <c r="F1435">
        <v>2110</v>
      </c>
      <c r="G1435">
        <v>2111</v>
      </c>
      <c r="H1435">
        <v>34400</v>
      </c>
    </row>
    <row r="1436" spans="2:8">
      <c r="B1436" t="s">
        <v>587</v>
      </c>
      <c r="C1436" t="s">
        <v>271</v>
      </c>
      <c r="D1436">
        <v>2110.5</v>
      </c>
      <c r="E1436">
        <v>2110.5</v>
      </c>
      <c r="F1436">
        <v>2109.5</v>
      </c>
      <c r="G1436">
        <v>2110</v>
      </c>
      <c r="H1436">
        <v>68200</v>
      </c>
    </row>
    <row r="1437" spans="2:8">
      <c r="B1437" t="s">
        <v>587</v>
      </c>
      <c r="C1437" t="s">
        <v>272</v>
      </c>
      <c r="D1437">
        <v>2110</v>
      </c>
      <c r="E1437">
        <v>2110</v>
      </c>
      <c r="F1437">
        <v>2109</v>
      </c>
      <c r="G1437">
        <v>2110</v>
      </c>
      <c r="H1437">
        <v>27900</v>
      </c>
    </row>
    <row r="1438" spans="2:8">
      <c r="B1438" t="s">
        <v>587</v>
      </c>
      <c r="C1438" t="s">
        <v>273</v>
      </c>
      <c r="D1438">
        <v>2110</v>
      </c>
      <c r="E1438">
        <v>2110</v>
      </c>
      <c r="F1438">
        <v>2108.5</v>
      </c>
      <c r="G1438">
        <v>2108.5</v>
      </c>
      <c r="H1438">
        <v>46600</v>
      </c>
    </row>
    <row r="1439" spans="2:8">
      <c r="B1439" t="s">
        <v>587</v>
      </c>
      <c r="C1439" t="s">
        <v>274</v>
      </c>
      <c r="D1439">
        <v>2108</v>
      </c>
      <c r="E1439">
        <v>2108.5</v>
      </c>
      <c r="F1439">
        <v>2107</v>
      </c>
      <c r="G1439">
        <v>2107</v>
      </c>
      <c r="H1439">
        <v>35500</v>
      </c>
    </row>
    <row r="1440" spans="2:8">
      <c r="B1440" t="s">
        <v>587</v>
      </c>
      <c r="C1440" t="s">
        <v>275</v>
      </c>
      <c r="D1440">
        <v>2107.5</v>
      </c>
      <c r="E1440">
        <v>2109.5</v>
      </c>
      <c r="F1440">
        <v>2107</v>
      </c>
      <c r="G1440">
        <v>2108.5</v>
      </c>
      <c r="H1440">
        <v>34600</v>
      </c>
    </row>
    <row r="1441" spans="2:8">
      <c r="B1441" t="s">
        <v>587</v>
      </c>
      <c r="C1441" t="s">
        <v>276</v>
      </c>
      <c r="D1441">
        <v>2108.5</v>
      </c>
      <c r="E1441">
        <v>2109</v>
      </c>
      <c r="F1441">
        <v>2108</v>
      </c>
      <c r="G1441">
        <v>2108</v>
      </c>
      <c r="H1441">
        <v>25600</v>
      </c>
    </row>
    <row r="1442" spans="2:8">
      <c r="B1442" t="s">
        <v>587</v>
      </c>
      <c r="C1442" t="s">
        <v>277</v>
      </c>
      <c r="D1442">
        <v>2108.5</v>
      </c>
      <c r="E1442">
        <v>2109</v>
      </c>
      <c r="F1442">
        <v>2108</v>
      </c>
      <c r="G1442">
        <v>2108.5</v>
      </c>
      <c r="H1442">
        <v>28900</v>
      </c>
    </row>
    <row r="1443" spans="2:8">
      <c r="B1443" t="s">
        <v>587</v>
      </c>
      <c r="C1443" t="s">
        <v>278</v>
      </c>
      <c r="D1443">
        <v>2108</v>
      </c>
      <c r="E1443">
        <v>2108.5</v>
      </c>
      <c r="F1443">
        <v>2107</v>
      </c>
      <c r="G1443">
        <v>2108</v>
      </c>
      <c r="H1443">
        <v>34500</v>
      </c>
    </row>
    <row r="1444" spans="2:8">
      <c r="B1444" t="s">
        <v>587</v>
      </c>
      <c r="C1444" t="s">
        <v>279</v>
      </c>
      <c r="D1444">
        <v>2108.5</v>
      </c>
      <c r="E1444">
        <v>2109</v>
      </c>
      <c r="F1444">
        <v>2108</v>
      </c>
      <c r="G1444">
        <v>2108</v>
      </c>
      <c r="H1444">
        <v>38800</v>
      </c>
    </row>
    <row r="1445" spans="2:8">
      <c r="B1445" t="s">
        <v>587</v>
      </c>
      <c r="C1445" t="s">
        <v>280</v>
      </c>
      <c r="D1445">
        <v>2108.5</v>
      </c>
      <c r="E1445">
        <v>2108.5</v>
      </c>
      <c r="F1445">
        <v>2108</v>
      </c>
      <c r="G1445">
        <v>2108.5</v>
      </c>
      <c r="H1445">
        <v>28600</v>
      </c>
    </row>
    <row r="1446" spans="2:8">
      <c r="B1446" t="s">
        <v>587</v>
      </c>
      <c r="C1446" t="s">
        <v>281</v>
      </c>
      <c r="D1446">
        <v>2108</v>
      </c>
      <c r="E1446">
        <v>2108.5</v>
      </c>
      <c r="F1446">
        <v>2107</v>
      </c>
      <c r="G1446">
        <v>2107</v>
      </c>
      <c r="H1446">
        <v>49000</v>
      </c>
    </row>
    <row r="1447" spans="2:8">
      <c r="B1447" t="s">
        <v>587</v>
      </c>
      <c r="C1447" t="s">
        <v>282</v>
      </c>
      <c r="D1447">
        <v>2106.5</v>
      </c>
      <c r="E1447">
        <v>2111</v>
      </c>
      <c r="F1447">
        <v>2106.5</v>
      </c>
      <c r="G1447">
        <v>2110</v>
      </c>
      <c r="H1447">
        <v>267600</v>
      </c>
    </row>
    <row r="1448" spans="2:8">
      <c r="B1448" t="s">
        <v>587</v>
      </c>
      <c r="C1448" t="s">
        <v>283</v>
      </c>
      <c r="D1448">
        <v>2109.5</v>
      </c>
      <c r="E1448">
        <v>2113</v>
      </c>
      <c r="F1448">
        <v>2108.5</v>
      </c>
      <c r="G1448">
        <v>2111.5</v>
      </c>
      <c r="H1448">
        <v>318100</v>
      </c>
    </row>
    <row r="1449" spans="2:8">
      <c r="B1449" t="s">
        <v>587</v>
      </c>
      <c r="C1449" t="s">
        <v>284</v>
      </c>
      <c r="D1449">
        <v>2111</v>
      </c>
      <c r="E1449">
        <v>2111.5</v>
      </c>
      <c r="F1449">
        <v>2110</v>
      </c>
      <c r="G1449">
        <v>2111</v>
      </c>
      <c r="H1449">
        <v>62900</v>
      </c>
    </row>
    <row r="1450" spans="2:8">
      <c r="B1450" t="s">
        <v>587</v>
      </c>
      <c r="C1450" t="s">
        <v>285</v>
      </c>
      <c r="D1450">
        <v>2111.5</v>
      </c>
      <c r="E1450">
        <v>2115</v>
      </c>
      <c r="F1450">
        <v>2110.5</v>
      </c>
      <c r="G1450">
        <v>2113</v>
      </c>
      <c r="H1450">
        <v>338200</v>
      </c>
    </row>
    <row r="1451" spans="2:8">
      <c r="B1451" t="s">
        <v>587</v>
      </c>
      <c r="C1451" t="s">
        <v>286</v>
      </c>
      <c r="D1451">
        <v>2113</v>
      </c>
      <c r="E1451">
        <v>2115</v>
      </c>
      <c r="F1451">
        <v>2111</v>
      </c>
      <c r="G1451">
        <v>2113</v>
      </c>
      <c r="H1451">
        <v>321700</v>
      </c>
    </row>
    <row r="1452" spans="2:8">
      <c r="B1452" t="s">
        <v>587</v>
      </c>
      <c r="C1452" t="s">
        <v>287</v>
      </c>
      <c r="D1452">
        <v>2113.5</v>
      </c>
      <c r="E1452">
        <v>2114.5</v>
      </c>
      <c r="F1452">
        <v>2113.5</v>
      </c>
      <c r="G1452">
        <v>2114.5</v>
      </c>
      <c r="H1452">
        <v>46600</v>
      </c>
    </row>
    <row r="1453" spans="2:8">
      <c r="B1453" t="s">
        <v>587</v>
      </c>
      <c r="C1453" t="s">
        <v>288</v>
      </c>
      <c r="D1453">
        <v>2114</v>
      </c>
      <c r="E1453">
        <v>2117</v>
      </c>
      <c r="F1453">
        <v>2113.5</v>
      </c>
      <c r="G1453">
        <v>2116</v>
      </c>
      <c r="H1453">
        <v>261600</v>
      </c>
    </row>
    <row r="1454" spans="2:8">
      <c r="B1454" t="s">
        <v>587</v>
      </c>
      <c r="C1454" t="s">
        <v>289</v>
      </c>
      <c r="D1454">
        <v>2116</v>
      </c>
      <c r="E1454">
        <v>2117</v>
      </c>
      <c r="F1454">
        <v>2115.5</v>
      </c>
      <c r="G1454">
        <v>2116</v>
      </c>
      <c r="H1454">
        <v>105600</v>
      </c>
    </row>
    <row r="1455" spans="2:8">
      <c r="B1455" t="s">
        <v>587</v>
      </c>
      <c r="C1455" t="s">
        <v>290</v>
      </c>
      <c r="D1455">
        <v>2116</v>
      </c>
      <c r="E1455">
        <v>2116.5</v>
      </c>
      <c r="F1455">
        <v>2114</v>
      </c>
      <c r="G1455">
        <v>2116.5</v>
      </c>
      <c r="H1455">
        <v>136700</v>
      </c>
    </row>
    <row r="1456" spans="2:8">
      <c r="B1456" t="s">
        <v>587</v>
      </c>
      <c r="C1456" t="s">
        <v>291</v>
      </c>
      <c r="D1456">
        <v>2115</v>
      </c>
      <c r="E1456">
        <v>2117</v>
      </c>
      <c r="F1456">
        <v>2115</v>
      </c>
      <c r="G1456">
        <v>2116</v>
      </c>
      <c r="H1456">
        <v>261300</v>
      </c>
    </row>
    <row r="1457" spans="2:8">
      <c r="B1457" t="s">
        <v>587</v>
      </c>
      <c r="C1457" t="s">
        <v>292</v>
      </c>
      <c r="D1457">
        <v>2116</v>
      </c>
      <c r="E1457">
        <v>2117.5</v>
      </c>
      <c r="F1457">
        <v>2115</v>
      </c>
      <c r="G1457">
        <v>2117.5</v>
      </c>
      <c r="H1457">
        <v>141100</v>
      </c>
    </row>
    <row r="1458" spans="2:8">
      <c r="B1458" t="s">
        <v>587</v>
      </c>
      <c r="C1458" t="s">
        <v>293</v>
      </c>
      <c r="D1458">
        <v>2117.5</v>
      </c>
      <c r="E1458">
        <v>2118</v>
      </c>
      <c r="F1458">
        <v>2117</v>
      </c>
      <c r="G1458">
        <v>2117.5</v>
      </c>
      <c r="H1458">
        <v>39100</v>
      </c>
    </row>
    <row r="1459" spans="2:8">
      <c r="B1459" t="s">
        <v>587</v>
      </c>
      <c r="C1459" t="s">
        <v>294</v>
      </c>
      <c r="D1459">
        <v>2117.5</v>
      </c>
      <c r="E1459">
        <v>2118</v>
      </c>
      <c r="F1459">
        <v>2117</v>
      </c>
      <c r="G1459">
        <v>2117.5</v>
      </c>
      <c r="H1459">
        <v>62500</v>
      </c>
    </row>
    <row r="1460" spans="2:8">
      <c r="B1460" t="s">
        <v>587</v>
      </c>
      <c r="C1460" t="s">
        <v>295</v>
      </c>
      <c r="D1460">
        <v>2117.5</v>
      </c>
      <c r="E1460">
        <v>2118</v>
      </c>
      <c r="F1460">
        <v>2115</v>
      </c>
      <c r="G1460">
        <v>2116</v>
      </c>
      <c r="H1460">
        <v>220700</v>
      </c>
    </row>
    <row r="1461" spans="2:8">
      <c r="B1461" t="s">
        <v>587</v>
      </c>
      <c r="C1461" t="s">
        <v>296</v>
      </c>
      <c r="D1461">
        <v>2115.5</v>
      </c>
      <c r="E1461">
        <v>2116.5</v>
      </c>
      <c r="F1461">
        <v>2113</v>
      </c>
      <c r="G1461">
        <v>2114</v>
      </c>
      <c r="H1461">
        <v>147100</v>
      </c>
    </row>
    <row r="1462" spans="2:8">
      <c r="B1462" t="s">
        <v>587</v>
      </c>
      <c r="C1462" t="s">
        <v>297</v>
      </c>
      <c r="D1462">
        <v>2113.5</v>
      </c>
      <c r="E1462">
        <v>2114.5</v>
      </c>
      <c r="F1462">
        <v>2112.5</v>
      </c>
      <c r="G1462">
        <v>2113.5</v>
      </c>
      <c r="H1462">
        <v>106300</v>
      </c>
    </row>
    <row r="1463" spans="2:8">
      <c r="B1463" t="s">
        <v>587</v>
      </c>
      <c r="C1463" t="s">
        <v>298</v>
      </c>
      <c r="D1463">
        <v>2114</v>
      </c>
      <c r="E1463">
        <v>2117.5</v>
      </c>
      <c r="F1463">
        <v>2114</v>
      </c>
      <c r="G1463">
        <v>2117</v>
      </c>
      <c r="H1463">
        <v>112400</v>
      </c>
    </row>
    <row r="1464" spans="2:8">
      <c r="B1464" t="s">
        <v>587</v>
      </c>
      <c r="C1464" t="s">
        <v>299</v>
      </c>
      <c r="D1464">
        <v>2116.5</v>
      </c>
      <c r="E1464">
        <v>2117</v>
      </c>
      <c r="F1464">
        <v>2115.5</v>
      </c>
      <c r="G1464">
        <v>2116.5</v>
      </c>
      <c r="H1464">
        <v>93100</v>
      </c>
    </row>
    <row r="1465" spans="2:8">
      <c r="B1465" t="s">
        <v>587</v>
      </c>
      <c r="C1465" t="s">
        <v>300</v>
      </c>
      <c r="D1465">
        <v>2116</v>
      </c>
      <c r="E1465">
        <v>2117</v>
      </c>
      <c r="F1465">
        <v>2116</v>
      </c>
      <c r="G1465">
        <v>2116.5</v>
      </c>
      <c r="H1465">
        <v>75200</v>
      </c>
    </row>
    <row r="1466" spans="2:8">
      <c r="B1466" t="s">
        <v>587</v>
      </c>
      <c r="C1466" t="s">
        <v>301</v>
      </c>
      <c r="D1466">
        <v>2117</v>
      </c>
      <c r="E1466">
        <v>2117.5</v>
      </c>
      <c r="F1466">
        <v>2115.5</v>
      </c>
      <c r="G1466">
        <v>2116</v>
      </c>
      <c r="H1466">
        <v>65300</v>
      </c>
    </row>
    <row r="1467" spans="2:8">
      <c r="B1467" t="s">
        <v>587</v>
      </c>
      <c r="C1467" t="s">
        <v>302</v>
      </c>
      <c r="D1467">
        <v>2116</v>
      </c>
      <c r="E1467">
        <v>2117</v>
      </c>
      <c r="F1467">
        <v>2116</v>
      </c>
      <c r="G1467">
        <v>2117</v>
      </c>
      <c r="H1467">
        <v>167500</v>
      </c>
    </row>
    <row r="1468" spans="2:8">
      <c r="B1468" t="s">
        <v>587</v>
      </c>
      <c r="C1468" t="s">
        <v>303</v>
      </c>
      <c r="D1468">
        <v>2116.5</v>
      </c>
      <c r="E1468">
        <v>2116.5</v>
      </c>
      <c r="F1468">
        <v>2115</v>
      </c>
      <c r="G1468">
        <v>2115.5</v>
      </c>
      <c r="H1468">
        <v>63600</v>
      </c>
    </row>
    <row r="1469" spans="2:8">
      <c r="B1469" t="s">
        <v>587</v>
      </c>
      <c r="C1469" t="s">
        <v>304</v>
      </c>
      <c r="D1469">
        <v>2115.5</v>
      </c>
      <c r="E1469">
        <v>2118</v>
      </c>
      <c r="F1469">
        <v>2115.5</v>
      </c>
      <c r="G1469">
        <v>2117.5</v>
      </c>
      <c r="H1469">
        <v>160700</v>
      </c>
    </row>
    <row r="1470" spans="2:8">
      <c r="B1470" t="s">
        <v>587</v>
      </c>
      <c r="C1470" t="s">
        <v>305</v>
      </c>
      <c r="D1470">
        <v>2117.5</v>
      </c>
      <c r="E1470">
        <v>2118.5</v>
      </c>
      <c r="F1470">
        <v>2117.5</v>
      </c>
      <c r="G1470">
        <v>2118</v>
      </c>
      <c r="H1470">
        <v>88100</v>
      </c>
    </row>
    <row r="1471" spans="2:8">
      <c r="B1471" t="s">
        <v>587</v>
      </c>
      <c r="C1471" t="s">
        <v>306</v>
      </c>
      <c r="D1471">
        <v>2118.5</v>
      </c>
      <c r="E1471">
        <v>2118.5</v>
      </c>
      <c r="F1471">
        <v>2118</v>
      </c>
      <c r="G1471">
        <v>2118.5</v>
      </c>
      <c r="H1471">
        <v>14100</v>
      </c>
    </row>
    <row r="1472" spans="2:8">
      <c r="B1472" t="s">
        <v>587</v>
      </c>
      <c r="C1472" t="s">
        <v>307</v>
      </c>
      <c r="D1472">
        <v>2118</v>
      </c>
      <c r="E1472">
        <v>2119.5</v>
      </c>
      <c r="F1472">
        <v>2117.5</v>
      </c>
      <c r="G1472">
        <v>2118.5</v>
      </c>
      <c r="H1472">
        <v>158100</v>
      </c>
    </row>
    <row r="1473" spans="2:8">
      <c r="B1473" t="s">
        <v>587</v>
      </c>
      <c r="C1473" t="s">
        <v>308</v>
      </c>
      <c r="D1473">
        <v>2118.5</v>
      </c>
      <c r="E1473">
        <v>2118.5</v>
      </c>
      <c r="F1473">
        <v>2117.5</v>
      </c>
      <c r="G1473">
        <v>2118</v>
      </c>
      <c r="H1473">
        <v>81100</v>
      </c>
    </row>
    <row r="1474" spans="2:8">
      <c r="B1474" t="s">
        <v>587</v>
      </c>
      <c r="C1474" t="s">
        <v>309</v>
      </c>
      <c r="D1474">
        <v>2118</v>
      </c>
      <c r="E1474">
        <v>2119.5</v>
      </c>
      <c r="F1474">
        <v>2117.5</v>
      </c>
      <c r="G1474">
        <v>2119.5</v>
      </c>
      <c r="H1474">
        <v>87000</v>
      </c>
    </row>
    <row r="1475" spans="2:8">
      <c r="B1475" t="s">
        <v>587</v>
      </c>
      <c r="C1475" t="s">
        <v>310</v>
      </c>
      <c r="D1475">
        <v>2119</v>
      </c>
      <c r="E1475">
        <v>2119</v>
      </c>
      <c r="F1475">
        <v>2118.5</v>
      </c>
      <c r="G1475">
        <v>2118.5</v>
      </c>
      <c r="H1475">
        <v>31400</v>
      </c>
    </row>
    <row r="1476" spans="2:8">
      <c r="B1476" t="s">
        <v>587</v>
      </c>
      <c r="C1476" t="s">
        <v>311</v>
      </c>
      <c r="D1476">
        <v>2119</v>
      </c>
      <c r="E1476">
        <v>2119</v>
      </c>
      <c r="F1476">
        <v>2115</v>
      </c>
      <c r="G1476">
        <v>2116</v>
      </c>
      <c r="H1476">
        <v>95800</v>
      </c>
    </row>
    <row r="1477" spans="2:8">
      <c r="B1477" t="s">
        <v>587</v>
      </c>
      <c r="C1477" t="s">
        <v>312</v>
      </c>
      <c r="D1477">
        <v>2115.5</v>
      </c>
      <c r="E1477">
        <v>2117.5</v>
      </c>
      <c r="F1477">
        <v>2114</v>
      </c>
      <c r="G1477">
        <v>2117</v>
      </c>
      <c r="H1477">
        <v>204400</v>
      </c>
    </row>
    <row r="1478" spans="2:8">
      <c r="B1478" t="s">
        <v>587</v>
      </c>
      <c r="C1478" t="s">
        <v>313</v>
      </c>
      <c r="D1478">
        <v>2117</v>
      </c>
      <c r="E1478">
        <v>2118</v>
      </c>
      <c r="F1478">
        <v>2116.5</v>
      </c>
      <c r="G1478">
        <v>2117.5</v>
      </c>
      <c r="H1478">
        <v>28000</v>
      </c>
    </row>
    <row r="1479" spans="2:8">
      <c r="B1479" t="s">
        <v>587</v>
      </c>
      <c r="C1479" t="s">
        <v>314</v>
      </c>
      <c r="D1479">
        <v>2117</v>
      </c>
      <c r="E1479">
        <v>2117.5</v>
      </c>
      <c r="F1479">
        <v>2116</v>
      </c>
      <c r="G1479">
        <v>2116.5</v>
      </c>
      <c r="H1479">
        <v>63700</v>
      </c>
    </row>
    <row r="1480" spans="2:8">
      <c r="B1480" t="s">
        <v>587</v>
      </c>
      <c r="C1480" t="s">
        <v>315</v>
      </c>
      <c r="D1480">
        <v>2116.5</v>
      </c>
      <c r="E1480">
        <v>2117</v>
      </c>
      <c r="F1480">
        <v>2116</v>
      </c>
      <c r="G1480">
        <v>2116</v>
      </c>
      <c r="H1480">
        <v>90900</v>
      </c>
    </row>
    <row r="1481" spans="2:8">
      <c r="B1481" t="s">
        <v>587</v>
      </c>
      <c r="C1481" t="s">
        <v>316</v>
      </c>
      <c r="D1481">
        <v>2116.5</v>
      </c>
      <c r="E1481">
        <v>2116.5</v>
      </c>
      <c r="F1481">
        <v>2116.5</v>
      </c>
      <c r="G1481">
        <v>2116.5</v>
      </c>
      <c r="H1481">
        <v>14500</v>
      </c>
    </row>
    <row r="1482" spans="2:8">
      <c r="B1482" t="s">
        <v>587</v>
      </c>
      <c r="C1482" t="s">
        <v>317</v>
      </c>
      <c r="D1482">
        <v>2119</v>
      </c>
      <c r="E1482">
        <v>2121.5</v>
      </c>
      <c r="F1482">
        <v>2118</v>
      </c>
      <c r="G1482">
        <v>2119</v>
      </c>
      <c r="H1482">
        <v>990000</v>
      </c>
    </row>
    <row r="1483" spans="2:8">
      <c r="B1483" t="s">
        <v>587</v>
      </c>
      <c r="C1483" t="s">
        <v>318</v>
      </c>
      <c r="D1483">
        <v>2119</v>
      </c>
      <c r="E1483">
        <v>2120.5</v>
      </c>
      <c r="F1483">
        <v>2119</v>
      </c>
      <c r="G1483">
        <v>2120</v>
      </c>
      <c r="H1483">
        <v>83900</v>
      </c>
    </row>
    <row r="1484" spans="2:8">
      <c r="B1484" t="s">
        <v>587</v>
      </c>
      <c r="C1484" t="s">
        <v>319</v>
      </c>
      <c r="D1484">
        <v>2120</v>
      </c>
      <c r="E1484">
        <v>2120</v>
      </c>
      <c r="F1484">
        <v>2117</v>
      </c>
      <c r="G1484">
        <v>2118</v>
      </c>
      <c r="H1484">
        <v>193900</v>
      </c>
    </row>
    <row r="1485" spans="2:8">
      <c r="B1485" t="s">
        <v>587</v>
      </c>
      <c r="C1485" t="s">
        <v>320</v>
      </c>
      <c r="D1485">
        <v>2118.5</v>
      </c>
      <c r="E1485">
        <v>2121.5</v>
      </c>
      <c r="F1485">
        <v>2117</v>
      </c>
      <c r="G1485">
        <v>2121.5</v>
      </c>
      <c r="H1485">
        <v>220600</v>
      </c>
    </row>
    <row r="1486" spans="2:8">
      <c r="B1486" t="s">
        <v>587</v>
      </c>
      <c r="C1486" t="s">
        <v>321</v>
      </c>
      <c r="D1486">
        <v>2121.5</v>
      </c>
      <c r="E1486">
        <v>2121.5</v>
      </c>
      <c r="F1486">
        <v>2120</v>
      </c>
      <c r="G1486">
        <v>2120</v>
      </c>
      <c r="H1486">
        <v>60500</v>
      </c>
    </row>
    <row r="1487" spans="2:8">
      <c r="B1487" t="s">
        <v>587</v>
      </c>
      <c r="C1487" t="s">
        <v>322</v>
      </c>
      <c r="D1487">
        <v>2120</v>
      </c>
      <c r="E1487">
        <v>2120</v>
      </c>
      <c r="F1487">
        <v>2118</v>
      </c>
      <c r="G1487">
        <v>2118.5</v>
      </c>
      <c r="H1487">
        <v>111700</v>
      </c>
    </row>
    <row r="1488" spans="2:8">
      <c r="B1488" t="s">
        <v>587</v>
      </c>
      <c r="C1488" t="s">
        <v>323</v>
      </c>
      <c r="D1488">
        <v>2118.5</v>
      </c>
      <c r="E1488">
        <v>2120</v>
      </c>
      <c r="F1488">
        <v>2118</v>
      </c>
      <c r="G1488">
        <v>2120</v>
      </c>
      <c r="H1488">
        <v>164200</v>
      </c>
    </row>
    <row r="1489" spans="2:8">
      <c r="B1489" t="s">
        <v>587</v>
      </c>
      <c r="C1489" t="s">
        <v>324</v>
      </c>
      <c r="D1489">
        <v>2120.5</v>
      </c>
      <c r="E1489">
        <v>2121</v>
      </c>
      <c r="F1489">
        <v>2119.5</v>
      </c>
      <c r="G1489">
        <v>2121</v>
      </c>
      <c r="H1489">
        <v>83200</v>
      </c>
    </row>
    <row r="1490" spans="2:8">
      <c r="B1490" t="s">
        <v>587</v>
      </c>
      <c r="C1490" t="s">
        <v>325</v>
      </c>
      <c r="D1490">
        <v>2120.5</v>
      </c>
      <c r="E1490">
        <v>2121.5</v>
      </c>
      <c r="F1490">
        <v>2120.5</v>
      </c>
      <c r="G1490">
        <v>2120.5</v>
      </c>
      <c r="H1490">
        <v>90300</v>
      </c>
    </row>
    <row r="1491" spans="2:8">
      <c r="B1491" t="s">
        <v>587</v>
      </c>
      <c r="C1491" t="s">
        <v>326</v>
      </c>
      <c r="D1491">
        <v>2120.5</v>
      </c>
      <c r="E1491">
        <v>2121.5</v>
      </c>
      <c r="F1491">
        <v>2120</v>
      </c>
      <c r="G1491">
        <v>2121.5</v>
      </c>
      <c r="H1491">
        <v>148500</v>
      </c>
    </row>
    <row r="1492" spans="2:8">
      <c r="B1492" t="s">
        <v>587</v>
      </c>
      <c r="C1492" t="s">
        <v>327</v>
      </c>
      <c r="D1492">
        <v>2122</v>
      </c>
      <c r="E1492">
        <v>2122</v>
      </c>
      <c r="F1492">
        <v>2121</v>
      </c>
      <c r="G1492">
        <v>2121</v>
      </c>
      <c r="H1492">
        <v>28800</v>
      </c>
    </row>
    <row r="1493" spans="2:8">
      <c r="B1493" t="s">
        <v>587</v>
      </c>
      <c r="C1493" t="s">
        <v>328</v>
      </c>
      <c r="D1493">
        <v>2121</v>
      </c>
      <c r="E1493">
        <v>2121.5</v>
      </c>
      <c r="F1493">
        <v>2120.5</v>
      </c>
      <c r="G1493">
        <v>2120.5</v>
      </c>
      <c r="H1493">
        <v>45400</v>
      </c>
    </row>
    <row r="1494" spans="2:8">
      <c r="B1494" t="s">
        <v>587</v>
      </c>
      <c r="C1494" t="s">
        <v>329</v>
      </c>
      <c r="D1494">
        <v>2121</v>
      </c>
      <c r="E1494">
        <v>2122.5</v>
      </c>
      <c r="F1494">
        <v>2120.5</v>
      </c>
      <c r="G1494">
        <v>2122</v>
      </c>
      <c r="H1494">
        <v>107900</v>
      </c>
    </row>
    <row r="1495" spans="2:8">
      <c r="B1495" t="s">
        <v>587</v>
      </c>
      <c r="C1495" t="s">
        <v>330</v>
      </c>
      <c r="D1495">
        <v>2122.5</v>
      </c>
      <c r="E1495">
        <v>2125</v>
      </c>
      <c r="F1495">
        <v>2122</v>
      </c>
      <c r="G1495">
        <v>2124.5</v>
      </c>
      <c r="H1495">
        <v>235700</v>
      </c>
    </row>
    <row r="1496" spans="2:8">
      <c r="B1496" t="s">
        <v>587</v>
      </c>
      <c r="C1496" t="s">
        <v>331</v>
      </c>
      <c r="D1496">
        <v>2124.5</v>
      </c>
      <c r="E1496">
        <v>2126</v>
      </c>
      <c r="F1496">
        <v>2124.5</v>
      </c>
      <c r="G1496">
        <v>2125.5</v>
      </c>
      <c r="H1496">
        <v>183800</v>
      </c>
    </row>
    <row r="1497" spans="2:8">
      <c r="B1497" t="s">
        <v>587</v>
      </c>
      <c r="C1497" t="s">
        <v>332</v>
      </c>
      <c r="D1497">
        <v>2125.5</v>
      </c>
      <c r="E1497">
        <v>2126.5</v>
      </c>
      <c r="F1497">
        <v>2125</v>
      </c>
      <c r="G1497">
        <v>2126</v>
      </c>
      <c r="H1497">
        <v>142000</v>
      </c>
    </row>
    <row r="1498" spans="2:8">
      <c r="B1498" t="s">
        <v>587</v>
      </c>
      <c r="C1498" t="s">
        <v>333</v>
      </c>
      <c r="D1498">
        <v>2125.5</v>
      </c>
      <c r="E1498">
        <v>2126</v>
      </c>
      <c r="F1498">
        <v>2125</v>
      </c>
      <c r="G1498">
        <v>2125.5</v>
      </c>
      <c r="H1498">
        <v>58000</v>
      </c>
    </row>
    <row r="1499" spans="2:8">
      <c r="B1499" t="s">
        <v>587</v>
      </c>
      <c r="C1499" t="s">
        <v>334</v>
      </c>
      <c r="D1499">
        <v>2125.5</v>
      </c>
      <c r="E1499">
        <v>2127.5</v>
      </c>
      <c r="F1499">
        <v>2125</v>
      </c>
      <c r="G1499">
        <v>2127.5</v>
      </c>
      <c r="H1499">
        <v>123900</v>
      </c>
    </row>
    <row r="1500" spans="2:8">
      <c r="B1500" t="s">
        <v>587</v>
      </c>
      <c r="C1500" t="s">
        <v>335</v>
      </c>
      <c r="D1500">
        <v>2127.5</v>
      </c>
      <c r="E1500">
        <v>2127.5</v>
      </c>
      <c r="F1500">
        <v>2126</v>
      </c>
      <c r="G1500">
        <v>2127</v>
      </c>
      <c r="H1500">
        <v>177700</v>
      </c>
    </row>
    <row r="1501" spans="2:8">
      <c r="B1501" t="s">
        <v>587</v>
      </c>
      <c r="C1501" t="s">
        <v>336</v>
      </c>
      <c r="D1501">
        <v>2127</v>
      </c>
      <c r="E1501">
        <v>2127.5</v>
      </c>
      <c r="F1501">
        <v>2126.5</v>
      </c>
      <c r="G1501">
        <v>2127.5</v>
      </c>
      <c r="H1501">
        <v>88600</v>
      </c>
    </row>
    <row r="1502" spans="2:8">
      <c r="B1502" t="s">
        <v>587</v>
      </c>
      <c r="C1502" t="s">
        <v>337</v>
      </c>
      <c r="D1502">
        <v>2127.5</v>
      </c>
      <c r="E1502">
        <v>2130</v>
      </c>
      <c r="F1502">
        <v>2127</v>
      </c>
      <c r="G1502">
        <v>2129</v>
      </c>
      <c r="H1502">
        <v>455000</v>
      </c>
    </row>
    <row r="1503" spans="2:8">
      <c r="B1503" t="s">
        <v>587</v>
      </c>
      <c r="C1503" t="s">
        <v>338</v>
      </c>
      <c r="D1503">
        <v>2128.5</v>
      </c>
      <c r="E1503">
        <v>2129</v>
      </c>
      <c r="F1503">
        <v>2127.5</v>
      </c>
      <c r="G1503">
        <v>2128</v>
      </c>
      <c r="H1503">
        <v>107900</v>
      </c>
    </row>
    <row r="1504" spans="2:8">
      <c r="B1504" t="s">
        <v>587</v>
      </c>
      <c r="C1504" t="s">
        <v>339</v>
      </c>
      <c r="D1504">
        <v>2128</v>
      </c>
      <c r="E1504">
        <v>2129</v>
      </c>
      <c r="F1504">
        <v>2128</v>
      </c>
      <c r="G1504">
        <v>2128.5</v>
      </c>
      <c r="H1504">
        <v>46000</v>
      </c>
    </row>
    <row r="1505" spans="2:8">
      <c r="B1505" t="s">
        <v>587</v>
      </c>
      <c r="C1505" t="s">
        <v>340</v>
      </c>
      <c r="D1505">
        <v>2128.5</v>
      </c>
      <c r="E1505">
        <v>2130</v>
      </c>
      <c r="F1505">
        <v>2127</v>
      </c>
      <c r="G1505">
        <v>2129.5</v>
      </c>
      <c r="H1505">
        <v>297500</v>
      </c>
    </row>
    <row r="1506" spans="2:8">
      <c r="B1506" t="s">
        <v>587</v>
      </c>
      <c r="C1506" t="s">
        <v>341</v>
      </c>
      <c r="D1506">
        <v>2129</v>
      </c>
      <c r="E1506">
        <v>2130</v>
      </c>
      <c r="F1506">
        <v>2128.5</v>
      </c>
      <c r="G1506">
        <v>2129.5</v>
      </c>
      <c r="H1506">
        <v>212500</v>
      </c>
    </row>
    <row r="1507" spans="2:8">
      <c r="B1507" t="s">
        <v>587</v>
      </c>
      <c r="C1507" t="s">
        <v>342</v>
      </c>
      <c r="D1507">
        <v>2129.5</v>
      </c>
      <c r="E1507">
        <v>2132</v>
      </c>
      <c r="F1507">
        <v>2129.5</v>
      </c>
      <c r="G1507">
        <v>2131.5</v>
      </c>
      <c r="H1507">
        <v>240400</v>
      </c>
    </row>
    <row r="1508" spans="2:8">
      <c r="B1508" t="s">
        <v>587</v>
      </c>
      <c r="C1508" t="s">
        <v>343</v>
      </c>
      <c r="D1508">
        <v>2131.5</v>
      </c>
      <c r="E1508">
        <v>2131.5</v>
      </c>
      <c r="F1508">
        <v>2129</v>
      </c>
      <c r="G1508">
        <v>2130</v>
      </c>
      <c r="H1508">
        <v>230300</v>
      </c>
    </row>
    <row r="1509" spans="2:8">
      <c r="B1509" t="s">
        <v>587</v>
      </c>
      <c r="C1509" t="s">
        <v>344</v>
      </c>
      <c r="D1509">
        <v>2129.5</v>
      </c>
      <c r="E1509">
        <v>2131.5</v>
      </c>
      <c r="F1509">
        <v>2129</v>
      </c>
      <c r="G1509">
        <v>2131.5</v>
      </c>
      <c r="H1509">
        <v>166900</v>
      </c>
    </row>
    <row r="1510" spans="2:8">
      <c r="B1510" t="s">
        <v>587</v>
      </c>
      <c r="C1510" t="s">
        <v>345</v>
      </c>
      <c r="D1510">
        <v>2131.5</v>
      </c>
      <c r="E1510">
        <v>2132</v>
      </c>
      <c r="F1510">
        <v>2131</v>
      </c>
      <c r="G1510">
        <v>2132</v>
      </c>
      <c r="H1510">
        <v>95700</v>
      </c>
    </row>
    <row r="1511" spans="2:8">
      <c r="B1511" t="s">
        <v>587</v>
      </c>
      <c r="C1511" t="s">
        <v>346</v>
      </c>
      <c r="D1511">
        <v>2131.5</v>
      </c>
      <c r="E1511">
        <v>2132</v>
      </c>
      <c r="F1511">
        <v>2131</v>
      </c>
      <c r="G1511">
        <v>2132</v>
      </c>
      <c r="H1511">
        <v>49100</v>
      </c>
    </row>
    <row r="1512" spans="2:8">
      <c r="B1512" t="s">
        <v>587</v>
      </c>
      <c r="C1512" t="s">
        <v>347</v>
      </c>
      <c r="D1512">
        <v>2131.5</v>
      </c>
      <c r="E1512">
        <v>2132</v>
      </c>
      <c r="F1512">
        <v>2129</v>
      </c>
      <c r="G1512">
        <v>2130</v>
      </c>
      <c r="H1512">
        <v>133000</v>
      </c>
    </row>
    <row r="1513" spans="2:8">
      <c r="B1513" t="s">
        <v>587</v>
      </c>
      <c r="C1513" t="s">
        <v>348</v>
      </c>
      <c r="D1513">
        <v>2129.5</v>
      </c>
      <c r="E1513">
        <v>2131</v>
      </c>
      <c r="F1513">
        <v>2129</v>
      </c>
      <c r="G1513">
        <v>2131</v>
      </c>
      <c r="H1513">
        <v>169100</v>
      </c>
    </row>
    <row r="1514" spans="2:8">
      <c r="B1514" t="s">
        <v>587</v>
      </c>
      <c r="C1514" t="s">
        <v>349</v>
      </c>
      <c r="D1514">
        <v>2130.5</v>
      </c>
      <c r="E1514">
        <v>2132.5</v>
      </c>
      <c r="F1514">
        <v>2130</v>
      </c>
      <c r="G1514">
        <v>2132.5</v>
      </c>
      <c r="H1514">
        <v>177300</v>
      </c>
    </row>
    <row r="1515" spans="2:8">
      <c r="B1515" t="s">
        <v>587</v>
      </c>
      <c r="C1515" t="s">
        <v>350</v>
      </c>
      <c r="D1515">
        <v>2132.5</v>
      </c>
      <c r="E1515">
        <v>2133</v>
      </c>
      <c r="F1515">
        <v>2131</v>
      </c>
      <c r="G1515">
        <v>2131.5</v>
      </c>
      <c r="H1515">
        <v>92600</v>
      </c>
    </row>
    <row r="1516" spans="2:8">
      <c r="B1516" t="s">
        <v>587</v>
      </c>
      <c r="C1516" t="s">
        <v>351</v>
      </c>
      <c r="D1516">
        <v>2131</v>
      </c>
      <c r="E1516">
        <v>2132.5</v>
      </c>
      <c r="F1516">
        <v>2129.5</v>
      </c>
      <c r="G1516">
        <v>2132</v>
      </c>
      <c r="H1516">
        <v>145600</v>
      </c>
    </row>
    <row r="1517" spans="2:8">
      <c r="B1517" t="s">
        <v>587</v>
      </c>
      <c r="C1517" t="s">
        <v>352</v>
      </c>
      <c r="D1517">
        <v>2132</v>
      </c>
      <c r="E1517">
        <v>2134</v>
      </c>
      <c r="F1517">
        <v>2131.5</v>
      </c>
      <c r="G1517">
        <v>2134</v>
      </c>
      <c r="H1517">
        <v>304900</v>
      </c>
    </row>
    <row r="1518" spans="2:8">
      <c r="B1518" t="s">
        <v>587</v>
      </c>
      <c r="C1518" t="s">
        <v>353</v>
      </c>
      <c r="D1518">
        <v>2133.5</v>
      </c>
      <c r="E1518">
        <v>2134.5</v>
      </c>
      <c r="F1518">
        <v>2133</v>
      </c>
      <c r="G1518">
        <v>2134.5</v>
      </c>
      <c r="H1518">
        <v>66600</v>
      </c>
    </row>
    <row r="1519" spans="2:8">
      <c r="B1519" t="s">
        <v>587</v>
      </c>
      <c r="C1519" t="s">
        <v>354</v>
      </c>
      <c r="D1519">
        <v>2134</v>
      </c>
      <c r="E1519">
        <v>2134</v>
      </c>
      <c r="F1519">
        <v>2133</v>
      </c>
      <c r="G1519">
        <v>2134</v>
      </c>
      <c r="H1519">
        <v>162100</v>
      </c>
    </row>
    <row r="1520" spans="2:8">
      <c r="B1520" t="s">
        <v>587</v>
      </c>
      <c r="C1520" t="s">
        <v>355</v>
      </c>
      <c r="D1520">
        <v>2134</v>
      </c>
      <c r="E1520">
        <v>2134.5</v>
      </c>
      <c r="F1520">
        <v>2134</v>
      </c>
      <c r="G1520">
        <v>2134</v>
      </c>
      <c r="H1520">
        <v>81900</v>
      </c>
    </row>
    <row r="1521" spans="2:8">
      <c r="B1521" t="s">
        <v>587</v>
      </c>
      <c r="C1521" t="s">
        <v>356</v>
      </c>
      <c r="D1521">
        <v>2134</v>
      </c>
      <c r="E1521">
        <v>2134.5</v>
      </c>
      <c r="F1521">
        <v>2133</v>
      </c>
      <c r="G1521">
        <v>2134</v>
      </c>
      <c r="H1521">
        <v>126200</v>
      </c>
    </row>
    <row r="1522" spans="2:8">
      <c r="B1522" t="s">
        <v>587</v>
      </c>
      <c r="C1522" t="s">
        <v>357</v>
      </c>
      <c r="D1522">
        <v>2134.5</v>
      </c>
      <c r="E1522">
        <v>2135.5</v>
      </c>
      <c r="F1522">
        <v>2133</v>
      </c>
      <c r="G1522">
        <v>2135</v>
      </c>
      <c r="H1522">
        <v>482100</v>
      </c>
    </row>
    <row r="1523" spans="2:8">
      <c r="B1523" t="s">
        <v>587</v>
      </c>
      <c r="C1523" t="s">
        <v>358</v>
      </c>
      <c r="D1523">
        <v>2135</v>
      </c>
      <c r="E1523">
        <v>2136.5</v>
      </c>
      <c r="F1523">
        <v>2134.5</v>
      </c>
      <c r="G1523">
        <v>2136</v>
      </c>
      <c r="H1523">
        <v>92900</v>
      </c>
    </row>
    <row r="1524" spans="2:8">
      <c r="B1524" t="s">
        <v>587</v>
      </c>
      <c r="C1524" t="s">
        <v>359</v>
      </c>
      <c r="D1524">
        <v>2136</v>
      </c>
      <c r="E1524">
        <v>2136</v>
      </c>
      <c r="F1524">
        <v>2135.5</v>
      </c>
      <c r="G1524">
        <v>2135.5</v>
      </c>
      <c r="H1524">
        <v>48000</v>
      </c>
    </row>
    <row r="1525" spans="2:8">
      <c r="B1525" t="s">
        <v>587</v>
      </c>
      <c r="C1525" t="s">
        <v>360</v>
      </c>
      <c r="D1525">
        <v>2136</v>
      </c>
      <c r="E1525">
        <v>2136.5</v>
      </c>
      <c r="F1525">
        <v>2135</v>
      </c>
      <c r="G1525">
        <v>2135</v>
      </c>
      <c r="H1525">
        <v>94300</v>
      </c>
    </row>
    <row r="1526" spans="2:8">
      <c r="B1526" t="s">
        <v>587</v>
      </c>
      <c r="C1526" t="s">
        <v>361</v>
      </c>
      <c r="D1526">
        <v>2135</v>
      </c>
      <c r="E1526">
        <v>2135</v>
      </c>
      <c r="F1526">
        <v>2133</v>
      </c>
      <c r="G1526">
        <v>2133</v>
      </c>
      <c r="H1526">
        <v>170400</v>
      </c>
    </row>
    <row r="1527" spans="2:8">
      <c r="B1527" t="s">
        <v>587</v>
      </c>
      <c r="C1527" t="s">
        <v>362</v>
      </c>
      <c r="D1527">
        <v>2133.5</v>
      </c>
      <c r="E1527">
        <v>2136.5</v>
      </c>
      <c r="F1527">
        <v>2131.5</v>
      </c>
      <c r="G1527">
        <v>2136</v>
      </c>
      <c r="H1527">
        <v>249900</v>
      </c>
    </row>
    <row r="1528" spans="2:8">
      <c r="B1528" t="s">
        <v>587</v>
      </c>
      <c r="C1528" t="s">
        <v>363</v>
      </c>
      <c r="D1528">
        <v>2136</v>
      </c>
      <c r="E1528">
        <v>2136.5</v>
      </c>
      <c r="F1528">
        <v>2135.5</v>
      </c>
      <c r="G1528">
        <v>2135.5</v>
      </c>
      <c r="H1528">
        <v>74800</v>
      </c>
    </row>
    <row r="1529" spans="2:8">
      <c r="B1529" t="s">
        <v>587</v>
      </c>
      <c r="C1529" t="s">
        <v>364</v>
      </c>
      <c r="D1529">
        <v>2136</v>
      </c>
      <c r="E1529">
        <v>2136</v>
      </c>
      <c r="F1529">
        <v>2135</v>
      </c>
      <c r="G1529">
        <v>2135</v>
      </c>
      <c r="H1529">
        <v>48700</v>
      </c>
    </row>
    <row r="1530" spans="2:8">
      <c r="B1530" t="s">
        <v>587</v>
      </c>
      <c r="C1530" t="s">
        <v>365</v>
      </c>
      <c r="D1530">
        <v>2135</v>
      </c>
      <c r="E1530">
        <v>2135.5</v>
      </c>
      <c r="F1530">
        <v>2135</v>
      </c>
      <c r="G1530">
        <v>2135</v>
      </c>
      <c r="H1530">
        <v>27000</v>
      </c>
    </row>
    <row r="1531" spans="2:8">
      <c r="B1531" t="s">
        <v>587</v>
      </c>
      <c r="C1531" t="s">
        <v>366</v>
      </c>
      <c r="D1531">
        <v>2135.5</v>
      </c>
      <c r="E1531">
        <v>2136</v>
      </c>
      <c r="F1531">
        <v>2134.5</v>
      </c>
      <c r="G1531">
        <v>2135.5</v>
      </c>
      <c r="H1531">
        <v>157000</v>
      </c>
    </row>
    <row r="1532" spans="2:8">
      <c r="B1532" t="s">
        <v>587</v>
      </c>
      <c r="C1532" t="s">
        <v>367</v>
      </c>
      <c r="D1532">
        <v>2135</v>
      </c>
      <c r="E1532">
        <v>2135.5</v>
      </c>
      <c r="F1532">
        <v>2132</v>
      </c>
      <c r="G1532">
        <v>2132.5</v>
      </c>
      <c r="H1532">
        <v>81000</v>
      </c>
    </row>
    <row r="1533" spans="2:8">
      <c r="B1533" t="s">
        <v>587</v>
      </c>
      <c r="C1533" t="s">
        <v>368</v>
      </c>
      <c r="D1533">
        <v>2132.5</v>
      </c>
      <c r="E1533">
        <v>2135</v>
      </c>
      <c r="F1533">
        <v>2132.5</v>
      </c>
      <c r="G1533">
        <v>2134.5</v>
      </c>
      <c r="H1533">
        <v>150200</v>
      </c>
    </row>
    <row r="1534" spans="2:8">
      <c r="B1534" t="s">
        <v>587</v>
      </c>
      <c r="C1534" t="s">
        <v>369</v>
      </c>
      <c r="D1534">
        <v>2135</v>
      </c>
      <c r="E1534">
        <v>2135.5</v>
      </c>
      <c r="F1534">
        <v>2135</v>
      </c>
      <c r="G1534">
        <v>2135.5</v>
      </c>
      <c r="H1534">
        <v>33600</v>
      </c>
    </row>
    <row r="1535" spans="2:8">
      <c r="B1535" t="s">
        <v>587</v>
      </c>
      <c r="C1535" t="s">
        <v>370</v>
      </c>
      <c r="D1535">
        <v>2135.5</v>
      </c>
      <c r="E1535">
        <v>2136</v>
      </c>
      <c r="F1535">
        <v>2135</v>
      </c>
      <c r="G1535">
        <v>2135</v>
      </c>
      <c r="H1535">
        <v>44700</v>
      </c>
    </row>
    <row r="1536" spans="2:8">
      <c r="B1536" t="s">
        <v>587</v>
      </c>
      <c r="C1536" t="s">
        <v>371</v>
      </c>
      <c r="D1536">
        <v>2135.5</v>
      </c>
      <c r="E1536">
        <v>2135.5</v>
      </c>
      <c r="F1536">
        <v>2135</v>
      </c>
      <c r="G1536">
        <v>2135.5</v>
      </c>
      <c r="H1536">
        <v>40200</v>
      </c>
    </row>
    <row r="1537" spans="2:8">
      <c r="B1537" t="s">
        <v>587</v>
      </c>
      <c r="C1537" t="s">
        <v>372</v>
      </c>
      <c r="D1537">
        <v>2135</v>
      </c>
      <c r="E1537">
        <v>2135.5</v>
      </c>
      <c r="F1537">
        <v>2133.5</v>
      </c>
      <c r="G1537">
        <v>2135</v>
      </c>
      <c r="H1537">
        <v>146100</v>
      </c>
    </row>
    <row r="1538" spans="2:8">
      <c r="B1538" t="s">
        <v>587</v>
      </c>
      <c r="C1538" t="s">
        <v>373</v>
      </c>
      <c r="D1538">
        <v>2135</v>
      </c>
      <c r="E1538">
        <v>2137</v>
      </c>
      <c r="F1538">
        <v>2135</v>
      </c>
      <c r="G1538">
        <v>2135.5</v>
      </c>
      <c r="H1538">
        <v>340000</v>
      </c>
    </row>
    <row r="1539" spans="2:8">
      <c r="B1539" t="s">
        <v>587</v>
      </c>
      <c r="C1539" t="s">
        <v>374</v>
      </c>
      <c r="D1539">
        <v>2135.5</v>
      </c>
      <c r="E1539">
        <v>2135.5</v>
      </c>
      <c r="F1539">
        <v>2134.5</v>
      </c>
      <c r="G1539">
        <v>2135</v>
      </c>
      <c r="H1539">
        <v>42200</v>
      </c>
    </row>
    <row r="1540" spans="2:8">
      <c r="B1540" t="s">
        <v>587</v>
      </c>
      <c r="C1540" t="s">
        <v>375</v>
      </c>
      <c r="D1540">
        <v>2135</v>
      </c>
      <c r="E1540">
        <v>2136.5</v>
      </c>
      <c r="F1540">
        <v>2134.5</v>
      </c>
      <c r="G1540">
        <v>2136</v>
      </c>
      <c r="H1540">
        <v>178500</v>
      </c>
    </row>
    <row r="1541" spans="2:8">
      <c r="B1541" t="s">
        <v>587</v>
      </c>
      <c r="C1541" t="s">
        <v>376</v>
      </c>
      <c r="D1541">
        <v>2136</v>
      </c>
      <c r="E1541">
        <v>2136.5</v>
      </c>
      <c r="F1541">
        <v>2136</v>
      </c>
      <c r="G1541">
        <v>2136.5</v>
      </c>
      <c r="H1541">
        <v>53800</v>
      </c>
    </row>
    <row r="1542" spans="2:8">
      <c r="B1542" t="s">
        <v>587</v>
      </c>
      <c r="C1542" t="s">
        <v>377</v>
      </c>
      <c r="D1542">
        <v>2136</v>
      </c>
      <c r="E1542">
        <v>2136.5</v>
      </c>
      <c r="F1542">
        <v>2136</v>
      </c>
      <c r="G1542">
        <v>2136</v>
      </c>
      <c r="H1542">
        <v>69100</v>
      </c>
    </row>
    <row r="1543" spans="2:8">
      <c r="B1543" t="s">
        <v>587</v>
      </c>
      <c r="C1543" t="s">
        <v>378</v>
      </c>
      <c r="D1543">
        <v>2136</v>
      </c>
      <c r="E1543">
        <v>2136.5</v>
      </c>
      <c r="F1543">
        <v>2136</v>
      </c>
      <c r="G1543">
        <v>2136.5</v>
      </c>
      <c r="H1543">
        <v>70700</v>
      </c>
    </row>
    <row r="1544" spans="2:8">
      <c r="B1544" t="s">
        <v>587</v>
      </c>
      <c r="C1544" t="s">
        <v>379</v>
      </c>
      <c r="D1544">
        <v>2136.5</v>
      </c>
      <c r="E1544">
        <v>2136.5</v>
      </c>
      <c r="F1544">
        <v>2135.5</v>
      </c>
      <c r="G1544">
        <v>2136</v>
      </c>
      <c r="H1544">
        <v>112100</v>
      </c>
    </row>
    <row r="1545" spans="2:8">
      <c r="B1545" t="s">
        <v>587</v>
      </c>
      <c r="C1545" t="s">
        <v>380</v>
      </c>
      <c r="D1545">
        <v>2135.5</v>
      </c>
      <c r="E1545">
        <v>2136</v>
      </c>
      <c r="F1545">
        <v>2134</v>
      </c>
      <c r="G1545">
        <v>2134</v>
      </c>
      <c r="H1545">
        <v>102400</v>
      </c>
    </row>
    <row r="1546" spans="2:8">
      <c r="B1546" t="s">
        <v>587</v>
      </c>
      <c r="C1546" t="s">
        <v>381</v>
      </c>
      <c r="D1546">
        <v>2134</v>
      </c>
      <c r="E1546">
        <v>2137</v>
      </c>
      <c r="F1546">
        <v>2134</v>
      </c>
      <c r="G1546">
        <v>2136.5</v>
      </c>
      <c r="H1546">
        <v>131700</v>
      </c>
    </row>
    <row r="1547" spans="2:8">
      <c r="B1547" t="s">
        <v>587</v>
      </c>
      <c r="C1547" t="s">
        <v>382</v>
      </c>
      <c r="D1547">
        <v>2137</v>
      </c>
      <c r="E1547">
        <v>2138.5</v>
      </c>
      <c r="F1547">
        <v>2136.5</v>
      </c>
      <c r="G1547">
        <v>2136.5</v>
      </c>
      <c r="H1547">
        <v>211900</v>
      </c>
    </row>
    <row r="1548" spans="2:8">
      <c r="B1548" t="s">
        <v>587</v>
      </c>
      <c r="C1548" t="s">
        <v>383</v>
      </c>
      <c r="D1548">
        <v>2137</v>
      </c>
      <c r="E1548">
        <v>2137.5</v>
      </c>
      <c r="F1548">
        <v>2137</v>
      </c>
      <c r="G1548">
        <v>2137</v>
      </c>
      <c r="H1548">
        <v>46000</v>
      </c>
    </row>
    <row r="1549" spans="2:8">
      <c r="B1549" t="s">
        <v>587</v>
      </c>
      <c r="C1549" t="s">
        <v>384</v>
      </c>
      <c r="D1549">
        <v>2136.5</v>
      </c>
      <c r="E1549">
        <v>2137.5</v>
      </c>
      <c r="F1549">
        <v>2136.5</v>
      </c>
      <c r="G1549">
        <v>2136.5</v>
      </c>
      <c r="H1549">
        <v>71100</v>
      </c>
    </row>
    <row r="1550" spans="2:8">
      <c r="B1550" t="s">
        <v>587</v>
      </c>
      <c r="C1550" t="s">
        <v>385</v>
      </c>
      <c r="D1550">
        <v>2136.5</v>
      </c>
      <c r="E1550">
        <v>2137</v>
      </c>
      <c r="F1550">
        <v>2136</v>
      </c>
      <c r="G1550">
        <v>2137</v>
      </c>
      <c r="H1550">
        <v>50800</v>
      </c>
    </row>
    <row r="1551" spans="2:8">
      <c r="B1551" t="s">
        <v>587</v>
      </c>
      <c r="C1551" t="s">
        <v>386</v>
      </c>
      <c r="D1551">
        <v>2136.5</v>
      </c>
      <c r="E1551">
        <v>2137.5</v>
      </c>
      <c r="F1551">
        <v>2136.5</v>
      </c>
      <c r="G1551">
        <v>2137</v>
      </c>
      <c r="H1551">
        <v>57200</v>
      </c>
    </row>
    <row r="1552" spans="2:8">
      <c r="B1552" t="s">
        <v>587</v>
      </c>
      <c r="C1552" t="s">
        <v>387</v>
      </c>
      <c r="D1552">
        <v>2137</v>
      </c>
      <c r="E1552">
        <v>2137.5</v>
      </c>
      <c r="F1552">
        <v>2136.5</v>
      </c>
      <c r="G1552">
        <v>2137</v>
      </c>
      <c r="H1552">
        <v>14700</v>
      </c>
    </row>
    <row r="1553" spans="2:8">
      <c r="B1553" t="s">
        <v>587</v>
      </c>
      <c r="C1553" t="s">
        <v>388</v>
      </c>
      <c r="D1553">
        <v>2136.5</v>
      </c>
      <c r="E1553">
        <v>2137</v>
      </c>
      <c r="F1553">
        <v>2136</v>
      </c>
      <c r="G1553">
        <v>2136</v>
      </c>
      <c r="H1553">
        <v>35800</v>
      </c>
    </row>
    <row r="1554" spans="2:8">
      <c r="B1554" t="s">
        <v>587</v>
      </c>
      <c r="C1554" t="s">
        <v>389</v>
      </c>
      <c r="D1554">
        <v>2136</v>
      </c>
      <c r="E1554">
        <v>2137</v>
      </c>
      <c r="F1554">
        <v>2135.5</v>
      </c>
      <c r="G1554">
        <v>2137</v>
      </c>
      <c r="H1554">
        <v>153800</v>
      </c>
    </row>
    <row r="1555" spans="2:8">
      <c r="B1555" t="s">
        <v>587</v>
      </c>
      <c r="C1555" t="s">
        <v>390</v>
      </c>
      <c r="D1555">
        <v>2136.5</v>
      </c>
      <c r="E1555">
        <v>2137.5</v>
      </c>
      <c r="F1555">
        <v>2136.5</v>
      </c>
      <c r="G1555">
        <v>2137.5</v>
      </c>
      <c r="H1555">
        <v>86100</v>
      </c>
    </row>
    <row r="1556" spans="2:8">
      <c r="B1556" t="s">
        <v>587</v>
      </c>
      <c r="C1556" t="s">
        <v>391</v>
      </c>
      <c r="D1556">
        <v>2136.5</v>
      </c>
      <c r="E1556">
        <v>2137.5</v>
      </c>
      <c r="F1556">
        <v>2136</v>
      </c>
      <c r="G1556">
        <v>2137</v>
      </c>
      <c r="H1556">
        <v>76700</v>
      </c>
    </row>
    <row r="1557" spans="2:8">
      <c r="B1557" t="s">
        <v>587</v>
      </c>
      <c r="C1557" t="s">
        <v>392</v>
      </c>
      <c r="D1557">
        <v>2137</v>
      </c>
      <c r="E1557">
        <v>2137</v>
      </c>
      <c r="F1557">
        <v>2136.5</v>
      </c>
      <c r="G1557">
        <v>2137</v>
      </c>
      <c r="H1557">
        <v>129800</v>
      </c>
    </row>
    <row r="1558" spans="2:8">
      <c r="B1558" t="s">
        <v>587</v>
      </c>
      <c r="C1558" t="s">
        <v>393</v>
      </c>
      <c r="D1558">
        <v>2137</v>
      </c>
      <c r="E1558">
        <v>2137.5</v>
      </c>
      <c r="F1558">
        <v>2136.5</v>
      </c>
      <c r="G1558">
        <v>2137</v>
      </c>
      <c r="H1558">
        <v>61100</v>
      </c>
    </row>
    <row r="1559" spans="2:8">
      <c r="B1559" t="s">
        <v>587</v>
      </c>
      <c r="C1559" t="s">
        <v>394</v>
      </c>
      <c r="D1559">
        <v>2137</v>
      </c>
      <c r="E1559">
        <v>2137.5</v>
      </c>
      <c r="F1559">
        <v>2136</v>
      </c>
      <c r="G1559">
        <v>2136</v>
      </c>
      <c r="H1559">
        <v>72800</v>
      </c>
    </row>
    <row r="1560" spans="2:8">
      <c r="B1560" t="s">
        <v>587</v>
      </c>
      <c r="C1560" t="s">
        <v>395</v>
      </c>
      <c r="D1560">
        <v>2136.5</v>
      </c>
      <c r="E1560">
        <v>2137</v>
      </c>
      <c r="F1560">
        <v>2135</v>
      </c>
      <c r="G1560">
        <v>2136</v>
      </c>
      <c r="H1560">
        <v>142300</v>
      </c>
    </row>
    <row r="1561" spans="2:8">
      <c r="B1561" t="s">
        <v>587</v>
      </c>
      <c r="C1561" t="s">
        <v>396</v>
      </c>
      <c r="D1561">
        <v>2136.5</v>
      </c>
      <c r="E1561">
        <v>2137.5</v>
      </c>
      <c r="F1561">
        <v>2136</v>
      </c>
      <c r="G1561">
        <v>2136.5</v>
      </c>
      <c r="H1561">
        <v>136700</v>
      </c>
    </row>
    <row r="1562" spans="2:8">
      <c r="B1562" t="s">
        <v>587</v>
      </c>
      <c r="C1562" t="s">
        <v>397</v>
      </c>
      <c r="D1562">
        <v>2137</v>
      </c>
      <c r="E1562">
        <v>2138</v>
      </c>
      <c r="F1562">
        <v>2137</v>
      </c>
      <c r="G1562">
        <v>2138</v>
      </c>
      <c r="H1562">
        <v>53100</v>
      </c>
    </row>
    <row r="1563" spans="2:8">
      <c r="B1563" t="s">
        <v>587</v>
      </c>
      <c r="C1563" t="s">
        <v>398</v>
      </c>
      <c r="D1563">
        <v>2137.5</v>
      </c>
      <c r="E1563">
        <v>2138</v>
      </c>
      <c r="F1563">
        <v>2137</v>
      </c>
      <c r="G1563">
        <v>2138</v>
      </c>
      <c r="H1563">
        <v>19900</v>
      </c>
    </row>
    <row r="1564" spans="2:8">
      <c r="B1564" t="s">
        <v>587</v>
      </c>
      <c r="C1564" t="s">
        <v>399</v>
      </c>
      <c r="D1564">
        <v>2137.5</v>
      </c>
      <c r="E1564">
        <v>2138</v>
      </c>
      <c r="F1564">
        <v>2137</v>
      </c>
      <c r="G1564">
        <v>2137</v>
      </c>
      <c r="H1564">
        <v>25600</v>
      </c>
    </row>
    <row r="1565" spans="2:8">
      <c r="B1565" t="s">
        <v>587</v>
      </c>
      <c r="C1565" t="s">
        <v>400</v>
      </c>
      <c r="D1565">
        <v>2137.5</v>
      </c>
      <c r="E1565">
        <v>2137.5</v>
      </c>
      <c r="F1565">
        <v>2136.5</v>
      </c>
      <c r="G1565">
        <v>2137</v>
      </c>
      <c r="H1565">
        <v>83100</v>
      </c>
    </row>
    <row r="1566" spans="2:8">
      <c r="B1566" t="s">
        <v>587</v>
      </c>
      <c r="C1566" t="s">
        <v>401</v>
      </c>
      <c r="D1566">
        <v>2137</v>
      </c>
      <c r="E1566">
        <v>2138.5</v>
      </c>
      <c r="F1566">
        <v>2136.5</v>
      </c>
      <c r="G1566">
        <v>2138</v>
      </c>
      <c r="H1566">
        <v>226200</v>
      </c>
    </row>
    <row r="1567" spans="2:8">
      <c r="B1567" t="s">
        <v>587</v>
      </c>
      <c r="C1567" t="s">
        <v>402</v>
      </c>
      <c r="D1567">
        <v>2138</v>
      </c>
      <c r="E1567">
        <v>2138.5</v>
      </c>
      <c r="F1567">
        <v>2137.5</v>
      </c>
      <c r="G1567">
        <v>2138</v>
      </c>
      <c r="H1567">
        <v>46300</v>
      </c>
    </row>
    <row r="1568" spans="2:8">
      <c r="B1568" t="s">
        <v>587</v>
      </c>
      <c r="C1568" t="s">
        <v>403</v>
      </c>
      <c r="D1568">
        <v>2138</v>
      </c>
      <c r="E1568">
        <v>2138.5</v>
      </c>
      <c r="F1568">
        <v>2137.5</v>
      </c>
      <c r="G1568">
        <v>2138</v>
      </c>
      <c r="H1568">
        <v>55800</v>
      </c>
    </row>
    <row r="1569" spans="2:8">
      <c r="B1569" t="s">
        <v>587</v>
      </c>
      <c r="C1569" t="s">
        <v>404</v>
      </c>
      <c r="D1569">
        <v>2138</v>
      </c>
      <c r="E1569">
        <v>2139.5</v>
      </c>
      <c r="F1569">
        <v>2138</v>
      </c>
      <c r="G1569">
        <v>2139</v>
      </c>
      <c r="H1569">
        <v>348700</v>
      </c>
    </row>
    <row r="1570" spans="2:8">
      <c r="B1570" t="s">
        <v>587</v>
      </c>
      <c r="C1570" t="s">
        <v>405</v>
      </c>
      <c r="D1570">
        <v>2139</v>
      </c>
      <c r="E1570">
        <v>2139.5</v>
      </c>
      <c r="F1570">
        <v>2138</v>
      </c>
      <c r="G1570">
        <v>2138.5</v>
      </c>
      <c r="H1570">
        <v>38400</v>
      </c>
    </row>
    <row r="1571" spans="2:8">
      <c r="B1571" t="s">
        <v>587</v>
      </c>
      <c r="C1571" t="s">
        <v>406</v>
      </c>
      <c r="D1571">
        <v>2138</v>
      </c>
      <c r="E1571">
        <v>2139</v>
      </c>
      <c r="F1571">
        <v>2138</v>
      </c>
      <c r="G1571">
        <v>2138.5</v>
      </c>
      <c r="H1571">
        <v>56300</v>
      </c>
    </row>
    <row r="1572" spans="2:8">
      <c r="B1572" t="s">
        <v>587</v>
      </c>
      <c r="C1572" t="s">
        <v>407</v>
      </c>
      <c r="D1572">
        <v>2138.5</v>
      </c>
      <c r="E1572">
        <v>2138.5</v>
      </c>
      <c r="F1572">
        <v>2138</v>
      </c>
      <c r="G1572">
        <v>2138.5</v>
      </c>
      <c r="H1572">
        <v>52700</v>
      </c>
    </row>
    <row r="1573" spans="2:8">
      <c r="B1573" t="s">
        <v>587</v>
      </c>
      <c r="C1573" t="s">
        <v>408</v>
      </c>
      <c r="D1573">
        <v>2138.5</v>
      </c>
      <c r="E1573">
        <v>2139</v>
      </c>
      <c r="F1573">
        <v>2137.5</v>
      </c>
      <c r="G1573">
        <v>2137.5</v>
      </c>
      <c r="H1573">
        <v>122800</v>
      </c>
    </row>
    <row r="1574" spans="2:8">
      <c r="B1574" t="s">
        <v>587</v>
      </c>
      <c r="C1574" t="s">
        <v>409</v>
      </c>
      <c r="D1574">
        <v>2137.5</v>
      </c>
      <c r="E1574">
        <v>2138.5</v>
      </c>
      <c r="F1574">
        <v>2137</v>
      </c>
      <c r="G1574">
        <v>2138</v>
      </c>
      <c r="H1574">
        <v>48500</v>
      </c>
    </row>
    <row r="1575" spans="2:8">
      <c r="B1575" t="s">
        <v>587</v>
      </c>
      <c r="C1575" t="s">
        <v>410</v>
      </c>
      <c r="D1575">
        <v>2138.5</v>
      </c>
      <c r="E1575">
        <v>2138.5</v>
      </c>
      <c r="F1575">
        <v>2137.5</v>
      </c>
      <c r="G1575">
        <v>2138</v>
      </c>
      <c r="H1575">
        <v>52100</v>
      </c>
    </row>
    <row r="1576" spans="2:8">
      <c r="B1576" t="s">
        <v>587</v>
      </c>
      <c r="C1576" t="s">
        <v>411</v>
      </c>
      <c r="D1576">
        <v>2137.5</v>
      </c>
      <c r="E1576">
        <v>2138</v>
      </c>
      <c r="F1576">
        <v>2137</v>
      </c>
      <c r="G1576">
        <v>2137.5</v>
      </c>
      <c r="H1576">
        <v>93800</v>
      </c>
    </row>
    <row r="1577" spans="2:8">
      <c r="B1577" t="s">
        <v>587</v>
      </c>
      <c r="C1577" t="s">
        <v>412</v>
      </c>
      <c r="D1577">
        <v>2138</v>
      </c>
      <c r="E1577">
        <v>2138</v>
      </c>
      <c r="F1577">
        <v>2137.5</v>
      </c>
      <c r="G1577">
        <v>2138</v>
      </c>
      <c r="H1577">
        <v>54400</v>
      </c>
    </row>
    <row r="1578" spans="2:8">
      <c r="B1578" t="s">
        <v>587</v>
      </c>
      <c r="C1578" t="s">
        <v>413</v>
      </c>
      <c r="D1578">
        <v>2138.5</v>
      </c>
      <c r="E1578">
        <v>2139</v>
      </c>
      <c r="F1578">
        <v>2138</v>
      </c>
      <c r="G1578">
        <v>2138.5</v>
      </c>
      <c r="H1578">
        <v>39000</v>
      </c>
    </row>
    <row r="1579" spans="2:8">
      <c r="B1579" t="s">
        <v>587</v>
      </c>
      <c r="C1579" t="s">
        <v>414</v>
      </c>
      <c r="D1579">
        <v>2138.5</v>
      </c>
      <c r="E1579">
        <v>2139</v>
      </c>
      <c r="F1579">
        <v>2138.5</v>
      </c>
      <c r="G1579">
        <v>2139</v>
      </c>
      <c r="H1579">
        <v>9400</v>
      </c>
    </row>
    <row r="1580" spans="2:8">
      <c r="B1580" t="s">
        <v>587</v>
      </c>
      <c r="C1580" t="s">
        <v>415</v>
      </c>
      <c r="D1580">
        <v>2138.5</v>
      </c>
      <c r="E1580">
        <v>2139.5</v>
      </c>
      <c r="F1580">
        <v>2138.5</v>
      </c>
      <c r="G1580">
        <v>2139.5</v>
      </c>
      <c r="H1580">
        <v>77300</v>
      </c>
    </row>
    <row r="1581" spans="2:8">
      <c r="B1581" t="s">
        <v>587</v>
      </c>
      <c r="C1581" t="s">
        <v>416</v>
      </c>
      <c r="D1581">
        <v>2139</v>
      </c>
      <c r="E1581">
        <v>2139.5</v>
      </c>
      <c r="F1581">
        <v>2138.5</v>
      </c>
      <c r="G1581">
        <v>2139</v>
      </c>
      <c r="H1581">
        <v>31600</v>
      </c>
    </row>
    <row r="1582" spans="2:8">
      <c r="B1582" t="s">
        <v>587</v>
      </c>
      <c r="C1582" t="s">
        <v>417</v>
      </c>
      <c r="D1582">
        <v>2139</v>
      </c>
      <c r="E1582">
        <v>2139</v>
      </c>
      <c r="F1582">
        <v>2138</v>
      </c>
      <c r="G1582">
        <v>2138.5</v>
      </c>
      <c r="H1582">
        <v>27500</v>
      </c>
    </row>
    <row r="1583" spans="2:8">
      <c r="B1583" t="s">
        <v>587</v>
      </c>
      <c r="C1583" t="s">
        <v>418</v>
      </c>
      <c r="D1583">
        <v>2138</v>
      </c>
      <c r="E1583">
        <v>2138.5</v>
      </c>
      <c r="F1583">
        <v>2137</v>
      </c>
      <c r="G1583">
        <v>2137.5</v>
      </c>
      <c r="H1583">
        <v>144500</v>
      </c>
    </row>
    <row r="1584" spans="2:8">
      <c r="B1584" t="s">
        <v>587</v>
      </c>
      <c r="C1584" t="s">
        <v>419</v>
      </c>
      <c r="D1584">
        <v>2137.5</v>
      </c>
      <c r="E1584">
        <v>2139</v>
      </c>
      <c r="F1584">
        <v>2137</v>
      </c>
      <c r="G1584">
        <v>2138.5</v>
      </c>
      <c r="H1584">
        <v>96900</v>
      </c>
    </row>
    <row r="1585" spans="2:8">
      <c r="B1585" t="s">
        <v>587</v>
      </c>
      <c r="C1585" t="s">
        <v>420</v>
      </c>
      <c r="D1585">
        <v>2138.5</v>
      </c>
      <c r="E1585">
        <v>2138.5</v>
      </c>
      <c r="F1585">
        <v>2137.5</v>
      </c>
      <c r="G1585">
        <v>2138</v>
      </c>
      <c r="H1585">
        <v>87700</v>
      </c>
    </row>
    <row r="1586" spans="2:8">
      <c r="B1586" t="s">
        <v>587</v>
      </c>
      <c r="C1586" t="s">
        <v>421</v>
      </c>
      <c r="D1586">
        <v>2138</v>
      </c>
      <c r="E1586">
        <v>2138.5</v>
      </c>
      <c r="F1586">
        <v>2137.5</v>
      </c>
      <c r="G1586">
        <v>2138</v>
      </c>
      <c r="H1586">
        <v>82100</v>
      </c>
    </row>
    <row r="1587" spans="2:8">
      <c r="B1587" t="s">
        <v>587</v>
      </c>
      <c r="C1587" t="s">
        <v>422</v>
      </c>
      <c r="D1587">
        <v>2138</v>
      </c>
      <c r="E1587">
        <v>2138.5</v>
      </c>
      <c r="F1587">
        <v>2136.5</v>
      </c>
      <c r="G1587">
        <v>2136.5</v>
      </c>
      <c r="H1587">
        <v>78300</v>
      </c>
    </row>
    <row r="1588" spans="2:8">
      <c r="B1588" t="s">
        <v>587</v>
      </c>
      <c r="C1588" t="s">
        <v>423</v>
      </c>
      <c r="D1588">
        <v>2136</v>
      </c>
      <c r="E1588">
        <v>2137</v>
      </c>
      <c r="F1588">
        <v>2135.5</v>
      </c>
      <c r="G1588">
        <v>2136.5</v>
      </c>
      <c r="H1588">
        <v>105600</v>
      </c>
    </row>
    <row r="1589" spans="2:8">
      <c r="B1589" t="s">
        <v>587</v>
      </c>
      <c r="C1589" t="s">
        <v>424</v>
      </c>
      <c r="D1589">
        <v>2136.5</v>
      </c>
      <c r="E1589">
        <v>2136.5</v>
      </c>
      <c r="F1589">
        <v>2134</v>
      </c>
      <c r="G1589">
        <v>2134</v>
      </c>
      <c r="H1589">
        <v>117600</v>
      </c>
    </row>
    <row r="1590" spans="2:8">
      <c r="B1590" t="s">
        <v>587</v>
      </c>
      <c r="C1590" t="s">
        <v>425</v>
      </c>
      <c r="D1590">
        <v>2134.5</v>
      </c>
      <c r="E1590">
        <v>2134.5</v>
      </c>
      <c r="F1590">
        <v>2132.5</v>
      </c>
      <c r="G1590">
        <v>2132.5</v>
      </c>
      <c r="H1590">
        <v>94400</v>
      </c>
    </row>
    <row r="1591" spans="2:8">
      <c r="B1591" t="s">
        <v>587</v>
      </c>
      <c r="C1591" t="s">
        <v>426</v>
      </c>
      <c r="D1591">
        <v>2132.5</v>
      </c>
      <c r="E1591">
        <v>2134</v>
      </c>
      <c r="F1591">
        <v>2132.5</v>
      </c>
      <c r="G1591">
        <v>2133</v>
      </c>
      <c r="H1591">
        <v>81200</v>
      </c>
    </row>
    <row r="1592" spans="2:8">
      <c r="B1592" t="s">
        <v>587</v>
      </c>
      <c r="C1592" t="s">
        <v>427</v>
      </c>
      <c r="D1592">
        <v>2133</v>
      </c>
      <c r="E1592">
        <v>2133.5</v>
      </c>
      <c r="F1592">
        <v>2132</v>
      </c>
      <c r="G1592">
        <v>2132</v>
      </c>
      <c r="H1592">
        <v>83200</v>
      </c>
    </row>
    <row r="1593" spans="2:8">
      <c r="B1593" t="s">
        <v>587</v>
      </c>
      <c r="C1593" t="s">
        <v>428</v>
      </c>
      <c r="D1593">
        <v>2131.5</v>
      </c>
      <c r="E1593">
        <v>2132</v>
      </c>
      <c r="F1593">
        <v>2129</v>
      </c>
      <c r="G1593">
        <v>2129</v>
      </c>
      <c r="H1593">
        <v>168300</v>
      </c>
    </row>
    <row r="1594" spans="2:8">
      <c r="B1594" t="s">
        <v>587</v>
      </c>
      <c r="C1594" t="s">
        <v>429</v>
      </c>
      <c r="D1594">
        <v>2129</v>
      </c>
      <c r="E1594">
        <v>2130.5</v>
      </c>
      <c r="F1594">
        <v>2129</v>
      </c>
      <c r="G1594">
        <v>2130</v>
      </c>
      <c r="H1594">
        <v>78900</v>
      </c>
    </row>
    <row r="1595" spans="2:8">
      <c r="B1595" t="s">
        <v>587</v>
      </c>
      <c r="C1595" t="s">
        <v>430</v>
      </c>
      <c r="D1595">
        <v>2130</v>
      </c>
      <c r="E1595">
        <v>2130</v>
      </c>
      <c r="F1595">
        <v>2128.5</v>
      </c>
      <c r="G1595">
        <v>2128.5</v>
      </c>
      <c r="H1595">
        <v>73000</v>
      </c>
    </row>
    <row r="1596" spans="2:8">
      <c r="B1596" t="s">
        <v>587</v>
      </c>
      <c r="C1596" t="s">
        <v>431</v>
      </c>
      <c r="D1596">
        <v>2128</v>
      </c>
      <c r="E1596">
        <v>2129</v>
      </c>
      <c r="F1596">
        <v>2127.5</v>
      </c>
      <c r="G1596">
        <v>2127.5</v>
      </c>
      <c r="H1596">
        <v>67300</v>
      </c>
    </row>
    <row r="1597" spans="2:8">
      <c r="B1597" t="s">
        <v>587</v>
      </c>
      <c r="C1597" t="s">
        <v>9</v>
      </c>
      <c r="D1597">
        <v>2128</v>
      </c>
      <c r="E1597">
        <v>2128.5</v>
      </c>
      <c r="F1597">
        <v>2127.5</v>
      </c>
      <c r="G1597">
        <v>2127.5</v>
      </c>
      <c r="H1597">
        <v>21600</v>
      </c>
    </row>
    <row r="1598" spans="2:8">
      <c r="B1598" t="s">
        <v>587</v>
      </c>
      <c r="C1598" t="s">
        <v>10</v>
      </c>
      <c r="D1598">
        <v>2127.5</v>
      </c>
      <c r="E1598">
        <v>2128</v>
      </c>
      <c r="F1598">
        <v>2127</v>
      </c>
      <c r="G1598">
        <v>2127.5</v>
      </c>
      <c r="H1598">
        <v>54100</v>
      </c>
    </row>
    <row r="1599" spans="2:8">
      <c r="B1599" t="s">
        <v>587</v>
      </c>
      <c r="C1599" t="s">
        <v>11</v>
      </c>
      <c r="D1599">
        <v>2127</v>
      </c>
      <c r="E1599">
        <v>2129.5</v>
      </c>
      <c r="F1599">
        <v>2127</v>
      </c>
      <c r="G1599">
        <v>2128.5</v>
      </c>
      <c r="H1599">
        <v>102700</v>
      </c>
    </row>
    <row r="1600" spans="2:8">
      <c r="B1600" t="s">
        <v>587</v>
      </c>
      <c r="C1600" t="s">
        <v>12</v>
      </c>
      <c r="D1600">
        <v>2129</v>
      </c>
      <c r="E1600">
        <v>2129.5</v>
      </c>
      <c r="F1600">
        <v>2128.5</v>
      </c>
      <c r="G1600">
        <v>2129</v>
      </c>
      <c r="H1600">
        <v>81400</v>
      </c>
    </row>
    <row r="1601" spans="2:8">
      <c r="B1601" t="s">
        <v>587</v>
      </c>
      <c r="C1601" t="s">
        <v>13</v>
      </c>
      <c r="D1601">
        <v>2129</v>
      </c>
      <c r="E1601">
        <v>2129</v>
      </c>
      <c r="F1601">
        <v>2125.5</v>
      </c>
      <c r="G1601">
        <v>2125.5</v>
      </c>
      <c r="H1601">
        <v>133200</v>
      </c>
    </row>
    <row r="1602" spans="2:8">
      <c r="B1602" t="s">
        <v>587</v>
      </c>
      <c r="C1602" t="s">
        <v>14</v>
      </c>
      <c r="D1602">
        <v>2125.5</v>
      </c>
      <c r="E1602">
        <v>2127.5</v>
      </c>
      <c r="F1602">
        <v>2125.5</v>
      </c>
      <c r="G1602">
        <v>2126</v>
      </c>
      <c r="H1602">
        <v>49000</v>
      </c>
    </row>
    <row r="1603" spans="2:8">
      <c r="B1603" t="s">
        <v>587</v>
      </c>
      <c r="C1603" t="s">
        <v>15</v>
      </c>
      <c r="D1603">
        <v>2125.5</v>
      </c>
      <c r="E1603">
        <v>2126</v>
      </c>
      <c r="F1603">
        <v>2125</v>
      </c>
      <c r="G1603">
        <v>2125</v>
      </c>
      <c r="H1603">
        <v>60400</v>
      </c>
    </row>
    <row r="1604" spans="2:8">
      <c r="B1604" t="s">
        <v>587</v>
      </c>
      <c r="C1604" t="s">
        <v>16</v>
      </c>
      <c r="D1604">
        <v>2125</v>
      </c>
      <c r="E1604">
        <v>2128</v>
      </c>
      <c r="F1604">
        <v>2125</v>
      </c>
      <c r="G1604">
        <v>2128</v>
      </c>
      <c r="H1604">
        <v>88000</v>
      </c>
    </row>
    <row r="1605" spans="2:8">
      <c r="B1605" t="s">
        <v>587</v>
      </c>
      <c r="C1605" t="s">
        <v>17</v>
      </c>
      <c r="D1605">
        <v>2128</v>
      </c>
      <c r="E1605">
        <v>2128</v>
      </c>
      <c r="F1605">
        <v>2126.5</v>
      </c>
      <c r="G1605">
        <v>2126.5</v>
      </c>
      <c r="H1605">
        <v>46300</v>
      </c>
    </row>
    <row r="1606" spans="2:8">
      <c r="B1606" t="s">
        <v>587</v>
      </c>
      <c r="C1606" t="s">
        <v>18</v>
      </c>
      <c r="D1606">
        <v>2127</v>
      </c>
      <c r="E1606">
        <v>2128.5</v>
      </c>
      <c r="F1606">
        <v>2127</v>
      </c>
      <c r="G1606">
        <v>2128.5</v>
      </c>
      <c r="H1606">
        <v>88600</v>
      </c>
    </row>
    <row r="1607" spans="2:8">
      <c r="B1607" t="s">
        <v>587</v>
      </c>
      <c r="C1607" t="s">
        <v>19</v>
      </c>
      <c r="D1607">
        <v>2127.5</v>
      </c>
      <c r="E1607">
        <v>2128.5</v>
      </c>
      <c r="F1607">
        <v>2127</v>
      </c>
      <c r="G1607">
        <v>2127</v>
      </c>
      <c r="H1607">
        <v>54200</v>
      </c>
    </row>
    <row r="1608" spans="2:8">
      <c r="B1608" t="s">
        <v>587</v>
      </c>
      <c r="C1608" t="s">
        <v>20</v>
      </c>
      <c r="D1608">
        <v>2127.5</v>
      </c>
      <c r="E1608">
        <v>2127.5</v>
      </c>
      <c r="F1608">
        <v>2127</v>
      </c>
      <c r="G1608">
        <v>2127</v>
      </c>
      <c r="H1608">
        <v>9400</v>
      </c>
    </row>
    <row r="1609" spans="2:8">
      <c r="B1609" t="s">
        <v>587</v>
      </c>
      <c r="C1609" t="s">
        <v>21</v>
      </c>
      <c r="D1609">
        <v>2127</v>
      </c>
      <c r="E1609">
        <v>2127</v>
      </c>
      <c r="F1609">
        <v>2125.5</v>
      </c>
      <c r="G1609">
        <v>2125.5</v>
      </c>
      <c r="H1609">
        <v>48700</v>
      </c>
    </row>
    <row r="1610" spans="2:8">
      <c r="B1610" t="s">
        <v>587</v>
      </c>
      <c r="C1610" t="s">
        <v>22</v>
      </c>
      <c r="D1610">
        <v>2126</v>
      </c>
      <c r="E1610">
        <v>2126</v>
      </c>
      <c r="F1610">
        <v>2125</v>
      </c>
      <c r="G1610">
        <v>2125.5</v>
      </c>
      <c r="H1610">
        <v>63200</v>
      </c>
    </row>
    <row r="1611" spans="2:8">
      <c r="B1611" t="s">
        <v>587</v>
      </c>
      <c r="C1611" t="s">
        <v>23</v>
      </c>
      <c r="D1611">
        <v>2125.5</v>
      </c>
      <c r="E1611">
        <v>2126</v>
      </c>
      <c r="F1611">
        <v>2125</v>
      </c>
      <c r="G1611">
        <v>2125.5</v>
      </c>
      <c r="H1611">
        <v>46600</v>
      </c>
    </row>
    <row r="1612" spans="2:8">
      <c r="B1612" t="s">
        <v>587</v>
      </c>
      <c r="C1612" t="s">
        <v>24</v>
      </c>
      <c r="D1612">
        <v>2125.5</v>
      </c>
      <c r="E1612">
        <v>2125.5</v>
      </c>
      <c r="F1612">
        <v>2125</v>
      </c>
      <c r="G1612">
        <v>2125</v>
      </c>
      <c r="H1612">
        <v>16000</v>
      </c>
    </row>
    <row r="1613" spans="2:8">
      <c r="B1613" t="s">
        <v>587</v>
      </c>
      <c r="C1613" t="s">
        <v>25</v>
      </c>
      <c r="D1613">
        <v>2125.5</v>
      </c>
      <c r="E1613">
        <v>2126</v>
      </c>
      <c r="F1613">
        <v>2125</v>
      </c>
      <c r="G1613">
        <v>2125.5</v>
      </c>
      <c r="H1613">
        <v>50100</v>
      </c>
    </row>
    <row r="1614" spans="2:8">
      <c r="B1614" t="s">
        <v>587</v>
      </c>
      <c r="C1614" t="s">
        <v>26</v>
      </c>
      <c r="D1614">
        <v>2126</v>
      </c>
      <c r="E1614">
        <v>2126.5</v>
      </c>
      <c r="F1614">
        <v>2125.5</v>
      </c>
      <c r="G1614">
        <v>2126</v>
      </c>
      <c r="H1614">
        <v>34000</v>
      </c>
    </row>
    <row r="1615" spans="2:8">
      <c r="B1615" t="s">
        <v>587</v>
      </c>
      <c r="C1615" t="s">
        <v>27</v>
      </c>
      <c r="D1615">
        <v>2125.5</v>
      </c>
      <c r="E1615">
        <v>2126.5</v>
      </c>
      <c r="F1615">
        <v>2125</v>
      </c>
      <c r="G1615">
        <v>2125</v>
      </c>
      <c r="H1615">
        <v>46900</v>
      </c>
    </row>
    <row r="1616" spans="2:8">
      <c r="B1616" t="s">
        <v>587</v>
      </c>
      <c r="C1616" t="s">
        <v>28</v>
      </c>
      <c r="D1616">
        <v>2125.5</v>
      </c>
      <c r="E1616">
        <v>2125.5</v>
      </c>
      <c r="F1616">
        <v>2124</v>
      </c>
      <c r="G1616">
        <v>2125</v>
      </c>
      <c r="H1616">
        <v>121700</v>
      </c>
    </row>
    <row r="1617" spans="2:8">
      <c r="B1617" t="s">
        <v>587</v>
      </c>
      <c r="C1617" t="s">
        <v>29</v>
      </c>
      <c r="D1617">
        <v>2125.5</v>
      </c>
      <c r="E1617">
        <v>2125.5</v>
      </c>
      <c r="F1617">
        <v>2123.5</v>
      </c>
      <c r="G1617">
        <v>2124</v>
      </c>
      <c r="H1617">
        <v>43400</v>
      </c>
    </row>
    <row r="1618" spans="2:8">
      <c r="B1618" t="s">
        <v>587</v>
      </c>
      <c r="C1618" t="s">
        <v>30</v>
      </c>
      <c r="D1618">
        <v>2124</v>
      </c>
      <c r="E1618">
        <v>2124.5</v>
      </c>
      <c r="F1618">
        <v>2123.5</v>
      </c>
      <c r="G1618">
        <v>2124</v>
      </c>
      <c r="H1618">
        <v>42400</v>
      </c>
    </row>
    <row r="1619" spans="2:8">
      <c r="B1619" t="s">
        <v>587</v>
      </c>
      <c r="C1619" t="s">
        <v>31</v>
      </c>
      <c r="D1619">
        <v>2124</v>
      </c>
      <c r="E1619">
        <v>2124.5</v>
      </c>
      <c r="F1619">
        <v>2123.5</v>
      </c>
      <c r="G1619">
        <v>2124</v>
      </c>
      <c r="H1619">
        <v>34200</v>
      </c>
    </row>
    <row r="1620" spans="2:8">
      <c r="B1620" t="s">
        <v>587</v>
      </c>
      <c r="C1620" t="s">
        <v>32</v>
      </c>
      <c r="D1620">
        <v>2124.5</v>
      </c>
      <c r="E1620">
        <v>2124.5</v>
      </c>
      <c r="F1620">
        <v>2123.5</v>
      </c>
      <c r="G1620">
        <v>2124</v>
      </c>
      <c r="H1620">
        <v>25200</v>
      </c>
    </row>
    <row r="1621" spans="2:8">
      <c r="B1621" t="s">
        <v>587</v>
      </c>
      <c r="C1621" t="s">
        <v>33</v>
      </c>
      <c r="D1621">
        <v>2124.5</v>
      </c>
      <c r="E1621">
        <v>2124.5</v>
      </c>
      <c r="F1621">
        <v>2124</v>
      </c>
      <c r="G1621">
        <v>2124.5</v>
      </c>
      <c r="H1621">
        <v>23600</v>
      </c>
    </row>
    <row r="1622" spans="2:8">
      <c r="B1622" t="s">
        <v>587</v>
      </c>
      <c r="C1622" t="s">
        <v>34</v>
      </c>
      <c r="D1622">
        <v>2125</v>
      </c>
      <c r="E1622">
        <v>2125.5</v>
      </c>
      <c r="F1622">
        <v>2124</v>
      </c>
      <c r="G1622">
        <v>2124.5</v>
      </c>
      <c r="H1622">
        <v>53500</v>
      </c>
    </row>
    <row r="1623" spans="2:8">
      <c r="B1623" t="s">
        <v>587</v>
      </c>
      <c r="C1623" t="s">
        <v>35</v>
      </c>
      <c r="D1623">
        <v>2124.5</v>
      </c>
      <c r="E1623">
        <v>2125</v>
      </c>
      <c r="F1623">
        <v>2124</v>
      </c>
      <c r="G1623">
        <v>2124.5</v>
      </c>
      <c r="H1623">
        <v>40300</v>
      </c>
    </row>
    <row r="1624" spans="2:8">
      <c r="B1624" t="s">
        <v>587</v>
      </c>
      <c r="C1624" t="s">
        <v>36</v>
      </c>
      <c r="D1624">
        <v>2125</v>
      </c>
      <c r="E1624">
        <v>2127.5</v>
      </c>
      <c r="F1624">
        <v>2124.5</v>
      </c>
      <c r="G1624">
        <v>2127</v>
      </c>
      <c r="H1624">
        <v>95900</v>
      </c>
    </row>
    <row r="1625" spans="2:8">
      <c r="B1625" t="s">
        <v>587</v>
      </c>
      <c r="C1625" t="s">
        <v>37</v>
      </c>
      <c r="D1625">
        <v>2127.5</v>
      </c>
      <c r="E1625">
        <v>2127.5</v>
      </c>
      <c r="F1625">
        <v>2125.5</v>
      </c>
      <c r="G1625">
        <v>2126.5</v>
      </c>
      <c r="H1625">
        <v>36900</v>
      </c>
    </row>
    <row r="1626" spans="2:8">
      <c r="B1626" t="s">
        <v>587</v>
      </c>
      <c r="C1626" t="s">
        <v>38</v>
      </c>
      <c r="D1626">
        <v>2126.5</v>
      </c>
      <c r="E1626">
        <v>2128.5</v>
      </c>
      <c r="F1626">
        <v>2126.5</v>
      </c>
      <c r="G1626">
        <v>2128</v>
      </c>
      <c r="H1626">
        <v>98400</v>
      </c>
    </row>
    <row r="1627" spans="2:8">
      <c r="B1627" t="s">
        <v>587</v>
      </c>
      <c r="C1627" t="s">
        <v>39</v>
      </c>
      <c r="D1627">
        <v>2128.5</v>
      </c>
      <c r="E1627">
        <v>2129</v>
      </c>
      <c r="F1627">
        <v>2127.5</v>
      </c>
      <c r="G1627">
        <v>2128</v>
      </c>
      <c r="H1627">
        <v>66700</v>
      </c>
    </row>
    <row r="1628" spans="2:8">
      <c r="B1628" t="s">
        <v>587</v>
      </c>
      <c r="C1628" t="s">
        <v>40</v>
      </c>
      <c r="D1628">
        <v>2128</v>
      </c>
      <c r="E1628">
        <v>2128</v>
      </c>
      <c r="F1628">
        <v>2126</v>
      </c>
      <c r="G1628">
        <v>2128</v>
      </c>
      <c r="H1628">
        <v>52100</v>
      </c>
    </row>
    <row r="1629" spans="2:8">
      <c r="B1629" t="s">
        <v>587</v>
      </c>
      <c r="C1629" t="s">
        <v>41</v>
      </c>
      <c r="D1629">
        <v>2128</v>
      </c>
      <c r="E1629">
        <v>2128</v>
      </c>
      <c r="F1629">
        <v>2126</v>
      </c>
      <c r="G1629">
        <v>2126</v>
      </c>
      <c r="H1629">
        <v>63000</v>
      </c>
    </row>
    <row r="1630" spans="2:8">
      <c r="B1630" t="s">
        <v>587</v>
      </c>
      <c r="C1630" t="s">
        <v>42</v>
      </c>
      <c r="D1630">
        <v>2126.5</v>
      </c>
      <c r="E1630">
        <v>2127</v>
      </c>
      <c r="F1630">
        <v>2126</v>
      </c>
      <c r="G1630">
        <v>2126.5</v>
      </c>
      <c r="H1630">
        <v>47500</v>
      </c>
    </row>
    <row r="1631" spans="2:8">
      <c r="B1631" t="s">
        <v>587</v>
      </c>
      <c r="C1631" t="s">
        <v>43</v>
      </c>
      <c r="D1631">
        <v>2126.5</v>
      </c>
      <c r="E1631">
        <v>2127</v>
      </c>
      <c r="F1631">
        <v>2126</v>
      </c>
      <c r="G1631">
        <v>2127</v>
      </c>
      <c r="H1631">
        <v>37000</v>
      </c>
    </row>
    <row r="1632" spans="2:8">
      <c r="B1632" t="s">
        <v>587</v>
      </c>
      <c r="C1632" t="s">
        <v>44</v>
      </c>
      <c r="D1632">
        <v>2126.5</v>
      </c>
      <c r="E1632">
        <v>2127</v>
      </c>
      <c r="F1632">
        <v>2126.5</v>
      </c>
      <c r="G1632">
        <v>2127</v>
      </c>
      <c r="H1632">
        <v>35400</v>
      </c>
    </row>
    <row r="1633" spans="2:8">
      <c r="B1633" t="s">
        <v>587</v>
      </c>
      <c r="C1633" t="s">
        <v>45</v>
      </c>
      <c r="D1633">
        <v>2127</v>
      </c>
      <c r="E1633">
        <v>2127</v>
      </c>
      <c r="F1633">
        <v>2126.5</v>
      </c>
      <c r="G1633">
        <v>2127</v>
      </c>
      <c r="H1633">
        <v>39600</v>
      </c>
    </row>
    <row r="1634" spans="2:8">
      <c r="B1634" t="s">
        <v>587</v>
      </c>
      <c r="C1634" t="s">
        <v>46</v>
      </c>
      <c r="D1634">
        <v>2126.5</v>
      </c>
      <c r="E1634">
        <v>2127</v>
      </c>
      <c r="F1634">
        <v>2126.5</v>
      </c>
      <c r="G1634">
        <v>2127</v>
      </c>
      <c r="H1634">
        <v>29500</v>
      </c>
    </row>
    <row r="1635" spans="2:8">
      <c r="B1635" t="s">
        <v>587</v>
      </c>
      <c r="C1635" t="s">
        <v>47</v>
      </c>
      <c r="D1635">
        <v>2126.5</v>
      </c>
      <c r="E1635">
        <v>2127</v>
      </c>
      <c r="F1635">
        <v>2126.5</v>
      </c>
      <c r="G1635">
        <v>2126.5</v>
      </c>
      <c r="H1635">
        <v>16100</v>
      </c>
    </row>
    <row r="1636" spans="2:8">
      <c r="B1636" t="s">
        <v>587</v>
      </c>
      <c r="C1636" t="s">
        <v>48</v>
      </c>
      <c r="D1636">
        <v>2127</v>
      </c>
      <c r="E1636">
        <v>2130.5</v>
      </c>
      <c r="F1636">
        <v>2126.5</v>
      </c>
      <c r="G1636">
        <v>2130.5</v>
      </c>
      <c r="H1636">
        <v>188300</v>
      </c>
    </row>
    <row r="1637" spans="2:8">
      <c r="B1637" t="s">
        <v>587</v>
      </c>
      <c r="C1637" t="s">
        <v>49</v>
      </c>
      <c r="D1637">
        <v>2130</v>
      </c>
      <c r="E1637">
        <v>2130.5</v>
      </c>
      <c r="F1637">
        <v>2129</v>
      </c>
      <c r="G1637">
        <v>2130</v>
      </c>
      <c r="H1637">
        <v>117300</v>
      </c>
    </row>
    <row r="1638" spans="2:8">
      <c r="B1638" t="s">
        <v>587</v>
      </c>
      <c r="C1638" t="s">
        <v>50</v>
      </c>
      <c r="D1638">
        <v>2130</v>
      </c>
      <c r="E1638">
        <v>2130.5</v>
      </c>
      <c r="F1638">
        <v>2129</v>
      </c>
      <c r="G1638">
        <v>2129</v>
      </c>
      <c r="H1638">
        <v>72700</v>
      </c>
    </row>
    <row r="1639" spans="2:8">
      <c r="B1639" t="s">
        <v>587</v>
      </c>
      <c r="C1639" t="s">
        <v>51</v>
      </c>
      <c r="D1639">
        <v>2129</v>
      </c>
      <c r="E1639">
        <v>2129.5</v>
      </c>
      <c r="F1639">
        <v>2128</v>
      </c>
      <c r="G1639">
        <v>2128.5</v>
      </c>
      <c r="H1639">
        <v>65900</v>
      </c>
    </row>
    <row r="1640" spans="2:8">
      <c r="B1640" t="s">
        <v>587</v>
      </c>
      <c r="C1640" t="s">
        <v>52</v>
      </c>
      <c r="D1640">
        <v>2128.5</v>
      </c>
      <c r="E1640">
        <v>2129</v>
      </c>
      <c r="F1640">
        <v>2127</v>
      </c>
      <c r="G1640">
        <v>2127.5</v>
      </c>
      <c r="H1640">
        <v>28800</v>
      </c>
    </row>
    <row r="1641" spans="2:8">
      <c r="B1641" t="s">
        <v>587</v>
      </c>
      <c r="C1641" t="s">
        <v>53</v>
      </c>
      <c r="D1641">
        <v>2127</v>
      </c>
      <c r="E1641">
        <v>2128.5</v>
      </c>
      <c r="F1641">
        <v>2127</v>
      </c>
      <c r="G1641">
        <v>2128</v>
      </c>
      <c r="H1641">
        <v>23500</v>
      </c>
    </row>
    <row r="1642" spans="2:8">
      <c r="B1642" t="s">
        <v>587</v>
      </c>
      <c r="C1642" t="s">
        <v>54</v>
      </c>
      <c r="D1642">
        <v>2128</v>
      </c>
      <c r="E1642">
        <v>2129</v>
      </c>
      <c r="F1642">
        <v>2127.5</v>
      </c>
      <c r="G1642">
        <v>2127.5</v>
      </c>
      <c r="H1642">
        <v>55600</v>
      </c>
    </row>
    <row r="1643" spans="2:8">
      <c r="B1643" t="s">
        <v>587</v>
      </c>
      <c r="C1643" t="s">
        <v>55</v>
      </c>
      <c r="D1643">
        <v>2127.5</v>
      </c>
      <c r="E1643">
        <v>2128.5</v>
      </c>
      <c r="F1643">
        <v>2127.5</v>
      </c>
      <c r="G1643">
        <v>2128</v>
      </c>
      <c r="H1643">
        <v>33900</v>
      </c>
    </row>
    <row r="1644" spans="2:8">
      <c r="B1644" t="s">
        <v>587</v>
      </c>
      <c r="C1644" t="s">
        <v>56</v>
      </c>
      <c r="D1644">
        <v>2128</v>
      </c>
      <c r="E1644">
        <v>2128.5</v>
      </c>
      <c r="F1644">
        <v>2127.5</v>
      </c>
      <c r="G1644">
        <v>2128</v>
      </c>
      <c r="H1644">
        <v>51000</v>
      </c>
    </row>
    <row r="1645" spans="2:8">
      <c r="B1645" t="s">
        <v>587</v>
      </c>
      <c r="C1645" t="s">
        <v>57</v>
      </c>
      <c r="D1645">
        <v>2128</v>
      </c>
      <c r="E1645">
        <v>2129.5</v>
      </c>
      <c r="F1645">
        <v>2127.5</v>
      </c>
      <c r="G1645">
        <v>2129</v>
      </c>
      <c r="H1645">
        <v>61300</v>
      </c>
    </row>
    <row r="1646" spans="2:8">
      <c r="B1646" t="s">
        <v>587</v>
      </c>
      <c r="C1646" t="s">
        <v>58</v>
      </c>
      <c r="D1646">
        <v>2129</v>
      </c>
      <c r="E1646">
        <v>2129</v>
      </c>
      <c r="F1646">
        <v>2128.5</v>
      </c>
      <c r="G1646">
        <v>2128.5</v>
      </c>
      <c r="H1646">
        <v>21800</v>
      </c>
    </row>
    <row r="1647" spans="2:8">
      <c r="B1647" t="s">
        <v>587</v>
      </c>
      <c r="C1647" t="s">
        <v>59</v>
      </c>
      <c r="D1647">
        <v>2129</v>
      </c>
      <c r="E1647">
        <v>2129</v>
      </c>
      <c r="F1647">
        <v>2128</v>
      </c>
      <c r="G1647">
        <v>2128.5</v>
      </c>
      <c r="H1647">
        <v>47000</v>
      </c>
    </row>
    <row r="1648" spans="2:8">
      <c r="B1648" t="s">
        <v>587</v>
      </c>
      <c r="C1648" t="s">
        <v>60</v>
      </c>
      <c r="D1648">
        <v>2128</v>
      </c>
      <c r="E1648">
        <v>2128.5</v>
      </c>
      <c r="F1648">
        <v>2127.5</v>
      </c>
      <c r="G1648">
        <v>2127.5</v>
      </c>
      <c r="H1648">
        <v>22600</v>
      </c>
    </row>
    <row r="1649" spans="1:8">
      <c r="B1649" t="s">
        <v>587</v>
      </c>
      <c r="C1649" t="s">
        <v>61</v>
      </c>
      <c r="D1649">
        <v>2128</v>
      </c>
      <c r="E1649">
        <v>2128</v>
      </c>
      <c r="F1649">
        <v>2126.5</v>
      </c>
      <c r="G1649">
        <v>2127</v>
      </c>
      <c r="H1649">
        <v>119500</v>
      </c>
    </row>
    <row r="1650" spans="1:8">
      <c r="B1650" t="s">
        <v>587</v>
      </c>
      <c r="C1650" t="s">
        <v>62</v>
      </c>
      <c r="D1650">
        <v>2127</v>
      </c>
      <c r="E1650">
        <v>2127.5</v>
      </c>
      <c r="F1650">
        <v>2126.5</v>
      </c>
      <c r="G1650">
        <v>2127.5</v>
      </c>
      <c r="H1650">
        <v>60900</v>
      </c>
    </row>
    <row r="1651" spans="1:8">
      <c r="B1651" t="s">
        <v>587</v>
      </c>
      <c r="C1651" t="s">
        <v>63</v>
      </c>
      <c r="D1651">
        <v>2127.5</v>
      </c>
      <c r="E1651">
        <v>2128</v>
      </c>
      <c r="F1651">
        <v>2127</v>
      </c>
      <c r="G1651">
        <v>2127</v>
      </c>
      <c r="H1651">
        <v>100100</v>
      </c>
    </row>
    <row r="1652" spans="1:8">
      <c r="B1652" t="s">
        <v>587</v>
      </c>
      <c r="C1652" t="s">
        <v>64</v>
      </c>
      <c r="D1652">
        <v>2127</v>
      </c>
      <c r="E1652">
        <v>2128</v>
      </c>
      <c r="F1652">
        <v>2126</v>
      </c>
      <c r="G1652">
        <v>2127</v>
      </c>
      <c r="H1652">
        <v>87100</v>
      </c>
    </row>
    <row r="1653" spans="1:8">
      <c r="B1653" t="s">
        <v>587</v>
      </c>
      <c r="C1653" t="s">
        <v>65</v>
      </c>
      <c r="D1653">
        <v>2127</v>
      </c>
      <c r="E1653">
        <v>2128</v>
      </c>
      <c r="F1653">
        <v>2127</v>
      </c>
      <c r="G1653">
        <v>2127.5</v>
      </c>
      <c r="H1653">
        <v>37000</v>
      </c>
    </row>
    <row r="1654" spans="1:8">
      <c r="B1654" t="s">
        <v>587</v>
      </c>
      <c r="C1654" t="s">
        <v>66</v>
      </c>
      <c r="D1654">
        <v>2127</v>
      </c>
      <c r="E1654">
        <v>2128</v>
      </c>
      <c r="F1654">
        <v>2127</v>
      </c>
      <c r="G1654">
        <v>2127.5</v>
      </c>
      <c r="H1654">
        <v>51800</v>
      </c>
    </row>
    <row r="1655" spans="1:8">
      <c r="B1655" t="s">
        <v>587</v>
      </c>
      <c r="C1655" t="s">
        <v>164</v>
      </c>
      <c r="D1655">
        <v>2127.5</v>
      </c>
      <c r="E1655">
        <v>2128</v>
      </c>
      <c r="F1655">
        <v>2126.5</v>
      </c>
      <c r="G1655">
        <v>2127.5</v>
      </c>
      <c r="H1655">
        <v>141000</v>
      </c>
    </row>
    <row r="1656" spans="1:8">
      <c r="B1656" t="s">
        <v>587</v>
      </c>
      <c r="C1656" t="s">
        <v>165</v>
      </c>
      <c r="D1656">
        <v>2127.5</v>
      </c>
      <c r="E1656">
        <v>2129.5</v>
      </c>
      <c r="F1656">
        <v>2127</v>
      </c>
      <c r="G1656">
        <v>2129.5</v>
      </c>
      <c r="H1656">
        <v>134300</v>
      </c>
    </row>
    <row r="1657" spans="1:8">
      <c r="B1657" t="s">
        <v>587</v>
      </c>
      <c r="C1657" t="s">
        <v>67</v>
      </c>
      <c r="D1657" t="s">
        <v>8</v>
      </c>
      <c r="E1657" t="s">
        <v>8</v>
      </c>
      <c r="F1657" t="s">
        <v>8</v>
      </c>
      <c r="G1657" t="s">
        <v>8</v>
      </c>
      <c r="H1657">
        <v>0</v>
      </c>
    </row>
    <row r="1658" spans="1:8">
      <c r="B1658" t="s">
        <v>587</v>
      </c>
      <c r="C1658" t="s">
        <v>68</v>
      </c>
      <c r="D1658" t="s">
        <v>8</v>
      </c>
      <c r="E1658" t="s">
        <v>8</v>
      </c>
      <c r="F1658" t="s">
        <v>8</v>
      </c>
      <c r="G1658" t="s">
        <v>8</v>
      </c>
      <c r="H1658">
        <v>0</v>
      </c>
    </row>
    <row r="1659" spans="1:8">
      <c r="B1659" t="s">
        <v>587</v>
      </c>
      <c r="C1659" t="s">
        <v>69</v>
      </c>
      <c r="D1659" t="s">
        <v>8</v>
      </c>
      <c r="E1659" t="s">
        <v>8</v>
      </c>
      <c r="F1659" t="s">
        <v>8</v>
      </c>
      <c r="G1659" t="s">
        <v>8</v>
      </c>
      <c r="H1659">
        <v>0</v>
      </c>
    </row>
    <row r="1660" spans="1:8">
      <c r="B1660" t="s">
        <v>587</v>
      </c>
      <c r="C1660" t="s">
        <v>70</v>
      </c>
      <c r="D1660" t="s">
        <v>8</v>
      </c>
      <c r="E1660" t="s">
        <v>8</v>
      </c>
      <c r="F1660" t="s">
        <v>8</v>
      </c>
      <c r="G1660" t="s">
        <v>8</v>
      </c>
      <c r="H1660">
        <v>0</v>
      </c>
    </row>
    <row r="1661" spans="1:8">
      <c r="B1661" t="s">
        <v>587</v>
      </c>
      <c r="C1661" t="s">
        <v>71</v>
      </c>
      <c r="D1661" t="s">
        <v>8</v>
      </c>
      <c r="E1661" t="s">
        <v>8</v>
      </c>
      <c r="F1661" t="s">
        <v>8</v>
      </c>
      <c r="G1661" t="s">
        <v>8</v>
      </c>
      <c r="H1661">
        <v>0</v>
      </c>
    </row>
    <row r="1662" spans="1:8">
      <c r="B1662" t="s">
        <v>587</v>
      </c>
      <c r="C1662" t="s">
        <v>72</v>
      </c>
      <c r="D1662">
        <v>2127</v>
      </c>
      <c r="E1662">
        <v>2127</v>
      </c>
      <c r="F1662">
        <v>2127</v>
      </c>
      <c r="G1662">
        <v>2127</v>
      </c>
      <c r="H1662">
        <v>4582800</v>
      </c>
    </row>
    <row r="1663" spans="1:8">
      <c r="A1663" s="1" t="s">
        <v>588</v>
      </c>
      <c r="B1663" s="1" t="s">
        <v>588</v>
      </c>
      <c r="C1663" s="1" t="s">
        <v>588</v>
      </c>
      <c r="D1663" s="1" t="s">
        <v>588</v>
      </c>
      <c r="E1663" s="1" t="s">
        <v>588</v>
      </c>
      <c r="F1663" s="1" t="s">
        <v>588</v>
      </c>
      <c r="G1663" s="1" t="s">
        <v>588</v>
      </c>
      <c r="H1663" s="1" t="s">
        <v>588</v>
      </c>
    </row>
    <row r="1664" spans="1:8">
      <c r="A1664" s="1"/>
      <c r="B1664" s="1" t="s">
        <v>586</v>
      </c>
      <c r="C1664" s="1" t="s">
        <v>444</v>
      </c>
      <c r="D1664" s="1">
        <v>2084</v>
      </c>
      <c r="E1664" s="1">
        <v>2087.5</v>
      </c>
      <c r="F1664" s="1">
        <v>2083.5</v>
      </c>
      <c r="G1664" s="1">
        <v>2085.5</v>
      </c>
      <c r="H1664" s="1">
        <v>163300</v>
      </c>
    </row>
    <row r="1665" spans="1:8">
      <c r="A1665" s="1"/>
      <c r="B1665" s="1" t="s">
        <v>586</v>
      </c>
      <c r="C1665" s="1" t="s">
        <v>445</v>
      </c>
      <c r="D1665" s="1">
        <v>2085</v>
      </c>
      <c r="E1665" s="1">
        <v>2087.5</v>
      </c>
      <c r="F1665" s="1">
        <v>2083.5</v>
      </c>
      <c r="G1665" s="1">
        <v>2083.5</v>
      </c>
      <c r="H1665" s="1">
        <v>180900</v>
      </c>
    </row>
    <row r="1666" spans="1:8">
      <c r="A1666" s="1"/>
      <c r="B1666" s="1" t="s">
        <v>586</v>
      </c>
      <c r="C1666" s="1" t="s">
        <v>446</v>
      </c>
      <c r="D1666" s="1">
        <v>2083.5</v>
      </c>
      <c r="E1666" s="1">
        <v>2089.5</v>
      </c>
      <c r="F1666" s="1">
        <v>2083.5</v>
      </c>
      <c r="G1666" s="1">
        <v>2086.5</v>
      </c>
      <c r="H1666" s="1">
        <v>167200</v>
      </c>
    </row>
    <row r="1667" spans="1:8">
      <c r="A1667" s="1"/>
      <c r="B1667" s="1" t="s">
        <v>586</v>
      </c>
      <c r="C1667" s="1" t="s">
        <v>447</v>
      </c>
      <c r="D1667" s="1">
        <v>2086</v>
      </c>
      <c r="E1667" s="1">
        <v>2088</v>
      </c>
      <c r="F1667" s="1">
        <v>2085</v>
      </c>
      <c r="G1667" s="1">
        <v>2085.5</v>
      </c>
      <c r="H1667" s="1">
        <v>108800</v>
      </c>
    </row>
    <row r="1668" spans="1:8">
      <c r="A1668" s="1"/>
      <c r="B1668" s="1" t="s">
        <v>586</v>
      </c>
      <c r="C1668" s="1" t="s">
        <v>448</v>
      </c>
      <c r="D1668" s="1">
        <v>2085.5</v>
      </c>
      <c r="E1668" s="1">
        <v>2089</v>
      </c>
      <c r="F1668" s="1">
        <v>2085</v>
      </c>
      <c r="G1668" s="1">
        <v>2089</v>
      </c>
      <c r="H1668" s="1">
        <v>138100</v>
      </c>
    </row>
    <row r="1669" spans="1:8">
      <c r="A1669" s="1"/>
      <c r="B1669" s="1" t="s">
        <v>586</v>
      </c>
      <c r="C1669" s="1" t="s">
        <v>449</v>
      </c>
      <c r="D1669" s="1">
        <v>2089</v>
      </c>
      <c r="E1669" s="1">
        <v>2090</v>
      </c>
      <c r="F1669" s="1">
        <v>2087.5</v>
      </c>
      <c r="G1669" s="1">
        <v>2089.5</v>
      </c>
      <c r="H1669" s="1">
        <v>97200</v>
      </c>
    </row>
    <row r="1670" spans="1:8">
      <c r="A1670" s="1"/>
      <c r="B1670" s="1" t="s">
        <v>586</v>
      </c>
      <c r="C1670" s="1" t="s">
        <v>450</v>
      </c>
      <c r="D1670" s="1">
        <v>2089.5</v>
      </c>
      <c r="E1670" s="1">
        <v>2090</v>
      </c>
      <c r="F1670" s="1">
        <v>2086</v>
      </c>
      <c r="G1670" s="1">
        <v>2086.5</v>
      </c>
      <c r="H1670" s="1">
        <v>123200</v>
      </c>
    </row>
    <row r="1671" spans="1:8">
      <c r="A1671" s="1"/>
      <c r="B1671" s="1" t="s">
        <v>586</v>
      </c>
      <c r="C1671" s="1" t="s">
        <v>451</v>
      </c>
      <c r="D1671" s="1">
        <v>2086.5</v>
      </c>
      <c r="E1671" s="1">
        <v>2089</v>
      </c>
      <c r="F1671" s="1">
        <v>2085.5</v>
      </c>
      <c r="G1671" s="1">
        <v>2088.5</v>
      </c>
      <c r="H1671" s="1">
        <v>68700</v>
      </c>
    </row>
    <row r="1672" spans="1:8">
      <c r="A1672" s="1"/>
      <c r="B1672" s="1" t="s">
        <v>586</v>
      </c>
      <c r="C1672" s="1" t="s">
        <v>452</v>
      </c>
      <c r="D1672" s="1">
        <v>2088.5</v>
      </c>
      <c r="E1672" s="1">
        <v>2089</v>
      </c>
      <c r="F1672" s="1">
        <v>2087</v>
      </c>
      <c r="G1672" s="1">
        <v>2088.5</v>
      </c>
      <c r="H1672" s="1">
        <v>51100</v>
      </c>
    </row>
    <row r="1673" spans="1:8">
      <c r="A1673" s="1"/>
      <c r="B1673" s="1" t="s">
        <v>586</v>
      </c>
      <c r="C1673" s="1" t="s">
        <v>453</v>
      </c>
      <c r="D1673" s="1">
        <v>2088</v>
      </c>
      <c r="E1673" s="1">
        <v>2091</v>
      </c>
      <c r="F1673" s="1">
        <v>2088</v>
      </c>
      <c r="G1673" s="1">
        <v>2090</v>
      </c>
      <c r="H1673" s="1">
        <v>181500</v>
      </c>
    </row>
    <row r="1674" spans="1:8">
      <c r="A1674" s="1"/>
      <c r="B1674" s="1" t="s">
        <v>586</v>
      </c>
      <c r="C1674" s="1" t="s">
        <v>454</v>
      </c>
      <c r="D1674" s="1">
        <v>2090.5</v>
      </c>
      <c r="E1674" s="1">
        <v>2094</v>
      </c>
      <c r="F1674" s="1">
        <v>2090.5</v>
      </c>
      <c r="G1674" s="1">
        <v>2092</v>
      </c>
      <c r="H1674" s="1">
        <v>277000</v>
      </c>
    </row>
    <row r="1675" spans="1:8">
      <c r="A1675" s="1"/>
      <c r="B1675" s="1" t="s">
        <v>586</v>
      </c>
      <c r="C1675" s="1" t="s">
        <v>455</v>
      </c>
      <c r="D1675" s="1">
        <v>2092</v>
      </c>
      <c r="E1675" s="1">
        <v>2092.5</v>
      </c>
      <c r="F1675" s="1">
        <v>2087</v>
      </c>
      <c r="G1675" s="1">
        <v>2088</v>
      </c>
      <c r="H1675" s="1">
        <v>208800</v>
      </c>
    </row>
    <row r="1676" spans="1:8">
      <c r="A1676" s="1"/>
      <c r="B1676" s="1" t="s">
        <v>586</v>
      </c>
      <c r="C1676" s="1" t="s">
        <v>456</v>
      </c>
      <c r="D1676" s="1">
        <v>2088.5</v>
      </c>
      <c r="E1676" s="1">
        <v>2092</v>
      </c>
      <c r="F1676" s="1">
        <v>2088.5</v>
      </c>
      <c r="G1676" s="1">
        <v>2090.5</v>
      </c>
      <c r="H1676" s="1">
        <v>75900</v>
      </c>
    </row>
    <row r="1677" spans="1:8">
      <c r="A1677" s="1"/>
      <c r="B1677" s="1" t="s">
        <v>586</v>
      </c>
      <c r="C1677" s="1" t="s">
        <v>457</v>
      </c>
      <c r="D1677" s="1">
        <v>2090.5</v>
      </c>
      <c r="E1677" s="1">
        <v>2091.5</v>
      </c>
      <c r="F1677" s="1">
        <v>2089.5</v>
      </c>
      <c r="G1677" s="1">
        <v>2090.5</v>
      </c>
      <c r="H1677" s="1">
        <v>109800</v>
      </c>
    </row>
    <row r="1678" spans="1:8">
      <c r="A1678" s="1"/>
      <c r="B1678" s="1" t="s">
        <v>586</v>
      </c>
      <c r="C1678" s="1" t="s">
        <v>458</v>
      </c>
      <c r="D1678" s="1">
        <v>2090.5</v>
      </c>
      <c r="E1678" s="1">
        <v>2092.5</v>
      </c>
      <c r="F1678" s="1">
        <v>2089.5</v>
      </c>
      <c r="G1678" s="1">
        <v>2092</v>
      </c>
      <c r="H1678" s="1">
        <v>185400</v>
      </c>
    </row>
    <row r="1679" spans="1:8">
      <c r="A1679" s="1"/>
      <c r="B1679" s="1" t="s">
        <v>586</v>
      </c>
      <c r="C1679" s="1" t="s">
        <v>459</v>
      </c>
      <c r="D1679" s="1">
        <v>2092</v>
      </c>
      <c r="E1679" s="1">
        <v>2093</v>
      </c>
      <c r="F1679" s="1">
        <v>2090</v>
      </c>
      <c r="G1679" s="1">
        <v>2092</v>
      </c>
      <c r="H1679" s="1">
        <v>117600</v>
      </c>
    </row>
    <row r="1680" spans="1:8">
      <c r="A1680" s="1"/>
      <c r="B1680" s="1" t="s">
        <v>586</v>
      </c>
      <c r="C1680" s="1" t="s">
        <v>460</v>
      </c>
      <c r="D1680" s="1">
        <v>2092</v>
      </c>
      <c r="E1680" s="1">
        <v>2095</v>
      </c>
      <c r="F1680" s="1">
        <v>2092</v>
      </c>
      <c r="G1680" s="1">
        <v>2094</v>
      </c>
      <c r="H1680" s="1">
        <v>219900</v>
      </c>
    </row>
    <row r="1681" spans="1:8">
      <c r="A1681" s="1"/>
      <c r="B1681" s="1" t="s">
        <v>586</v>
      </c>
      <c r="C1681" s="1" t="s">
        <v>461</v>
      </c>
      <c r="D1681" s="1">
        <v>2094</v>
      </c>
      <c r="E1681" s="1">
        <v>2094.5</v>
      </c>
      <c r="F1681" s="1">
        <v>2093</v>
      </c>
      <c r="G1681" s="1">
        <v>2093.5</v>
      </c>
      <c r="H1681" s="1">
        <v>113500</v>
      </c>
    </row>
    <row r="1682" spans="1:8">
      <c r="A1682" s="1"/>
      <c r="B1682" s="1" t="s">
        <v>586</v>
      </c>
      <c r="C1682" s="1" t="s">
        <v>462</v>
      </c>
      <c r="D1682" s="1">
        <v>2093.5</v>
      </c>
      <c r="E1682" s="1">
        <v>2094</v>
      </c>
      <c r="F1682" s="1">
        <v>2091.5</v>
      </c>
      <c r="G1682" s="1">
        <v>2093</v>
      </c>
      <c r="H1682" s="1">
        <v>194300</v>
      </c>
    </row>
    <row r="1683" spans="1:8">
      <c r="A1683" s="1"/>
      <c r="B1683" s="1" t="s">
        <v>586</v>
      </c>
      <c r="C1683" s="1" t="s">
        <v>464</v>
      </c>
      <c r="D1683" s="1">
        <v>2093</v>
      </c>
      <c r="E1683" s="1">
        <v>2097.5</v>
      </c>
      <c r="F1683" s="1">
        <v>2093</v>
      </c>
      <c r="G1683" s="1">
        <v>2097</v>
      </c>
      <c r="H1683" s="1">
        <v>264200</v>
      </c>
    </row>
    <row r="1684" spans="1:8">
      <c r="A1684" s="1"/>
      <c r="B1684" s="1" t="s">
        <v>586</v>
      </c>
      <c r="C1684" s="1" t="s">
        <v>465</v>
      </c>
      <c r="D1684" s="1">
        <v>2096.5</v>
      </c>
      <c r="E1684" s="1">
        <v>2100</v>
      </c>
      <c r="F1684" s="1">
        <v>2096</v>
      </c>
      <c r="G1684" s="1">
        <v>2099.5</v>
      </c>
      <c r="H1684" s="1">
        <v>153400</v>
      </c>
    </row>
    <row r="1685" spans="1:8">
      <c r="A1685" s="1"/>
      <c r="B1685" s="1" t="s">
        <v>586</v>
      </c>
      <c r="C1685" s="1" t="s">
        <v>466</v>
      </c>
      <c r="D1685" s="1">
        <v>2099.5</v>
      </c>
      <c r="E1685" s="1">
        <v>2100.5</v>
      </c>
      <c r="F1685" s="1">
        <v>2098</v>
      </c>
      <c r="G1685" s="1">
        <v>2100</v>
      </c>
      <c r="H1685" s="1">
        <v>147300</v>
      </c>
    </row>
    <row r="1686" spans="1:8">
      <c r="A1686" s="1"/>
      <c r="B1686" s="1" t="s">
        <v>586</v>
      </c>
      <c r="C1686" s="1" t="s">
        <v>467</v>
      </c>
      <c r="D1686" s="1">
        <v>2100</v>
      </c>
      <c r="E1686" s="1">
        <v>2101.5</v>
      </c>
      <c r="F1686" s="1">
        <v>2099</v>
      </c>
      <c r="G1686" s="1">
        <v>2101</v>
      </c>
      <c r="H1686" s="1">
        <v>144600</v>
      </c>
    </row>
    <row r="1687" spans="1:8">
      <c r="A1687" s="1"/>
      <c r="B1687" s="1" t="s">
        <v>586</v>
      </c>
      <c r="C1687" s="1" t="s">
        <v>468</v>
      </c>
      <c r="D1687" s="1">
        <v>2101</v>
      </c>
      <c r="E1687" s="1">
        <v>2102.5</v>
      </c>
      <c r="F1687" s="1">
        <v>2099</v>
      </c>
      <c r="G1687" s="1">
        <v>2099</v>
      </c>
      <c r="H1687" s="1">
        <v>138700</v>
      </c>
    </row>
    <row r="1688" spans="1:8">
      <c r="A1688" s="1"/>
      <c r="B1688" s="1" t="s">
        <v>586</v>
      </c>
      <c r="C1688" s="1" t="s">
        <v>469</v>
      </c>
      <c r="D1688" s="1">
        <v>2100</v>
      </c>
      <c r="E1688" s="1">
        <v>2102</v>
      </c>
      <c r="F1688" s="1">
        <v>2098.5</v>
      </c>
      <c r="G1688" s="1">
        <v>2101.5</v>
      </c>
      <c r="H1688" s="1">
        <v>155800</v>
      </c>
    </row>
    <row r="1689" spans="1:8">
      <c r="A1689" s="1"/>
      <c r="B1689" s="1" t="s">
        <v>586</v>
      </c>
      <c r="C1689" s="1" t="s">
        <v>470</v>
      </c>
      <c r="D1689" s="1">
        <v>2101</v>
      </c>
      <c r="E1689" s="1">
        <v>2102.5</v>
      </c>
      <c r="F1689" s="1">
        <v>2097.5</v>
      </c>
      <c r="G1689" s="1">
        <v>2097.5</v>
      </c>
      <c r="H1689" s="1">
        <v>221000</v>
      </c>
    </row>
    <row r="1690" spans="1:8">
      <c r="A1690" s="1"/>
      <c r="B1690" s="1" t="s">
        <v>586</v>
      </c>
      <c r="C1690" s="1" t="s">
        <v>471</v>
      </c>
      <c r="D1690" s="1">
        <v>2097</v>
      </c>
      <c r="E1690" s="1">
        <v>2100</v>
      </c>
      <c r="F1690" s="1">
        <v>2096.5</v>
      </c>
      <c r="G1690" s="1">
        <v>2099.5</v>
      </c>
      <c r="H1690" s="1">
        <v>124600</v>
      </c>
    </row>
    <row r="1691" spans="1:8">
      <c r="A1691" s="1"/>
      <c r="B1691" s="1" t="s">
        <v>586</v>
      </c>
      <c r="C1691" s="1" t="s">
        <v>472</v>
      </c>
      <c r="D1691" s="1">
        <v>2099</v>
      </c>
      <c r="E1691" s="1">
        <v>2100.5</v>
      </c>
      <c r="F1691" s="1">
        <v>2098</v>
      </c>
      <c r="G1691" s="1">
        <v>2100.5</v>
      </c>
      <c r="H1691" s="1">
        <v>203200</v>
      </c>
    </row>
    <row r="1692" spans="1:8">
      <c r="A1692" s="1"/>
      <c r="B1692" s="1" t="s">
        <v>586</v>
      </c>
      <c r="C1692" s="1" t="s">
        <v>473</v>
      </c>
      <c r="D1692" s="1">
        <v>2100.5</v>
      </c>
      <c r="E1692" s="1">
        <v>2102</v>
      </c>
      <c r="F1692" s="1">
        <v>2100</v>
      </c>
      <c r="G1692" s="1">
        <v>2102</v>
      </c>
      <c r="H1692" s="1">
        <v>61800</v>
      </c>
    </row>
    <row r="1693" spans="1:8">
      <c r="A1693" s="1"/>
      <c r="B1693" s="1" t="s">
        <v>586</v>
      </c>
      <c r="C1693" s="1" t="s">
        <v>474</v>
      </c>
      <c r="D1693" s="1">
        <v>2101.5</v>
      </c>
      <c r="E1693" s="1">
        <v>2103</v>
      </c>
      <c r="F1693" s="1">
        <v>2101.5</v>
      </c>
      <c r="G1693" s="1">
        <v>2103</v>
      </c>
      <c r="H1693" s="1">
        <v>126200</v>
      </c>
    </row>
    <row r="1694" spans="1:8">
      <c r="A1694" s="1"/>
      <c r="B1694" s="1" t="s">
        <v>586</v>
      </c>
      <c r="C1694" s="1" t="s">
        <v>475</v>
      </c>
      <c r="D1694" s="1">
        <v>2103</v>
      </c>
      <c r="E1694" s="1">
        <v>2104.5</v>
      </c>
      <c r="F1694" s="1">
        <v>2102.5</v>
      </c>
      <c r="G1694" s="1">
        <v>2104.5</v>
      </c>
      <c r="H1694" s="1">
        <v>119400</v>
      </c>
    </row>
    <row r="1695" spans="1:8">
      <c r="A1695" s="1"/>
      <c r="B1695" s="1" t="s">
        <v>586</v>
      </c>
      <c r="C1695" s="1" t="s">
        <v>476</v>
      </c>
      <c r="D1695" s="1">
        <v>2104.5</v>
      </c>
      <c r="E1695" s="1">
        <v>2108.5</v>
      </c>
      <c r="F1695" s="1">
        <v>2104</v>
      </c>
      <c r="G1695" s="1">
        <v>2108</v>
      </c>
      <c r="H1695" s="1">
        <v>336500</v>
      </c>
    </row>
    <row r="1696" spans="1:8">
      <c r="A1696" s="1"/>
      <c r="B1696" s="1" t="s">
        <v>586</v>
      </c>
      <c r="C1696" s="1" t="s">
        <v>477</v>
      </c>
      <c r="D1696" s="1">
        <v>2108</v>
      </c>
      <c r="E1696" s="1">
        <v>2109</v>
      </c>
      <c r="F1696" s="1">
        <v>2107.5</v>
      </c>
      <c r="G1696" s="1">
        <v>2109</v>
      </c>
      <c r="H1696" s="1">
        <v>167700</v>
      </c>
    </row>
    <row r="1697" spans="1:8">
      <c r="A1697" s="1"/>
      <c r="B1697" s="1" t="s">
        <v>586</v>
      </c>
      <c r="C1697" s="1" t="s">
        <v>478</v>
      </c>
      <c r="D1697" s="1">
        <v>2109</v>
      </c>
      <c r="E1697" s="1">
        <v>2109.5</v>
      </c>
      <c r="F1697" s="1">
        <v>2107</v>
      </c>
      <c r="G1697" s="1">
        <v>2107.5</v>
      </c>
      <c r="H1697" s="1">
        <v>174100</v>
      </c>
    </row>
    <row r="1698" spans="1:8">
      <c r="A1698" s="1"/>
      <c r="B1698" s="1" t="s">
        <v>586</v>
      </c>
      <c r="C1698" s="1" t="s">
        <v>479</v>
      </c>
      <c r="D1698" s="1">
        <v>2107</v>
      </c>
      <c r="E1698" s="1">
        <v>2110</v>
      </c>
      <c r="F1698" s="1">
        <v>2107</v>
      </c>
      <c r="G1698" s="1">
        <v>2109.5</v>
      </c>
      <c r="H1698" s="1">
        <v>141800</v>
      </c>
    </row>
    <row r="1699" spans="1:8">
      <c r="A1699" s="1"/>
      <c r="B1699" s="1" t="s">
        <v>586</v>
      </c>
      <c r="C1699" s="1" t="s">
        <v>480</v>
      </c>
      <c r="D1699" s="1">
        <v>2110</v>
      </c>
      <c r="E1699" s="1">
        <v>2110</v>
      </c>
      <c r="F1699" s="1">
        <v>2108</v>
      </c>
      <c r="G1699" s="1">
        <v>2108</v>
      </c>
      <c r="H1699" s="1">
        <v>62900</v>
      </c>
    </row>
    <row r="1700" spans="1:8">
      <c r="A1700" s="1"/>
      <c r="B1700" s="1" t="s">
        <v>586</v>
      </c>
      <c r="C1700" s="1" t="s">
        <v>481</v>
      </c>
      <c r="D1700" s="1">
        <v>2108</v>
      </c>
      <c r="E1700" s="1">
        <v>2109.5</v>
      </c>
      <c r="F1700" s="1">
        <v>2107.5</v>
      </c>
      <c r="G1700" s="1">
        <v>2108.5</v>
      </c>
      <c r="H1700" s="1">
        <v>129500</v>
      </c>
    </row>
    <row r="1701" spans="1:8">
      <c r="A1701" s="1"/>
      <c r="B1701" s="1" t="s">
        <v>586</v>
      </c>
      <c r="C1701" s="1" t="s">
        <v>482</v>
      </c>
      <c r="D1701" s="1">
        <v>2108.5</v>
      </c>
      <c r="E1701" s="1">
        <v>2108.5</v>
      </c>
      <c r="F1701" s="1">
        <v>2106</v>
      </c>
      <c r="G1701" s="1">
        <v>2107.5</v>
      </c>
      <c r="H1701" s="1">
        <v>180500</v>
      </c>
    </row>
    <row r="1702" spans="1:8">
      <c r="A1702" s="1"/>
      <c r="B1702" s="1" t="s">
        <v>586</v>
      </c>
      <c r="C1702" s="1" t="s">
        <v>483</v>
      </c>
      <c r="D1702" s="1">
        <v>2107.5</v>
      </c>
      <c r="E1702" s="1">
        <v>2107.5</v>
      </c>
      <c r="F1702" s="1">
        <v>2105</v>
      </c>
      <c r="G1702" s="1">
        <v>2105.5</v>
      </c>
      <c r="H1702" s="1">
        <v>95600</v>
      </c>
    </row>
    <row r="1703" spans="1:8">
      <c r="A1703" s="1"/>
      <c r="B1703" s="1" t="s">
        <v>586</v>
      </c>
      <c r="C1703" s="1" t="s">
        <v>484</v>
      </c>
      <c r="D1703" s="1">
        <v>2105</v>
      </c>
      <c r="E1703" s="1">
        <v>2106</v>
      </c>
      <c r="F1703" s="1">
        <v>2105</v>
      </c>
      <c r="G1703" s="1">
        <v>2105.5</v>
      </c>
      <c r="H1703" s="1">
        <v>80100</v>
      </c>
    </row>
    <row r="1704" spans="1:8">
      <c r="A1704" s="1"/>
      <c r="B1704" s="1" t="s">
        <v>586</v>
      </c>
      <c r="C1704" s="1" t="s">
        <v>485</v>
      </c>
      <c r="D1704" s="1">
        <v>2105</v>
      </c>
      <c r="E1704" s="1">
        <v>2106</v>
      </c>
      <c r="F1704" s="1">
        <v>2104</v>
      </c>
      <c r="G1704" s="1">
        <v>2105</v>
      </c>
      <c r="H1704" s="1">
        <v>176300</v>
      </c>
    </row>
    <row r="1705" spans="1:8">
      <c r="A1705" s="1"/>
      <c r="B1705" s="1" t="s">
        <v>586</v>
      </c>
      <c r="C1705" s="1" t="s">
        <v>486</v>
      </c>
      <c r="D1705" s="1">
        <v>2104.5</v>
      </c>
      <c r="E1705" s="1">
        <v>2105</v>
      </c>
      <c r="F1705" s="1">
        <v>2102.5</v>
      </c>
      <c r="G1705" s="1">
        <v>2103</v>
      </c>
      <c r="H1705" s="1">
        <v>118100</v>
      </c>
    </row>
    <row r="1706" spans="1:8">
      <c r="A1706" s="1"/>
      <c r="B1706" s="1" t="s">
        <v>586</v>
      </c>
      <c r="C1706" s="1" t="s">
        <v>487</v>
      </c>
      <c r="D1706" s="1">
        <v>2103</v>
      </c>
      <c r="E1706" s="1">
        <v>2103</v>
      </c>
      <c r="F1706" s="1">
        <v>2102</v>
      </c>
      <c r="G1706" s="1">
        <v>2102</v>
      </c>
      <c r="H1706" s="1">
        <v>57300</v>
      </c>
    </row>
    <row r="1707" spans="1:8">
      <c r="A1707" s="1"/>
      <c r="B1707" s="1" t="s">
        <v>586</v>
      </c>
      <c r="C1707" s="1" t="s">
        <v>488</v>
      </c>
      <c r="D1707" s="1">
        <v>2102</v>
      </c>
      <c r="E1707" s="1">
        <v>2102</v>
      </c>
      <c r="F1707" s="1">
        <v>2097</v>
      </c>
      <c r="G1707" s="1">
        <v>2097</v>
      </c>
      <c r="H1707" s="1">
        <v>259000</v>
      </c>
    </row>
    <row r="1708" spans="1:8">
      <c r="A1708" s="1"/>
      <c r="B1708" s="1" t="s">
        <v>586</v>
      </c>
      <c r="C1708" s="1" t="s">
        <v>489</v>
      </c>
      <c r="D1708" s="1">
        <v>2097</v>
      </c>
      <c r="E1708" s="1">
        <v>2098.5</v>
      </c>
      <c r="F1708" s="1">
        <v>2096</v>
      </c>
      <c r="G1708" s="1">
        <v>2098.5</v>
      </c>
      <c r="H1708" s="1">
        <v>175600</v>
      </c>
    </row>
    <row r="1709" spans="1:8">
      <c r="A1709" s="1"/>
      <c r="B1709" s="1" t="s">
        <v>586</v>
      </c>
      <c r="C1709" s="1" t="s">
        <v>490</v>
      </c>
      <c r="D1709" s="1">
        <v>2098.5</v>
      </c>
      <c r="E1709" s="1">
        <v>2099.5</v>
      </c>
      <c r="F1709" s="1">
        <v>2098</v>
      </c>
      <c r="G1709" s="1">
        <v>2099</v>
      </c>
      <c r="H1709" s="1">
        <v>48500</v>
      </c>
    </row>
    <row r="1710" spans="1:8">
      <c r="A1710" s="1"/>
      <c r="B1710" s="1" t="s">
        <v>586</v>
      </c>
      <c r="C1710" s="1" t="s">
        <v>491</v>
      </c>
      <c r="D1710" s="1">
        <v>2099</v>
      </c>
      <c r="E1710" s="1">
        <v>2099</v>
      </c>
      <c r="F1710" s="1">
        <v>2096.5</v>
      </c>
      <c r="G1710" s="1">
        <v>2098</v>
      </c>
      <c r="H1710" s="1">
        <v>100900</v>
      </c>
    </row>
    <row r="1711" spans="1:8">
      <c r="A1711" s="1"/>
      <c r="B1711" s="1" t="s">
        <v>586</v>
      </c>
      <c r="C1711" s="1" t="s">
        <v>492</v>
      </c>
      <c r="D1711" s="1">
        <v>2098.5</v>
      </c>
      <c r="E1711" s="1">
        <v>2100</v>
      </c>
      <c r="F1711" s="1">
        <v>2098</v>
      </c>
      <c r="G1711" s="1">
        <v>2099.5</v>
      </c>
      <c r="H1711" s="1">
        <v>74100</v>
      </c>
    </row>
    <row r="1712" spans="1:8">
      <c r="A1712" s="1"/>
      <c r="B1712" s="1" t="s">
        <v>586</v>
      </c>
      <c r="C1712" s="1" t="s">
        <v>493</v>
      </c>
      <c r="D1712" s="1">
        <v>2100</v>
      </c>
      <c r="E1712" s="1">
        <v>2102</v>
      </c>
      <c r="F1712" s="1">
        <v>2099</v>
      </c>
      <c r="G1712" s="1">
        <v>2101.5</v>
      </c>
      <c r="H1712" s="1">
        <v>209100</v>
      </c>
    </row>
    <row r="1713" spans="1:8">
      <c r="A1713" s="1"/>
      <c r="B1713" s="1" t="s">
        <v>586</v>
      </c>
      <c r="C1713" s="1" t="s">
        <v>494</v>
      </c>
      <c r="D1713" s="1">
        <v>2101.5</v>
      </c>
      <c r="E1713" s="1">
        <v>2104</v>
      </c>
      <c r="F1713" s="1">
        <v>2101</v>
      </c>
      <c r="G1713" s="1">
        <v>2104</v>
      </c>
      <c r="H1713" s="1">
        <v>56400</v>
      </c>
    </row>
    <row r="1714" spans="1:8">
      <c r="A1714" s="1"/>
      <c r="B1714" s="1" t="s">
        <v>586</v>
      </c>
      <c r="C1714" s="1" t="s">
        <v>495</v>
      </c>
      <c r="D1714" s="1">
        <v>2103.5</v>
      </c>
      <c r="E1714" s="1">
        <v>2105</v>
      </c>
      <c r="F1714" s="1">
        <v>2100.5</v>
      </c>
      <c r="G1714" s="1">
        <v>2101.5</v>
      </c>
      <c r="H1714" s="1">
        <v>198500</v>
      </c>
    </row>
    <row r="1715" spans="1:8">
      <c r="A1715" s="1"/>
      <c r="B1715" s="1" t="s">
        <v>586</v>
      </c>
      <c r="C1715" s="1" t="s">
        <v>496</v>
      </c>
      <c r="D1715" s="1">
        <v>2101</v>
      </c>
      <c r="E1715" s="1">
        <v>2105</v>
      </c>
      <c r="F1715" s="1">
        <v>2100.5</v>
      </c>
      <c r="G1715" s="1">
        <v>2104.5</v>
      </c>
      <c r="H1715" s="1">
        <v>125000</v>
      </c>
    </row>
    <row r="1716" spans="1:8">
      <c r="A1716" s="1"/>
      <c r="B1716" s="1" t="s">
        <v>586</v>
      </c>
      <c r="C1716" s="1" t="s">
        <v>497</v>
      </c>
      <c r="D1716" s="1">
        <v>2104.5</v>
      </c>
      <c r="E1716" s="1">
        <v>2106</v>
      </c>
      <c r="F1716" s="1">
        <v>2104.5</v>
      </c>
      <c r="G1716" s="1">
        <v>2106</v>
      </c>
      <c r="H1716" s="1">
        <v>80300</v>
      </c>
    </row>
    <row r="1717" spans="1:8">
      <c r="A1717" s="1"/>
      <c r="B1717" s="1" t="s">
        <v>586</v>
      </c>
      <c r="C1717" s="1" t="s">
        <v>498</v>
      </c>
      <c r="D1717" s="1">
        <v>2105.5</v>
      </c>
      <c r="E1717" s="1">
        <v>2107.5</v>
      </c>
      <c r="F1717" s="1">
        <v>2105</v>
      </c>
      <c r="G1717" s="1">
        <v>2107.5</v>
      </c>
      <c r="H1717" s="1">
        <v>141000</v>
      </c>
    </row>
    <row r="1718" spans="1:8">
      <c r="A1718" s="1"/>
      <c r="B1718" s="1" t="s">
        <v>586</v>
      </c>
      <c r="C1718" s="1" t="s">
        <v>499</v>
      </c>
      <c r="D1718" s="1">
        <v>2107</v>
      </c>
      <c r="E1718" s="1">
        <v>2109</v>
      </c>
      <c r="F1718" s="1">
        <v>2106</v>
      </c>
      <c r="G1718" s="1">
        <v>2106.5</v>
      </c>
      <c r="H1718" s="1">
        <v>141800</v>
      </c>
    </row>
    <row r="1719" spans="1:8">
      <c r="A1719" s="1"/>
      <c r="B1719" s="1" t="s">
        <v>586</v>
      </c>
      <c r="C1719" s="1" t="s">
        <v>500</v>
      </c>
      <c r="D1719" s="1">
        <v>2106.5</v>
      </c>
      <c r="E1719" s="1">
        <v>2109</v>
      </c>
      <c r="F1719" s="1">
        <v>2106.5</v>
      </c>
      <c r="G1719" s="1">
        <v>2108</v>
      </c>
      <c r="H1719" s="1">
        <v>92300</v>
      </c>
    </row>
    <row r="1720" spans="1:8">
      <c r="A1720" s="1"/>
      <c r="B1720" s="1" t="s">
        <v>586</v>
      </c>
      <c r="C1720" s="1" t="s">
        <v>501</v>
      </c>
      <c r="D1720" s="1">
        <v>2108.5</v>
      </c>
      <c r="E1720" s="1">
        <v>2109.5</v>
      </c>
      <c r="F1720" s="1">
        <v>2107</v>
      </c>
      <c r="G1720" s="1">
        <v>2109</v>
      </c>
      <c r="H1720" s="1">
        <v>174100</v>
      </c>
    </row>
    <row r="1721" spans="1:8">
      <c r="A1721" s="1"/>
      <c r="B1721" s="1" t="s">
        <v>586</v>
      </c>
      <c r="C1721" s="1" t="s">
        <v>502</v>
      </c>
      <c r="D1721" s="1">
        <v>2109</v>
      </c>
      <c r="E1721" s="1">
        <v>2109.5</v>
      </c>
      <c r="F1721" s="1">
        <v>2108.5</v>
      </c>
      <c r="G1721" s="1">
        <v>2109.5</v>
      </c>
      <c r="H1721" s="1">
        <v>72700</v>
      </c>
    </row>
    <row r="1722" spans="1:8">
      <c r="A1722" s="1"/>
      <c r="B1722" s="1" t="s">
        <v>586</v>
      </c>
      <c r="C1722" s="1" t="s">
        <v>503</v>
      </c>
      <c r="D1722" s="1">
        <v>2109.5</v>
      </c>
      <c r="E1722" s="1">
        <v>2110</v>
      </c>
      <c r="F1722" s="1">
        <v>2108.5</v>
      </c>
      <c r="G1722" s="1">
        <v>2110</v>
      </c>
      <c r="H1722" s="1">
        <v>216400</v>
      </c>
    </row>
    <row r="1723" spans="1:8">
      <c r="A1723" s="1"/>
      <c r="B1723" s="1" t="s">
        <v>586</v>
      </c>
      <c r="C1723" s="1" t="s">
        <v>504</v>
      </c>
      <c r="D1723" s="1">
        <v>2110</v>
      </c>
      <c r="E1723" s="1">
        <v>2110.5</v>
      </c>
      <c r="F1723" s="1">
        <v>2108</v>
      </c>
      <c r="G1723" s="1">
        <v>2108</v>
      </c>
      <c r="H1723" s="1">
        <v>90900</v>
      </c>
    </row>
    <row r="1724" spans="1:8">
      <c r="A1724" s="1"/>
      <c r="B1724" s="1" t="s">
        <v>586</v>
      </c>
      <c r="C1724" s="1" t="s">
        <v>505</v>
      </c>
      <c r="D1724" s="1">
        <v>2108.5</v>
      </c>
      <c r="E1724" s="1">
        <v>2109.5</v>
      </c>
      <c r="F1724" s="1">
        <v>2108</v>
      </c>
      <c r="G1724" s="1">
        <v>2108.5</v>
      </c>
      <c r="H1724" s="1">
        <v>68900</v>
      </c>
    </row>
    <row r="1725" spans="1:8">
      <c r="A1725" s="1"/>
      <c r="B1725" s="1" t="s">
        <v>586</v>
      </c>
      <c r="C1725" s="1" t="s">
        <v>506</v>
      </c>
      <c r="D1725" s="1">
        <v>2108.5</v>
      </c>
      <c r="E1725" s="1">
        <v>2108.5</v>
      </c>
      <c r="F1725" s="1">
        <v>2105</v>
      </c>
      <c r="G1725" s="1">
        <v>2105</v>
      </c>
      <c r="H1725" s="1">
        <v>102300</v>
      </c>
    </row>
    <row r="1726" spans="1:8">
      <c r="A1726" s="1"/>
      <c r="B1726" s="1" t="s">
        <v>586</v>
      </c>
      <c r="C1726" s="1" t="s">
        <v>507</v>
      </c>
      <c r="D1726" s="1">
        <v>2106</v>
      </c>
      <c r="E1726" s="1">
        <v>2107</v>
      </c>
      <c r="F1726" s="1">
        <v>2105</v>
      </c>
      <c r="G1726" s="1">
        <v>2106</v>
      </c>
      <c r="H1726" s="1">
        <v>79700</v>
      </c>
    </row>
    <row r="1727" spans="1:8">
      <c r="A1727" s="1"/>
      <c r="B1727" s="1" t="s">
        <v>586</v>
      </c>
      <c r="C1727" s="1" t="s">
        <v>508</v>
      </c>
      <c r="D1727" s="1">
        <v>2106.5</v>
      </c>
      <c r="E1727" s="1">
        <v>2106.5</v>
      </c>
      <c r="F1727" s="1">
        <v>2105</v>
      </c>
      <c r="G1727" s="1">
        <v>2105.5</v>
      </c>
      <c r="H1727" s="1">
        <v>65600</v>
      </c>
    </row>
    <row r="1728" spans="1:8">
      <c r="A1728" s="1"/>
      <c r="B1728" s="1" t="s">
        <v>586</v>
      </c>
      <c r="C1728" s="1" t="s">
        <v>509</v>
      </c>
      <c r="D1728" s="1">
        <v>2105.5</v>
      </c>
      <c r="E1728" s="1">
        <v>2107</v>
      </c>
      <c r="F1728" s="1">
        <v>2104.5</v>
      </c>
      <c r="G1728" s="1">
        <v>2106.5</v>
      </c>
      <c r="H1728" s="1">
        <v>97200</v>
      </c>
    </row>
    <row r="1729" spans="1:8">
      <c r="A1729" s="1"/>
      <c r="B1729" s="1" t="s">
        <v>586</v>
      </c>
      <c r="C1729" s="1" t="s">
        <v>510</v>
      </c>
      <c r="D1729" s="1">
        <v>2106.5</v>
      </c>
      <c r="E1729" s="1">
        <v>2107</v>
      </c>
      <c r="F1729" s="1">
        <v>2105</v>
      </c>
      <c r="G1729" s="1">
        <v>2107</v>
      </c>
      <c r="H1729" s="1">
        <v>69400</v>
      </c>
    </row>
    <row r="1730" spans="1:8">
      <c r="A1730" s="1"/>
      <c r="B1730" s="1" t="s">
        <v>586</v>
      </c>
      <c r="C1730" s="1" t="s">
        <v>511</v>
      </c>
      <c r="D1730" s="1">
        <v>2107</v>
      </c>
      <c r="E1730" s="1">
        <v>2108</v>
      </c>
      <c r="F1730" s="1">
        <v>2107</v>
      </c>
      <c r="G1730" s="1">
        <v>2107.5</v>
      </c>
      <c r="H1730" s="1">
        <v>32100</v>
      </c>
    </row>
    <row r="1731" spans="1:8">
      <c r="A1731" s="1"/>
      <c r="B1731" s="1" t="s">
        <v>586</v>
      </c>
      <c r="C1731" s="1" t="s">
        <v>512</v>
      </c>
      <c r="D1731" s="1">
        <v>2107.5</v>
      </c>
      <c r="E1731" s="1">
        <v>2107.5</v>
      </c>
      <c r="F1731" s="1">
        <v>2104.5</v>
      </c>
      <c r="G1731" s="1">
        <v>2106.5</v>
      </c>
      <c r="H1731" s="1">
        <v>68900</v>
      </c>
    </row>
    <row r="1732" spans="1:8">
      <c r="A1732" s="1"/>
      <c r="B1732" s="1" t="s">
        <v>586</v>
      </c>
      <c r="C1732" s="1" t="s">
        <v>513</v>
      </c>
      <c r="D1732" s="1">
        <v>2106.5</v>
      </c>
      <c r="E1732" s="1">
        <v>2107</v>
      </c>
      <c r="F1732" s="1">
        <v>2106</v>
      </c>
      <c r="G1732" s="1">
        <v>2106.5</v>
      </c>
      <c r="H1732" s="1">
        <v>18600</v>
      </c>
    </row>
    <row r="1733" spans="1:8">
      <c r="A1733" s="1"/>
      <c r="B1733" s="1" t="s">
        <v>586</v>
      </c>
      <c r="C1733" s="1" t="s">
        <v>514</v>
      </c>
      <c r="D1733" s="1">
        <v>2107</v>
      </c>
      <c r="E1733" s="1">
        <v>2107</v>
      </c>
      <c r="F1733" s="1">
        <v>2105</v>
      </c>
      <c r="G1733" s="1">
        <v>2107</v>
      </c>
      <c r="H1733" s="1">
        <v>49600</v>
      </c>
    </row>
    <row r="1734" spans="1:8">
      <c r="A1734" s="1"/>
      <c r="B1734" s="1" t="s">
        <v>586</v>
      </c>
      <c r="C1734" s="1" t="s">
        <v>515</v>
      </c>
      <c r="D1734" s="1">
        <v>2106.5</v>
      </c>
      <c r="E1734" s="1">
        <v>2107.5</v>
      </c>
      <c r="F1734" s="1">
        <v>2106</v>
      </c>
      <c r="G1734" s="1">
        <v>2107</v>
      </c>
      <c r="H1734" s="1">
        <v>46900</v>
      </c>
    </row>
    <row r="1735" spans="1:8">
      <c r="A1735" s="1"/>
      <c r="B1735" s="1" t="s">
        <v>586</v>
      </c>
      <c r="C1735" s="1" t="s">
        <v>516</v>
      </c>
      <c r="D1735" s="1">
        <v>2107</v>
      </c>
      <c r="E1735" s="1">
        <v>2108</v>
      </c>
      <c r="F1735" s="1">
        <v>2107</v>
      </c>
      <c r="G1735" s="1">
        <v>2107</v>
      </c>
      <c r="H1735" s="1">
        <v>138800</v>
      </c>
    </row>
    <row r="1736" spans="1:8">
      <c r="A1736" s="1"/>
      <c r="B1736" s="1" t="s">
        <v>586</v>
      </c>
      <c r="C1736" s="1" t="s">
        <v>517</v>
      </c>
      <c r="D1736" s="1">
        <v>2107</v>
      </c>
      <c r="E1736" s="1">
        <v>2108</v>
      </c>
      <c r="F1736" s="1">
        <v>2105.5</v>
      </c>
      <c r="G1736" s="1">
        <v>2107.5</v>
      </c>
      <c r="H1736" s="1">
        <v>56100</v>
      </c>
    </row>
    <row r="1737" spans="1:8">
      <c r="A1737" s="1"/>
      <c r="B1737" s="1" t="s">
        <v>586</v>
      </c>
      <c r="C1737" s="1" t="s">
        <v>518</v>
      </c>
      <c r="D1737" s="1">
        <v>2108</v>
      </c>
      <c r="E1737" s="1">
        <v>2108</v>
      </c>
      <c r="F1737" s="1">
        <v>2106.5</v>
      </c>
      <c r="G1737" s="1">
        <v>2107.5</v>
      </c>
      <c r="H1737" s="1">
        <v>45000</v>
      </c>
    </row>
    <row r="1738" spans="1:8">
      <c r="A1738" s="1"/>
      <c r="B1738" s="1" t="s">
        <v>586</v>
      </c>
      <c r="C1738" s="1" t="s">
        <v>519</v>
      </c>
      <c r="D1738" s="1">
        <v>2107.5</v>
      </c>
      <c r="E1738" s="1">
        <v>2107.5</v>
      </c>
      <c r="F1738" s="1">
        <v>2105.5</v>
      </c>
      <c r="G1738" s="1">
        <v>2105.5</v>
      </c>
      <c r="H1738" s="1">
        <v>53000</v>
      </c>
    </row>
    <row r="1739" spans="1:8">
      <c r="A1739" s="1"/>
      <c r="B1739" s="1" t="s">
        <v>586</v>
      </c>
      <c r="C1739" s="1" t="s">
        <v>520</v>
      </c>
      <c r="D1739" s="1">
        <v>2105.5</v>
      </c>
      <c r="E1739" s="1">
        <v>2105.5</v>
      </c>
      <c r="F1739" s="1">
        <v>2104.5</v>
      </c>
      <c r="G1739" s="1">
        <v>2105</v>
      </c>
      <c r="H1739" s="1">
        <v>35600</v>
      </c>
    </row>
    <row r="1740" spans="1:8">
      <c r="A1740" s="1"/>
      <c r="B1740" s="1" t="s">
        <v>586</v>
      </c>
      <c r="C1740" s="1" t="s">
        <v>521</v>
      </c>
      <c r="D1740" s="1">
        <v>2105.5</v>
      </c>
      <c r="E1740" s="1">
        <v>2105.5</v>
      </c>
      <c r="F1740" s="1">
        <v>2105</v>
      </c>
      <c r="G1740" s="1">
        <v>2105</v>
      </c>
      <c r="H1740" s="1">
        <v>26000</v>
      </c>
    </row>
    <row r="1741" spans="1:8">
      <c r="A1741" s="1"/>
      <c r="B1741" s="1" t="s">
        <v>586</v>
      </c>
      <c r="C1741" s="1" t="s">
        <v>522</v>
      </c>
      <c r="D1741" s="1">
        <v>2105.5</v>
      </c>
      <c r="E1741" s="1">
        <v>2106</v>
      </c>
      <c r="F1741" s="1">
        <v>2105</v>
      </c>
      <c r="G1741" s="1">
        <v>2105.5</v>
      </c>
      <c r="H1741" s="1">
        <v>36800</v>
      </c>
    </row>
    <row r="1742" spans="1:8">
      <c r="A1742" s="1"/>
      <c r="B1742" s="1" t="s">
        <v>586</v>
      </c>
      <c r="C1742" s="1" t="s">
        <v>523</v>
      </c>
      <c r="D1742" s="1">
        <v>2106</v>
      </c>
      <c r="E1742" s="1">
        <v>2107</v>
      </c>
      <c r="F1742" s="1">
        <v>2105.5</v>
      </c>
      <c r="G1742" s="1">
        <v>2107</v>
      </c>
      <c r="H1742" s="1">
        <v>43800</v>
      </c>
    </row>
    <row r="1743" spans="1:8">
      <c r="A1743" s="1"/>
      <c r="B1743" s="1" t="s">
        <v>586</v>
      </c>
      <c r="C1743" s="1" t="s">
        <v>524</v>
      </c>
      <c r="D1743" s="1">
        <v>2107</v>
      </c>
      <c r="E1743" s="1">
        <v>2107.5</v>
      </c>
      <c r="F1743" s="1">
        <v>2106</v>
      </c>
      <c r="G1743" s="1">
        <v>2106.5</v>
      </c>
      <c r="H1743" s="1">
        <v>95700</v>
      </c>
    </row>
    <row r="1744" spans="1:8">
      <c r="A1744" s="1"/>
      <c r="B1744" s="1" t="s">
        <v>586</v>
      </c>
      <c r="C1744" s="1" t="s">
        <v>525</v>
      </c>
      <c r="D1744" s="1">
        <v>2106.5</v>
      </c>
      <c r="E1744" s="1">
        <v>2107.5</v>
      </c>
      <c r="F1744" s="1">
        <v>2105.5</v>
      </c>
      <c r="G1744" s="1">
        <v>2107</v>
      </c>
      <c r="H1744" s="1">
        <v>68900</v>
      </c>
    </row>
    <row r="1745" spans="1:8">
      <c r="A1745" s="1"/>
      <c r="B1745" s="1" t="s">
        <v>586</v>
      </c>
      <c r="C1745" s="1" t="s">
        <v>526</v>
      </c>
      <c r="D1745" s="1">
        <v>2106.5</v>
      </c>
      <c r="E1745" s="1">
        <v>2107.5</v>
      </c>
      <c r="F1745" s="1">
        <v>2106.5</v>
      </c>
      <c r="G1745" s="1">
        <v>2107.5</v>
      </c>
      <c r="H1745" s="1">
        <v>30300</v>
      </c>
    </row>
    <row r="1746" spans="1:8">
      <c r="A1746" s="1"/>
      <c r="B1746" s="1" t="s">
        <v>586</v>
      </c>
      <c r="C1746" s="1" t="s">
        <v>527</v>
      </c>
      <c r="D1746" s="1">
        <v>2107</v>
      </c>
      <c r="E1746" s="1">
        <v>2108.5</v>
      </c>
      <c r="F1746" s="1">
        <v>2107</v>
      </c>
      <c r="G1746" s="1">
        <v>2108.5</v>
      </c>
      <c r="H1746" s="1">
        <v>81400</v>
      </c>
    </row>
    <row r="1747" spans="1:8">
      <c r="A1747" s="1"/>
      <c r="B1747" s="1" t="s">
        <v>586</v>
      </c>
      <c r="C1747" s="1" t="s">
        <v>528</v>
      </c>
      <c r="D1747" s="1">
        <v>2108</v>
      </c>
      <c r="E1747" s="1">
        <v>2108</v>
      </c>
      <c r="F1747" s="1">
        <v>2106.5</v>
      </c>
      <c r="G1747" s="1">
        <v>2106.5</v>
      </c>
      <c r="H1747" s="1">
        <v>60300</v>
      </c>
    </row>
    <row r="1748" spans="1:8">
      <c r="A1748" s="1"/>
      <c r="B1748" s="1" t="s">
        <v>586</v>
      </c>
      <c r="C1748" s="1" t="s">
        <v>529</v>
      </c>
      <c r="D1748" s="1">
        <v>2106.5</v>
      </c>
      <c r="E1748" s="1">
        <v>2107.5</v>
      </c>
      <c r="F1748" s="1">
        <v>2106</v>
      </c>
      <c r="G1748" s="1">
        <v>2107.5</v>
      </c>
      <c r="H1748" s="1">
        <v>50300</v>
      </c>
    </row>
    <row r="1749" spans="1:8">
      <c r="A1749" s="1"/>
      <c r="B1749" s="1" t="s">
        <v>586</v>
      </c>
      <c r="C1749" s="1" t="s">
        <v>530</v>
      </c>
      <c r="D1749" s="1">
        <v>2107.5</v>
      </c>
      <c r="E1749" s="1">
        <v>2108</v>
      </c>
      <c r="F1749" s="1">
        <v>2106.5</v>
      </c>
      <c r="G1749" s="1">
        <v>2107</v>
      </c>
      <c r="H1749" s="1">
        <v>37500</v>
      </c>
    </row>
    <row r="1750" spans="1:8">
      <c r="A1750" s="1"/>
      <c r="B1750" s="1" t="s">
        <v>586</v>
      </c>
      <c r="C1750" s="1" t="s">
        <v>531</v>
      </c>
      <c r="D1750" s="1">
        <v>2107.5</v>
      </c>
      <c r="E1750" s="1">
        <v>2107.5</v>
      </c>
      <c r="F1750" s="1">
        <v>2106.5</v>
      </c>
      <c r="G1750" s="1">
        <v>2106.5</v>
      </c>
      <c r="H1750" s="1">
        <v>24400</v>
      </c>
    </row>
    <row r="1751" spans="1:8">
      <c r="A1751" s="1"/>
      <c r="B1751" s="1" t="s">
        <v>586</v>
      </c>
      <c r="C1751" s="1" t="s">
        <v>532</v>
      </c>
      <c r="D1751" s="1">
        <v>2106</v>
      </c>
      <c r="E1751" s="1">
        <v>2109</v>
      </c>
      <c r="F1751" s="1">
        <v>2105.5</v>
      </c>
      <c r="G1751" s="1">
        <v>2108.5</v>
      </c>
      <c r="H1751" s="1">
        <v>123400</v>
      </c>
    </row>
    <row r="1752" spans="1:8">
      <c r="A1752" s="1"/>
      <c r="B1752" s="1" t="s">
        <v>586</v>
      </c>
      <c r="C1752" s="1" t="s">
        <v>533</v>
      </c>
      <c r="D1752" s="1">
        <v>2108.5</v>
      </c>
      <c r="E1752" s="1">
        <v>2109</v>
      </c>
      <c r="F1752" s="1">
        <v>2107.5</v>
      </c>
      <c r="G1752" s="1">
        <v>2107.5</v>
      </c>
      <c r="H1752" s="1">
        <v>39800</v>
      </c>
    </row>
    <row r="1753" spans="1:8">
      <c r="A1753" s="1"/>
      <c r="B1753" s="1" t="s">
        <v>586</v>
      </c>
      <c r="C1753" s="1" t="s">
        <v>534</v>
      </c>
      <c r="D1753" s="1">
        <v>2107.5</v>
      </c>
      <c r="E1753" s="1">
        <v>2108.5</v>
      </c>
      <c r="F1753" s="1">
        <v>2107</v>
      </c>
      <c r="G1753" s="1">
        <v>2108.5</v>
      </c>
      <c r="H1753" s="1">
        <v>27300</v>
      </c>
    </row>
    <row r="1754" spans="1:8">
      <c r="A1754" s="1"/>
      <c r="B1754" s="1" t="s">
        <v>586</v>
      </c>
      <c r="C1754" s="1" t="s">
        <v>535</v>
      </c>
      <c r="D1754" s="1">
        <v>2108.5</v>
      </c>
      <c r="E1754" s="1">
        <v>2110.5</v>
      </c>
      <c r="F1754" s="1">
        <v>2108</v>
      </c>
      <c r="G1754" s="1">
        <v>2110.5</v>
      </c>
      <c r="H1754" s="1">
        <v>129200</v>
      </c>
    </row>
    <row r="1755" spans="1:8">
      <c r="A1755" s="1"/>
      <c r="B1755" s="1" t="s">
        <v>586</v>
      </c>
      <c r="C1755" s="1" t="s">
        <v>536</v>
      </c>
      <c r="D1755" s="1">
        <v>2110.5</v>
      </c>
      <c r="E1755" s="1">
        <v>2112</v>
      </c>
      <c r="F1755" s="1">
        <v>2110.5</v>
      </c>
      <c r="G1755" s="1">
        <v>2110.5</v>
      </c>
      <c r="H1755" s="1">
        <v>193700</v>
      </c>
    </row>
    <row r="1756" spans="1:8">
      <c r="A1756" s="1"/>
      <c r="B1756" s="1" t="s">
        <v>586</v>
      </c>
      <c r="C1756" s="1" t="s">
        <v>537</v>
      </c>
      <c r="D1756" s="1">
        <v>2110.5</v>
      </c>
      <c r="E1756" s="1">
        <v>2111</v>
      </c>
      <c r="F1756" s="1">
        <v>2110</v>
      </c>
      <c r="G1756" s="1">
        <v>2111</v>
      </c>
      <c r="H1756" s="1">
        <v>69400</v>
      </c>
    </row>
    <row r="1757" spans="1:8">
      <c r="A1757" s="1"/>
      <c r="B1757" s="1" t="s">
        <v>586</v>
      </c>
      <c r="C1757" s="1" t="s">
        <v>538</v>
      </c>
      <c r="D1757" s="1">
        <v>2111.5</v>
      </c>
      <c r="E1757" s="1">
        <v>2112</v>
      </c>
      <c r="F1757" s="1">
        <v>2111</v>
      </c>
      <c r="G1757" s="1">
        <v>2112</v>
      </c>
      <c r="H1757" s="1">
        <v>58300</v>
      </c>
    </row>
    <row r="1758" spans="1:8">
      <c r="A1758" s="1"/>
      <c r="B1758" s="1" t="s">
        <v>586</v>
      </c>
      <c r="C1758" s="1" t="s">
        <v>539</v>
      </c>
      <c r="D1758" s="1">
        <v>2111.5</v>
      </c>
      <c r="E1758" s="1">
        <v>2111.5</v>
      </c>
      <c r="F1758" s="1">
        <v>2110</v>
      </c>
      <c r="G1758" s="1">
        <v>2111.5</v>
      </c>
      <c r="H1758" s="1">
        <v>48700</v>
      </c>
    </row>
    <row r="1759" spans="1:8">
      <c r="A1759" s="1"/>
      <c r="B1759" s="1" t="s">
        <v>586</v>
      </c>
      <c r="C1759" s="1" t="s">
        <v>540</v>
      </c>
      <c r="D1759" s="1">
        <v>2111</v>
      </c>
      <c r="E1759" s="1">
        <v>2111</v>
      </c>
      <c r="F1759" s="1">
        <v>2110</v>
      </c>
      <c r="G1759" s="1">
        <v>2111</v>
      </c>
      <c r="H1759" s="1">
        <v>34400</v>
      </c>
    </row>
    <row r="1760" spans="1:8">
      <c r="A1760" s="1"/>
      <c r="B1760" s="1" t="s">
        <v>586</v>
      </c>
      <c r="C1760" s="1" t="s">
        <v>541</v>
      </c>
      <c r="D1760" s="1">
        <v>2110.5</v>
      </c>
      <c r="E1760" s="1">
        <v>2110.5</v>
      </c>
      <c r="F1760" s="1">
        <v>2109.5</v>
      </c>
      <c r="G1760" s="1">
        <v>2110</v>
      </c>
      <c r="H1760" s="1">
        <v>68200</v>
      </c>
    </row>
    <row r="1761" spans="1:8">
      <c r="A1761" s="1"/>
      <c r="B1761" s="1" t="s">
        <v>586</v>
      </c>
      <c r="C1761" s="1" t="s">
        <v>542</v>
      </c>
      <c r="D1761" s="1">
        <v>2110</v>
      </c>
      <c r="E1761" s="1">
        <v>2110</v>
      </c>
      <c r="F1761" s="1">
        <v>2109</v>
      </c>
      <c r="G1761" s="1">
        <v>2110</v>
      </c>
      <c r="H1761" s="1">
        <v>27900</v>
      </c>
    </row>
    <row r="1762" spans="1:8">
      <c r="A1762" s="1"/>
      <c r="B1762" s="1" t="s">
        <v>586</v>
      </c>
      <c r="C1762" s="1" t="s">
        <v>543</v>
      </c>
      <c r="D1762" s="1">
        <v>2110</v>
      </c>
      <c r="E1762" s="1">
        <v>2110</v>
      </c>
      <c r="F1762" s="1">
        <v>2108.5</v>
      </c>
      <c r="G1762" s="1">
        <v>2108.5</v>
      </c>
      <c r="H1762" s="1">
        <v>46600</v>
      </c>
    </row>
    <row r="1763" spans="1:8">
      <c r="A1763" s="1"/>
      <c r="B1763" s="1" t="s">
        <v>586</v>
      </c>
      <c r="C1763" s="1" t="s">
        <v>544</v>
      </c>
      <c r="D1763" s="1">
        <v>2108</v>
      </c>
      <c r="E1763" s="1">
        <v>2108.5</v>
      </c>
      <c r="F1763" s="1">
        <v>2107</v>
      </c>
      <c r="G1763" s="1">
        <v>2107</v>
      </c>
      <c r="H1763" s="1">
        <v>35500</v>
      </c>
    </row>
    <row r="1764" spans="1:8">
      <c r="A1764" s="1"/>
      <c r="B1764" s="1" t="s">
        <v>586</v>
      </c>
      <c r="C1764" s="1" t="s">
        <v>545</v>
      </c>
      <c r="D1764" s="1">
        <v>2107.5</v>
      </c>
      <c r="E1764" s="1">
        <v>2109.5</v>
      </c>
      <c r="F1764" s="1">
        <v>2107</v>
      </c>
      <c r="G1764" s="1">
        <v>2108.5</v>
      </c>
      <c r="H1764" s="1">
        <v>34600</v>
      </c>
    </row>
    <row r="1765" spans="1:8">
      <c r="A1765" s="1"/>
      <c r="B1765" s="1" t="s">
        <v>586</v>
      </c>
      <c r="C1765" s="1" t="s">
        <v>546</v>
      </c>
      <c r="D1765" s="1">
        <v>2108.5</v>
      </c>
      <c r="E1765" s="1">
        <v>2109</v>
      </c>
      <c r="F1765" s="1">
        <v>2108</v>
      </c>
      <c r="G1765" s="1">
        <v>2108</v>
      </c>
      <c r="H1765" s="1">
        <v>25600</v>
      </c>
    </row>
    <row r="1766" spans="1:8">
      <c r="A1766" s="1"/>
      <c r="B1766" s="1" t="s">
        <v>586</v>
      </c>
      <c r="C1766" s="1" t="s">
        <v>547</v>
      </c>
      <c r="D1766" s="1">
        <v>2108.5</v>
      </c>
      <c r="E1766" s="1">
        <v>2109</v>
      </c>
      <c r="F1766" s="1">
        <v>2108</v>
      </c>
      <c r="G1766" s="1">
        <v>2108.5</v>
      </c>
      <c r="H1766" s="1">
        <v>28900</v>
      </c>
    </row>
    <row r="1767" spans="1:8">
      <c r="A1767" s="1"/>
      <c r="B1767" s="1" t="s">
        <v>586</v>
      </c>
      <c r="C1767" s="1" t="s">
        <v>548</v>
      </c>
      <c r="D1767" s="1">
        <v>2108</v>
      </c>
      <c r="E1767" s="1">
        <v>2108.5</v>
      </c>
      <c r="F1767" s="1">
        <v>2107</v>
      </c>
      <c r="G1767" s="1">
        <v>2108</v>
      </c>
      <c r="H1767" s="1">
        <v>34500</v>
      </c>
    </row>
    <row r="1768" spans="1:8">
      <c r="A1768" s="1"/>
      <c r="B1768" s="1" t="s">
        <v>586</v>
      </c>
      <c r="C1768" s="1" t="s">
        <v>549</v>
      </c>
      <c r="D1768" s="1">
        <v>2108.5</v>
      </c>
      <c r="E1768" s="1">
        <v>2109</v>
      </c>
      <c r="F1768" s="1">
        <v>2108</v>
      </c>
      <c r="G1768" s="1">
        <v>2108</v>
      </c>
      <c r="H1768" s="1">
        <v>38800</v>
      </c>
    </row>
    <row r="1769" spans="1:8">
      <c r="A1769" s="1"/>
      <c r="B1769" s="1" t="s">
        <v>586</v>
      </c>
      <c r="C1769" s="1" t="s">
        <v>550</v>
      </c>
      <c r="D1769" s="1">
        <v>2108.5</v>
      </c>
      <c r="E1769" s="1">
        <v>2108.5</v>
      </c>
      <c r="F1769" s="1">
        <v>2108</v>
      </c>
      <c r="G1769" s="1">
        <v>2108.5</v>
      </c>
      <c r="H1769" s="1">
        <v>28600</v>
      </c>
    </row>
    <row r="1770" spans="1:8">
      <c r="A1770" s="1"/>
      <c r="B1770" s="1" t="s">
        <v>586</v>
      </c>
      <c r="C1770" s="1" t="s">
        <v>551</v>
      </c>
      <c r="D1770" s="1">
        <v>2108</v>
      </c>
      <c r="E1770" s="1">
        <v>2108.5</v>
      </c>
      <c r="F1770" s="1">
        <v>2107</v>
      </c>
      <c r="G1770" s="1">
        <v>2107</v>
      </c>
      <c r="H1770" s="1">
        <v>49000</v>
      </c>
    </row>
    <row r="1771" spans="1:8">
      <c r="A1771" s="1"/>
      <c r="B1771" s="1" t="s">
        <v>586</v>
      </c>
      <c r="C1771" s="1" t="s">
        <v>552</v>
      </c>
      <c r="D1771" s="1">
        <v>2106.5</v>
      </c>
      <c r="E1771" s="1">
        <v>2111</v>
      </c>
      <c r="F1771" s="1">
        <v>2106.5</v>
      </c>
      <c r="G1771" s="1">
        <v>2110</v>
      </c>
      <c r="H1771" s="1">
        <v>267600</v>
      </c>
    </row>
    <row r="1772" spans="1:8">
      <c r="A1772" s="1"/>
      <c r="B1772" s="1" t="s">
        <v>586</v>
      </c>
      <c r="C1772" s="1" t="s">
        <v>553</v>
      </c>
      <c r="D1772" s="1">
        <v>2109.5</v>
      </c>
      <c r="E1772" s="1">
        <v>2113</v>
      </c>
      <c r="F1772" s="1">
        <v>2108.5</v>
      </c>
      <c r="G1772" s="1">
        <v>2111.5</v>
      </c>
      <c r="H1772" s="1">
        <v>318100</v>
      </c>
    </row>
    <row r="1773" spans="1:8">
      <c r="A1773" s="1"/>
      <c r="B1773" s="1" t="s">
        <v>586</v>
      </c>
      <c r="C1773" s="1" t="s">
        <v>554</v>
      </c>
      <c r="D1773" s="1">
        <v>2111</v>
      </c>
      <c r="E1773" s="1">
        <v>2111.5</v>
      </c>
      <c r="F1773" s="1">
        <v>2110</v>
      </c>
      <c r="G1773" s="1">
        <v>2111</v>
      </c>
      <c r="H1773" s="1">
        <v>62900</v>
      </c>
    </row>
    <row r="1774" spans="1:8">
      <c r="A1774" s="1"/>
      <c r="B1774" s="1" t="s">
        <v>586</v>
      </c>
      <c r="C1774" s="1" t="s">
        <v>555</v>
      </c>
      <c r="D1774" s="1">
        <v>2111.5</v>
      </c>
      <c r="E1774" s="1">
        <v>2115</v>
      </c>
      <c r="F1774" s="1">
        <v>2110.5</v>
      </c>
      <c r="G1774" s="1">
        <v>2113</v>
      </c>
      <c r="H1774" s="1">
        <v>338200</v>
      </c>
    </row>
    <row r="1775" spans="1:8">
      <c r="A1775" s="1"/>
      <c r="B1775" s="1" t="s">
        <v>586</v>
      </c>
      <c r="C1775" s="1" t="s">
        <v>556</v>
      </c>
      <c r="D1775" s="1">
        <v>2113</v>
      </c>
      <c r="E1775" s="1">
        <v>2115</v>
      </c>
      <c r="F1775" s="1">
        <v>2111</v>
      </c>
      <c r="G1775" s="1">
        <v>2113</v>
      </c>
      <c r="H1775" s="1">
        <v>321700</v>
      </c>
    </row>
    <row r="1776" spans="1:8">
      <c r="A1776" s="1"/>
      <c r="B1776" s="1" t="s">
        <v>586</v>
      </c>
      <c r="C1776" s="1" t="s">
        <v>557</v>
      </c>
      <c r="D1776" s="1">
        <v>2113.5</v>
      </c>
      <c r="E1776" s="1">
        <v>2114.5</v>
      </c>
      <c r="F1776" s="1">
        <v>2113.5</v>
      </c>
      <c r="G1776" s="1">
        <v>2114.5</v>
      </c>
      <c r="H1776" s="1">
        <v>46600</v>
      </c>
    </row>
    <row r="1777" spans="1:8">
      <c r="A1777" s="1"/>
      <c r="B1777" s="1" t="s">
        <v>586</v>
      </c>
      <c r="C1777" s="1" t="s">
        <v>558</v>
      </c>
      <c r="D1777" s="1">
        <v>2114</v>
      </c>
      <c r="E1777" s="1">
        <v>2117</v>
      </c>
      <c r="F1777" s="1">
        <v>2113.5</v>
      </c>
      <c r="G1777" s="1">
        <v>2116</v>
      </c>
      <c r="H1777" s="1">
        <v>261600</v>
      </c>
    </row>
    <row r="1778" spans="1:8">
      <c r="A1778" s="1"/>
      <c r="B1778" s="1" t="s">
        <v>586</v>
      </c>
      <c r="C1778" s="1" t="s">
        <v>559</v>
      </c>
      <c r="D1778" s="1">
        <v>2116</v>
      </c>
      <c r="E1778" s="1">
        <v>2117</v>
      </c>
      <c r="F1778" s="1">
        <v>2115.5</v>
      </c>
      <c r="G1778" s="1">
        <v>2116</v>
      </c>
      <c r="H1778" s="1">
        <v>105600</v>
      </c>
    </row>
    <row r="1779" spans="1:8">
      <c r="A1779" s="1"/>
      <c r="B1779" s="1" t="s">
        <v>586</v>
      </c>
      <c r="C1779" s="1" t="s">
        <v>560</v>
      </c>
      <c r="D1779" s="1">
        <v>2116</v>
      </c>
      <c r="E1779" s="1">
        <v>2116.5</v>
      </c>
      <c r="F1779" s="1">
        <v>2114</v>
      </c>
      <c r="G1779" s="1">
        <v>2116.5</v>
      </c>
      <c r="H1779" s="1">
        <v>136700</v>
      </c>
    </row>
    <row r="1780" spans="1:8">
      <c r="A1780" s="1"/>
      <c r="B1780" s="1" t="s">
        <v>586</v>
      </c>
      <c r="C1780" s="1" t="s">
        <v>561</v>
      </c>
      <c r="D1780" s="1">
        <v>2115</v>
      </c>
      <c r="E1780" s="1">
        <v>2117</v>
      </c>
      <c r="F1780" s="1">
        <v>2115</v>
      </c>
      <c r="G1780" s="1">
        <v>2116</v>
      </c>
      <c r="H1780" s="1">
        <v>261300</v>
      </c>
    </row>
    <row r="1781" spans="1:8">
      <c r="A1781" s="1"/>
      <c r="B1781" s="1" t="s">
        <v>586</v>
      </c>
      <c r="C1781" s="1" t="s">
        <v>562</v>
      </c>
      <c r="D1781" s="1">
        <v>2116</v>
      </c>
      <c r="E1781" s="1">
        <v>2117.5</v>
      </c>
      <c r="F1781" s="1">
        <v>2115</v>
      </c>
      <c r="G1781" s="1">
        <v>2117.5</v>
      </c>
      <c r="H1781" s="1">
        <v>141100</v>
      </c>
    </row>
    <row r="1782" spans="1:8">
      <c r="A1782" s="1"/>
      <c r="B1782" s="1" t="s">
        <v>586</v>
      </c>
      <c r="C1782" s="1" t="s">
        <v>563</v>
      </c>
      <c r="D1782" s="1">
        <v>2117.5</v>
      </c>
      <c r="E1782" s="1">
        <v>2118</v>
      </c>
      <c r="F1782" s="1">
        <v>2117</v>
      </c>
      <c r="G1782" s="1">
        <v>2117.5</v>
      </c>
      <c r="H1782" s="1">
        <v>39100</v>
      </c>
    </row>
    <row r="1783" spans="1:8">
      <c r="A1783" s="1"/>
      <c r="B1783" s="1" t="s">
        <v>586</v>
      </c>
      <c r="C1783" s="1" t="s">
        <v>564</v>
      </c>
      <c r="D1783" s="1">
        <v>2117.5</v>
      </c>
      <c r="E1783" s="1">
        <v>2118</v>
      </c>
      <c r="F1783" s="1">
        <v>2117</v>
      </c>
      <c r="G1783" s="1">
        <v>2117.5</v>
      </c>
      <c r="H1783" s="1">
        <v>62500</v>
      </c>
    </row>
    <row r="1784" spans="1:8">
      <c r="A1784" s="1"/>
      <c r="B1784" s="1" t="s">
        <v>586</v>
      </c>
      <c r="C1784" s="1" t="s">
        <v>565</v>
      </c>
      <c r="D1784" s="1">
        <v>2117.5</v>
      </c>
      <c r="E1784" s="1">
        <v>2118</v>
      </c>
      <c r="F1784" s="1">
        <v>2115</v>
      </c>
      <c r="G1784" s="1">
        <v>2116</v>
      </c>
      <c r="H1784" s="1">
        <v>220700</v>
      </c>
    </row>
    <row r="1785" spans="1:8">
      <c r="A1785" s="1"/>
      <c r="B1785" s="1" t="s">
        <v>586</v>
      </c>
      <c r="C1785" s="1" t="s">
        <v>566</v>
      </c>
      <c r="D1785" s="1">
        <v>2115.5</v>
      </c>
      <c r="E1785" s="1">
        <v>2116.5</v>
      </c>
      <c r="F1785" s="1">
        <v>2113</v>
      </c>
      <c r="G1785" s="1">
        <v>2114</v>
      </c>
      <c r="H1785" s="1">
        <v>147100</v>
      </c>
    </row>
    <row r="1786" spans="1:8">
      <c r="A1786" s="1"/>
      <c r="B1786" s="1" t="s">
        <v>586</v>
      </c>
      <c r="C1786" s="1" t="s">
        <v>567</v>
      </c>
      <c r="D1786" s="1">
        <v>2113.5</v>
      </c>
      <c r="E1786" s="1">
        <v>2114.5</v>
      </c>
      <c r="F1786" s="1">
        <v>2112.5</v>
      </c>
      <c r="G1786" s="1">
        <v>2113.5</v>
      </c>
      <c r="H1786" s="1">
        <v>106300</v>
      </c>
    </row>
    <row r="1787" spans="1:8">
      <c r="A1787" s="1"/>
      <c r="B1787" s="1" t="s">
        <v>586</v>
      </c>
      <c r="C1787" s="1" t="s">
        <v>568</v>
      </c>
      <c r="D1787" s="1">
        <v>2114</v>
      </c>
      <c r="E1787" s="1">
        <v>2117.5</v>
      </c>
      <c r="F1787" s="1">
        <v>2114</v>
      </c>
      <c r="G1787" s="1">
        <v>2117</v>
      </c>
      <c r="H1787" s="1">
        <v>112400</v>
      </c>
    </row>
    <row r="1788" spans="1:8">
      <c r="A1788" s="1"/>
      <c r="B1788" s="1" t="s">
        <v>586</v>
      </c>
      <c r="C1788" s="1" t="s">
        <v>569</v>
      </c>
      <c r="D1788" s="1">
        <v>2116.5</v>
      </c>
      <c r="E1788" s="1">
        <v>2117</v>
      </c>
      <c r="F1788" s="1">
        <v>2115.5</v>
      </c>
      <c r="G1788" s="1">
        <v>2116.5</v>
      </c>
      <c r="H1788" s="1">
        <v>93100</v>
      </c>
    </row>
    <row r="1789" spans="1:8">
      <c r="A1789" s="1"/>
      <c r="B1789" s="1" t="s">
        <v>586</v>
      </c>
      <c r="C1789" s="1" t="s">
        <v>570</v>
      </c>
      <c r="D1789" s="1">
        <v>2116</v>
      </c>
      <c r="E1789" s="1">
        <v>2117</v>
      </c>
      <c r="F1789" s="1">
        <v>2116</v>
      </c>
      <c r="G1789" s="1">
        <v>2116.5</v>
      </c>
      <c r="H1789" s="1">
        <v>75200</v>
      </c>
    </row>
    <row r="1790" spans="1:8">
      <c r="A1790" s="1"/>
      <c r="B1790" s="1" t="s">
        <v>586</v>
      </c>
      <c r="C1790" s="1" t="s">
        <v>571</v>
      </c>
      <c r="D1790" s="1">
        <v>2117</v>
      </c>
      <c r="E1790" s="1">
        <v>2117.5</v>
      </c>
      <c r="F1790" s="1">
        <v>2115.5</v>
      </c>
      <c r="G1790" s="1">
        <v>2116</v>
      </c>
      <c r="H1790" s="1">
        <v>65300</v>
      </c>
    </row>
    <row r="1791" spans="1:8">
      <c r="A1791" s="1"/>
      <c r="B1791" s="1" t="s">
        <v>586</v>
      </c>
      <c r="C1791" s="1" t="s">
        <v>572</v>
      </c>
      <c r="D1791" s="1">
        <v>2116</v>
      </c>
      <c r="E1791" s="1">
        <v>2117</v>
      </c>
      <c r="F1791" s="1">
        <v>2116</v>
      </c>
      <c r="G1791" s="1">
        <v>2117</v>
      </c>
      <c r="H1791" s="1">
        <v>167500</v>
      </c>
    </row>
    <row r="1792" spans="1:8">
      <c r="A1792" s="1"/>
      <c r="B1792" s="1" t="s">
        <v>586</v>
      </c>
      <c r="C1792" s="1" t="s">
        <v>573</v>
      </c>
      <c r="D1792" s="1">
        <v>2116.5</v>
      </c>
      <c r="E1792" s="1">
        <v>2116.5</v>
      </c>
      <c r="F1792" s="1">
        <v>2115</v>
      </c>
      <c r="G1792" s="1">
        <v>2115.5</v>
      </c>
      <c r="H1792" s="1">
        <v>63600</v>
      </c>
    </row>
    <row r="1793" spans="1:8">
      <c r="A1793" s="1"/>
      <c r="B1793" s="1" t="s">
        <v>586</v>
      </c>
      <c r="C1793" s="1" t="s">
        <v>574</v>
      </c>
      <c r="D1793" s="1">
        <v>2115.5</v>
      </c>
      <c r="E1793" s="1">
        <v>2118</v>
      </c>
      <c r="F1793" s="1">
        <v>2115.5</v>
      </c>
      <c r="G1793" s="1">
        <v>2117.5</v>
      </c>
      <c r="H1793" s="1">
        <v>160700</v>
      </c>
    </row>
    <row r="1794" spans="1:8">
      <c r="A1794" s="1"/>
      <c r="B1794" s="1" t="s">
        <v>586</v>
      </c>
      <c r="C1794" s="1" t="s">
        <v>575</v>
      </c>
      <c r="D1794" s="1">
        <v>2117.5</v>
      </c>
      <c r="E1794" s="1">
        <v>2118.5</v>
      </c>
      <c r="F1794" s="1">
        <v>2117.5</v>
      </c>
      <c r="G1794" s="1">
        <v>2118</v>
      </c>
      <c r="H1794" s="1">
        <v>88100</v>
      </c>
    </row>
    <row r="1795" spans="1:8">
      <c r="A1795" s="1"/>
      <c r="B1795" s="1" t="s">
        <v>586</v>
      </c>
      <c r="C1795" s="1" t="s">
        <v>576</v>
      </c>
      <c r="D1795" s="1">
        <v>2118.5</v>
      </c>
      <c r="E1795" s="1">
        <v>2118.5</v>
      </c>
      <c r="F1795" s="1">
        <v>2118</v>
      </c>
      <c r="G1795" s="1">
        <v>2118.5</v>
      </c>
      <c r="H1795" s="1">
        <v>14100</v>
      </c>
    </row>
    <row r="1796" spans="1:8">
      <c r="A1796" s="1"/>
      <c r="B1796" s="1" t="s">
        <v>586</v>
      </c>
      <c r="C1796" s="1" t="s">
        <v>577</v>
      </c>
      <c r="D1796" s="1">
        <v>2118</v>
      </c>
      <c r="E1796" s="1">
        <v>2119.5</v>
      </c>
      <c r="F1796" s="1">
        <v>2117.5</v>
      </c>
      <c r="G1796" s="1">
        <v>2118.5</v>
      </c>
      <c r="H1796" s="1">
        <v>158100</v>
      </c>
    </row>
    <row r="1797" spans="1:8">
      <c r="A1797" s="1"/>
      <c r="B1797" s="1" t="s">
        <v>586</v>
      </c>
      <c r="C1797" s="1" t="s">
        <v>578</v>
      </c>
      <c r="D1797" s="1">
        <v>2118.5</v>
      </c>
      <c r="E1797" s="1">
        <v>2118.5</v>
      </c>
      <c r="F1797" s="1">
        <v>2117.5</v>
      </c>
      <c r="G1797" s="1">
        <v>2118</v>
      </c>
      <c r="H1797" s="1">
        <v>81100</v>
      </c>
    </row>
    <row r="1798" spans="1:8">
      <c r="A1798" s="1"/>
      <c r="B1798" s="1" t="s">
        <v>586</v>
      </c>
      <c r="C1798" s="1" t="s">
        <v>579</v>
      </c>
      <c r="D1798" s="1">
        <v>2118</v>
      </c>
      <c r="E1798" s="1">
        <v>2119.5</v>
      </c>
      <c r="F1798" s="1">
        <v>2117.5</v>
      </c>
      <c r="G1798" s="1">
        <v>2119.5</v>
      </c>
      <c r="H1798" s="1">
        <v>87000</v>
      </c>
    </row>
    <row r="1799" spans="1:8">
      <c r="A1799" s="1"/>
      <c r="B1799" s="1" t="s">
        <v>586</v>
      </c>
      <c r="C1799" s="1" t="s">
        <v>580</v>
      </c>
      <c r="D1799" s="1">
        <v>2119</v>
      </c>
      <c r="E1799" s="1">
        <v>2119</v>
      </c>
      <c r="F1799" s="1">
        <v>2118.5</v>
      </c>
      <c r="G1799" s="1">
        <v>2118.5</v>
      </c>
      <c r="H1799" s="1">
        <v>31400</v>
      </c>
    </row>
    <row r="1800" spans="1:8">
      <c r="A1800" s="1"/>
      <c r="B1800" s="1" t="s">
        <v>586</v>
      </c>
      <c r="C1800" s="1" t="s">
        <v>581</v>
      </c>
      <c r="D1800" s="1">
        <v>2119</v>
      </c>
      <c r="E1800" s="1">
        <v>2119</v>
      </c>
      <c r="F1800" s="1">
        <v>2115</v>
      </c>
      <c r="G1800" s="1">
        <v>2116</v>
      </c>
      <c r="H1800" s="1">
        <v>95800</v>
      </c>
    </row>
    <row r="1801" spans="1:8">
      <c r="A1801" s="1"/>
      <c r="B1801" s="1" t="s">
        <v>586</v>
      </c>
      <c r="C1801" s="1" t="s">
        <v>582</v>
      </c>
      <c r="D1801" s="1">
        <v>2115.5</v>
      </c>
      <c r="E1801" s="1">
        <v>2117.5</v>
      </c>
      <c r="F1801" s="1">
        <v>2114</v>
      </c>
      <c r="G1801" s="1">
        <v>2117</v>
      </c>
      <c r="H1801" s="1">
        <v>204400</v>
      </c>
    </row>
    <row r="1802" spans="1:8">
      <c r="A1802" s="1"/>
      <c r="B1802" s="1" t="s">
        <v>586</v>
      </c>
      <c r="C1802" s="1" t="s">
        <v>583</v>
      </c>
      <c r="D1802" s="1">
        <v>2117</v>
      </c>
      <c r="E1802" s="1">
        <v>2118</v>
      </c>
      <c r="F1802" s="1">
        <v>2116.5</v>
      </c>
      <c r="G1802" s="1">
        <v>2117.5</v>
      </c>
      <c r="H1802" s="1">
        <v>28000</v>
      </c>
    </row>
    <row r="1803" spans="1:8">
      <c r="A1803" s="1"/>
      <c r="B1803" s="1" t="s">
        <v>586</v>
      </c>
      <c r="C1803" s="1" t="s">
        <v>584</v>
      </c>
      <c r="D1803" s="1">
        <v>2117</v>
      </c>
      <c r="E1803" s="1">
        <v>2117.5</v>
      </c>
      <c r="F1803" s="1">
        <v>2116</v>
      </c>
      <c r="G1803" s="1">
        <v>2116.5</v>
      </c>
      <c r="H1803" s="1">
        <v>63700</v>
      </c>
    </row>
    <row r="1804" spans="1:8">
      <c r="A1804" s="1"/>
      <c r="B1804" s="1" t="s">
        <v>586</v>
      </c>
      <c r="C1804" s="1" t="s">
        <v>585</v>
      </c>
      <c r="D1804" s="1">
        <v>2116.5</v>
      </c>
      <c r="E1804" s="1">
        <v>2117</v>
      </c>
      <c r="F1804" s="1">
        <v>2116</v>
      </c>
      <c r="G1804" s="1">
        <v>2116</v>
      </c>
      <c r="H1804" s="1">
        <v>90900</v>
      </c>
    </row>
    <row r="1805" spans="1:8">
      <c r="A1805" s="1"/>
      <c r="B1805" s="1" t="s">
        <v>587</v>
      </c>
      <c r="C1805" s="1" t="s">
        <v>316</v>
      </c>
      <c r="D1805" s="1">
        <v>2116.5</v>
      </c>
      <c r="E1805" s="1">
        <v>2116.5</v>
      </c>
      <c r="F1805" s="1">
        <v>2116.5</v>
      </c>
      <c r="G1805" s="1">
        <v>2116.5</v>
      </c>
      <c r="H1805" s="1">
        <v>14500</v>
      </c>
    </row>
    <row r="1806" spans="1:8">
      <c r="A1806" s="1" t="s">
        <v>79</v>
      </c>
      <c r="B1806" s="1" t="s">
        <v>79</v>
      </c>
      <c r="C1806" s="1" t="s">
        <v>79</v>
      </c>
      <c r="D1806" s="1" t="s">
        <v>79</v>
      </c>
      <c r="E1806" s="1" t="s">
        <v>79</v>
      </c>
      <c r="F1806" s="1" t="s">
        <v>79</v>
      </c>
      <c r="G1806" s="1" t="s">
        <v>79</v>
      </c>
      <c r="H1806" s="1" t="s">
        <v>79</v>
      </c>
    </row>
    <row r="2327" spans="1:8">
      <c r="A2327" s="1"/>
      <c r="B2327" s="1"/>
      <c r="C2327" s="1"/>
      <c r="D2327" s="1"/>
      <c r="E2327" s="1"/>
      <c r="F2327" s="1"/>
      <c r="G2327" s="1"/>
      <c r="H2327" s="1"/>
    </row>
    <row r="2328" spans="1:8">
      <c r="A2328" s="1"/>
      <c r="B2328" s="1" t="s">
        <v>143</v>
      </c>
      <c r="C2328" s="1" t="s">
        <v>145</v>
      </c>
      <c r="D2328" s="1">
        <v>2154</v>
      </c>
      <c r="E2328" s="1">
        <v>2154.5</v>
      </c>
      <c r="F2328" s="1">
        <v>2154</v>
      </c>
      <c r="G2328" s="1">
        <v>2154.5</v>
      </c>
      <c r="H2328" s="1">
        <v>5500</v>
      </c>
    </row>
    <row r="2329" spans="1:8">
      <c r="A2329" s="1"/>
      <c r="B2329" s="1" t="s">
        <v>143</v>
      </c>
      <c r="C2329" s="1" t="s">
        <v>146</v>
      </c>
      <c r="D2329" s="1">
        <v>2154</v>
      </c>
      <c r="E2329" s="1">
        <v>2155.5</v>
      </c>
      <c r="F2329" s="1">
        <v>2154</v>
      </c>
      <c r="G2329" s="1">
        <v>2155</v>
      </c>
      <c r="H2329" s="1">
        <v>130400</v>
      </c>
    </row>
    <row r="2330" spans="1:8">
      <c r="A2330" s="1"/>
      <c r="B2330" s="1" t="s">
        <v>143</v>
      </c>
      <c r="C2330" s="1" t="s">
        <v>147</v>
      </c>
      <c r="D2330" s="1">
        <v>2155</v>
      </c>
      <c r="E2330" s="1">
        <v>2156</v>
      </c>
      <c r="F2330" s="1">
        <v>2154.5</v>
      </c>
      <c r="G2330" s="1">
        <v>2156</v>
      </c>
      <c r="H2330" s="1">
        <v>37400</v>
      </c>
    </row>
    <row r="2331" spans="1:8">
      <c r="A2331" s="1"/>
      <c r="B2331" s="1" t="s">
        <v>143</v>
      </c>
      <c r="C2331" s="1" t="s">
        <v>148</v>
      </c>
      <c r="D2331" s="1">
        <v>2155.5</v>
      </c>
      <c r="E2331" s="1">
        <v>2156</v>
      </c>
      <c r="F2331" s="1">
        <v>2155</v>
      </c>
      <c r="G2331" s="1">
        <v>2155.5</v>
      </c>
      <c r="H2331" s="1">
        <v>38600</v>
      </c>
    </row>
    <row r="2332" spans="1:8">
      <c r="A2332" s="1"/>
      <c r="B2332" s="1" t="s">
        <v>143</v>
      </c>
      <c r="C2332" s="1" t="s">
        <v>149</v>
      </c>
      <c r="D2332" s="1">
        <v>2155</v>
      </c>
      <c r="E2332" s="1">
        <v>2155.5</v>
      </c>
      <c r="F2332" s="1">
        <v>2154.5</v>
      </c>
      <c r="G2332" s="1">
        <v>2155.5</v>
      </c>
      <c r="H2332" s="1">
        <v>41800</v>
      </c>
    </row>
    <row r="2333" spans="1:8">
      <c r="A2333" s="1"/>
      <c r="B2333" s="1" t="s">
        <v>143</v>
      </c>
      <c r="C2333" s="1" t="s">
        <v>150</v>
      </c>
      <c r="D2333" s="1">
        <v>2156</v>
      </c>
      <c r="E2333" s="1">
        <v>2156</v>
      </c>
      <c r="F2333" s="1">
        <v>2155.5</v>
      </c>
      <c r="G2333" s="1">
        <v>2156</v>
      </c>
      <c r="H2333" s="1">
        <v>3100</v>
      </c>
    </row>
    <row r="2334" spans="1:8">
      <c r="A2334" s="1"/>
      <c r="B2334" s="1" t="s">
        <v>143</v>
      </c>
      <c r="C2334" s="1" t="s">
        <v>151</v>
      </c>
      <c r="D2334" s="1">
        <v>2156</v>
      </c>
      <c r="E2334" s="1">
        <v>2157</v>
      </c>
      <c r="F2334" s="1">
        <v>2155</v>
      </c>
      <c r="G2334" s="1">
        <v>2155.5</v>
      </c>
      <c r="H2334" s="1">
        <v>70400</v>
      </c>
    </row>
    <row r="2335" spans="1:8">
      <c r="A2335" s="1"/>
      <c r="B2335" s="1" t="s">
        <v>143</v>
      </c>
      <c r="C2335" s="1" t="s">
        <v>152</v>
      </c>
      <c r="D2335" s="1">
        <v>2155</v>
      </c>
      <c r="E2335" s="1">
        <v>2155</v>
      </c>
      <c r="F2335" s="1">
        <v>2154.5</v>
      </c>
      <c r="G2335" s="1">
        <v>2155</v>
      </c>
      <c r="H2335" s="1">
        <v>55600</v>
      </c>
    </row>
    <row r="2336" spans="1:8">
      <c r="A2336" s="1"/>
      <c r="B2336" s="1" t="s">
        <v>143</v>
      </c>
      <c r="C2336" s="1" t="s">
        <v>153</v>
      </c>
      <c r="D2336" s="1">
        <v>2155</v>
      </c>
      <c r="E2336" s="1">
        <v>2155.5</v>
      </c>
      <c r="F2336" s="1">
        <v>2155</v>
      </c>
      <c r="G2336" s="1">
        <v>2155.5</v>
      </c>
      <c r="H2336" s="1">
        <v>18700</v>
      </c>
    </row>
    <row r="2337" spans="1:8">
      <c r="A2337" s="1"/>
      <c r="B2337" s="1" t="s">
        <v>143</v>
      </c>
      <c r="C2337" s="1" t="s">
        <v>154</v>
      </c>
      <c r="D2337" s="1">
        <v>2155</v>
      </c>
      <c r="E2337" s="1">
        <v>2155</v>
      </c>
      <c r="F2337" s="1">
        <v>2154.5</v>
      </c>
      <c r="G2337" s="1">
        <v>2154.5</v>
      </c>
      <c r="H2337" s="1">
        <v>17800</v>
      </c>
    </row>
    <row r="2338" spans="1:8">
      <c r="A2338" s="1"/>
      <c r="B2338" s="1" t="s">
        <v>143</v>
      </c>
      <c r="C2338" s="1" t="s">
        <v>155</v>
      </c>
      <c r="D2338" s="1">
        <v>2154.5</v>
      </c>
      <c r="E2338" s="1">
        <v>2155</v>
      </c>
      <c r="F2338" s="1">
        <v>2154</v>
      </c>
      <c r="G2338" s="1">
        <v>2154.5</v>
      </c>
      <c r="H2338" s="1">
        <v>56300</v>
      </c>
    </row>
    <row r="2339" spans="1:8">
      <c r="A2339" s="1"/>
      <c r="B2339" s="1" t="s">
        <v>143</v>
      </c>
      <c r="C2339" s="1" t="s">
        <v>156</v>
      </c>
      <c r="D2339" s="1">
        <v>2155</v>
      </c>
      <c r="E2339" s="1">
        <v>2155</v>
      </c>
      <c r="F2339" s="1">
        <v>2154.5</v>
      </c>
      <c r="G2339" s="1">
        <v>2155</v>
      </c>
      <c r="H2339" s="1">
        <v>4100</v>
      </c>
    </row>
    <row r="2340" spans="1:8">
      <c r="A2340" s="1"/>
      <c r="B2340" s="1" t="s">
        <v>143</v>
      </c>
      <c r="C2340" s="1" t="s">
        <v>157</v>
      </c>
      <c r="D2340" s="1">
        <v>2155</v>
      </c>
      <c r="E2340" s="1">
        <v>2155</v>
      </c>
      <c r="F2340" s="1">
        <v>2154</v>
      </c>
      <c r="G2340" s="1">
        <v>2154</v>
      </c>
      <c r="H2340" s="1">
        <v>37000</v>
      </c>
    </row>
    <row r="2341" spans="1:8">
      <c r="A2341" s="1"/>
      <c r="B2341" s="1" t="s">
        <v>143</v>
      </c>
      <c r="C2341" s="1" t="s">
        <v>158</v>
      </c>
      <c r="D2341" s="1">
        <v>2154</v>
      </c>
      <c r="E2341" s="1">
        <v>2154.5</v>
      </c>
      <c r="F2341" s="1">
        <v>2154</v>
      </c>
      <c r="G2341" s="1">
        <v>2154.5</v>
      </c>
      <c r="H2341" s="1">
        <v>69000</v>
      </c>
    </row>
    <row r="2342" spans="1:8">
      <c r="A2342" s="1"/>
      <c r="B2342" s="1" t="s">
        <v>143</v>
      </c>
      <c r="C2342" s="1" t="s">
        <v>159</v>
      </c>
      <c r="D2342" s="1">
        <v>2154.5</v>
      </c>
      <c r="E2342" s="1">
        <v>2154.5</v>
      </c>
      <c r="F2342" s="1">
        <v>2153.5</v>
      </c>
      <c r="G2342" s="1">
        <v>2153.5</v>
      </c>
      <c r="H2342" s="1">
        <v>49300</v>
      </c>
    </row>
    <row r="2343" spans="1:8">
      <c r="A2343" s="1"/>
      <c r="B2343" s="1" t="s">
        <v>143</v>
      </c>
      <c r="C2343" s="1" t="s">
        <v>160</v>
      </c>
      <c r="D2343" s="1">
        <v>2153.5</v>
      </c>
      <c r="E2343" s="1">
        <v>2154</v>
      </c>
      <c r="F2343" s="1">
        <v>2153</v>
      </c>
      <c r="G2343" s="1">
        <v>2153</v>
      </c>
      <c r="H2343" s="1">
        <v>78400</v>
      </c>
    </row>
    <row r="2344" spans="1:8">
      <c r="A2344" s="1"/>
      <c r="B2344" s="1" t="s">
        <v>143</v>
      </c>
      <c r="C2344" s="1" t="s">
        <v>161</v>
      </c>
      <c r="D2344" s="1">
        <v>2153.5</v>
      </c>
      <c r="E2344" s="1">
        <v>2153.5</v>
      </c>
      <c r="F2344" s="1">
        <v>2153</v>
      </c>
      <c r="G2344" s="1">
        <v>2153.5</v>
      </c>
      <c r="H2344" s="1">
        <v>25900</v>
      </c>
    </row>
    <row r="2345" spans="1:8">
      <c r="A2345" s="1"/>
      <c r="B2345" s="1" t="s">
        <v>143</v>
      </c>
      <c r="C2345" s="1" t="s">
        <v>162</v>
      </c>
      <c r="D2345" s="1">
        <v>2153</v>
      </c>
      <c r="E2345" s="1">
        <v>2153</v>
      </c>
      <c r="F2345" s="1">
        <v>2151.5</v>
      </c>
      <c r="G2345" s="1">
        <v>2152.5</v>
      </c>
      <c r="H2345" s="1">
        <v>183800</v>
      </c>
    </row>
    <row r="2346" spans="1:8">
      <c r="A2346" s="1"/>
      <c r="B2346" s="1" t="s">
        <v>143</v>
      </c>
      <c r="C2346" s="1" t="s">
        <v>163</v>
      </c>
      <c r="D2346" s="1">
        <v>2152.5</v>
      </c>
      <c r="E2346" s="1">
        <v>2153</v>
      </c>
      <c r="F2346" s="1">
        <v>2152</v>
      </c>
      <c r="G2346" s="1">
        <v>2152.5</v>
      </c>
      <c r="H2346" s="1">
        <v>32600</v>
      </c>
    </row>
    <row r="2347" spans="1:8">
      <c r="A2347" s="1"/>
      <c r="B2347" s="1" t="s">
        <v>143</v>
      </c>
      <c r="C2347" s="1" t="s">
        <v>81</v>
      </c>
      <c r="D2347" s="1">
        <v>2152</v>
      </c>
      <c r="E2347" s="1">
        <v>2153</v>
      </c>
      <c r="F2347" s="1">
        <v>2151</v>
      </c>
      <c r="G2347" s="1">
        <v>2153</v>
      </c>
      <c r="H2347" s="1">
        <v>130200</v>
      </c>
    </row>
    <row r="2348" spans="1:8">
      <c r="A2348" s="1"/>
      <c r="B2348" s="1" t="s">
        <v>143</v>
      </c>
      <c r="C2348" s="1" t="s">
        <v>82</v>
      </c>
      <c r="D2348" s="1">
        <v>2152.5</v>
      </c>
      <c r="E2348" s="1">
        <v>2153</v>
      </c>
      <c r="F2348" s="1">
        <v>2152.5</v>
      </c>
      <c r="G2348" s="1">
        <v>2153</v>
      </c>
      <c r="H2348" s="1">
        <v>29000</v>
      </c>
    </row>
    <row r="2349" spans="1:8">
      <c r="A2349" s="1"/>
      <c r="B2349" s="1" t="s">
        <v>143</v>
      </c>
      <c r="C2349" s="1" t="s">
        <v>83</v>
      </c>
      <c r="D2349" s="1">
        <v>2152.5</v>
      </c>
      <c r="E2349" s="1">
        <v>2153</v>
      </c>
      <c r="F2349" s="1">
        <v>2152.5</v>
      </c>
      <c r="G2349" s="1">
        <v>2153</v>
      </c>
      <c r="H2349" s="1">
        <v>3700</v>
      </c>
    </row>
    <row r="2350" spans="1:8">
      <c r="A2350" s="1"/>
      <c r="B2350" s="1" t="s">
        <v>143</v>
      </c>
      <c r="C2350" s="1" t="s">
        <v>84</v>
      </c>
      <c r="D2350" s="1">
        <v>2153</v>
      </c>
      <c r="E2350" s="1">
        <v>2153.5</v>
      </c>
      <c r="F2350" s="1">
        <v>2152.5</v>
      </c>
      <c r="G2350" s="1">
        <v>2153</v>
      </c>
      <c r="H2350" s="1">
        <v>46500</v>
      </c>
    </row>
    <row r="2351" spans="1:8">
      <c r="A2351" s="1"/>
      <c r="B2351" s="1" t="s">
        <v>143</v>
      </c>
      <c r="C2351" s="1" t="s">
        <v>85</v>
      </c>
      <c r="D2351" s="1">
        <v>2153</v>
      </c>
      <c r="E2351" s="1">
        <v>2153</v>
      </c>
      <c r="F2351" s="1">
        <v>2152</v>
      </c>
      <c r="G2351" s="1">
        <v>2152.5</v>
      </c>
      <c r="H2351" s="1">
        <v>36800</v>
      </c>
    </row>
    <row r="2352" spans="1:8">
      <c r="A2352" s="1"/>
      <c r="B2352" s="1" t="s">
        <v>143</v>
      </c>
      <c r="C2352" s="1" t="s">
        <v>86</v>
      </c>
      <c r="D2352" s="1">
        <v>2152</v>
      </c>
      <c r="E2352" s="1">
        <v>2153</v>
      </c>
      <c r="F2352" s="1">
        <v>2152</v>
      </c>
      <c r="G2352" s="1">
        <v>2152.5</v>
      </c>
      <c r="H2352" s="1">
        <v>26900</v>
      </c>
    </row>
    <row r="2353" spans="1:8">
      <c r="A2353" s="1"/>
      <c r="B2353" s="1" t="s">
        <v>143</v>
      </c>
      <c r="C2353" s="1" t="s">
        <v>87</v>
      </c>
      <c r="D2353" s="1">
        <v>2152.5</v>
      </c>
      <c r="E2353" s="1">
        <v>2152.5</v>
      </c>
      <c r="F2353" s="1">
        <v>2152</v>
      </c>
      <c r="G2353" s="1">
        <v>2152</v>
      </c>
      <c r="H2353" s="1">
        <v>19400</v>
      </c>
    </row>
    <row r="2354" spans="1:8">
      <c r="A2354" s="1"/>
      <c r="B2354" s="1" t="s">
        <v>143</v>
      </c>
      <c r="C2354" s="1" t="s">
        <v>88</v>
      </c>
      <c r="D2354" s="1">
        <v>2152.5</v>
      </c>
      <c r="E2354" s="1">
        <v>2152.5</v>
      </c>
      <c r="F2354" s="1">
        <v>2152</v>
      </c>
      <c r="G2354" s="1">
        <v>2152.5</v>
      </c>
      <c r="H2354" s="1">
        <v>38600</v>
      </c>
    </row>
    <row r="2355" spans="1:8">
      <c r="A2355" s="1"/>
      <c r="B2355" s="1" t="s">
        <v>143</v>
      </c>
      <c r="C2355" s="1" t="s">
        <v>89</v>
      </c>
      <c r="D2355" s="1">
        <v>2152</v>
      </c>
      <c r="E2355" s="1">
        <v>2159.5</v>
      </c>
      <c r="F2355" s="1">
        <v>2151.5</v>
      </c>
      <c r="G2355" s="1">
        <v>2151.5</v>
      </c>
      <c r="H2355" s="1">
        <v>797900</v>
      </c>
    </row>
    <row r="2356" spans="1:8">
      <c r="A2356" s="1"/>
      <c r="B2356" s="1" t="s">
        <v>143</v>
      </c>
      <c r="C2356" s="1" t="s">
        <v>90</v>
      </c>
      <c r="D2356" s="1">
        <v>2151.5</v>
      </c>
      <c r="E2356" s="1">
        <v>2153</v>
      </c>
      <c r="F2356" s="1">
        <v>2151.5</v>
      </c>
      <c r="G2356" s="1">
        <v>2152.5</v>
      </c>
      <c r="H2356" s="1">
        <v>73800</v>
      </c>
    </row>
    <row r="2357" spans="1:8">
      <c r="A2357" s="1"/>
      <c r="B2357" s="1" t="s">
        <v>143</v>
      </c>
      <c r="C2357" s="1" t="s">
        <v>91</v>
      </c>
      <c r="D2357" s="1">
        <v>2153</v>
      </c>
      <c r="E2357" s="1">
        <v>2153.5</v>
      </c>
      <c r="F2357" s="1">
        <v>2152</v>
      </c>
      <c r="G2357" s="1">
        <v>2152.5</v>
      </c>
      <c r="H2357" s="1">
        <v>55900</v>
      </c>
    </row>
    <row r="2358" spans="1:8">
      <c r="A2358" s="1"/>
      <c r="B2358" s="1" t="s">
        <v>143</v>
      </c>
      <c r="C2358" s="1" t="s">
        <v>92</v>
      </c>
      <c r="D2358" s="1">
        <v>2152</v>
      </c>
      <c r="E2358" s="1">
        <v>2153</v>
      </c>
      <c r="F2358" s="1">
        <v>2151.5</v>
      </c>
      <c r="G2358" s="1">
        <v>2152</v>
      </c>
      <c r="H2358" s="1">
        <v>110500</v>
      </c>
    </row>
    <row r="2359" spans="1:8">
      <c r="A2359" s="1"/>
      <c r="B2359" s="1" t="s">
        <v>143</v>
      </c>
      <c r="C2359" s="1" t="s">
        <v>93</v>
      </c>
      <c r="D2359" s="1">
        <v>2152</v>
      </c>
      <c r="E2359" s="1">
        <v>2155</v>
      </c>
      <c r="F2359" s="1">
        <v>2151.5</v>
      </c>
      <c r="G2359" s="1">
        <v>2155</v>
      </c>
      <c r="H2359" s="1">
        <v>119800</v>
      </c>
    </row>
    <row r="2360" spans="1:8">
      <c r="A2360" s="1"/>
      <c r="B2360" s="1" t="s">
        <v>143</v>
      </c>
      <c r="C2360" s="1" t="s">
        <v>94</v>
      </c>
      <c r="D2360" s="1">
        <v>2154.5</v>
      </c>
      <c r="E2360" s="1">
        <v>2159.5</v>
      </c>
      <c r="F2360" s="1">
        <v>2154.5</v>
      </c>
      <c r="G2360" s="1">
        <v>2159</v>
      </c>
      <c r="H2360" s="1">
        <v>319100</v>
      </c>
    </row>
    <row r="2361" spans="1:8">
      <c r="A2361" s="1"/>
      <c r="B2361" s="1" t="s">
        <v>143</v>
      </c>
      <c r="C2361" s="1" t="s">
        <v>95</v>
      </c>
      <c r="D2361" s="1">
        <v>2159</v>
      </c>
      <c r="E2361" s="1">
        <v>2161</v>
      </c>
      <c r="F2361" s="1">
        <v>2158.5</v>
      </c>
      <c r="G2361" s="1">
        <v>2161</v>
      </c>
      <c r="H2361" s="1">
        <v>381000</v>
      </c>
    </row>
    <row r="2362" spans="1:8">
      <c r="A2362" s="1"/>
      <c r="B2362" s="1" t="s">
        <v>143</v>
      </c>
      <c r="C2362" s="1" t="s">
        <v>96</v>
      </c>
      <c r="D2362" s="1">
        <v>2160.5</v>
      </c>
      <c r="E2362" s="1">
        <v>2161.5</v>
      </c>
      <c r="F2362" s="1">
        <v>2159</v>
      </c>
      <c r="G2362" s="1">
        <v>2159.5</v>
      </c>
      <c r="H2362" s="1">
        <v>151200</v>
      </c>
    </row>
    <row r="2363" spans="1:8">
      <c r="A2363" s="1"/>
      <c r="B2363" s="1" t="s">
        <v>143</v>
      </c>
      <c r="C2363" s="1" t="s">
        <v>97</v>
      </c>
      <c r="D2363" s="1">
        <v>2159.5</v>
      </c>
      <c r="E2363" s="1">
        <v>2160</v>
      </c>
      <c r="F2363" s="1">
        <v>2158</v>
      </c>
      <c r="G2363" s="1">
        <v>2158</v>
      </c>
      <c r="H2363" s="1">
        <v>92100</v>
      </c>
    </row>
    <row r="2364" spans="1:8">
      <c r="A2364" s="1"/>
      <c r="B2364" s="1" t="s">
        <v>143</v>
      </c>
      <c r="C2364" s="1" t="s">
        <v>98</v>
      </c>
      <c r="D2364" s="1">
        <v>2158</v>
      </c>
      <c r="E2364" s="1">
        <v>2158</v>
      </c>
      <c r="F2364" s="1">
        <v>2156</v>
      </c>
      <c r="G2364" s="1">
        <v>2157</v>
      </c>
      <c r="H2364" s="1">
        <v>140300</v>
      </c>
    </row>
    <row r="2365" spans="1:8">
      <c r="A2365" s="1"/>
      <c r="B2365" s="1" t="s">
        <v>143</v>
      </c>
      <c r="C2365" s="1" t="s">
        <v>99</v>
      </c>
      <c r="D2365" s="1">
        <v>2157.5</v>
      </c>
      <c r="E2365" s="1">
        <v>2158.5</v>
      </c>
      <c r="F2365" s="1">
        <v>2157.5</v>
      </c>
      <c r="G2365" s="1">
        <v>2158.5</v>
      </c>
      <c r="H2365" s="1">
        <v>21700</v>
      </c>
    </row>
    <row r="2366" spans="1:8">
      <c r="A2366" s="1"/>
      <c r="B2366" s="1" t="s">
        <v>143</v>
      </c>
      <c r="C2366" s="1" t="s">
        <v>100</v>
      </c>
      <c r="D2366" s="1">
        <v>2158</v>
      </c>
      <c r="E2366" s="1">
        <v>2159.5</v>
      </c>
      <c r="F2366" s="1">
        <v>2157.5</v>
      </c>
      <c r="G2366" s="1">
        <v>2159</v>
      </c>
      <c r="H2366" s="1">
        <v>92300</v>
      </c>
    </row>
    <row r="2367" spans="1:8">
      <c r="A2367" s="1"/>
      <c r="B2367" s="1" t="s">
        <v>143</v>
      </c>
      <c r="C2367" s="1" t="s">
        <v>101</v>
      </c>
      <c r="D2367" s="1">
        <v>2159.5</v>
      </c>
      <c r="E2367" s="1">
        <v>2160</v>
      </c>
      <c r="F2367" s="1">
        <v>2158</v>
      </c>
      <c r="G2367" s="1">
        <v>2159</v>
      </c>
      <c r="H2367" s="1">
        <v>79000</v>
      </c>
    </row>
    <row r="2368" spans="1:8">
      <c r="A2368" s="1"/>
      <c r="B2368" s="1" t="s">
        <v>143</v>
      </c>
      <c r="C2368" s="1" t="s">
        <v>102</v>
      </c>
      <c r="D2368" s="1">
        <v>2159</v>
      </c>
      <c r="E2368" s="1">
        <v>2160</v>
      </c>
      <c r="F2368" s="1">
        <v>2158.5</v>
      </c>
      <c r="G2368" s="1">
        <v>2160</v>
      </c>
      <c r="H2368" s="1">
        <v>91700</v>
      </c>
    </row>
    <row r="2369" spans="1:8">
      <c r="A2369" s="1"/>
      <c r="B2369" s="1" t="s">
        <v>143</v>
      </c>
      <c r="C2369" s="1" t="s">
        <v>103</v>
      </c>
      <c r="D2369" s="1">
        <v>2160</v>
      </c>
      <c r="E2369" s="1">
        <v>2160</v>
      </c>
      <c r="F2369" s="1">
        <v>2159</v>
      </c>
      <c r="G2369" s="1">
        <v>2159.5</v>
      </c>
      <c r="H2369" s="1">
        <v>46000</v>
      </c>
    </row>
    <row r="2370" spans="1:8">
      <c r="A2370" s="1"/>
      <c r="B2370" s="1" t="s">
        <v>143</v>
      </c>
      <c r="C2370" s="1" t="s">
        <v>104</v>
      </c>
      <c r="D2370" s="1">
        <v>2159</v>
      </c>
      <c r="E2370" s="1">
        <v>2159.5</v>
      </c>
      <c r="F2370" s="1">
        <v>2158</v>
      </c>
      <c r="G2370" s="1">
        <v>2158.5</v>
      </c>
      <c r="H2370" s="1">
        <v>78700</v>
      </c>
    </row>
    <row r="2371" spans="1:8">
      <c r="A2371" s="1"/>
      <c r="B2371" s="1" t="s">
        <v>143</v>
      </c>
      <c r="C2371" s="1" t="s">
        <v>105</v>
      </c>
      <c r="D2371" s="1">
        <v>2159</v>
      </c>
      <c r="E2371" s="1">
        <v>2159</v>
      </c>
      <c r="F2371" s="1">
        <v>2158</v>
      </c>
      <c r="G2371" s="1">
        <v>2159</v>
      </c>
      <c r="H2371" s="1">
        <v>67300</v>
      </c>
    </row>
    <row r="2372" spans="1:8">
      <c r="A2372" s="1"/>
      <c r="B2372" s="1" t="s">
        <v>143</v>
      </c>
      <c r="C2372" s="1" t="s">
        <v>106</v>
      </c>
      <c r="D2372" s="1">
        <v>2159</v>
      </c>
      <c r="E2372" s="1">
        <v>2159.5</v>
      </c>
      <c r="F2372" s="1">
        <v>2157.5</v>
      </c>
      <c r="G2372" s="1">
        <v>2158</v>
      </c>
      <c r="H2372" s="1">
        <v>70900</v>
      </c>
    </row>
    <row r="2373" spans="1:8">
      <c r="A2373" s="1"/>
      <c r="B2373" s="1" t="s">
        <v>143</v>
      </c>
      <c r="C2373" s="1" t="s">
        <v>107</v>
      </c>
      <c r="D2373" s="1">
        <v>2158</v>
      </c>
      <c r="E2373" s="1">
        <v>2158</v>
      </c>
      <c r="F2373" s="1">
        <v>2156.5</v>
      </c>
      <c r="G2373" s="1">
        <v>2157</v>
      </c>
      <c r="H2373" s="1">
        <v>97500</v>
      </c>
    </row>
    <row r="2374" spans="1:8">
      <c r="A2374" s="1"/>
      <c r="B2374" s="1" t="s">
        <v>143</v>
      </c>
      <c r="C2374" s="1" t="s">
        <v>108</v>
      </c>
      <c r="D2374" s="1">
        <v>2157</v>
      </c>
      <c r="E2374" s="1">
        <v>2157</v>
      </c>
      <c r="F2374" s="1">
        <v>2155</v>
      </c>
      <c r="G2374" s="1">
        <v>2155.5</v>
      </c>
      <c r="H2374" s="1">
        <v>109500</v>
      </c>
    </row>
    <row r="2375" spans="1:8">
      <c r="A2375" s="1"/>
      <c r="B2375" s="1" t="s">
        <v>143</v>
      </c>
      <c r="C2375" s="1" t="s">
        <v>109</v>
      </c>
      <c r="D2375" s="1">
        <v>2155.5</v>
      </c>
      <c r="E2375" s="1">
        <v>2156</v>
      </c>
      <c r="F2375" s="1">
        <v>2155</v>
      </c>
      <c r="G2375" s="1">
        <v>2155.5</v>
      </c>
      <c r="H2375" s="1">
        <v>59400</v>
      </c>
    </row>
    <row r="2376" spans="1:8">
      <c r="A2376" s="1"/>
      <c r="B2376" s="1" t="s">
        <v>143</v>
      </c>
      <c r="C2376" s="1" t="s">
        <v>110</v>
      </c>
      <c r="D2376" s="1">
        <v>2155</v>
      </c>
      <c r="E2376" s="1">
        <v>2155.5</v>
      </c>
      <c r="F2376" s="1">
        <v>2154.5</v>
      </c>
      <c r="G2376" s="1">
        <v>2154.5</v>
      </c>
      <c r="H2376" s="1">
        <v>127900</v>
      </c>
    </row>
    <row r="2377" spans="1:8">
      <c r="A2377" s="1"/>
      <c r="B2377" s="1" t="s">
        <v>143</v>
      </c>
      <c r="C2377" s="1" t="s">
        <v>111</v>
      </c>
      <c r="D2377" s="1">
        <v>2155</v>
      </c>
      <c r="E2377" s="1">
        <v>2155</v>
      </c>
      <c r="F2377" s="1">
        <v>2154</v>
      </c>
      <c r="G2377" s="1">
        <v>2154</v>
      </c>
      <c r="H2377" s="1">
        <v>46600</v>
      </c>
    </row>
    <row r="2378" spans="1:8">
      <c r="A2378" s="1"/>
      <c r="B2378" s="1" t="s">
        <v>143</v>
      </c>
      <c r="C2378" s="1" t="s">
        <v>112</v>
      </c>
      <c r="D2378" s="1">
        <v>2154.5</v>
      </c>
      <c r="E2378" s="1">
        <v>2155</v>
      </c>
      <c r="F2378" s="1">
        <v>2154</v>
      </c>
      <c r="G2378" s="1">
        <v>2154.5</v>
      </c>
      <c r="H2378" s="1">
        <v>38100</v>
      </c>
    </row>
    <row r="2379" spans="1:8">
      <c r="A2379" s="1"/>
      <c r="B2379" s="1" t="s">
        <v>143</v>
      </c>
      <c r="C2379" s="1" t="s">
        <v>113</v>
      </c>
      <c r="D2379" s="1">
        <v>2154.5</v>
      </c>
      <c r="E2379" s="1">
        <v>2155</v>
      </c>
      <c r="F2379" s="1">
        <v>2154</v>
      </c>
      <c r="G2379" s="1">
        <v>2154.5</v>
      </c>
      <c r="H2379" s="1">
        <v>43200</v>
      </c>
    </row>
    <row r="2380" spans="1:8">
      <c r="A2380" s="1"/>
      <c r="B2380" s="1" t="s">
        <v>143</v>
      </c>
      <c r="C2380" s="1" t="s">
        <v>114</v>
      </c>
      <c r="D2380" s="1">
        <v>2154.5</v>
      </c>
      <c r="E2380" s="1">
        <v>2154.5</v>
      </c>
      <c r="F2380" s="1">
        <v>2153.5</v>
      </c>
      <c r="G2380" s="1">
        <v>2154</v>
      </c>
      <c r="H2380" s="1">
        <v>74000</v>
      </c>
    </row>
    <row r="2381" spans="1:8">
      <c r="A2381" s="1"/>
      <c r="B2381" s="1" t="s">
        <v>143</v>
      </c>
      <c r="C2381" s="1" t="s">
        <v>115</v>
      </c>
      <c r="D2381" s="1">
        <v>2153.5</v>
      </c>
      <c r="E2381" s="1">
        <v>2153.5</v>
      </c>
      <c r="F2381" s="1">
        <v>2152</v>
      </c>
      <c r="G2381" s="1">
        <v>2152</v>
      </c>
      <c r="H2381" s="1">
        <v>135100</v>
      </c>
    </row>
    <row r="2382" spans="1:8">
      <c r="A2382" s="1"/>
      <c r="B2382" s="1" t="s">
        <v>143</v>
      </c>
      <c r="C2382" s="1" t="s">
        <v>116</v>
      </c>
      <c r="D2382" s="1">
        <v>2152.5</v>
      </c>
      <c r="E2382" s="1">
        <v>2153</v>
      </c>
      <c r="F2382" s="1">
        <v>2152</v>
      </c>
      <c r="G2382" s="1">
        <v>2152.5</v>
      </c>
      <c r="H2382" s="1">
        <v>57500</v>
      </c>
    </row>
    <row r="2383" spans="1:8">
      <c r="A2383" s="1"/>
      <c r="B2383" s="1" t="s">
        <v>143</v>
      </c>
      <c r="C2383" s="1" t="s">
        <v>117</v>
      </c>
      <c r="D2383" s="1">
        <v>2152.5</v>
      </c>
      <c r="E2383" s="1">
        <v>2153.5</v>
      </c>
      <c r="F2383" s="1">
        <v>2151.5</v>
      </c>
      <c r="G2383" s="1">
        <v>2152</v>
      </c>
      <c r="H2383" s="1">
        <v>129600</v>
      </c>
    </row>
    <row r="2384" spans="1:8">
      <c r="A2384" s="1"/>
      <c r="B2384" s="1" t="s">
        <v>143</v>
      </c>
      <c r="C2384" s="1" t="s">
        <v>118</v>
      </c>
      <c r="D2384" s="1">
        <v>2152</v>
      </c>
      <c r="E2384" s="1">
        <v>2154</v>
      </c>
      <c r="F2384" s="1">
        <v>2151.5</v>
      </c>
      <c r="G2384" s="1">
        <v>2154</v>
      </c>
      <c r="H2384" s="1">
        <v>170100</v>
      </c>
    </row>
    <row r="2385" spans="1:8">
      <c r="A2385" s="1"/>
      <c r="B2385" s="1" t="s">
        <v>144</v>
      </c>
      <c r="C2385" s="1" t="s">
        <v>67</v>
      </c>
      <c r="D2385" s="1" t="s">
        <v>8</v>
      </c>
      <c r="E2385" s="1" t="s">
        <v>8</v>
      </c>
      <c r="F2385" s="1" t="s">
        <v>8</v>
      </c>
      <c r="G2385" s="1" t="s">
        <v>8</v>
      </c>
      <c r="H2385" s="1">
        <v>0</v>
      </c>
    </row>
    <row r="2386" spans="1:8">
      <c r="A2386" s="1"/>
      <c r="B2386" s="1" t="s">
        <v>144</v>
      </c>
      <c r="C2386" s="1" t="s">
        <v>68</v>
      </c>
      <c r="D2386" s="1" t="s">
        <v>8</v>
      </c>
      <c r="E2386" s="1" t="s">
        <v>8</v>
      </c>
      <c r="F2386" s="1" t="s">
        <v>8</v>
      </c>
      <c r="G2386" s="1" t="s">
        <v>8</v>
      </c>
      <c r="H2386" s="1">
        <v>0</v>
      </c>
    </row>
    <row r="2387" spans="1:8">
      <c r="A2387" s="1"/>
      <c r="B2387" s="1" t="s">
        <v>144</v>
      </c>
      <c r="C2387" s="1" t="s">
        <v>69</v>
      </c>
      <c r="D2387" s="1" t="s">
        <v>8</v>
      </c>
      <c r="E2387" s="1" t="s">
        <v>8</v>
      </c>
      <c r="F2387" s="1" t="s">
        <v>8</v>
      </c>
      <c r="G2387" s="1" t="s">
        <v>8</v>
      </c>
      <c r="H2387" s="1">
        <v>0</v>
      </c>
    </row>
    <row r="2388" spans="1:8">
      <c r="A2388" s="1"/>
      <c r="B2388" s="1" t="s">
        <v>144</v>
      </c>
      <c r="C2388" s="1" t="s">
        <v>70</v>
      </c>
      <c r="D2388" s="1" t="s">
        <v>8</v>
      </c>
      <c r="E2388" s="1" t="s">
        <v>8</v>
      </c>
      <c r="F2388" s="1" t="s">
        <v>8</v>
      </c>
      <c r="G2388" s="1" t="s">
        <v>8</v>
      </c>
      <c r="H2388" s="1">
        <v>0</v>
      </c>
    </row>
    <row r="2389" spans="1:8">
      <c r="A2389" s="1"/>
      <c r="B2389" s="1" t="s">
        <v>144</v>
      </c>
      <c r="C2389" s="1" t="s">
        <v>71</v>
      </c>
      <c r="D2389" s="1" t="s">
        <v>8</v>
      </c>
      <c r="E2389" s="1" t="s">
        <v>8</v>
      </c>
      <c r="F2389" s="1" t="s">
        <v>8</v>
      </c>
      <c r="G2389" s="1" t="s">
        <v>8</v>
      </c>
      <c r="H2389" s="1">
        <v>0</v>
      </c>
    </row>
    <row r="2390" spans="1:8">
      <c r="A2390" s="1"/>
      <c r="B2390" s="1" t="s">
        <v>144</v>
      </c>
      <c r="C2390" s="1" t="s">
        <v>72</v>
      </c>
      <c r="D2390" s="1">
        <v>2157</v>
      </c>
      <c r="E2390" s="1">
        <v>2157</v>
      </c>
      <c r="F2390" s="1">
        <v>2157</v>
      </c>
      <c r="G2390" s="1">
        <v>2157</v>
      </c>
      <c r="H2390" s="1">
        <v>5000900</v>
      </c>
    </row>
    <row r="2391" spans="1:8">
      <c r="A2391" s="1" t="s">
        <v>79</v>
      </c>
      <c r="B2391" s="1" t="s">
        <v>79</v>
      </c>
      <c r="C2391" s="1" t="s">
        <v>79</v>
      </c>
      <c r="D2391" s="1" t="s">
        <v>79</v>
      </c>
      <c r="E2391" s="1" t="s">
        <v>79</v>
      </c>
      <c r="F2391" s="1" t="s">
        <v>79</v>
      </c>
      <c r="G2391" s="1" t="s">
        <v>79</v>
      </c>
      <c r="H2391" s="1" t="s">
        <v>79</v>
      </c>
    </row>
    <row r="2392" spans="1:8">
      <c r="A2392" s="1"/>
      <c r="B2392" s="1" t="s">
        <v>78</v>
      </c>
      <c r="C2392" s="1" t="s">
        <v>107</v>
      </c>
      <c r="D2392" s="1">
        <v>1972</v>
      </c>
      <c r="E2392" s="1">
        <v>1972.5</v>
      </c>
      <c r="F2392" s="1">
        <v>1972</v>
      </c>
      <c r="G2392" s="1">
        <v>1972</v>
      </c>
      <c r="H2392" s="1">
        <v>17800</v>
      </c>
    </row>
    <row r="2393" spans="1:8">
      <c r="A2393" s="1"/>
      <c r="B2393" s="1" t="s">
        <v>78</v>
      </c>
      <c r="C2393" s="1" t="s">
        <v>108</v>
      </c>
      <c r="D2393" s="1">
        <v>1972</v>
      </c>
      <c r="E2393" s="1">
        <v>1972.5</v>
      </c>
      <c r="F2393" s="1">
        <v>1972</v>
      </c>
      <c r="G2393" s="1">
        <v>1972</v>
      </c>
      <c r="H2393" s="1">
        <v>36100</v>
      </c>
    </row>
    <row r="2394" spans="1:8">
      <c r="A2394" s="1"/>
      <c r="B2394" s="1" t="s">
        <v>78</v>
      </c>
      <c r="C2394" s="1" t="s">
        <v>109</v>
      </c>
      <c r="D2394" s="1">
        <v>1972</v>
      </c>
      <c r="E2394" s="1">
        <v>1972.5</v>
      </c>
      <c r="F2394" s="1">
        <v>1971</v>
      </c>
      <c r="G2394" s="1">
        <v>1971</v>
      </c>
      <c r="H2394" s="1">
        <v>118000</v>
      </c>
    </row>
    <row r="2395" spans="1:8">
      <c r="A2395" s="1"/>
      <c r="B2395" s="1" t="s">
        <v>78</v>
      </c>
      <c r="C2395" s="1" t="s">
        <v>110</v>
      </c>
      <c r="D2395" s="1">
        <v>1971</v>
      </c>
      <c r="E2395" s="1">
        <v>1971.5</v>
      </c>
      <c r="F2395" s="1">
        <v>1971</v>
      </c>
      <c r="G2395" s="1">
        <v>1971</v>
      </c>
      <c r="H2395" s="1">
        <v>41700</v>
      </c>
    </row>
    <row r="2396" spans="1:8">
      <c r="A2396" s="1"/>
      <c r="B2396" s="1" t="s">
        <v>78</v>
      </c>
      <c r="C2396" s="1" t="s">
        <v>111</v>
      </c>
      <c r="D2396" s="1">
        <v>1971</v>
      </c>
      <c r="E2396" s="1">
        <v>1971</v>
      </c>
      <c r="F2396" s="1">
        <v>1970.5</v>
      </c>
      <c r="G2396" s="1">
        <v>1970.5</v>
      </c>
      <c r="H2396" s="1">
        <v>36800</v>
      </c>
    </row>
    <row r="2397" spans="1:8">
      <c r="A2397" s="1"/>
      <c r="B2397" s="1" t="s">
        <v>78</v>
      </c>
      <c r="C2397" s="1" t="s">
        <v>112</v>
      </c>
      <c r="D2397" s="1">
        <v>1970.5</v>
      </c>
      <c r="E2397" s="1">
        <v>1971</v>
      </c>
      <c r="F2397" s="1">
        <v>1970</v>
      </c>
      <c r="G2397" s="1">
        <v>1970</v>
      </c>
      <c r="H2397" s="1">
        <v>118100</v>
      </c>
    </row>
    <row r="2398" spans="1:8">
      <c r="A2398" s="1"/>
      <c r="B2398" s="1" t="s">
        <v>78</v>
      </c>
      <c r="C2398" s="1" t="s">
        <v>113</v>
      </c>
      <c r="D2398" s="1">
        <v>1970</v>
      </c>
      <c r="E2398" s="1">
        <v>1970</v>
      </c>
      <c r="F2398" s="1">
        <v>1969</v>
      </c>
      <c r="G2398" s="1">
        <v>1969</v>
      </c>
      <c r="H2398" s="1">
        <v>106100</v>
      </c>
    </row>
    <row r="2399" spans="1:8">
      <c r="A2399" s="1"/>
      <c r="B2399" s="1" t="s">
        <v>78</v>
      </c>
      <c r="C2399" s="1" t="s">
        <v>114</v>
      </c>
      <c r="D2399" s="1">
        <v>1969.5</v>
      </c>
      <c r="E2399" s="1">
        <v>1970</v>
      </c>
      <c r="F2399" s="1">
        <v>1968.5</v>
      </c>
      <c r="G2399" s="1">
        <v>1968.5</v>
      </c>
      <c r="H2399" s="1">
        <v>167800</v>
      </c>
    </row>
    <row r="2400" spans="1:8">
      <c r="A2400" s="1"/>
      <c r="B2400" s="1" t="s">
        <v>78</v>
      </c>
      <c r="C2400" s="1" t="s">
        <v>115</v>
      </c>
      <c r="D2400" s="1">
        <v>1969</v>
      </c>
      <c r="E2400" s="1">
        <v>1969</v>
      </c>
      <c r="F2400" s="1">
        <v>1968.5</v>
      </c>
      <c r="G2400" s="1">
        <v>1968.5</v>
      </c>
      <c r="H2400" s="1">
        <v>42800</v>
      </c>
    </row>
    <row r="2401" spans="1:8">
      <c r="A2401" s="1"/>
      <c r="B2401" s="1" t="s">
        <v>78</v>
      </c>
      <c r="C2401" s="1" t="s">
        <v>116</v>
      </c>
      <c r="D2401" s="1">
        <v>1968.5</v>
      </c>
      <c r="E2401" s="1">
        <v>1969.5</v>
      </c>
      <c r="F2401" s="1">
        <v>1968.5</v>
      </c>
      <c r="G2401" s="1">
        <v>1969.5</v>
      </c>
      <c r="H2401" s="1">
        <v>106300</v>
      </c>
    </row>
    <row r="2402" spans="1:8">
      <c r="A2402" s="1"/>
      <c r="B2402" s="1" t="s">
        <v>78</v>
      </c>
      <c r="C2402" s="1" t="s">
        <v>117</v>
      </c>
      <c r="D2402" s="1">
        <v>1969.5</v>
      </c>
      <c r="E2402" s="1">
        <v>1969.5</v>
      </c>
      <c r="F2402" s="1">
        <v>1968.5</v>
      </c>
      <c r="G2402" s="1">
        <v>1968.5</v>
      </c>
      <c r="H2402" s="1">
        <v>62900</v>
      </c>
    </row>
    <row r="2403" spans="1:8">
      <c r="A2403" s="1"/>
      <c r="B2403" s="1" t="s">
        <v>78</v>
      </c>
      <c r="C2403" s="1" t="s">
        <v>118</v>
      </c>
      <c r="D2403" s="1">
        <v>1969</v>
      </c>
      <c r="E2403" s="1">
        <v>1970</v>
      </c>
      <c r="F2403" s="1">
        <v>1968.5</v>
      </c>
      <c r="G2403" s="1">
        <v>1970</v>
      </c>
      <c r="H2403" s="1">
        <v>78500</v>
      </c>
    </row>
    <row r="2404" spans="1:8">
      <c r="A2404" s="1" t="s">
        <v>79</v>
      </c>
      <c r="B2404" s="1" t="s">
        <v>79</v>
      </c>
      <c r="C2404" s="1" t="s">
        <v>79</v>
      </c>
      <c r="D2404" s="1" t="s">
        <v>79</v>
      </c>
      <c r="E2404" s="1" t="s">
        <v>79</v>
      </c>
      <c r="F2404" s="1" t="s">
        <v>79</v>
      </c>
      <c r="G2404" s="1" t="s">
        <v>79</v>
      </c>
      <c r="H2404" s="1" t="s">
        <v>79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CDF64-C04E-4C40-B34E-F6925D5A4343}">
  <sheetPr codeName="Sheet7"/>
  <dimension ref="A1:Y2404"/>
  <sheetViews>
    <sheetView workbookViewId="0">
      <selection activeCell="A2" sqref="A2"/>
    </sheetView>
  </sheetViews>
  <sheetFormatPr defaultRowHeight="18.75"/>
  <cols>
    <col min="11" max="11" width="3" customWidth="1"/>
    <col min="13" max="13" width="3" customWidth="1"/>
  </cols>
  <sheetData>
    <row r="1" spans="1:25">
      <c r="A1" t="str">
        <f>_xll.RssChart($A$2:$H$2, "8136.T", "1M", 332)</f>
        <v>=RssChart($A$2:$H$2, "8136.T", "1M", 332) =&gt; 配信中</v>
      </c>
    </row>
    <row r="2" spans="1: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J2" t="s">
        <v>73</v>
      </c>
      <c r="L2" t="s">
        <v>74</v>
      </c>
      <c r="N2" t="s">
        <v>75</v>
      </c>
      <c r="P2" t="s">
        <v>119</v>
      </c>
      <c r="Q2">
        <f>_xll.RssMarket("8136.T", "現在値")</f>
        <v>6288</v>
      </c>
      <c r="R2" t="str">
        <f>_xll.RssMarket("8136.T", "現在値時刻")</f>
        <v>15:30</v>
      </c>
      <c r="T2" t="s">
        <v>131</v>
      </c>
      <c r="U2">
        <f>_xll.RssMarket("8136.T", "出来高")</f>
        <v>12705400</v>
      </c>
      <c r="X2" t="s">
        <v>138</v>
      </c>
      <c r="Y2">
        <f>_xll.RssMarket("8136.T", "信用売残")</f>
        <v>1192400</v>
      </c>
    </row>
    <row r="3" spans="1:25">
      <c r="A3" t="s">
        <v>438</v>
      </c>
      <c r="B3" t="s">
        <v>587</v>
      </c>
      <c r="C3" t="s">
        <v>166</v>
      </c>
      <c r="D3">
        <v>6179</v>
      </c>
      <c r="E3">
        <v>6255</v>
      </c>
      <c r="F3">
        <v>6172</v>
      </c>
      <c r="G3">
        <v>6255</v>
      </c>
      <c r="H3">
        <v>379900</v>
      </c>
      <c r="J3">
        <f>_xll.RssMarket("8136.T", "売成行数量")</f>
        <v>0</v>
      </c>
      <c r="L3" t="s">
        <v>76</v>
      </c>
      <c r="N3">
        <f>_xll.RssMarket("8136.T", "買成行数量")</f>
        <v>0</v>
      </c>
      <c r="P3" t="s">
        <v>121</v>
      </c>
      <c r="Q3">
        <f>_xll.RssMarket("8136.T", "前日比")</f>
        <v>65</v>
      </c>
      <c r="R3">
        <f>_xll.RssMarket("8136.T", "前日比率")</f>
        <v>1.04</v>
      </c>
      <c r="S3" t="s">
        <v>122</v>
      </c>
      <c r="T3" t="s">
        <v>132</v>
      </c>
      <c r="U3">
        <f>_xll.RssMarket("8136.T", "売買代金")</f>
        <v>79210499</v>
      </c>
      <c r="X3" t="s">
        <v>139</v>
      </c>
      <c r="Y3">
        <f>_xll.RssMarket("8136.T", "信用買残")</f>
        <v>8956300</v>
      </c>
    </row>
    <row r="4" spans="1:25">
      <c r="B4" t="s">
        <v>587</v>
      </c>
      <c r="C4" t="s">
        <v>167</v>
      </c>
      <c r="D4">
        <v>6254</v>
      </c>
      <c r="E4">
        <v>6272</v>
      </c>
      <c r="F4">
        <v>6240</v>
      </c>
      <c r="G4">
        <v>6253</v>
      </c>
      <c r="H4">
        <v>185300</v>
      </c>
      <c r="J4">
        <f>_xll.RssMarket("8136.T", "OVER気配数量")</f>
        <v>1188400</v>
      </c>
      <c r="L4" t="s">
        <v>77</v>
      </c>
      <c r="P4" t="s">
        <v>123</v>
      </c>
      <c r="Q4">
        <f>_xll.RssMarket("8136.T", "高値")</f>
        <v>6302</v>
      </c>
      <c r="T4" t="s">
        <v>137</v>
      </c>
      <c r="U4">
        <f>_xll.RssMarket("8136.T", "前場出来高")</f>
        <v>7689000</v>
      </c>
      <c r="X4" t="s">
        <v>140</v>
      </c>
      <c r="Y4">
        <f>_xll.RssMarket("8136.T", "信用倍率")</f>
        <v>7.51</v>
      </c>
    </row>
    <row r="5" spans="1:25">
      <c r="B5" t="s">
        <v>587</v>
      </c>
      <c r="C5" t="s">
        <v>168</v>
      </c>
      <c r="D5">
        <v>6251</v>
      </c>
      <c r="E5">
        <v>6269</v>
      </c>
      <c r="F5">
        <v>6243</v>
      </c>
      <c r="G5">
        <v>6254</v>
      </c>
      <c r="H5">
        <v>122700</v>
      </c>
      <c r="J5">
        <f>_xll.RssMarket("8136.T", "最良売気配数量10")</f>
        <v>2200</v>
      </c>
      <c r="L5">
        <f>_xll.RssMarket("8136.T", "最良売気配値10")</f>
        <v>6298</v>
      </c>
      <c r="P5" t="s">
        <v>124</v>
      </c>
      <c r="Q5">
        <f>_xll.RssMarket("8136.T", "安値")</f>
        <v>6167</v>
      </c>
    </row>
    <row r="6" spans="1:25">
      <c r="B6" t="s">
        <v>587</v>
      </c>
      <c r="C6" t="s">
        <v>169</v>
      </c>
      <c r="D6">
        <v>6254</v>
      </c>
      <c r="E6">
        <v>6267</v>
      </c>
      <c r="F6">
        <v>6237</v>
      </c>
      <c r="G6">
        <v>6265</v>
      </c>
      <c r="H6">
        <v>142700</v>
      </c>
      <c r="J6">
        <f>_xll.RssMarket("8136.T", "最良売気配数量9")</f>
        <v>100</v>
      </c>
      <c r="L6">
        <f>_xll.RssMarket("8136.T", "最良売気配値9")</f>
        <v>6297</v>
      </c>
      <c r="P6" t="s">
        <v>125</v>
      </c>
      <c r="Q6">
        <f>_xll.RssMarket("8136.T", "始値")</f>
        <v>6179</v>
      </c>
      <c r="T6" t="s">
        <v>133</v>
      </c>
      <c r="U6">
        <f>_xll.RssMarket("8136.T", "歩み1")</f>
        <v>6282</v>
      </c>
      <c r="V6" t="str">
        <f>_xll.RssMarket("8136.T", "歩み1詳細時刻")</f>
        <v>15:24:59</v>
      </c>
      <c r="X6" t="s">
        <v>141</v>
      </c>
      <c r="Y6">
        <f>_xll.RssMarket("8136.T", "逆日歩")</f>
        <v>0</v>
      </c>
    </row>
    <row r="7" spans="1:25">
      <c r="B7" t="s">
        <v>587</v>
      </c>
      <c r="C7" t="s">
        <v>170</v>
      </c>
      <c r="D7">
        <v>6266</v>
      </c>
      <c r="E7">
        <v>6270</v>
      </c>
      <c r="F7">
        <v>6242</v>
      </c>
      <c r="G7">
        <v>6255</v>
      </c>
      <c r="H7">
        <v>120100</v>
      </c>
      <c r="J7">
        <f>_xll.RssMarket("8136.T", "最良売気配数量8")</f>
        <v>600</v>
      </c>
      <c r="L7">
        <f>_xll.RssMarket("8136.T", "最良売気配値8")</f>
        <v>6296</v>
      </c>
      <c r="P7" t="s">
        <v>120</v>
      </c>
      <c r="Q7">
        <f>_xll.RssMarket("8136.T", "前日終値")</f>
        <v>6223</v>
      </c>
      <c r="T7" t="s">
        <v>134</v>
      </c>
      <c r="U7">
        <f>_xll.RssMarket("8136.T", "歩み2")</f>
        <v>6283</v>
      </c>
      <c r="V7" t="str">
        <f>_xll.RssMarket("8136.T", "歩み2詳細時刻")</f>
        <v>15:24:58</v>
      </c>
      <c r="X7" t="s">
        <v>142</v>
      </c>
      <c r="Y7">
        <f>_xll.RssMarket("8136.T", "貸借倍率")</f>
        <v>111.43</v>
      </c>
    </row>
    <row r="8" spans="1:25">
      <c r="B8" t="s">
        <v>587</v>
      </c>
      <c r="C8" t="s">
        <v>171</v>
      </c>
      <c r="D8">
        <v>6255</v>
      </c>
      <c r="E8">
        <v>6264</v>
      </c>
      <c r="F8">
        <v>6244</v>
      </c>
      <c r="G8">
        <v>6247</v>
      </c>
      <c r="H8">
        <v>118700</v>
      </c>
      <c r="J8">
        <f>_xll.RssMarket("8136.T", "最良売気配数量7")</f>
        <v>1000</v>
      </c>
      <c r="L8">
        <f>_xll.RssMarket("8136.T", "最良売気配値7")</f>
        <v>6295</v>
      </c>
      <c r="P8" t="s">
        <v>126</v>
      </c>
      <c r="Q8">
        <f>_xll.RssMarket("8136.T", "出来高加重平均")</f>
        <v>6234.3963000000003</v>
      </c>
      <c r="T8" t="s">
        <v>135</v>
      </c>
      <c r="U8">
        <f>_xll.RssMarket("8136.T", "歩み3")</f>
        <v>6282</v>
      </c>
      <c r="V8" t="str">
        <f>_xll.RssMarket("8136.T", "歩み3詳細時刻")</f>
        <v>15:24:58</v>
      </c>
    </row>
    <row r="9" spans="1:25">
      <c r="B9" t="s">
        <v>587</v>
      </c>
      <c r="C9" t="s">
        <v>172</v>
      </c>
      <c r="D9">
        <v>6248</v>
      </c>
      <c r="E9">
        <v>6259</v>
      </c>
      <c r="F9">
        <v>6247</v>
      </c>
      <c r="G9">
        <v>6251</v>
      </c>
      <c r="H9">
        <v>48800</v>
      </c>
      <c r="J9">
        <f>_xll.RssMarket("8136.T", "最良売気配数量6")</f>
        <v>100</v>
      </c>
      <c r="L9">
        <f>_xll.RssMarket("8136.T", "最良売気配値6")</f>
        <v>6294</v>
      </c>
      <c r="P9" t="s">
        <v>127</v>
      </c>
      <c r="Q9">
        <f>_xll.RssMarket("8136.T", "年初来高値")</f>
        <v>7315</v>
      </c>
      <c r="R9" t="str">
        <f>_xll.RssMarket("8136.T", "年初来高値日付")</f>
        <v>2025/02/18</v>
      </c>
      <c r="T9" t="s">
        <v>136</v>
      </c>
      <c r="U9">
        <f>_xll.RssMarket("8136.T", "歩み4")</f>
        <v>6285</v>
      </c>
      <c r="V9" t="str">
        <f>_xll.RssMarket("8136.T", "歩み4詳細時刻")</f>
        <v>15:24:57</v>
      </c>
    </row>
    <row r="10" spans="1:25">
      <c r="B10" t="s">
        <v>587</v>
      </c>
      <c r="C10" t="s">
        <v>173</v>
      </c>
      <c r="D10">
        <v>6251</v>
      </c>
      <c r="E10">
        <v>6251</v>
      </c>
      <c r="F10">
        <v>6233</v>
      </c>
      <c r="G10">
        <v>6238</v>
      </c>
      <c r="H10">
        <v>79900</v>
      </c>
      <c r="J10">
        <f>_xll.RssMarket("8136.T", "最良売気配数量5")</f>
        <v>100</v>
      </c>
      <c r="L10">
        <f>_xll.RssMarket("8136.T", "最良売気配値5")</f>
        <v>6293</v>
      </c>
      <c r="P10" t="s">
        <v>128</v>
      </c>
      <c r="Q10">
        <f>_xll.RssMarket("8136.T", "年初来安値")</f>
        <v>4937</v>
      </c>
      <c r="R10" t="str">
        <f>_xll.RssMarket("8136.T", "年初来安値日付")</f>
        <v>2025/01/21</v>
      </c>
    </row>
    <row r="11" spans="1:25">
      <c r="B11" t="s">
        <v>587</v>
      </c>
      <c r="C11" t="s">
        <v>174</v>
      </c>
      <c r="D11">
        <v>6238</v>
      </c>
      <c r="E11">
        <v>6259</v>
      </c>
      <c r="F11">
        <v>6230</v>
      </c>
      <c r="G11">
        <v>6259</v>
      </c>
      <c r="H11">
        <v>124300</v>
      </c>
      <c r="J11">
        <f>_xll.RssMarket("8136.T", "最良売気配数量4")</f>
        <v>800</v>
      </c>
      <c r="L11">
        <f>_xll.RssMarket("8136.T", "最良売気配値4")</f>
        <v>6292</v>
      </c>
      <c r="P11" t="s">
        <v>129</v>
      </c>
      <c r="Q11">
        <f>_xll.RssMarket("8136.T", "上場来高値")</f>
        <v>9411</v>
      </c>
      <c r="R11" t="str">
        <f>_xll.RssMarket("8136.T", "上場来高値日付")</f>
        <v>2024/03/27</v>
      </c>
    </row>
    <row r="12" spans="1:25">
      <c r="B12" t="s">
        <v>587</v>
      </c>
      <c r="C12" t="s">
        <v>175</v>
      </c>
      <c r="D12">
        <v>6258</v>
      </c>
      <c r="E12">
        <v>6263</v>
      </c>
      <c r="F12">
        <v>6250</v>
      </c>
      <c r="G12">
        <v>6258</v>
      </c>
      <c r="H12">
        <v>74000</v>
      </c>
      <c r="J12">
        <f>_xll.RssMarket("8136.T", "最良売気配数量3")</f>
        <v>200</v>
      </c>
      <c r="L12">
        <f>_xll.RssMarket("8136.T", "最良売気配値3")</f>
        <v>6291</v>
      </c>
      <c r="P12" t="s">
        <v>130</v>
      </c>
      <c r="Q12">
        <f>_xll.RssMarket("8136.T", "上場来安値")</f>
        <v>442</v>
      </c>
      <c r="R12" t="str">
        <f>_xll.RssMarket("8136.T", "上場来安値日付")</f>
        <v>2003/05/28</v>
      </c>
    </row>
    <row r="13" spans="1:25">
      <c r="B13" t="s">
        <v>587</v>
      </c>
      <c r="C13" t="s">
        <v>176</v>
      </c>
      <c r="D13">
        <v>6258</v>
      </c>
      <c r="E13">
        <v>6265</v>
      </c>
      <c r="F13">
        <v>6246</v>
      </c>
      <c r="G13">
        <v>6252</v>
      </c>
      <c r="H13">
        <v>84000</v>
      </c>
      <c r="J13">
        <f>_xll.RssMarket("8136.T", "最良売気配数量2")</f>
        <v>4800</v>
      </c>
      <c r="L13">
        <f>_xll.RssMarket("8136.T", "最良売気配値2")</f>
        <v>6290</v>
      </c>
    </row>
    <row r="14" spans="1:25">
      <c r="B14" t="s">
        <v>587</v>
      </c>
      <c r="C14" t="s">
        <v>177</v>
      </c>
      <c r="D14">
        <v>6253</v>
      </c>
      <c r="E14">
        <v>6260</v>
      </c>
      <c r="F14">
        <v>6236</v>
      </c>
      <c r="G14">
        <v>6242</v>
      </c>
      <c r="H14">
        <v>84000</v>
      </c>
      <c r="J14">
        <f>_xll.RssMarket("8136.T", "最良売気配数量1")</f>
        <v>1000</v>
      </c>
      <c r="K14" t="str">
        <f>_xll.RssMarket("8136.T", "特別売気配フラグ")</f>
        <v xml:space="preserve"> </v>
      </c>
      <c r="L14">
        <f>_xll.RssMarket("8136.T", "最良売気配値1")</f>
        <v>6289</v>
      </c>
    </row>
    <row r="15" spans="1:25">
      <c r="B15" t="s">
        <v>587</v>
      </c>
      <c r="C15" t="s">
        <v>178</v>
      </c>
      <c r="D15">
        <v>6242</v>
      </c>
      <c r="E15">
        <v>6250</v>
      </c>
      <c r="F15">
        <v>6237</v>
      </c>
      <c r="G15">
        <v>6246</v>
      </c>
      <c r="H15">
        <v>44800</v>
      </c>
      <c r="L15">
        <f>_xll.RssMarket("8136.T", "最良買気配値1")</f>
        <v>6286</v>
      </c>
      <c r="M15" t="str">
        <f>_xll.RssMarket("8136.T", "特別買気配フラグ")</f>
        <v xml:space="preserve"> </v>
      </c>
      <c r="N15">
        <f>_xll.RssMarket("8136.T", "最良買気配数量1")</f>
        <v>200</v>
      </c>
    </row>
    <row r="16" spans="1:25">
      <c r="B16" t="s">
        <v>587</v>
      </c>
      <c r="C16" t="s">
        <v>179</v>
      </c>
      <c r="D16">
        <v>6245</v>
      </c>
      <c r="E16">
        <v>6248</v>
      </c>
      <c r="F16">
        <v>6238</v>
      </c>
      <c r="G16">
        <v>6246</v>
      </c>
      <c r="H16">
        <v>38300</v>
      </c>
      <c r="L16">
        <f>_xll.RssMarket("8136.T", "最良買気配値2")</f>
        <v>6285</v>
      </c>
      <c r="N16">
        <f>_xll.RssMarket("8136.T", "最良買気配数量2")</f>
        <v>800</v>
      </c>
    </row>
    <row r="17" spans="2:14">
      <c r="B17" t="s">
        <v>587</v>
      </c>
      <c r="C17" t="s">
        <v>180</v>
      </c>
      <c r="D17">
        <v>6247</v>
      </c>
      <c r="E17">
        <v>6256</v>
      </c>
      <c r="F17">
        <v>6246</v>
      </c>
      <c r="G17">
        <v>6252</v>
      </c>
      <c r="H17">
        <v>41000</v>
      </c>
      <c r="L17">
        <f>_xll.RssMarket("8136.T", "最良買気配値3")</f>
        <v>6284</v>
      </c>
      <c r="N17">
        <f>_xll.RssMarket("8136.T", "最良買気配数量3")</f>
        <v>200</v>
      </c>
    </row>
    <row r="18" spans="2:14">
      <c r="B18" t="s">
        <v>587</v>
      </c>
      <c r="C18" t="s">
        <v>181</v>
      </c>
      <c r="D18">
        <v>6253</v>
      </c>
      <c r="E18">
        <v>6255</v>
      </c>
      <c r="F18">
        <v>6238</v>
      </c>
      <c r="G18">
        <v>6243</v>
      </c>
      <c r="H18">
        <v>42200</v>
      </c>
      <c r="L18">
        <f>_xll.RssMarket("8136.T", "最良買気配値4")</f>
        <v>6283</v>
      </c>
      <c r="N18">
        <f>_xll.RssMarket("8136.T", "最良買気配数量4")</f>
        <v>200</v>
      </c>
    </row>
    <row r="19" spans="2:14">
      <c r="B19" t="s">
        <v>587</v>
      </c>
      <c r="C19" t="s">
        <v>182</v>
      </c>
      <c r="D19">
        <v>6242</v>
      </c>
      <c r="E19">
        <v>6248</v>
      </c>
      <c r="F19">
        <v>6233</v>
      </c>
      <c r="G19">
        <v>6241</v>
      </c>
      <c r="H19">
        <v>64200</v>
      </c>
      <c r="L19">
        <f>_xll.RssMarket("8136.T", "最良買気配値5")</f>
        <v>6282</v>
      </c>
      <c r="N19">
        <f>_xll.RssMarket("8136.T", "最良買気配数量5")</f>
        <v>1200</v>
      </c>
    </row>
    <row r="20" spans="2:14">
      <c r="B20" t="s">
        <v>587</v>
      </c>
      <c r="C20" t="s">
        <v>183</v>
      </c>
      <c r="D20">
        <v>6239</v>
      </c>
      <c r="E20">
        <v>6244</v>
      </c>
      <c r="F20">
        <v>6229</v>
      </c>
      <c r="G20">
        <v>6242</v>
      </c>
      <c r="H20">
        <v>61000</v>
      </c>
      <c r="L20">
        <f>_xll.RssMarket("8136.T", "最良買気配値6")</f>
        <v>6281</v>
      </c>
      <c r="N20">
        <f>_xll.RssMarket("8136.T", "最良買気配数量6")</f>
        <v>100</v>
      </c>
    </row>
    <row r="21" spans="2:14">
      <c r="B21" t="s">
        <v>587</v>
      </c>
      <c r="C21" t="s">
        <v>184</v>
      </c>
      <c r="D21">
        <v>6240</v>
      </c>
      <c r="E21">
        <v>6252</v>
      </c>
      <c r="F21">
        <v>6240</v>
      </c>
      <c r="G21">
        <v>6250</v>
      </c>
      <c r="H21">
        <v>48700</v>
      </c>
      <c r="L21">
        <f>_xll.RssMarket("8136.T", "最良買気配値7")</f>
        <v>6280</v>
      </c>
      <c r="N21">
        <f>_xll.RssMarket("8136.T", "最良買気配数量7")</f>
        <v>8600</v>
      </c>
    </row>
    <row r="22" spans="2:14">
      <c r="B22" t="s">
        <v>587</v>
      </c>
      <c r="C22" t="s">
        <v>185</v>
      </c>
      <c r="D22">
        <v>6250</v>
      </c>
      <c r="E22">
        <v>6259</v>
      </c>
      <c r="F22">
        <v>6249</v>
      </c>
      <c r="G22">
        <v>6250</v>
      </c>
      <c r="H22">
        <v>53400</v>
      </c>
      <c r="L22">
        <f>_xll.RssMarket("8136.T", "最良買気配値8")</f>
        <v>6279</v>
      </c>
      <c r="N22">
        <f>_xll.RssMarket("8136.T", "最良買気配数量8")</f>
        <v>100</v>
      </c>
    </row>
    <row r="23" spans="2:14">
      <c r="B23" t="s">
        <v>587</v>
      </c>
      <c r="C23" t="s">
        <v>186</v>
      </c>
      <c r="D23">
        <v>6251</v>
      </c>
      <c r="E23">
        <v>6254</v>
      </c>
      <c r="F23">
        <v>6245</v>
      </c>
      <c r="G23">
        <v>6246</v>
      </c>
      <c r="H23">
        <v>28800</v>
      </c>
      <c r="L23">
        <f>_xll.RssMarket("8136.T", "最良買気配値9")</f>
        <v>6277</v>
      </c>
      <c r="N23">
        <f>_xll.RssMarket("8136.T", "最良買気配数量9")</f>
        <v>5300</v>
      </c>
    </row>
    <row r="24" spans="2:14">
      <c r="B24" t="s">
        <v>587</v>
      </c>
      <c r="C24" t="s">
        <v>187</v>
      </c>
      <c r="D24">
        <v>6245</v>
      </c>
      <c r="E24">
        <v>6247</v>
      </c>
      <c r="F24">
        <v>6225</v>
      </c>
      <c r="G24">
        <v>6231</v>
      </c>
      <c r="H24">
        <v>85700</v>
      </c>
      <c r="L24">
        <f>_xll.RssMarket("8136.T", "最良買気配値10")</f>
        <v>6276</v>
      </c>
      <c r="N24">
        <f>_xll.RssMarket("8136.T", "最良買気配数量10")</f>
        <v>300</v>
      </c>
    </row>
    <row r="25" spans="2:14">
      <c r="B25" t="s">
        <v>587</v>
      </c>
      <c r="C25" t="s">
        <v>188</v>
      </c>
      <c r="D25">
        <v>6232</v>
      </c>
      <c r="E25">
        <v>6236</v>
      </c>
      <c r="F25">
        <v>6228</v>
      </c>
      <c r="G25">
        <v>6233</v>
      </c>
      <c r="H25">
        <v>41300</v>
      </c>
      <c r="L25" t="s">
        <v>80</v>
      </c>
      <c r="N25">
        <f>_xll.RssMarket("8136.T", "UNDER気配数量")</f>
        <v>640000</v>
      </c>
    </row>
    <row r="26" spans="2:14">
      <c r="B26" t="s">
        <v>587</v>
      </c>
      <c r="C26" t="s">
        <v>189</v>
      </c>
      <c r="D26">
        <v>6233</v>
      </c>
      <c r="E26">
        <v>6246</v>
      </c>
      <c r="F26">
        <v>6231</v>
      </c>
      <c r="G26">
        <v>6242</v>
      </c>
      <c r="H26">
        <v>70400</v>
      </c>
    </row>
    <row r="27" spans="2:14">
      <c r="B27" t="s">
        <v>587</v>
      </c>
      <c r="C27" t="s">
        <v>190</v>
      </c>
      <c r="D27">
        <v>6242</v>
      </c>
      <c r="E27">
        <v>6245</v>
      </c>
      <c r="F27">
        <v>6234</v>
      </c>
      <c r="G27">
        <v>6235</v>
      </c>
      <c r="H27">
        <v>28300</v>
      </c>
    </row>
    <row r="28" spans="2:14">
      <c r="B28" t="s">
        <v>587</v>
      </c>
      <c r="C28" t="s">
        <v>191</v>
      </c>
      <c r="D28">
        <v>6235</v>
      </c>
      <c r="E28">
        <v>6239</v>
      </c>
      <c r="F28">
        <v>6235</v>
      </c>
      <c r="G28">
        <v>6238</v>
      </c>
      <c r="H28">
        <v>16900</v>
      </c>
    </row>
    <row r="29" spans="2:14">
      <c r="B29" t="s">
        <v>587</v>
      </c>
      <c r="C29" t="s">
        <v>192</v>
      </c>
      <c r="D29">
        <v>6238</v>
      </c>
      <c r="E29">
        <v>6253</v>
      </c>
      <c r="F29">
        <v>6234</v>
      </c>
      <c r="G29">
        <v>6251</v>
      </c>
      <c r="H29">
        <v>79000</v>
      </c>
    </row>
    <row r="30" spans="2:14">
      <c r="B30" t="s">
        <v>587</v>
      </c>
      <c r="C30" t="s">
        <v>193</v>
      </c>
      <c r="D30">
        <v>6251</v>
      </c>
      <c r="E30">
        <v>6264</v>
      </c>
      <c r="F30">
        <v>6250</v>
      </c>
      <c r="G30">
        <v>6262</v>
      </c>
      <c r="H30">
        <v>118600</v>
      </c>
    </row>
    <row r="31" spans="2:14">
      <c r="B31" t="s">
        <v>587</v>
      </c>
      <c r="C31" t="s">
        <v>194</v>
      </c>
      <c r="D31">
        <v>6262</v>
      </c>
      <c r="E31">
        <v>6285</v>
      </c>
      <c r="F31">
        <v>6258</v>
      </c>
      <c r="G31">
        <v>6284</v>
      </c>
      <c r="H31">
        <v>184400</v>
      </c>
    </row>
    <row r="32" spans="2:14">
      <c r="B32" t="s">
        <v>587</v>
      </c>
      <c r="C32" t="s">
        <v>195</v>
      </c>
      <c r="D32">
        <v>6282</v>
      </c>
      <c r="E32">
        <v>6289</v>
      </c>
      <c r="F32">
        <v>6281</v>
      </c>
      <c r="G32">
        <v>6284</v>
      </c>
      <c r="H32">
        <v>86800</v>
      </c>
    </row>
    <row r="33" spans="2:8">
      <c r="B33" t="s">
        <v>587</v>
      </c>
      <c r="C33" t="s">
        <v>196</v>
      </c>
      <c r="D33">
        <v>6285</v>
      </c>
      <c r="E33">
        <v>6287</v>
      </c>
      <c r="F33">
        <v>6276</v>
      </c>
      <c r="G33">
        <v>6283</v>
      </c>
      <c r="H33">
        <v>76500</v>
      </c>
    </row>
    <row r="34" spans="2:8">
      <c r="B34" t="s">
        <v>587</v>
      </c>
      <c r="C34" t="s">
        <v>197</v>
      </c>
      <c r="D34">
        <v>6284</v>
      </c>
      <c r="E34">
        <v>6287</v>
      </c>
      <c r="F34">
        <v>6256</v>
      </c>
      <c r="G34">
        <v>6265</v>
      </c>
      <c r="H34">
        <v>171800</v>
      </c>
    </row>
    <row r="35" spans="2:8">
      <c r="B35" t="s">
        <v>587</v>
      </c>
      <c r="C35" t="s">
        <v>198</v>
      </c>
      <c r="D35">
        <v>6265</v>
      </c>
      <c r="E35">
        <v>6270</v>
      </c>
      <c r="F35">
        <v>6256</v>
      </c>
      <c r="G35">
        <v>6261</v>
      </c>
      <c r="H35">
        <v>68400</v>
      </c>
    </row>
    <row r="36" spans="2:8">
      <c r="B36" t="s">
        <v>587</v>
      </c>
      <c r="C36" t="s">
        <v>199</v>
      </c>
      <c r="D36">
        <v>6263</v>
      </c>
      <c r="E36">
        <v>6273</v>
      </c>
      <c r="F36">
        <v>6263</v>
      </c>
      <c r="G36">
        <v>6272</v>
      </c>
      <c r="H36">
        <v>43900</v>
      </c>
    </row>
    <row r="37" spans="2:8">
      <c r="B37" t="s">
        <v>587</v>
      </c>
      <c r="C37" t="s">
        <v>200</v>
      </c>
      <c r="D37">
        <v>6272</v>
      </c>
      <c r="E37">
        <v>6273</v>
      </c>
      <c r="F37">
        <v>6250</v>
      </c>
      <c r="G37">
        <v>6258</v>
      </c>
      <c r="H37">
        <v>85100</v>
      </c>
    </row>
    <row r="38" spans="2:8">
      <c r="B38" t="s">
        <v>587</v>
      </c>
      <c r="C38" t="s">
        <v>201</v>
      </c>
      <c r="D38">
        <v>6257</v>
      </c>
      <c r="E38">
        <v>6262</v>
      </c>
      <c r="F38">
        <v>6252</v>
      </c>
      <c r="G38">
        <v>6258</v>
      </c>
      <c r="H38">
        <v>40900</v>
      </c>
    </row>
    <row r="39" spans="2:8">
      <c r="B39" t="s">
        <v>587</v>
      </c>
      <c r="C39" t="s">
        <v>202</v>
      </c>
      <c r="D39">
        <v>6258</v>
      </c>
      <c r="E39">
        <v>6265</v>
      </c>
      <c r="F39">
        <v>6254</v>
      </c>
      <c r="G39">
        <v>6263</v>
      </c>
      <c r="H39">
        <v>28400</v>
      </c>
    </row>
    <row r="40" spans="2:8">
      <c r="B40" t="s">
        <v>587</v>
      </c>
      <c r="C40" t="s">
        <v>203</v>
      </c>
      <c r="D40">
        <v>6263</v>
      </c>
      <c r="E40">
        <v>6269</v>
      </c>
      <c r="F40">
        <v>6257</v>
      </c>
      <c r="G40">
        <v>6260</v>
      </c>
      <c r="H40">
        <v>45700</v>
      </c>
    </row>
    <row r="41" spans="2:8">
      <c r="B41" t="s">
        <v>587</v>
      </c>
      <c r="C41" t="s">
        <v>204</v>
      </c>
      <c r="D41">
        <v>6260</v>
      </c>
      <c r="E41">
        <v>6262</v>
      </c>
      <c r="F41">
        <v>6252</v>
      </c>
      <c r="G41">
        <v>6256</v>
      </c>
      <c r="H41">
        <v>43200</v>
      </c>
    </row>
    <row r="42" spans="2:8">
      <c r="B42" t="s">
        <v>587</v>
      </c>
      <c r="C42" t="s">
        <v>205</v>
      </c>
      <c r="D42">
        <v>6257</v>
      </c>
      <c r="E42">
        <v>6257</v>
      </c>
      <c r="F42">
        <v>6235</v>
      </c>
      <c r="G42">
        <v>6249</v>
      </c>
      <c r="H42">
        <v>96300</v>
      </c>
    </row>
    <row r="43" spans="2:8">
      <c r="B43" t="s">
        <v>587</v>
      </c>
      <c r="C43" t="s">
        <v>206</v>
      </c>
      <c r="D43">
        <v>6250</v>
      </c>
      <c r="E43">
        <v>6257</v>
      </c>
      <c r="F43">
        <v>6247</v>
      </c>
      <c r="G43">
        <v>6255</v>
      </c>
      <c r="H43">
        <v>37800</v>
      </c>
    </row>
    <row r="44" spans="2:8">
      <c r="B44" t="s">
        <v>587</v>
      </c>
      <c r="C44" t="s">
        <v>207</v>
      </c>
      <c r="D44">
        <v>6255</v>
      </c>
      <c r="E44">
        <v>6255</v>
      </c>
      <c r="F44">
        <v>6240</v>
      </c>
      <c r="G44">
        <v>6247</v>
      </c>
      <c r="H44">
        <v>38700</v>
      </c>
    </row>
    <row r="45" spans="2:8">
      <c r="B45" t="s">
        <v>587</v>
      </c>
      <c r="C45" t="s">
        <v>208</v>
      </c>
      <c r="D45">
        <v>6248</v>
      </c>
      <c r="E45">
        <v>6248</v>
      </c>
      <c r="F45">
        <v>6240</v>
      </c>
      <c r="G45">
        <v>6242</v>
      </c>
      <c r="H45">
        <v>21800</v>
      </c>
    </row>
    <row r="46" spans="2:8">
      <c r="B46" t="s">
        <v>587</v>
      </c>
      <c r="C46" t="s">
        <v>209</v>
      </c>
      <c r="D46">
        <v>6242</v>
      </c>
      <c r="E46">
        <v>6255</v>
      </c>
      <c r="F46">
        <v>6240</v>
      </c>
      <c r="G46">
        <v>6252</v>
      </c>
      <c r="H46">
        <v>31900</v>
      </c>
    </row>
    <row r="47" spans="2:8">
      <c r="B47" t="s">
        <v>587</v>
      </c>
      <c r="C47" t="s">
        <v>210</v>
      </c>
      <c r="D47">
        <v>6252</v>
      </c>
      <c r="E47">
        <v>6255</v>
      </c>
      <c r="F47">
        <v>6246</v>
      </c>
      <c r="G47">
        <v>6254</v>
      </c>
      <c r="H47">
        <v>36200</v>
      </c>
    </row>
    <row r="48" spans="2:8">
      <c r="B48" t="s">
        <v>587</v>
      </c>
      <c r="C48" t="s">
        <v>211</v>
      </c>
      <c r="D48">
        <v>6254</v>
      </c>
      <c r="E48">
        <v>6265</v>
      </c>
      <c r="F48">
        <v>6254</v>
      </c>
      <c r="G48">
        <v>6263</v>
      </c>
      <c r="H48">
        <v>62000</v>
      </c>
    </row>
    <row r="49" spans="2:8">
      <c r="B49" t="s">
        <v>587</v>
      </c>
      <c r="C49" t="s">
        <v>212</v>
      </c>
      <c r="D49">
        <v>6264</v>
      </c>
      <c r="E49">
        <v>6264</v>
      </c>
      <c r="F49">
        <v>6252</v>
      </c>
      <c r="G49">
        <v>6255</v>
      </c>
      <c r="H49">
        <v>35900</v>
      </c>
    </row>
    <row r="50" spans="2:8">
      <c r="B50" t="s">
        <v>587</v>
      </c>
      <c r="C50" t="s">
        <v>213</v>
      </c>
      <c r="D50">
        <v>6255</v>
      </c>
      <c r="E50">
        <v>6259</v>
      </c>
      <c r="F50">
        <v>6254</v>
      </c>
      <c r="G50">
        <v>6256</v>
      </c>
      <c r="H50">
        <v>18000</v>
      </c>
    </row>
    <row r="51" spans="2:8">
      <c r="B51" t="s">
        <v>587</v>
      </c>
      <c r="C51" t="s">
        <v>214</v>
      </c>
      <c r="D51">
        <v>6256</v>
      </c>
      <c r="E51">
        <v>6263</v>
      </c>
      <c r="F51">
        <v>6253</v>
      </c>
      <c r="G51">
        <v>6258</v>
      </c>
      <c r="H51">
        <v>31300</v>
      </c>
    </row>
    <row r="52" spans="2:8">
      <c r="B52" t="s">
        <v>587</v>
      </c>
      <c r="C52" t="s">
        <v>215</v>
      </c>
      <c r="D52">
        <v>6256</v>
      </c>
      <c r="E52">
        <v>6257</v>
      </c>
      <c r="F52">
        <v>6249</v>
      </c>
      <c r="G52">
        <v>6255</v>
      </c>
      <c r="H52">
        <v>46600</v>
      </c>
    </row>
    <row r="53" spans="2:8">
      <c r="B53" t="s">
        <v>587</v>
      </c>
      <c r="C53" t="s">
        <v>216</v>
      </c>
      <c r="D53">
        <v>6256</v>
      </c>
      <c r="E53">
        <v>6258</v>
      </c>
      <c r="F53">
        <v>6250</v>
      </c>
      <c r="G53">
        <v>6254</v>
      </c>
      <c r="H53">
        <v>33600</v>
      </c>
    </row>
    <row r="54" spans="2:8">
      <c r="B54" t="s">
        <v>587</v>
      </c>
      <c r="C54" t="s">
        <v>217</v>
      </c>
      <c r="D54">
        <v>6253</v>
      </c>
      <c r="E54">
        <v>6256</v>
      </c>
      <c r="F54">
        <v>6253</v>
      </c>
      <c r="G54">
        <v>6253</v>
      </c>
      <c r="H54">
        <v>16100</v>
      </c>
    </row>
    <row r="55" spans="2:8">
      <c r="B55" t="s">
        <v>587</v>
      </c>
      <c r="C55" t="s">
        <v>218</v>
      </c>
      <c r="D55">
        <v>6254</v>
      </c>
      <c r="E55">
        <v>6255</v>
      </c>
      <c r="F55">
        <v>6236</v>
      </c>
      <c r="G55">
        <v>6244</v>
      </c>
      <c r="H55">
        <v>80200</v>
      </c>
    </row>
    <row r="56" spans="2:8">
      <c r="B56" t="s">
        <v>587</v>
      </c>
      <c r="C56" t="s">
        <v>219</v>
      </c>
      <c r="D56">
        <v>6243</v>
      </c>
      <c r="E56">
        <v>6248</v>
      </c>
      <c r="F56">
        <v>6240</v>
      </c>
      <c r="G56">
        <v>6245</v>
      </c>
      <c r="H56">
        <v>31500</v>
      </c>
    </row>
    <row r="57" spans="2:8">
      <c r="B57" t="s">
        <v>587</v>
      </c>
      <c r="C57" t="s">
        <v>220</v>
      </c>
      <c r="D57">
        <v>6246</v>
      </c>
      <c r="E57">
        <v>6254</v>
      </c>
      <c r="F57">
        <v>6241</v>
      </c>
      <c r="G57">
        <v>6250</v>
      </c>
      <c r="H57">
        <v>30200</v>
      </c>
    </row>
    <row r="58" spans="2:8">
      <c r="B58" t="s">
        <v>587</v>
      </c>
      <c r="C58" t="s">
        <v>221</v>
      </c>
      <c r="D58">
        <v>6251</v>
      </c>
      <c r="E58">
        <v>6263</v>
      </c>
      <c r="F58">
        <v>6251</v>
      </c>
      <c r="G58">
        <v>6254</v>
      </c>
      <c r="H58">
        <v>71200</v>
      </c>
    </row>
    <row r="59" spans="2:8">
      <c r="B59" t="s">
        <v>587</v>
      </c>
      <c r="C59" t="s">
        <v>222</v>
      </c>
      <c r="D59">
        <v>6255</v>
      </c>
      <c r="E59">
        <v>6258</v>
      </c>
      <c r="F59">
        <v>6251</v>
      </c>
      <c r="G59">
        <v>6257</v>
      </c>
      <c r="H59">
        <v>15800</v>
      </c>
    </row>
    <row r="60" spans="2:8">
      <c r="B60" t="s">
        <v>587</v>
      </c>
      <c r="C60" t="s">
        <v>223</v>
      </c>
      <c r="D60">
        <v>6257</v>
      </c>
      <c r="E60">
        <v>6263</v>
      </c>
      <c r="F60">
        <v>6254</v>
      </c>
      <c r="G60">
        <v>6261</v>
      </c>
      <c r="H60">
        <v>27600</v>
      </c>
    </row>
    <row r="61" spans="2:8">
      <c r="B61" t="s">
        <v>587</v>
      </c>
      <c r="C61" t="s">
        <v>224</v>
      </c>
      <c r="D61">
        <v>6261</v>
      </c>
      <c r="E61">
        <v>6270</v>
      </c>
      <c r="F61">
        <v>6259</v>
      </c>
      <c r="G61">
        <v>6268</v>
      </c>
      <c r="H61">
        <v>55100</v>
      </c>
    </row>
    <row r="62" spans="2:8">
      <c r="B62" t="s">
        <v>587</v>
      </c>
      <c r="C62" t="s">
        <v>225</v>
      </c>
      <c r="D62">
        <v>6269</v>
      </c>
      <c r="E62">
        <v>6272</v>
      </c>
      <c r="F62">
        <v>6251</v>
      </c>
      <c r="G62">
        <v>6256</v>
      </c>
      <c r="H62">
        <v>97800</v>
      </c>
    </row>
    <row r="63" spans="2:8">
      <c r="B63" t="s">
        <v>587</v>
      </c>
      <c r="C63" t="s">
        <v>226</v>
      </c>
      <c r="D63">
        <v>6255</v>
      </c>
      <c r="E63">
        <v>6255</v>
      </c>
      <c r="F63">
        <v>6248</v>
      </c>
      <c r="G63">
        <v>6249</v>
      </c>
      <c r="H63">
        <v>44400</v>
      </c>
    </row>
    <row r="64" spans="2:8">
      <c r="B64" t="s">
        <v>587</v>
      </c>
      <c r="C64" t="s">
        <v>227</v>
      </c>
      <c r="D64">
        <v>6250</v>
      </c>
      <c r="E64">
        <v>6259</v>
      </c>
      <c r="F64">
        <v>6244</v>
      </c>
      <c r="G64">
        <v>6248</v>
      </c>
      <c r="H64">
        <v>74400</v>
      </c>
    </row>
    <row r="65" spans="2:8">
      <c r="B65" t="s">
        <v>587</v>
      </c>
      <c r="C65" t="s">
        <v>228</v>
      </c>
      <c r="D65">
        <v>6248</v>
      </c>
      <c r="E65">
        <v>6254</v>
      </c>
      <c r="F65">
        <v>6242</v>
      </c>
      <c r="G65">
        <v>6251</v>
      </c>
      <c r="H65">
        <v>46000</v>
      </c>
    </row>
    <row r="66" spans="2:8">
      <c r="B66" t="s">
        <v>587</v>
      </c>
      <c r="C66" t="s">
        <v>229</v>
      </c>
      <c r="D66">
        <v>6251</v>
      </c>
      <c r="E66">
        <v>6255</v>
      </c>
      <c r="F66">
        <v>6249</v>
      </c>
      <c r="G66">
        <v>6249</v>
      </c>
      <c r="H66">
        <v>18700</v>
      </c>
    </row>
    <row r="67" spans="2:8">
      <c r="B67" t="s">
        <v>587</v>
      </c>
      <c r="C67" t="s">
        <v>230</v>
      </c>
      <c r="D67">
        <v>6249</v>
      </c>
      <c r="E67">
        <v>6250</v>
      </c>
      <c r="F67">
        <v>6235</v>
      </c>
      <c r="G67">
        <v>6243</v>
      </c>
      <c r="H67">
        <v>69000</v>
      </c>
    </row>
    <row r="68" spans="2:8">
      <c r="B68" t="s">
        <v>587</v>
      </c>
      <c r="C68" t="s">
        <v>231</v>
      </c>
      <c r="D68">
        <v>6241</v>
      </c>
      <c r="E68">
        <v>6242</v>
      </c>
      <c r="F68">
        <v>6235</v>
      </c>
      <c r="G68">
        <v>6240</v>
      </c>
      <c r="H68">
        <v>46400</v>
      </c>
    </row>
    <row r="69" spans="2:8">
      <c r="B69" t="s">
        <v>587</v>
      </c>
      <c r="C69" t="s">
        <v>232</v>
      </c>
      <c r="D69">
        <v>6240</v>
      </c>
      <c r="E69">
        <v>6246</v>
      </c>
      <c r="F69">
        <v>6239</v>
      </c>
      <c r="G69">
        <v>6244</v>
      </c>
      <c r="H69">
        <v>29900</v>
      </c>
    </row>
    <row r="70" spans="2:8">
      <c r="B70" t="s">
        <v>587</v>
      </c>
      <c r="C70" t="s">
        <v>233</v>
      </c>
      <c r="D70">
        <v>6245</v>
      </c>
      <c r="E70">
        <v>6248</v>
      </c>
      <c r="F70">
        <v>6236</v>
      </c>
      <c r="G70">
        <v>6244</v>
      </c>
      <c r="H70">
        <v>47200</v>
      </c>
    </row>
    <row r="71" spans="2:8">
      <c r="B71" t="s">
        <v>587</v>
      </c>
      <c r="C71" t="s">
        <v>234</v>
      </c>
      <c r="D71">
        <v>6244</v>
      </c>
      <c r="E71">
        <v>6252</v>
      </c>
      <c r="F71">
        <v>6238</v>
      </c>
      <c r="G71">
        <v>6252</v>
      </c>
      <c r="H71">
        <v>39600</v>
      </c>
    </row>
    <row r="72" spans="2:8">
      <c r="B72" t="s">
        <v>587</v>
      </c>
      <c r="C72" t="s">
        <v>235</v>
      </c>
      <c r="D72">
        <v>6251</v>
      </c>
      <c r="E72">
        <v>6254</v>
      </c>
      <c r="F72">
        <v>6237</v>
      </c>
      <c r="G72">
        <v>6239</v>
      </c>
      <c r="H72">
        <v>42300</v>
      </c>
    </row>
    <row r="73" spans="2:8">
      <c r="B73" t="s">
        <v>587</v>
      </c>
      <c r="C73" t="s">
        <v>236</v>
      </c>
      <c r="D73">
        <v>6239</v>
      </c>
      <c r="E73">
        <v>6239</v>
      </c>
      <c r="F73">
        <v>6213</v>
      </c>
      <c r="G73">
        <v>6219</v>
      </c>
      <c r="H73">
        <v>143400</v>
      </c>
    </row>
    <row r="74" spans="2:8">
      <c r="B74" t="s">
        <v>587</v>
      </c>
      <c r="C74" t="s">
        <v>237</v>
      </c>
      <c r="D74">
        <v>6219</v>
      </c>
      <c r="E74">
        <v>6229</v>
      </c>
      <c r="F74">
        <v>6217</v>
      </c>
      <c r="G74">
        <v>6225</v>
      </c>
      <c r="H74">
        <v>37900</v>
      </c>
    </row>
    <row r="75" spans="2:8">
      <c r="B75" t="s">
        <v>587</v>
      </c>
      <c r="C75" t="s">
        <v>238</v>
      </c>
      <c r="D75">
        <v>6225</v>
      </c>
      <c r="E75">
        <v>6227</v>
      </c>
      <c r="F75">
        <v>6210</v>
      </c>
      <c r="G75">
        <v>6212</v>
      </c>
      <c r="H75">
        <v>63000</v>
      </c>
    </row>
    <row r="76" spans="2:8">
      <c r="B76" t="s">
        <v>587</v>
      </c>
      <c r="C76" t="s">
        <v>239</v>
      </c>
      <c r="D76">
        <v>6210</v>
      </c>
      <c r="E76">
        <v>6214</v>
      </c>
      <c r="F76">
        <v>6191</v>
      </c>
      <c r="G76">
        <v>6196</v>
      </c>
      <c r="H76">
        <v>163100</v>
      </c>
    </row>
    <row r="77" spans="2:8">
      <c r="B77" t="s">
        <v>587</v>
      </c>
      <c r="C77" t="s">
        <v>240</v>
      </c>
      <c r="D77">
        <v>6195</v>
      </c>
      <c r="E77">
        <v>6220</v>
      </c>
      <c r="F77">
        <v>6194</v>
      </c>
      <c r="G77">
        <v>6218</v>
      </c>
      <c r="H77">
        <v>79200</v>
      </c>
    </row>
    <row r="78" spans="2:8">
      <c r="B78" t="s">
        <v>587</v>
      </c>
      <c r="C78" t="s">
        <v>241</v>
      </c>
      <c r="D78">
        <v>6219</v>
      </c>
      <c r="E78">
        <v>6223</v>
      </c>
      <c r="F78">
        <v>6212</v>
      </c>
      <c r="G78">
        <v>6214</v>
      </c>
      <c r="H78">
        <v>49300</v>
      </c>
    </row>
    <row r="79" spans="2:8">
      <c r="B79" t="s">
        <v>587</v>
      </c>
      <c r="C79" t="s">
        <v>242</v>
      </c>
      <c r="D79">
        <v>6215</v>
      </c>
      <c r="E79">
        <v>6216</v>
      </c>
      <c r="F79">
        <v>6205</v>
      </c>
      <c r="G79">
        <v>6209</v>
      </c>
      <c r="H79">
        <v>55600</v>
      </c>
    </row>
    <row r="80" spans="2:8">
      <c r="B80" t="s">
        <v>587</v>
      </c>
      <c r="C80" t="s">
        <v>243</v>
      </c>
      <c r="D80">
        <v>6209</v>
      </c>
      <c r="E80">
        <v>6226</v>
      </c>
      <c r="F80">
        <v>6208</v>
      </c>
      <c r="G80">
        <v>6225</v>
      </c>
      <c r="H80">
        <v>52600</v>
      </c>
    </row>
    <row r="81" spans="2:8">
      <c r="B81" t="s">
        <v>587</v>
      </c>
      <c r="C81" t="s">
        <v>244</v>
      </c>
      <c r="D81">
        <v>6225</v>
      </c>
      <c r="E81">
        <v>6239</v>
      </c>
      <c r="F81">
        <v>6225</v>
      </c>
      <c r="G81">
        <v>6232</v>
      </c>
      <c r="H81">
        <v>77500</v>
      </c>
    </row>
    <row r="82" spans="2:8">
      <c r="B82" t="s">
        <v>587</v>
      </c>
      <c r="C82" t="s">
        <v>245</v>
      </c>
      <c r="D82">
        <v>6233</v>
      </c>
      <c r="E82">
        <v>6235</v>
      </c>
      <c r="F82">
        <v>6221</v>
      </c>
      <c r="G82">
        <v>6226</v>
      </c>
      <c r="H82">
        <v>47200</v>
      </c>
    </row>
    <row r="83" spans="2:8">
      <c r="B83" t="s">
        <v>587</v>
      </c>
      <c r="C83" t="s">
        <v>246</v>
      </c>
      <c r="D83">
        <v>6227</v>
      </c>
      <c r="E83">
        <v>6230</v>
      </c>
      <c r="F83">
        <v>6213</v>
      </c>
      <c r="G83">
        <v>6216</v>
      </c>
      <c r="H83">
        <v>54000</v>
      </c>
    </row>
    <row r="84" spans="2:8">
      <c r="B84" t="s">
        <v>587</v>
      </c>
      <c r="C84" t="s">
        <v>247</v>
      </c>
      <c r="D84">
        <v>6214</v>
      </c>
      <c r="E84">
        <v>6220</v>
      </c>
      <c r="F84">
        <v>6206</v>
      </c>
      <c r="G84">
        <v>6219</v>
      </c>
      <c r="H84">
        <v>52000</v>
      </c>
    </row>
    <row r="85" spans="2:8">
      <c r="B85" t="s">
        <v>587</v>
      </c>
      <c r="C85" t="s">
        <v>248</v>
      </c>
      <c r="D85">
        <v>6218</v>
      </c>
      <c r="E85">
        <v>6220</v>
      </c>
      <c r="F85">
        <v>6210</v>
      </c>
      <c r="G85">
        <v>6210</v>
      </c>
      <c r="H85">
        <v>23800</v>
      </c>
    </row>
    <row r="86" spans="2:8">
      <c r="B86" t="s">
        <v>587</v>
      </c>
      <c r="C86" t="s">
        <v>249</v>
      </c>
      <c r="D86">
        <v>6210</v>
      </c>
      <c r="E86">
        <v>6210</v>
      </c>
      <c r="F86">
        <v>6202</v>
      </c>
      <c r="G86">
        <v>6207</v>
      </c>
      <c r="H86">
        <v>47300</v>
      </c>
    </row>
    <row r="87" spans="2:8">
      <c r="B87" t="s">
        <v>587</v>
      </c>
      <c r="C87" t="s">
        <v>250</v>
      </c>
      <c r="D87">
        <v>6207</v>
      </c>
      <c r="E87">
        <v>6216</v>
      </c>
      <c r="F87">
        <v>6207</v>
      </c>
      <c r="G87">
        <v>6211</v>
      </c>
      <c r="H87">
        <v>25000</v>
      </c>
    </row>
    <row r="88" spans="2:8">
      <c r="B88" t="s">
        <v>587</v>
      </c>
      <c r="C88" t="s">
        <v>251</v>
      </c>
      <c r="D88">
        <v>6212</v>
      </c>
      <c r="E88">
        <v>6224</v>
      </c>
      <c r="F88">
        <v>6210</v>
      </c>
      <c r="G88">
        <v>6224</v>
      </c>
      <c r="H88">
        <v>28300</v>
      </c>
    </row>
    <row r="89" spans="2:8">
      <c r="B89" t="s">
        <v>587</v>
      </c>
      <c r="C89" t="s">
        <v>252</v>
      </c>
      <c r="D89">
        <v>6225</v>
      </c>
      <c r="E89">
        <v>6230</v>
      </c>
      <c r="F89">
        <v>6224</v>
      </c>
      <c r="G89">
        <v>6229</v>
      </c>
      <c r="H89">
        <v>38500</v>
      </c>
    </row>
    <row r="90" spans="2:8">
      <c r="B90" t="s">
        <v>587</v>
      </c>
      <c r="C90" t="s">
        <v>253</v>
      </c>
      <c r="D90">
        <v>6228</v>
      </c>
      <c r="E90">
        <v>6235</v>
      </c>
      <c r="F90">
        <v>6221</v>
      </c>
      <c r="G90">
        <v>6232</v>
      </c>
      <c r="H90">
        <v>48300</v>
      </c>
    </row>
    <row r="91" spans="2:8">
      <c r="B91" t="s">
        <v>587</v>
      </c>
      <c r="C91" t="s">
        <v>254</v>
      </c>
      <c r="D91">
        <v>6233</v>
      </c>
      <c r="E91">
        <v>6235</v>
      </c>
      <c r="F91">
        <v>6228</v>
      </c>
      <c r="G91">
        <v>6232</v>
      </c>
      <c r="H91">
        <v>30700</v>
      </c>
    </row>
    <row r="92" spans="2:8">
      <c r="B92" t="s">
        <v>587</v>
      </c>
      <c r="C92" t="s">
        <v>255</v>
      </c>
      <c r="D92">
        <v>6232</v>
      </c>
      <c r="E92">
        <v>6238</v>
      </c>
      <c r="F92">
        <v>6231</v>
      </c>
      <c r="G92">
        <v>6235</v>
      </c>
      <c r="H92">
        <v>24400</v>
      </c>
    </row>
    <row r="93" spans="2:8">
      <c r="B93" t="s">
        <v>587</v>
      </c>
      <c r="C93" t="s">
        <v>256</v>
      </c>
      <c r="D93">
        <v>6234</v>
      </c>
      <c r="E93">
        <v>6238</v>
      </c>
      <c r="F93">
        <v>6223</v>
      </c>
      <c r="G93">
        <v>6223</v>
      </c>
      <c r="H93">
        <v>33200</v>
      </c>
    </row>
    <row r="94" spans="2:8">
      <c r="B94" t="s">
        <v>587</v>
      </c>
      <c r="C94" t="s">
        <v>257</v>
      </c>
      <c r="D94">
        <v>6223</v>
      </c>
      <c r="E94">
        <v>6224</v>
      </c>
      <c r="F94">
        <v>6212</v>
      </c>
      <c r="G94">
        <v>6222</v>
      </c>
      <c r="H94">
        <v>42800</v>
      </c>
    </row>
    <row r="95" spans="2:8">
      <c r="B95" t="s">
        <v>587</v>
      </c>
      <c r="C95" t="s">
        <v>258</v>
      </c>
      <c r="D95">
        <v>6221</v>
      </c>
      <c r="E95">
        <v>6222</v>
      </c>
      <c r="F95">
        <v>6213</v>
      </c>
      <c r="G95">
        <v>6217</v>
      </c>
      <c r="H95">
        <v>32200</v>
      </c>
    </row>
    <row r="96" spans="2:8">
      <c r="B96" t="s">
        <v>587</v>
      </c>
      <c r="C96" t="s">
        <v>259</v>
      </c>
      <c r="D96">
        <v>6216</v>
      </c>
      <c r="E96">
        <v>6229</v>
      </c>
      <c r="F96">
        <v>6216</v>
      </c>
      <c r="G96">
        <v>6221</v>
      </c>
      <c r="H96">
        <v>45800</v>
      </c>
    </row>
    <row r="97" spans="2:8">
      <c r="B97" t="s">
        <v>587</v>
      </c>
      <c r="C97" t="s">
        <v>260</v>
      </c>
      <c r="D97">
        <v>6223</v>
      </c>
      <c r="E97">
        <v>6223</v>
      </c>
      <c r="F97">
        <v>6220</v>
      </c>
      <c r="G97">
        <v>6222</v>
      </c>
      <c r="H97">
        <v>9800</v>
      </c>
    </row>
    <row r="98" spans="2:8">
      <c r="B98" t="s">
        <v>587</v>
      </c>
      <c r="C98" t="s">
        <v>261</v>
      </c>
      <c r="D98">
        <v>6222</v>
      </c>
      <c r="E98">
        <v>6222</v>
      </c>
      <c r="F98">
        <v>6211</v>
      </c>
      <c r="G98">
        <v>6214</v>
      </c>
      <c r="H98">
        <v>31000</v>
      </c>
    </row>
    <row r="99" spans="2:8">
      <c r="B99" t="s">
        <v>587</v>
      </c>
      <c r="C99" t="s">
        <v>262</v>
      </c>
      <c r="D99">
        <v>6214</v>
      </c>
      <c r="E99">
        <v>6215</v>
      </c>
      <c r="F99">
        <v>6210</v>
      </c>
      <c r="G99">
        <v>6211</v>
      </c>
      <c r="H99">
        <v>23300</v>
      </c>
    </row>
    <row r="100" spans="2:8">
      <c r="B100" t="s">
        <v>587</v>
      </c>
      <c r="C100" t="s">
        <v>263</v>
      </c>
      <c r="D100">
        <v>6211</v>
      </c>
      <c r="E100">
        <v>6220</v>
      </c>
      <c r="F100">
        <v>6211</v>
      </c>
      <c r="G100">
        <v>6217</v>
      </c>
      <c r="H100">
        <v>23300</v>
      </c>
    </row>
    <row r="101" spans="2:8">
      <c r="B101" t="s">
        <v>587</v>
      </c>
      <c r="C101" t="s">
        <v>264</v>
      </c>
      <c r="D101">
        <v>6216</v>
      </c>
      <c r="E101">
        <v>6217</v>
      </c>
      <c r="F101">
        <v>6210</v>
      </c>
      <c r="G101">
        <v>6210</v>
      </c>
      <c r="H101">
        <v>14400</v>
      </c>
    </row>
    <row r="102" spans="2:8">
      <c r="B102" t="s">
        <v>587</v>
      </c>
      <c r="C102" t="s">
        <v>265</v>
      </c>
      <c r="D102">
        <v>6210</v>
      </c>
      <c r="E102">
        <v>6220</v>
      </c>
      <c r="F102">
        <v>6210</v>
      </c>
      <c r="G102">
        <v>6218</v>
      </c>
      <c r="H102">
        <v>17900</v>
      </c>
    </row>
    <row r="103" spans="2:8">
      <c r="B103" t="s">
        <v>587</v>
      </c>
      <c r="C103" t="s">
        <v>266</v>
      </c>
      <c r="D103">
        <v>6219</v>
      </c>
      <c r="E103">
        <v>6222</v>
      </c>
      <c r="F103">
        <v>6214</v>
      </c>
      <c r="G103">
        <v>6218</v>
      </c>
      <c r="H103">
        <v>17800</v>
      </c>
    </row>
    <row r="104" spans="2:8">
      <c r="B104" t="s">
        <v>587</v>
      </c>
      <c r="C104" t="s">
        <v>267</v>
      </c>
      <c r="D104">
        <v>6217</v>
      </c>
      <c r="E104">
        <v>6226</v>
      </c>
      <c r="F104">
        <v>6216</v>
      </c>
      <c r="G104">
        <v>6225</v>
      </c>
      <c r="H104">
        <v>18100</v>
      </c>
    </row>
    <row r="105" spans="2:8">
      <c r="B105" t="s">
        <v>587</v>
      </c>
      <c r="C105" t="s">
        <v>268</v>
      </c>
      <c r="D105">
        <v>6225</v>
      </c>
      <c r="E105">
        <v>6237</v>
      </c>
      <c r="F105">
        <v>6225</v>
      </c>
      <c r="G105">
        <v>6234</v>
      </c>
      <c r="H105">
        <v>42000</v>
      </c>
    </row>
    <row r="106" spans="2:8">
      <c r="B106" t="s">
        <v>587</v>
      </c>
      <c r="C106" t="s">
        <v>269</v>
      </c>
      <c r="D106">
        <v>6236</v>
      </c>
      <c r="E106">
        <v>6237</v>
      </c>
      <c r="F106">
        <v>6230</v>
      </c>
      <c r="G106">
        <v>6235</v>
      </c>
      <c r="H106">
        <v>17200</v>
      </c>
    </row>
    <row r="107" spans="2:8">
      <c r="B107" t="s">
        <v>587</v>
      </c>
      <c r="C107" t="s">
        <v>270</v>
      </c>
      <c r="D107">
        <v>6235</v>
      </c>
      <c r="E107">
        <v>6235</v>
      </c>
      <c r="F107">
        <v>6227</v>
      </c>
      <c r="G107">
        <v>6233</v>
      </c>
      <c r="H107">
        <v>33600</v>
      </c>
    </row>
    <row r="108" spans="2:8">
      <c r="B108" t="s">
        <v>587</v>
      </c>
      <c r="C108" t="s">
        <v>271</v>
      </c>
      <c r="D108">
        <v>6233</v>
      </c>
      <c r="E108">
        <v>6233</v>
      </c>
      <c r="F108">
        <v>6226</v>
      </c>
      <c r="G108">
        <v>6231</v>
      </c>
      <c r="H108">
        <v>16700</v>
      </c>
    </row>
    <row r="109" spans="2:8">
      <c r="B109" t="s">
        <v>587</v>
      </c>
      <c r="C109" t="s">
        <v>272</v>
      </c>
      <c r="D109">
        <v>6231</v>
      </c>
      <c r="E109">
        <v>6238</v>
      </c>
      <c r="F109">
        <v>6228</v>
      </c>
      <c r="G109">
        <v>6238</v>
      </c>
      <c r="H109">
        <v>30300</v>
      </c>
    </row>
    <row r="110" spans="2:8">
      <c r="B110" t="s">
        <v>587</v>
      </c>
      <c r="C110" t="s">
        <v>273</v>
      </c>
      <c r="D110">
        <v>6238</v>
      </c>
      <c r="E110">
        <v>6240</v>
      </c>
      <c r="F110">
        <v>6233</v>
      </c>
      <c r="G110">
        <v>6235</v>
      </c>
      <c r="H110">
        <v>32000</v>
      </c>
    </row>
    <row r="111" spans="2:8">
      <c r="B111" t="s">
        <v>587</v>
      </c>
      <c r="C111" t="s">
        <v>274</v>
      </c>
      <c r="D111">
        <v>6235</v>
      </c>
      <c r="E111">
        <v>6246</v>
      </c>
      <c r="F111">
        <v>6235</v>
      </c>
      <c r="G111">
        <v>6244</v>
      </c>
      <c r="H111">
        <v>35300</v>
      </c>
    </row>
    <row r="112" spans="2:8">
      <c r="B112" t="s">
        <v>587</v>
      </c>
      <c r="C112" t="s">
        <v>275</v>
      </c>
      <c r="D112">
        <v>6243</v>
      </c>
      <c r="E112">
        <v>6246</v>
      </c>
      <c r="F112">
        <v>6240</v>
      </c>
      <c r="G112">
        <v>6242</v>
      </c>
      <c r="H112">
        <v>40400</v>
      </c>
    </row>
    <row r="113" spans="2:8">
      <c r="B113" t="s">
        <v>587</v>
      </c>
      <c r="C113" t="s">
        <v>276</v>
      </c>
      <c r="D113">
        <v>6243</v>
      </c>
      <c r="E113">
        <v>6245</v>
      </c>
      <c r="F113">
        <v>6237</v>
      </c>
      <c r="G113">
        <v>6237</v>
      </c>
      <c r="H113">
        <v>32500</v>
      </c>
    </row>
    <row r="114" spans="2:8">
      <c r="B114" t="s">
        <v>587</v>
      </c>
      <c r="C114" t="s">
        <v>277</v>
      </c>
      <c r="D114">
        <v>6238</v>
      </c>
      <c r="E114">
        <v>6242</v>
      </c>
      <c r="F114">
        <v>6237</v>
      </c>
      <c r="G114">
        <v>6239</v>
      </c>
      <c r="H114">
        <v>13500</v>
      </c>
    </row>
    <row r="115" spans="2:8">
      <c r="B115" t="s">
        <v>587</v>
      </c>
      <c r="C115" t="s">
        <v>278</v>
      </c>
      <c r="D115">
        <v>6240</v>
      </c>
      <c r="E115">
        <v>6243</v>
      </c>
      <c r="F115">
        <v>6231</v>
      </c>
      <c r="G115">
        <v>6236</v>
      </c>
      <c r="H115">
        <v>26600</v>
      </c>
    </row>
    <row r="116" spans="2:8">
      <c r="B116" t="s">
        <v>587</v>
      </c>
      <c r="C116" t="s">
        <v>279</v>
      </c>
      <c r="D116">
        <v>6237</v>
      </c>
      <c r="E116">
        <v>6239</v>
      </c>
      <c r="F116">
        <v>6235</v>
      </c>
      <c r="G116">
        <v>6238</v>
      </c>
      <c r="H116">
        <v>16500</v>
      </c>
    </row>
    <row r="117" spans="2:8">
      <c r="B117" t="s">
        <v>587</v>
      </c>
      <c r="C117" t="s">
        <v>280</v>
      </c>
      <c r="D117">
        <v>6237</v>
      </c>
      <c r="E117">
        <v>6238</v>
      </c>
      <c r="F117">
        <v>6232</v>
      </c>
      <c r="G117">
        <v>6234</v>
      </c>
      <c r="H117">
        <v>15300</v>
      </c>
    </row>
    <row r="118" spans="2:8">
      <c r="B118" t="s">
        <v>587</v>
      </c>
      <c r="C118" t="s">
        <v>281</v>
      </c>
      <c r="D118">
        <v>6235</v>
      </c>
      <c r="E118">
        <v>6235</v>
      </c>
      <c r="F118">
        <v>6225</v>
      </c>
      <c r="G118">
        <v>6228</v>
      </c>
      <c r="H118">
        <v>31000</v>
      </c>
    </row>
    <row r="119" spans="2:8">
      <c r="B119" t="s">
        <v>587</v>
      </c>
      <c r="C119" t="s">
        <v>282</v>
      </c>
      <c r="D119">
        <v>6227</v>
      </c>
      <c r="E119">
        <v>6228</v>
      </c>
      <c r="F119">
        <v>6223</v>
      </c>
      <c r="G119">
        <v>6225</v>
      </c>
      <c r="H119">
        <v>17100</v>
      </c>
    </row>
    <row r="120" spans="2:8">
      <c r="B120" t="s">
        <v>587</v>
      </c>
      <c r="C120" t="s">
        <v>283</v>
      </c>
      <c r="D120">
        <v>6224</v>
      </c>
      <c r="E120">
        <v>6244</v>
      </c>
      <c r="F120">
        <v>6221</v>
      </c>
      <c r="G120">
        <v>6244</v>
      </c>
      <c r="H120">
        <v>56300</v>
      </c>
    </row>
    <row r="121" spans="2:8">
      <c r="B121" t="s">
        <v>587</v>
      </c>
      <c r="C121" t="s">
        <v>284</v>
      </c>
      <c r="D121">
        <v>6244</v>
      </c>
      <c r="E121">
        <v>6245</v>
      </c>
      <c r="F121">
        <v>6237</v>
      </c>
      <c r="G121">
        <v>6238</v>
      </c>
      <c r="H121">
        <v>39600</v>
      </c>
    </row>
    <row r="122" spans="2:8">
      <c r="B122" t="s">
        <v>587</v>
      </c>
      <c r="C122" t="s">
        <v>285</v>
      </c>
      <c r="D122">
        <v>6238</v>
      </c>
      <c r="E122">
        <v>6244</v>
      </c>
      <c r="F122">
        <v>6234</v>
      </c>
      <c r="G122">
        <v>6235</v>
      </c>
      <c r="H122">
        <v>39000</v>
      </c>
    </row>
    <row r="123" spans="2:8">
      <c r="B123" t="s">
        <v>587</v>
      </c>
      <c r="C123" t="s">
        <v>286</v>
      </c>
      <c r="D123">
        <v>6236</v>
      </c>
      <c r="E123">
        <v>6239</v>
      </c>
      <c r="F123">
        <v>6225</v>
      </c>
      <c r="G123">
        <v>6236</v>
      </c>
      <c r="H123">
        <v>66300</v>
      </c>
    </row>
    <row r="124" spans="2:8">
      <c r="B124" t="s">
        <v>587</v>
      </c>
      <c r="C124" t="s">
        <v>287</v>
      </c>
      <c r="D124">
        <v>6237</v>
      </c>
      <c r="E124">
        <v>6239</v>
      </c>
      <c r="F124">
        <v>6233</v>
      </c>
      <c r="G124">
        <v>6233</v>
      </c>
      <c r="H124">
        <v>11000</v>
      </c>
    </row>
    <row r="125" spans="2:8">
      <c r="B125" t="s">
        <v>587</v>
      </c>
      <c r="C125" t="s">
        <v>288</v>
      </c>
      <c r="D125">
        <v>6234</v>
      </c>
      <c r="E125">
        <v>6252</v>
      </c>
      <c r="F125">
        <v>6233</v>
      </c>
      <c r="G125">
        <v>6238</v>
      </c>
      <c r="H125">
        <v>125800</v>
      </c>
    </row>
    <row r="126" spans="2:8">
      <c r="B126" t="s">
        <v>587</v>
      </c>
      <c r="C126" t="s">
        <v>289</v>
      </c>
      <c r="D126">
        <v>6236</v>
      </c>
      <c r="E126">
        <v>6238</v>
      </c>
      <c r="F126">
        <v>6225</v>
      </c>
      <c r="G126">
        <v>6238</v>
      </c>
      <c r="H126">
        <v>60800</v>
      </c>
    </row>
    <row r="127" spans="2:8">
      <c r="B127" t="s">
        <v>587</v>
      </c>
      <c r="C127" t="s">
        <v>290</v>
      </c>
      <c r="D127">
        <v>6237</v>
      </c>
      <c r="E127">
        <v>6238</v>
      </c>
      <c r="F127">
        <v>6232</v>
      </c>
      <c r="G127">
        <v>6233</v>
      </c>
      <c r="H127">
        <v>25300</v>
      </c>
    </row>
    <row r="128" spans="2:8">
      <c r="B128" t="s">
        <v>587</v>
      </c>
      <c r="C128" t="s">
        <v>291</v>
      </c>
      <c r="D128">
        <v>6234</v>
      </c>
      <c r="E128">
        <v>6237</v>
      </c>
      <c r="F128">
        <v>6227</v>
      </c>
      <c r="G128">
        <v>6237</v>
      </c>
      <c r="H128">
        <v>22000</v>
      </c>
    </row>
    <row r="129" spans="2:8">
      <c r="B129" t="s">
        <v>587</v>
      </c>
      <c r="C129" t="s">
        <v>292</v>
      </c>
      <c r="D129">
        <v>6237</v>
      </c>
      <c r="E129">
        <v>6239</v>
      </c>
      <c r="F129">
        <v>6234</v>
      </c>
      <c r="G129">
        <v>6237</v>
      </c>
      <c r="H129">
        <v>15400</v>
      </c>
    </row>
    <row r="130" spans="2:8">
      <c r="B130" t="s">
        <v>587</v>
      </c>
      <c r="C130" t="s">
        <v>293</v>
      </c>
      <c r="D130">
        <v>6237</v>
      </c>
      <c r="E130">
        <v>6243</v>
      </c>
      <c r="F130">
        <v>6234</v>
      </c>
      <c r="G130">
        <v>6241</v>
      </c>
      <c r="H130">
        <v>18300</v>
      </c>
    </row>
    <row r="131" spans="2:8">
      <c r="B131" t="s">
        <v>587</v>
      </c>
      <c r="C131" t="s">
        <v>294</v>
      </c>
      <c r="D131">
        <v>6241</v>
      </c>
      <c r="E131">
        <v>6241</v>
      </c>
      <c r="F131">
        <v>6230</v>
      </c>
      <c r="G131">
        <v>6230</v>
      </c>
      <c r="H131">
        <v>21600</v>
      </c>
    </row>
    <row r="132" spans="2:8">
      <c r="B132" t="s">
        <v>587</v>
      </c>
      <c r="C132" t="s">
        <v>295</v>
      </c>
      <c r="D132">
        <v>6231</v>
      </c>
      <c r="E132">
        <v>6234</v>
      </c>
      <c r="F132">
        <v>6220</v>
      </c>
      <c r="G132">
        <v>6221</v>
      </c>
      <c r="H132">
        <v>53000</v>
      </c>
    </row>
    <row r="133" spans="2:8">
      <c r="B133" t="s">
        <v>587</v>
      </c>
      <c r="C133" t="s">
        <v>296</v>
      </c>
      <c r="D133">
        <v>6222</v>
      </c>
      <c r="E133">
        <v>6223</v>
      </c>
      <c r="F133">
        <v>6210</v>
      </c>
      <c r="G133">
        <v>6216</v>
      </c>
      <c r="H133">
        <v>63500</v>
      </c>
    </row>
    <row r="134" spans="2:8">
      <c r="B134" t="s">
        <v>587</v>
      </c>
      <c r="C134" t="s">
        <v>297</v>
      </c>
      <c r="D134">
        <v>6216</v>
      </c>
      <c r="E134">
        <v>6219</v>
      </c>
      <c r="F134">
        <v>6214</v>
      </c>
      <c r="G134">
        <v>6216</v>
      </c>
      <c r="H134">
        <v>28600</v>
      </c>
    </row>
    <row r="135" spans="2:8">
      <c r="B135" t="s">
        <v>587</v>
      </c>
      <c r="C135" t="s">
        <v>298</v>
      </c>
      <c r="D135">
        <v>6216</v>
      </c>
      <c r="E135">
        <v>6221</v>
      </c>
      <c r="F135">
        <v>6212</v>
      </c>
      <c r="G135">
        <v>6213</v>
      </c>
      <c r="H135">
        <v>35100</v>
      </c>
    </row>
    <row r="136" spans="2:8">
      <c r="B136" t="s">
        <v>587</v>
      </c>
      <c r="C136" t="s">
        <v>299</v>
      </c>
      <c r="D136">
        <v>6213</v>
      </c>
      <c r="E136">
        <v>6216</v>
      </c>
      <c r="F136">
        <v>6213</v>
      </c>
      <c r="G136">
        <v>6214</v>
      </c>
      <c r="H136">
        <v>8400</v>
      </c>
    </row>
    <row r="137" spans="2:8">
      <c r="B137" t="s">
        <v>587</v>
      </c>
      <c r="C137" t="s">
        <v>300</v>
      </c>
      <c r="D137">
        <v>6214</v>
      </c>
      <c r="E137">
        <v>6215</v>
      </c>
      <c r="F137">
        <v>6213</v>
      </c>
      <c r="G137">
        <v>6213</v>
      </c>
      <c r="H137">
        <v>7100</v>
      </c>
    </row>
    <row r="138" spans="2:8">
      <c r="B138" t="s">
        <v>587</v>
      </c>
      <c r="C138" t="s">
        <v>301</v>
      </c>
      <c r="D138">
        <v>6214</v>
      </c>
      <c r="E138">
        <v>6222</v>
      </c>
      <c r="F138">
        <v>6208</v>
      </c>
      <c r="G138">
        <v>6219</v>
      </c>
      <c r="H138">
        <v>53200</v>
      </c>
    </row>
    <row r="139" spans="2:8">
      <c r="B139" t="s">
        <v>587</v>
      </c>
      <c r="C139" t="s">
        <v>302</v>
      </c>
      <c r="D139">
        <v>6220</v>
      </c>
      <c r="E139">
        <v>6220</v>
      </c>
      <c r="F139">
        <v>6212</v>
      </c>
      <c r="G139">
        <v>6214</v>
      </c>
      <c r="H139">
        <v>12300</v>
      </c>
    </row>
    <row r="140" spans="2:8">
      <c r="B140" t="s">
        <v>587</v>
      </c>
      <c r="C140" t="s">
        <v>303</v>
      </c>
      <c r="D140">
        <v>6214</v>
      </c>
      <c r="E140">
        <v>6214</v>
      </c>
      <c r="F140">
        <v>6208</v>
      </c>
      <c r="G140">
        <v>6210</v>
      </c>
      <c r="H140">
        <v>14600</v>
      </c>
    </row>
    <row r="141" spans="2:8">
      <c r="B141" t="s">
        <v>587</v>
      </c>
      <c r="C141" t="s">
        <v>304</v>
      </c>
      <c r="D141">
        <v>6211</v>
      </c>
      <c r="E141">
        <v>6213</v>
      </c>
      <c r="F141">
        <v>6209</v>
      </c>
      <c r="G141">
        <v>6212</v>
      </c>
      <c r="H141">
        <v>9300</v>
      </c>
    </row>
    <row r="142" spans="2:8">
      <c r="B142" t="s">
        <v>587</v>
      </c>
      <c r="C142" t="s">
        <v>305</v>
      </c>
      <c r="D142">
        <v>6213</v>
      </c>
      <c r="E142">
        <v>6220</v>
      </c>
      <c r="F142">
        <v>6212</v>
      </c>
      <c r="G142">
        <v>6217</v>
      </c>
      <c r="H142">
        <v>26600</v>
      </c>
    </row>
    <row r="143" spans="2:8">
      <c r="B143" t="s">
        <v>587</v>
      </c>
      <c r="C143" t="s">
        <v>306</v>
      </c>
      <c r="D143">
        <v>6218</v>
      </c>
      <c r="E143">
        <v>6218</v>
      </c>
      <c r="F143">
        <v>6214</v>
      </c>
      <c r="G143">
        <v>6217</v>
      </c>
      <c r="H143">
        <v>10900</v>
      </c>
    </row>
    <row r="144" spans="2:8">
      <c r="B144" t="s">
        <v>587</v>
      </c>
      <c r="C144" t="s">
        <v>307</v>
      </c>
      <c r="D144">
        <v>6216</v>
      </c>
      <c r="E144">
        <v>6220</v>
      </c>
      <c r="F144">
        <v>6215</v>
      </c>
      <c r="G144">
        <v>6218</v>
      </c>
      <c r="H144">
        <v>10400</v>
      </c>
    </row>
    <row r="145" spans="2:8">
      <c r="B145" t="s">
        <v>587</v>
      </c>
      <c r="C145" t="s">
        <v>308</v>
      </c>
      <c r="D145">
        <v>6217</v>
      </c>
      <c r="E145">
        <v>6219</v>
      </c>
      <c r="F145">
        <v>6216</v>
      </c>
      <c r="G145">
        <v>6219</v>
      </c>
      <c r="H145">
        <v>14100</v>
      </c>
    </row>
    <row r="146" spans="2:8">
      <c r="B146" t="s">
        <v>587</v>
      </c>
      <c r="C146" t="s">
        <v>309</v>
      </c>
      <c r="D146">
        <v>6216</v>
      </c>
      <c r="E146">
        <v>6216</v>
      </c>
      <c r="F146">
        <v>6191</v>
      </c>
      <c r="G146">
        <v>6197</v>
      </c>
      <c r="H146">
        <v>114500</v>
      </c>
    </row>
    <row r="147" spans="2:8">
      <c r="B147" t="s">
        <v>587</v>
      </c>
      <c r="C147" t="s">
        <v>310</v>
      </c>
      <c r="D147">
        <v>6197</v>
      </c>
      <c r="E147">
        <v>6200</v>
      </c>
      <c r="F147">
        <v>6195</v>
      </c>
      <c r="G147">
        <v>6198</v>
      </c>
      <c r="H147">
        <v>29200</v>
      </c>
    </row>
    <row r="148" spans="2:8">
      <c r="B148" t="s">
        <v>587</v>
      </c>
      <c r="C148" t="s">
        <v>311</v>
      </c>
      <c r="D148">
        <v>6197</v>
      </c>
      <c r="E148">
        <v>6200</v>
      </c>
      <c r="F148">
        <v>6196</v>
      </c>
      <c r="G148">
        <v>6197</v>
      </c>
      <c r="H148">
        <v>15600</v>
      </c>
    </row>
    <row r="149" spans="2:8">
      <c r="B149" t="s">
        <v>587</v>
      </c>
      <c r="C149" t="s">
        <v>312</v>
      </c>
      <c r="D149">
        <v>6196</v>
      </c>
      <c r="E149">
        <v>6212</v>
      </c>
      <c r="F149">
        <v>6193</v>
      </c>
      <c r="G149">
        <v>6212</v>
      </c>
      <c r="H149">
        <v>96800</v>
      </c>
    </row>
    <row r="150" spans="2:8">
      <c r="B150" t="s">
        <v>587</v>
      </c>
      <c r="C150" t="s">
        <v>313</v>
      </c>
      <c r="D150">
        <v>6212</v>
      </c>
      <c r="E150">
        <v>6212</v>
      </c>
      <c r="F150">
        <v>6205</v>
      </c>
      <c r="G150">
        <v>6210</v>
      </c>
      <c r="H150">
        <v>18400</v>
      </c>
    </row>
    <row r="151" spans="2:8">
      <c r="B151" t="s">
        <v>587</v>
      </c>
      <c r="C151" t="s">
        <v>314</v>
      </c>
      <c r="D151">
        <v>6209</v>
      </c>
      <c r="E151">
        <v>6210</v>
      </c>
      <c r="F151">
        <v>6206</v>
      </c>
      <c r="G151">
        <v>6207</v>
      </c>
      <c r="H151">
        <v>11500</v>
      </c>
    </row>
    <row r="152" spans="2:8">
      <c r="B152" t="s">
        <v>587</v>
      </c>
      <c r="C152" t="s">
        <v>315</v>
      </c>
      <c r="D152">
        <v>6207</v>
      </c>
      <c r="E152">
        <v>6211</v>
      </c>
      <c r="F152">
        <v>6204</v>
      </c>
      <c r="G152">
        <v>6207</v>
      </c>
      <c r="H152">
        <v>19300</v>
      </c>
    </row>
    <row r="153" spans="2:8">
      <c r="B153" t="s">
        <v>587</v>
      </c>
      <c r="C153" t="s">
        <v>316</v>
      </c>
      <c r="D153">
        <v>6206</v>
      </c>
      <c r="E153">
        <v>6206</v>
      </c>
      <c r="F153">
        <v>6206</v>
      </c>
      <c r="G153">
        <v>6206</v>
      </c>
      <c r="H153">
        <v>8900</v>
      </c>
    </row>
    <row r="154" spans="2:8">
      <c r="B154" t="s">
        <v>587</v>
      </c>
      <c r="C154" t="s">
        <v>317</v>
      </c>
      <c r="D154">
        <v>6209</v>
      </c>
      <c r="E154">
        <v>6222</v>
      </c>
      <c r="F154">
        <v>6209</v>
      </c>
      <c r="G154">
        <v>6213</v>
      </c>
      <c r="H154">
        <v>67800</v>
      </c>
    </row>
    <row r="155" spans="2:8">
      <c r="B155" t="s">
        <v>587</v>
      </c>
      <c r="C155" t="s">
        <v>318</v>
      </c>
      <c r="D155">
        <v>6212</v>
      </c>
      <c r="E155">
        <v>6217</v>
      </c>
      <c r="F155">
        <v>6211</v>
      </c>
      <c r="G155">
        <v>6211</v>
      </c>
      <c r="H155">
        <v>19300</v>
      </c>
    </row>
    <row r="156" spans="2:8">
      <c r="B156" t="s">
        <v>587</v>
      </c>
      <c r="C156" t="s">
        <v>319</v>
      </c>
      <c r="D156">
        <v>6210</v>
      </c>
      <c r="E156">
        <v>6210</v>
      </c>
      <c r="F156">
        <v>6201</v>
      </c>
      <c r="G156">
        <v>6201</v>
      </c>
      <c r="H156">
        <v>38100</v>
      </c>
    </row>
    <row r="157" spans="2:8">
      <c r="B157" t="s">
        <v>587</v>
      </c>
      <c r="C157" t="s">
        <v>320</v>
      </c>
      <c r="D157">
        <v>6202</v>
      </c>
      <c r="E157">
        <v>6209</v>
      </c>
      <c r="F157">
        <v>6202</v>
      </c>
      <c r="G157">
        <v>6205</v>
      </c>
      <c r="H157">
        <v>22400</v>
      </c>
    </row>
    <row r="158" spans="2:8">
      <c r="B158" t="s">
        <v>587</v>
      </c>
      <c r="C158" t="s">
        <v>321</v>
      </c>
      <c r="D158">
        <v>6205</v>
      </c>
      <c r="E158">
        <v>6205</v>
      </c>
      <c r="F158">
        <v>6200</v>
      </c>
      <c r="G158">
        <v>6201</v>
      </c>
      <c r="H158">
        <v>22000</v>
      </c>
    </row>
    <row r="159" spans="2:8">
      <c r="B159" t="s">
        <v>587</v>
      </c>
      <c r="C159" t="s">
        <v>322</v>
      </c>
      <c r="D159">
        <v>6201</v>
      </c>
      <c r="E159">
        <v>6201</v>
      </c>
      <c r="F159">
        <v>6192</v>
      </c>
      <c r="G159">
        <v>6192</v>
      </c>
      <c r="H159">
        <v>56700</v>
      </c>
    </row>
    <row r="160" spans="2:8">
      <c r="B160" t="s">
        <v>587</v>
      </c>
      <c r="C160" t="s">
        <v>323</v>
      </c>
      <c r="D160">
        <v>6192</v>
      </c>
      <c r="E160">
        <v>6194</v>
      </c>
      <c r="F160">
        <v>6183</v>
      </c>
      <c r="G160">
        <v>6184</v>
      </c>
      <c r="H160">
        <v>87200</v>
      </c>
    </row>
    <row r="161" spans="2:8">
      <c r="B161" t="s">
        <v>587</v>
      </c>
      <c r="C161" t="s">
        <v>324</v>
      </c>
      <c r="D161">
        <v>6183</v>
      </c>
      <c r="E161">
        <v>6192</v>
      </c>
      <c r="F161">
        <v>6183</v>
      </c>
      <c r="G161">
        <v>6191</v>
      </c>
      <c r="H161">
        <v>35600</v>
      </c>
    </row>
    <row r="162" spans="2:8">
      <c r="B162" t="s">
        <v>587</v>
      </c>
      <c r="C162" t="s">
        <v>325</v>
      </c>
      <c r="D162">
        <v>6191</v>
      </c>
      <c r="E162">
        <v>6201</v>
      </c>
      <c r="F162">
        <v>6190</v>
      </c>
      <c r="G162">
        <v>6200</v>
      </c>
      <c r="H162">
        <v>42300</v>
      </c>
    </row>
    <row r="163" spans="2:8">
      <c r="B163" t="s">
        <v>587</v>
      </c>
      <c r="C163" t="s">
        <v>326</v>
      </c>
      <c r="D163">
        <v>6201</v>
      </c>
      <c r="E163">
        <v>6201</v>
      </c>
      <c r="F163">
        <v>6196</v>
      </c>
      <c r="G163">
        <v>6198</v>
      </c>
      <c r="H163">
        <v>39600</v>
      </c>
    </row>
    <row r="164" spans="2:8">
      <c r="B164" t="s">
        <v>587</v>
      </c>
      <c r="C164" t="s">
        <v>327</v>
      </c>
      <c r="D164">
        <v>6198</v>
      </c>
      <c r="E164">
        <v>6205</v>
      </c>
      <c r="F164">
        <v>6198</v>
      </c>
      <c r="G164">
        <v>6203</v>
      </c>
      <c r="H164">
        <v>24800</v>
      </c>
    </row>
    <row r="165" spans="2:8">
      <c r="B165" t="s">
        <v>587</v>
      </c>
      <c r="C165" t="s">
        <v>328</v>
      </c>
      <c r="D165">
        <v>6203</v>
      </c>
      <c r="E165">
        <v>6205</v>
      </c>
      <c r="F165">
        <v>6200</v>
      </c>
      <c r="G165">
        <v>6204</v>
      </c>
      <c r="H165">
        <v>24300</v>
      </c>
    </row>
    <row r="166" spans="2:8">
      <c r="B166" t="s">
        <v>587</v>
      </c>
      <c r="C166" t="s">
        <v>329</v>
      </c>
      <c r="D166">
        <v>6204</v>
      </c>
      <c r="E166">
        <v>6213</v>
      </c>
      <c r="F166">
        <v>6203</v>
      </c>
      <c r="G166">
        <v>6211</v>
      </c>
      <c r="H166">
        <v>32700</v>
      </c>
    </row>
    <row r="167" spans="2:8">
      <c r="B167" t="s">
        <v>587</v>
      </c>
      <c r="C167" t="s">
        <v>330</v>
      </c>
      <c r="D167">
        <v>6211</v>
      </c>
      <c r="E167">
        <v>6211</v>
      </c>
      <c r="F167">
        <v>6199</v>
      </c>
      <c r="G167">
        <v>6200</v>
      </c>
      <c r="H167">
        <v>27000</v>
      </c>
    </row>
    <row r="168" spans="2:8">
      <c r="B168" t="s">
        <v>587</v>
      </c>
      <c r="C168" t="s">
        <v>331</v>
      </c>
      <c r="D168">
        <v>6200</v>
      </c>
      <c r="E168">
        <v>6201</v>
      </c>
      <c r="F168">
        <v>6199</v>
      </c>
      <c r="G168">
        <v>6201</v>
      </c>
      <c r="H168">
        <v>8700</v>
      </c>
    </row>
    <row r="169" spans="2:8">
      <c r="B169" t="s">
        <v>587</v>
      </c>
      <c r="C169" t="s">
        <v>332</v>
      </c>
      <c r="D169">
        <v>6201</v>
      </c>
      <c r="E169">
        <v>6201</v>
      </c>
      <c r="F169">
        <v>6195</v>
      </c>
      <c r="G169">
        <v>6198</v>
      </c>
      <c r="H169">
        <v>22500</v>
      </c>
    </row>
    <row r="170" spans="2:8">
      <c r="B170" t="s">
        <v>587</v>
      </c>
      <c r="C170" t="s">
        <v>333</v>
      </c>
      <c r="D170">
        <v>6198</v>
      </c>
      <c r="E170">
        <v>6200</v>
      </c>
      <c r="F170">
        <v>6196</v>
      </c>
      <c r="G170">
        <v>6197</v>
      </c>
      <c r="H170">
        <v>10100</v>
      </c>
    </row>
    <row r="171" spans="2:8">
      <c r="B171" t="s">
        <v>587</v>
      </c>
      <c r="C171" t="s">
        <v>334</v>
      </c>
      <c r="D171">
        <v>6198</v>
      </c>
      <c r="E171">
        <v>6199</v>
      </c>
      <c r="F171">
        <v>6196</v>
      </c>
      <c r="G171">
        <v>6197</v>
      </c>
      <c r="H171">
        <v>8200</v>
      </c>
    </row>
    <row r="172" spans="2:8">
      <c r="B172" t="s">
        <v>587</v>
      </c>
      <c r="C172" t="s">
        <v>335</v>
      </c>
      <c r="D172">
        <v>6197</v>
      </c>
      <c r="E172">
        <v>6200</v>
      </c>
      <c r="F172">
        <v>6192</v>
      </c>
      <c r="G172">
        <v>6195</v>
      </c>
      <c r="H172">
        <v>27300</v>
      </c>
    </row>
    <row r="173" spans="2:8">
      <c r="B173" t="s">
        <v>587</v>
      </c>
      <c r="C173" t="s">
        <v>336</v>
      </c>
      <c r="D173">
        <v>6195</v>
      </c>
      <c r="E173">
        <v>6197</v>
      </c>
      <c r="F173">
        <v>6194</v>
      </c>
      <c r="G173">
        <v>6197</v>
      </c>
      <c r="H173">
        <v>12900</v>
      </c>
    </row>
    <row r="174" spans="2:8">
      <c r="B174" t="s">
        <v>587</v>
      </c>
      <c r="C174" t="s">
        <v>337</v>
      </c>
      <c r="D174">
        <v>6196</v>
      </c>
      <c r="E174">
        <v>6196</v>
      </c>
      <c r="F174">
        <v>6190</v>
      </c>
      <c r="G174">
        <v>6194</v>
      </c>
      <c r="H174">
        <v>14900</v>
      </c>
    </row>
    <row r="175" spans="2:8">
      <c r="B175" t="s">
        <v>587</v>
      </c>
      <c r="C175" t="s">
        <v>338</v>
      </c>
      <c r="D175">
        <v>6194</v>
      </c>
      <c r="E175">
        <v>6198</v>
      </c>
      <c r="F175">
        <v>6192</v>
      </c>
      <c r="G175">
        <v>6198</v>
      </c>
      <c r="H175">
        <v>25500</v>
      </c>
    </row>
    <row r="176" spans="2:8">
      <c r="B176" t="s">
        <v>587</v>
      </c>
      <c r="C176" t="s">
        <v>339</v>
      </c>
      <c r="D176">
        <v>6197</v>
      </c>
      <c r="E176">
        <v>6202</v>
      </c>
      <c r="F176">
        <v>6197</v>
      </c>
      <c r="G176">
        <v>6202</v>
      </c>
      <c r="H176">
        <v>25300</v>
      </c>
    </row>
    <row r="177" spans="2:8">
      <c r="B177" t="s">
        <v>587</v>
      </c>
      <c r="C177" t="s">
        <v>340</v>
      </c>
      <c r="D177">
        <v>6201</v>
      </c>
      <c r="E177">
        <v>6206</v>
      </c>
      <c r="F177">
        <v>6198</v>
      </c>
      <c r="G177">
        <v>6205</v>
      </c>
      <c r="H177">
        <v>19800</v>
      </c>
    </row>
    <row r="178" spans="2:8">
      <c r="B178" t="s">
        <v>587</v>
      </c>
      <c r="C178" t="s">
        <v>341</v>
      </c>
      <c r="D178">
        <v>6205</v>
      </c>
      <c r="E178">
        <v>6206</v>
      </c>
      <c r="F178">
        <v>6202</v>
      </c>
      <c r="G178">
        <v>6204</v>
      </c>
      <c r="H178">
        <v>10800</v>
      </c>
    </row>
    <row r="179" spans="2:8">
      <c r="B179" t="s">
        <v>587</v>
      </c>
      <c r="C179" t="s">
        <v>342</v>
      </c>
      <c r="D179">
        <v>6204</v>
      </c>
      <c r="E179">
        <v>6205</v>
      </c>
      <c r="F179">
        <v>6203</v>
      </c>
      <c r="G179">
        <v>6204</v>
      </c>
      <c r="H179">
        <v>7400</v>
      </c>
    </row>
    <row r="180" spans="2:8">
      <c r="B180" t="s">
        <v>587</v>
      </c>
      <c r="C180" t="s">
        <v>343</v>
      </c>
      <c r="D180">
        <v>6204</v>
      </c>
      <c r="E180">
        <v>6209</v>
      </c>
      <c r="F180">
        <v>6203</v>
      </c>
      <c r="G180">
        <v>6207</v>
      </c>
      <c r="H180">
        <v>23600</v>
      </c>
    </row>
    <row r="181" spans="2:8">
      <c r="B181" t="s">
        <v>587</v>
      </c>
      <c r="C181" t="s">
        <v>344</v>
      </c>
      <c r="D181">
        <v>6206</v>
      </c>
      <c r="E181">
        <v>6209</v>
      </c>
      <c r="F181">
        <v>6204</v>
      </c>
      <c r="G181">
        <v>6208</v>
      </c>
      <c r="H181">
        <v>14500</v>
      </c>
    </row>
    <row r="182" spans="2:8">
      <c r="B182" t="s">
        <v>587</v>
      </c>
      <c r="C182" t="s">
        <v>345</v>
      </c>
      <c r="D182">
        <v>6208</v>
      </c>
      <c r="E182">
        <v>6211</v>
      </c>
      <c r="F182">
        <v>6206</v>
      </c>
      <c r="G182">
        <v>6211</v>
      </c>
      <c r="H182">
        <v>19800</v>
      </c>
    </row>
    <row r="183" spans="2:8">
      <c r="B183" t="s">
        <v>587</v>
      </c>
      <c r="C183" t="s">
        <v>346</v>
      </c>
      <c r="D183">
        <v>6211</v>
      </c>
      <c r="E183">
        <v>6212</v>
      </c>
      <c r="F183">
        <v>6207</v>
      </c>
      <c r="G183">
        <v>6209</v>
      </c>
      <c r="H183">
        <v>16600</v>
      </c>
    </row>
    <row r="184" spans="2:8">
      <c r="B184" t="s">
        <v>587</v>
      </c>
      <c r="C184" t="s">
        <v>347</v>
      </c>
      <c r="D184">
        <v>6209</v>
      </c>
      <c r="E184">
        <v>6213</v>
      </c>
      <c r="F184">
        <v>6206</v>
      </c>
      <c r="G184">
        <v>6208</v>
      </c>
      <c r="H184">
        <v>30400</v>
      </c>
    </row>
    <row r="185" spans="2:8">
      <c r="B185" t="s">
        <v>587</v>
      </c>
      <c r="C185" t="s">
        <v>348</v>
      </c>
      <c r="D185">
        <v>6208</v>
      </c>
      <c r="E185">
        <v>6213</v>
      </c>
      <c r="F185">
        <v>6208</v>
      </c>
      <c r="G185">
        <v>6210</v>
      </c>
      <c r="H185">
        <v>15000</v>
      </c>
    </row>
    <row r="186" spans="2:8">
      <c r="B186" t="s">
        <v>587</v>
      </c>
      <c r="C186" t="s">
        <v>349</v>
      </c>
      <c r="D186">
        <v>6210</v>
      </c>
      <c r="E186">
        <v>6213</v>
      </c>
      <c r="F186">
        <v>6209</v>
      </c>
      <c r="G186">
        <v>6213</v>
      </c>
      <c r="H186">
        <v>15200</v>
      </c>
    </row>
    <row r="187" spans="2:8">
      <c r="B187" t="s">
        <v>587</v>
      </c>
      <c r="C187" t="s">
        <v>350</v>
      </c>
      <c r="D187">
        <v>6213</v>
      </c>
      <c r="E187">
        <v>6216</v>
      </c>
      <c r="F187">
        <v>6213</v>
      </c>
      <c r="G187">
        <v>6214</v>
      </c>
      <c r="H187">
        <v>20500</v>
      </c>
    </row>
    <row r="188" spans="2:8">
      <c r="B188" t="s">
        <v>587</v>
      </c>
      <c r="C188" t="s">
        <v>351</v>
      </c>
      <c r="D188">
        <v>6214</v>
      </c>
      <c r="E188">
        <v>6215</v>
      </c>
      <c r="F188">
        <v>6205</v>
      </c>
      <c r="G188">
        <v>6209</v>
      </c>
      <c r="H188">
        <v>24900</v>
      </c>
    </row>
    <row r="189" spans="2:8">
      <c r="B189" t="s">
        <v>587</v>
      </c>
      <c r="C189" t="s">
        <v>352</v>
      </c>
      <c r="D189">
        <v>6209</v>
      </c>
      <c r="E189">
        <v>6209</v>
      </c>
      <c r="F189">
        <v>6206</v>
      </c>
      <c r="G189">
        <v>6208</v>
      </c>
      <c r="H189">
        <v>11100</v>
      </c>
    </row>
    <row r="190" spans="2:8">
      <c r="B190" t="s">
        <v>587</v>
      </c>
      <c r="C190" t="s">
        <v>353</v>
      </c>
      <c r="D190">
        <v>6208</v>
      </c>
      <c r="E190">
        <v>6208</v>
      </c>
      <c r="F190">
        <v>6202</v>
      </c>
      <c r="G190">
        <v>6206</v>
      </c>
      <c r="H190">
        <v>15200</v>
      </c>
    </row>
    <row r="191" spans="2:8">
      <c r="B191" t="s">
        <v>587</v>
      </c>
      <c r="C191" t="s">
        <v>354</v>
      </c>
      <c r="D191">
        <v>6206</v>
      </c>
      <c r="E191">
        <v>6207</v>
      </c>
      <c r="F191">
        <v>6203</v>
      </c>
      <c r="G191">
        <v>6204</v>
      </c>
      <c r="H191">
        <v>7200</v>
      </c>
    </row>
    <row r="192" spans="2:8">
      <c r="B192" t="s">
        <v>587</v>
      </c>
      <c r="C192" t="s">
        <v>355</v>
      </c>
      <c r="D192">
        <v>6205</v>
      </c>
      <c r="E192">
        <v>6206</v>
      </c>
      <c r="F192">
        <v>6203</v>
      </c>
      <c r="G192">
        <v>6204</v>
      </c>
      <c r="H192">
        <v>7600</v>
      </c>
    </row>
    <row r="193" spans="2:8">
      <c r="B193" t="s">
        <v>587</v>
      </c>
      <c r="C193" t="s">
        <v>356</v>
      </c>
      <c r="D193">
        <v>6204</v>
      </c>
      <c r="E193">
        <v>6204</v>
      </c>
      <c r="F193">
        <v>6192</v>
      </c>
      <c r="G193">
        <v>6202</v>
      </c>
      <c r="H193">
        <v>60200</v>
      </c>
    </row>
    <row r="194" spans="2:8">
      <c r="B194" t="s">
        <v>587</v>
      </c>
      <c r="C194" t="s">
        <v>357</v>
      </c>
      <c r="D194">
        <v>6201</v>
      </c>
      <c r="E194">
        <v>6202</v>
      </c>
      <c r="F194">
        <v>6196</v>
      </c>
      <c r="G194">
        <v>6201</v>
      </c>
      <c r="H194">
        <v>29000</v>
      </c>
    </row>
    <row r="195" spans="2:8">
      <c r="B195" t="s">
        <v>587</v>
      </c>
      <c r="C195" t="s">
        <v>358</v>
      </c>
      <c r="D195">
        <v>6202</v>
      </c>
      <c r="E195">
        <v>6206</v>
      </c>
      <c r="F195">
        <v>6201</v>
      </c>
      <c r="G195">
        <v>6206</v>
      </c>
      <c r="H195">
        <v>14700</v>
      </c>
    </row>
    <row r="196" spans="2:8">
      <c r="B196" t="s">
        <v>587</v>
      </c>
      <c r="C196" t="s">
        <v>359</v>
      </c>
      <c r="D196">
        <v>6207</v>
      </c>
      <c r="E196">
        <v>6207</v>
      </c>
      <c r="F196">
        <v>6204</v>
      </c>
      <c r="G196">
        <v>6207</v>
      </c>
      <c r="H196">
        <v>10900</v>
      </c>
    </row>
    <row r="197" spans="2:8">
      <c r="B197" t="s">
        <v>587</v>
      </c>
      <c r="C197" t="s">
        <v>360</v>
      </c>
      <c r="D197">
        <v>6206</v>
      </c>
      <c r="E197">
        <v>6207</v>
      </c>
      <c r="F197">
        <v>6201</v>
      </c>
      <c r="G197">
        <v>6205</v>
      </c>
      <c r="H197">
        <v>20900</v>
      </c>
    </row>
    <row r="198" spans="2:8">
      <c r="B198" t="s">
        <v>587</v>
      </c>
      <c r="C198" t="s">
        <v>361</v>
      </c>
      <c r="D198">
        <v>6205</v>
      </c>
      <c r="E198">
        <v>6205</v>
      </c>
      <c r="F198">
        <v>6198</v>
      </c>
      <c r="G198">
        <v>6199</v>
      </c>
      <c r="H198">
        <v>18400</v>
      </c>
    </row>
    <row r="199" spans="2:8">
      <c r="B199" t="s">
        <v>587</v>
      </c>
      <c r="C199" t="s">
        <v>362</v>
      </c>
      <c r="D199">
        <v>6199</v>
      </c>
      <c r="E199">
        <v>6202</v>
      </c>
      <c r="F199">
        <v>6199</v>
      </c>
      <c r="G199">
        <v>6201</v>
      </c>
      <c r="H199">
        <v>7400</v>
      </c>
    </row>
    <row r="200" spans="2:8">
      <c r="B200" t="s">
        <v>587</v>
      </c>
      <c r="C200" t="s">
        <v>363</v>
      </c>
      <c r="D200">
        <v>6200</v>
      </c>
      <c r="E200">
        <v>6202</v>
      </c>
      <c r="F200">
        <v>6200</v>
      </c>
      <c r="G200">
        <v>6202</v>
      </c>
      <c r="H200">
        <v>6800</v>
      </c>
    </row>
    <row r="201" spans="2:8">
      <c r="B201" t="s">
        <v>587</v>
      </c>
      <c r="C201" t="s">
        <v>364</v>
      </c>
      <c r="D201">
        <v>6202</v>
      </c>
      <c r="E201">
        <v>6202</v>
      </c>
      <c r="F201">
        <v>6200</v>
      </c>
      <c r="G201">
        <v>6202</v>
      </c>
      <c r="H201">
        <v>9000</v>
      </c>
    </row>
    <row r="202" spans="2:8">
      <c r="B202" t="s">
        <v>587</v>
      </c>
      <c r="C202" t="s">
        <v>365</v>
      </c>
      <c r="D202">
        <v>6201</v>
      </c>
      <c r="E202">
        <v>6212</v>
      </c>
      <c r="F202">
        <v>6201</v>
      </c>
      <c r="G202">
        <v>6210</v>
      </c>
      <c r="H202">
        <v>49600</v>
      </c>
    </row>
    <row r="203" spans="2:8">
      <c r="B203" t="s">
        <v>587</v>
      </c>
      <c r="C203" t="s">
        <v>366</v>
      </c>
      <c r="D203">
        <v>6210</v>
      </c>
      <c r="E203">
        <v>6214</v>
      </c>
      <c r="F203">
        <v>6208</v>
      </c>
      <c r="G203">
        <v>6213</v>
      </c>
      <c r="H203">
        <v>20200</v>
      </c>
    </row>
    <row r="204" spans="2:8">
      <c r="B204" t="s">
        <v>587</v>
      </c>
      <c r="C204" t="s">
        <v>367</v>
      </c>
      <c r="D204">
        <v>6213</v>
      </c>
      <c r="E204">
        <v>6214</v>
      </c>
      <c r="F204">
        <v>6210</v>
      </c>
      <c r="G204">
        <v>6211</v>
      </c>
      <c r="H204">
        <v>13300</v>
      </c>
    </row>
    <row r="205" spans="2:8">
      <c r="B205" t="s">
        <v>587</v>
      </c>
      <c r="C205" t="s">
        <v>368</v>
      </c>
      <c r="D205">
        <v>6211</v>
      </c>
      <c r="E205">
        <v>6212</v>
      </c>
      <c r="F205">
        <v>6208</v>
      </c>
      <c r="G205">
        <v>6211</v>
      </c>
      <c r="H205">
        <v>17700</v>
      </c>
    </row>
    <row r="206" spans="2:8">
      <c r="B206" t="s">
        <v>587</v>
      </c>
      <c r="C206" t="s">
        <v>369</v>
      </c>
      <c r="D206">
        <v>6211</v>
      </c>
      <c r="E206">
        <v>6213</v>
      </c>
      <c r="F206">
        <v>6208</v>
      </c>
      <c r="G206">
        <v>6212</v>
      </c>
      <c r="H206">
        <v>19000</v>
      </c>
    </row>
    <row r="207" spans="2:8">
      <c r="B207" t="s">
        <v>587</v>
      </c>
      <c r="C207" t="s">
        <v>370</v>
      </c>
      <c r="D207">
        <v>6211</v>
      </c>
      <c r="E207">
        <v>6211</v>
      </c>
      <c r="F207">
        <v>6208</v>
      </c>
      <c r="G207">
        <v>6209</v>
      </c>
      <c r="H207">
        <v>4300</v>
      </c>
    </row>
    <row r="208" spans="2:8">
      <c r="B208" t="s">
        <v>587</v>
      </c>
      <c r="C208" t="s">
        <v>371</v>
      </c>
      <c r="D208">
        <v>6210</v>
      </c>
      <c r="E208">
        <v>6212</v>
      </c>
      <c r="F208">
        <v>6209</v>
      </c>
      <c r="G208">
        <v>6212</v>
      </c>
      <c r="H208">
        <v>6800</v>
      </c>
    </row>
    <row r="209" spans="2:8">
      <c r="B209" t="s">
        <v>587</v>
      </c>
      <c r="C209" t="s">
        <v>372</v>
      </c>
      <c r="D209">
        <v>6212</v>
      </c>
      <c r="E209">
        <v>6213</v>
      </c>
      <c r="F209">
        <v>6210</v>
      </c>
      <c r="G209">
        <v>6212</v>
      </c>
      <c r="H209">
        <v>19700</v>
      </c>
    </row>
    <row r="210" spans="2:8">
      <c r="B210" t="s">
        <v>587</v>
      </c>
      <c r="C210" t="s">
        <v>373</v>
      </c>
      <c r="D210">
        <v>6212</v>
      </c>
      <c r="E210">
        <v>6213</v>
      </c>
      <c r="F210">
        <v>6210</v>
      </c>
      <c r="G210">
        <v>6213</v>
      </c>
      <c r="H210">
        <v>12800</v>
      </c>
    </row>
    <row r="211" spans="2:8">
      <c r="B211" t="s">
        <v>587</v>
      </c>
      <c r="C211" t="s">
        <v>374</v>
      </c>
      <c r="D211">
        <v>6213</v>
      </c>
      <c r="E211">
        <v>6213</v>
      </c>
      <c r="F211">
        <v>6208</v>
      </c>
      <c r="G211">
        <v>6212</v>
      </c>
      <c r="H211">
        <v>9600</v>
      </c>
    </row>
    <row r="212" spans="2:8">
      <c r="B212" t="s">
        <v>587</v>
      </c>
      <c r="C212" t="s">
        <v>375</v>
      </c>
      <c r="D212">
        <v>6212</v>
      </c>
      <c r="E212">
        <v>6215</v>
      </c>
      <c r="F212">
        <v>6208</v>
      </c>
      <c r="G212">
        <v>6208</v>
      </c>
      <c r="H212">
        <v>28100</v>
      </c>
    </row>
    <row r="213" spans="2:8">
      <c r="B213" t="s">
        <v>587</v>
      </c>
      <c r="C213" t="s">
        <v>376</v>
      </c>
      <c r="D213">
        <v>6208</v>
      </c>
      <c r="E213">
        <v>6210</v>
      </c>
      <c r="F213">
        <v>6207</v>
      </c>
      <c r="G213">
        <v>6209</v>
      </c>
      <c r="H213">
        <v>31100</v>
      </c>
    </row>
    <row r="214" spans="2:8">
      <c r="B214" t="s">
        <v>587</v>
      </c>
      <c r="C214" t="s">
        <v>377</v>
      </c>
      <c r="D214">
        <v>6210</v>
      </c>
      <c r="E214">
        <v>6211</v>
      </c>
      <c r="F214">
        <v>6202</v>
      </c>
      <c r="G214">
        <v>6203</v>
      </c>
      <c r="H214">
        <v>23300</v>
      </c>
    </row>
    <row r="215" spans="2:8">
      <c r="B215" t="s">
        <v>587</v>
      </c>
      <c r="C215" t="s">
        <v>378</v>
      </c>
      <c r="D215">
        <v>6203</v>
      </c>
      <c r="E215">
        <v>6203</v>
      </c>
      <c r="F215">
        <v>6198</v>
      </c>
      <c r="G215">
        <v>6200</v>
      </c>
      <c r="H215">
        <v>21700</v>
      </c>
    </row>
    <row r="216" spans="2:8">
      <c r="B216" t="s">
        <v>587</v>
      </c>
      <c r="C216" t="s">
        <v>379</v>
      </c>
      <c r="D216">
        <v>6199</v>
      </c>
      <c r="E216">
        <v>6201</v>
      </c>
      <c r="F216">
        <v>6199</v>
      </c>
      <c r="G216">
        <v>6199</v>
      </c>
      <c r="H216">
        <v>9900</v>
      </c>
    </row>
    <row r="217" spans="2:8">
      <c r="B217" t="s">
        <v>587</v>
      </c>
      <c r="C217" t="s">
        <v>380</v>
      </c>
      <c r="D217">
        <v>6199</v>
      </c>
      <c r="E217">
        <v>6202</v>
      </c>
      <c r="F217">
        <v>6196</v>
      </c>
      <c r="G217">
        <v>6197</v>
      </c>
      <c r="H217">
        <v>11600</v>
      </c>
    </row>
    <row r="218" spans="2:8">
      <c r="B218" t="s">
        <v>587</v>
      </c>
      <c r="C218" t="s">
        <v>381</v>
      </c>
      <c r="D218">
        <v>6196</v>
      </c>
      <c r="E218">
        <v>6201</v>
      </c>
      <c r="F218">
        <v>6196</v>
      </c>
      <c r="G218">
        <v>6199</v>
      </c>
      <c r="H218">
        <v>15900</v>
      </c>
    </row>
    <row r="219" spans="2:8">
      <c r="B219" t="s">
        <v>587</v>
      </c>
      <c r="C219" t="s">
        <v>382</v>
      </c>
      <c r="D219">
        <v>6200</v>
      </c>
      <c r="E219">
        <v>6203</v>
      </c>
      <c r="F219">
        <v>6196</v>
      </c>
      <c r="G219">
        <v>6199</v>
      </c>
      <c r="H219">
        <v>20600</v>
      </c>
    </row>
    <row r="220" spans="2:8">
      <c r="B220" t="s">
        <v>587</v>
      </c>
      <c r="C220" t="s">
        <v>383</v>
      </c>
      <c r="D220">
        <v>6200</v>
      </c>
      <c r="E220">
        <v>6202</v>
      </c>
      <c r="F220">
        <v>6200</v>
      </c>
      <c r="G220">
        <v>6202</v>
      </c>
      <c r="H220">
        <v>10800</v>
      </c>
    </row>
    <row r="221" spans="2:8">
      <c r="B221" t="s">
        <v>587</v>
      </c>
      <c r="C221" t="s">
        <v>384</v>
      </c>
      <c r="D221">
        <v>6203</v>
      </c>
      <c r="E221">
        <v>6203</v>
      </c>
      <c r="F221">
        <v>6201</v>
      </c>
      <c r="G221">
        <v>6201</v>
      </c>
      <c r="H221">
        <v>4100</v>
      </c>
    </row>
    <row r="222" spans="2:8">
      <c r="B222" t="s">
        <v>587</v>
      </c>
      <c r="C222" t="s">
        <v>385</v>
      </c>
      <c r="D222">
        <v>6201</v>
      </c>
      <c r="E222">
        <v>6202</v>
      </c>
      <c r="F222">
        <v>6199</v>
      </c>
      <c r="G222">
        <v>6200</v>
      </c>
      <c r="H222">
        <v>9800</v>
      </c>
    </row>
    <row r="223" spans="2:8">
      <c r="B223" t="s">
        <v>587</v>
      </c>
      <c r="C223" t="s">
        <v>386</v>
      </c>
      <c r="D223">
        <v>6200</v>
      </c>
      <c r="E223">
        <v>6201</v>
      </c>
      <c r="F223">
        <v>6199</v>
      </c>
      <c r="G223">
        <v>6201</v>
      </c>
      <c r="H223">
        <v>2900</v>
      </c>
    </row>
    <row r="224" spans="2:8">
      <c r="B224" t="s">
        <v>587</v>
      </c>
      <c r="C224" t="s">
        <v>387</v>
      </c>
      <c r="D224">
        <v>6200</v>
      </c>
      <c r="E224">
        <v>6202</v>
      </c>
      <c r="F224">
        <v>6199</v>
      </c>
      <c r="G224">
        <v>6199</v>
      </c>
      <c r="H224">
        <v>9300</v>
      </c>
    </row>
    <row r="225" spans="2:8">
      <c r="B225" t="s">
        <v>587</v>
      </c>
      <c r="C225" t="s">
        <v>388</v>
      </c>
      <c r="D225">
        <v>6199</v>
      </c>
      <c r="E225">
        <v>6200</v>
      </c>
      <c r="F225">
        <v>6198</v>
      </c>
      <c r="G225">
        <v>6199</v>
      </c>
      <c r="H225">
        <v>19400</v>
      </c>
    </row>
    <row r="226" spans="2:8">
      <c r="B226" t="s">
        <v>587</v>
      </c>
      <c r="C226" t="s">
        <v>389</v>
      </c>
      <c r="D226">
        <v>6199</v>
      </c>
      <c r="E226">
        <v>6201</v>
      </c>
      <c r="F226">
        <v>6199</v>
      </c>
      <c r="G226">
        <v>6201</v>
      </c>
      <c r="H226">
        <v>6700</v>
      </c>
    </row>
    <row r="227" spans="2:8">
      <c r="B227" t="s">
        <v>587</v>
      </c>
      <c r="C227" t="s">
        <v>390</v>
      </c>
      <c r="D227">
        <v>6201</v>
      </c>
      <c r="E227">
        <v>6201</v>
      </c>
      <c r="F227">
        <v>6200</v>
      </c>
      <c r="G227">
        <v>6201</v>
      </c>
      <c r="H227">
        <v>1700</v>
      </c>
    </row>
    <row r="228" spans="2:8">
      <c r="B228" t="s">
        <v>587</v>
      </c>
      <c r="C228" t="s">
        <v>391</v>
      </c>
      <c r="D228">
        <v>6200</v>
      </c>
      <c r="E228">
        <v>6202</v>
      </c>
      <c r="F228">
        <v>6200</v>
      </c>
      <c r="G228">
        <v>6201</v>
      </c>
      <c r="H228">
        <v>9700</v>
      </c>
    </row>
    <row r="229" spans="2:8">
      <c r="B229" t="s">
        <v>587</v>
      </c>
      <c r="C229" t="s">
        <v>392</v>
      </c>
      <c r="D229">
        <v>6201</v>
      </c>
      <c r="E229">
        <v>6210</v>
      </c>
      <c r="F229">
        <v>6201</v>
      </c>
      <c r="G229">
        <v>6209</v>
      </c>
      <c r="H229">
        <v>19600</v>
      </c>
    </row>
    <row r="230" spans="2:8">
      <c r="B230" t="s">
        <v>587</v>
      </c>
      <c r="C230" t="s">
        <v>393</v>
      </c>
      <c r="D230">
        <v>6210</v>
      </c>
      <c r="E230">
        <v>6210</v>
      </c>
      <c r="F230">
        <v>6205</v>
      </c>
      <c r="G230">
        <v>6206</v>
      </c>
      <c r="H230">
        <v>14400</v>
      </c>
    </row>
    <row r="231" spans="2:8">
      <c r="B231" t="s">
        <v>587</v>
      </c>
      <c r="C231" t="s">
        <v>394</v>
      </c>
      <c r="D231">
        <v>6206</v>
      </c>
      <c r="E231">
        <v>6209</v>
      </c>
      <c r="F231">
        <v>6206</v>
      </c>
      <c r="G231">
        <v>6208</v>
      </c>
      <c r="H231">
        <v>5500</v>
      </c>
    </row>
    <row r="232" spans="2:8">
      <c r="B232" t="s">
        <v>587</v>
      </c>
      <c r="C232" t="s">
        <v>395</v>
      </c>
      <c r="D232">
        <v>6207</v>
      </c>
      <c r="E232">
        <v>6208</v>
      </c>
      <c r="F232">
        <v>6207</v>
      </c>
      <c r="G232">
        <v>6208</v>
      </c>
      <c r="H232">
        <v>8900</v>
      </c>
    </row>
    <row r="233" spans="2:8">
      <c r="B233" t="s">
        <v>587</v>
      </c>
      <c r="C233" t="s">
        <v>396</v>
      </c>
      <c r="D233">
        <v>6207</v>
      </c>
      <c r="E233">
        <v>6207</v>
      </c>
      <c r="F233">
        <v>6206</v>
      </c>
      <c r="G233">
        <v>6206</v>
      </c>
      <c r="H233">
        <v>1700</v>
      </c>
    </row>
    <row r="234" spans="2:8">
      <c r="B234" t="s">
        <v>587</v>
      </c>
      <c r="C234" t="s">
        <v>397</v>
      </c>
      <c r="D234">
        <v>6207</v>
      </c>
      <c r="E234">
        <v>6207</v>
      </c>
      <c r="F234">
        <v>6206</v>
      </c>
      <c r="G234">
        <v>6207</v>
      </c>
      <c r="H234">
        <v>3400</v>
      </c>
    </row>
    <row r="235" spans="2:8">
      <c r="B235" t="s">
        <v>587</v>
      </c>
      <c r="C235" t="s">
        <v>398</v>
      </c>
      <c r="D235">
        <v>6208</v>
      </c>
      <c r="E235">
        <v>6208</v>
      </c>
      <c r="F235">
        <v>6201</v>
      </c>
      <c r="G235">
        <v>6202</v>
      </c>
      <c r="H235">
        <v>12200</v>
      </c>
    </row>
    <row r="236" spans="2:8">
      <c r="B236" t="s">
        <v>587</v>
      </c>
      <c r="C236" t="s">
        <v>399</v>
      </c>
      <c r="D236">
        <v>6203</v>
      </c>
      <c r="E236">
        <v>6203</v>
      </c>
      <c r="F236">
        <v>6200</v>
      </c>
      <c r="G236">
        <v>6201</v>
      </c>
      <c r="H236">
        <v>8000</v>
      </c>
    </row>
    <row r="237" spans="2:8">
      <c r="B237" t="s">
        <v>587</v>
      </c>
      <c r="C237" t="s">
        <v>400</v>
      </c>
      <c r="D237">
        <v>6202</v>
      </c>
      <c r="E237">
        <v>6204</v>
      </c>
      <c r="F237">
        <v>6201</v>
      </c>
      <c r="G237">
        <v>6202</v>
      </c>
      <c r="H237">
        <v>7300</v>
      </c>
    </row>
    <row r="238" spans="2:8">
      <c r="B238" t="s">
        <v>587</v>
      </c>
      <c r="C238" t="s">
        <v>401</v>
      </c>
      <c r="D238">
        <v>6202</v>
      </c>
      <c r="E238">
        <v>6204</v>
      </c>
      <c r="F238">
        <v>6200</v>
      </c>
      <c r="G238">
        <v>6203</v>
      </c>
      <c r="H238">
        <v>5900</v>
      </c>
    </row>
    <row r="239" spans="2:8">
      <c r="B239" t="s">
        <v>587</v>
      </c>
      <c r="C239" t="s">
        <v>402</v>
      </c>
      <c r="D239">
        <v>6204</v>
      </c>
      <c r="E239">
        <v>6204</v>
      </c>
      <c r="F239">
        <v>6201</v>
      </c>
      <c r="G239">
        <v>6201</v>
      </c>
      <c r="H239">
        <v>4400</v>
      </c>
    </row>
    <row r="240" spans="2:8">
      <c r="B240" t="s">
        <v>587</v>
      </c>
      <c r="C240" t="s">
        <v>403</v>
      </c>
      <c r="D240">
        <v>6202</v>
      </c>
      <c r="E240">
        <v>6204</v>
      </c>
      <c r="F240">
        <v>6185</v>
      </c>
      <c r="G240">
        <v>6192</v>
      </c>
      <c r="H240">
        <v>110700</v>
      </c>
    </row>
    <row r="241" spans="2:8">
      <c r="B241" t="s">
        <v>587</v>
      </c>
      <c r="C241" t="s">
        <v>404</v>
      </c>
      <c r="D241">
        <v>6191</v>
      </c>
      <c r="E241">
        <v>6192</v>
      </c>
      <c r="F241">
        <v>6188</v>
      </c>
      <c r="G241">
        <v>6192</v>
      </c>
      <c r="H241">
        <v>20400</v>
      </c>
    </row>
    <row r="242" spans="2:8">
      <c r="B242" t="s">
        <v>587</v>
      </c>
      <c r="C242" t="s">
        <v>405</v>
      </c>
      <c r="D242">
        <v>6192</v>
      </c>
      <c r="E242">
        <v>6192</v>
      </c>
      <c r="F242">
        <v>6188</v>
      </c>
      <c r="G242">
        <v>6188</v>
      </c>
      <c r="H242">
        <v>12400</v>
      </c>
    </row>
    <row r="243" spans="2:8">
      <c r="B243" t="s">
        <v>587</v>
      </c>
      <c r="C243" t="s">
        <v>406</v>
      </c>
      <c r="D243">
        <v>6189</v>
      </c>
      <c r="E243">
        <v>6190</v>
      </c>
      <c r="F243">
        <v>6188</v>
      </c>
      <c r="G243">
        <v>6190</v>
      </c>
      <c r="H243">
        <v>8000</v>
      </c>
    </row>
    <row r="244" spans="2:8">
      <c r="B244" t="s">
        <v>587</v>
      </c>
      <c r="C244" t="s">
        <v>407</v>
      </c>
      <c r="D244">
        <v>6189</v>
      </c>
      <c r="E244">
        <v>6191</v>
      </c>
      <c r="F244">
        <v>6188</v>
      </c>
      <c r="G244">
        <v>6188</v>
      </c>
      <c r="H244">
        <v>13100</v>
      </c>
    </row>
    <row r="245" spans="2:8">
      <c r="B245" t="s">
        <v>587</v>
      </c>
      <c r="C245" t="s">
        <v>408</v>
      </c>
      <c r="D245">
        <v>6190</v>
      </c>
      <c r="E245">
        <v>6192</v>
      </c>
      <c r="F245">
        <v>6187</v>
      </c>
      <c r="G245">
        <v>6187</v>
      </c>
      <c r="H245">
        <v>12500</v>
      </c>
    </row>
    <row r="246" spans="2:8">
      <c r="B246" t="s">
        <v>587</v>
      </c>
      <c r="C246" t="s">
        <v>409</v>
      </c>
      <c r="D246">
        <v>6187</v>
      </c>
      <c r="E246">
        <v>6187</v>
      </c>
      <c r="F246">
        <v>6181</v>
      </c>
      <c r="G246">
        <v>6184</v>
      </c>
      <c r="H246">
        <v>42100</v>
      </c>
    </row>
    <row r="247" spans="2:8">
      <c r="B247" t="s">
        <v>587</v>
      </c>
      <c r="C247" t="s">
        <v>410</v>
      </c>
      <c r="D247">
        <v>6184</v>
      </c>
      <c r="E247">
        <v>6187</v>
      </c>
      <c r="F247">
        <v>6183</v>
      </c>
      <c r="G247">
        <v>6184</v>
      </c>
      <c r="H247">
        <v>9000</v>
      </c>
    </row>
    <row r="248" spans="2:8">
      <c r="B248" t="s">
        <v>587</v>
      </c>
      <c r="C248" t="s">
        <v>411</v>
      </c>
      <c r="D248">
        <v>6184</v>
      </c>
      <c r="E248">
        <v>6184</v>
      </c>
      <c r="F248">
        <v>6174</v>
      </c>
      <c r="G248">
        <v>6178</v>
      </c>
      <c r="H248">
        <v>55600</v>
      </c>
    </row>
    <row r="249" spans="2:8">
      <c r="B249" t="s">
        <v>587</v>
      </c>
      <c r="C249" t="s">
        <v>412</v>
      </c>
      <c r="D249">
        <v>6177</v>
      </c>
      <c r="E249">
        <v>6179</v>
      </c>
      <c r="F249">
        <v>6174</v>
      </c>
      <c r="G249">
        <v>6178</v>
      </c>
      <c r="H249">
        <v>37400</v>
      </c>
    </row>
    <row r="250" spans="2:8">
      <c r="B250" t="s">
        <v>587</v>
      </c>
      <c r="C250" t="s">
        <v>413</v>
      </c>
      <c r="D250">
        <v>6177</v>
      </c>
      <c r="E250">
        <v>6188</v>
      </c>
      <c r="F250">
        <v>6176</v>
      </c>
      <c r="G250">
        <v>6183</v>
      </c>
      <c r="H250">
        <v>49200</v>
      </c>
    </row>
    <row r="251" spans="2:8">
      <c r="B251" t="s">
        <v>587</v>
      </c>
      <c r="C251" t="s">
        <v>414</v>
      </c>
      <c r="D251">
        <v>6185</v>
      </c>
      <c r="E251">
        <v>6187</v>
      </c>
      <c r="F251">
        <v>6183</v>
      </c>
      <c r="G251">
        <v>6185</v>
      </c>
      <c r="H251">
        <v>9800</v>
      </c>
    </row>
    <row r="252" spans="2:8">
      <c r="B252" t="s">
        <v>587</v>
      </c>
      <c r="C252" t="s">
        <v>415</v>
      </c>
      <c r="D252">
        <v>6185</v>
      </c>
      <c r="E252">
        <v>6190</v>
      </c>
      <c r="F252">
        <v>6184</v>
      </c>
      <c r="G252">
        <v>6188</v>
      </c>
      <c r="H252">
        <v>19100</v>
      </c>
    </row>
    <row r="253" spans="2:8">
      <c r="B253" t="s">
        <v>587</v>
      </c>
      <c r="C253" t="s">
        <v>416</v>
      </c>
      <c r="D253">
        <v>6187</v>
      </c>
      <c r="E253">
        <v>6192</v>
      </c>
      <c r="F253">
        <v>6186</v>
      </c>
      <c r="G253">
        <v>6186</v>
      </c>
      <c r="H253">
        <v>34400</v>
      </c>
    </row>
    <row r="254" spans="2:8">
      <c r="B254" t="s">
        <v>587</v>
      </c>
      <c r="C254" t="s">
        <v>417</v>
      </c>
      <c r="D254">
        <v>6186</v>
      </c>
      <c r="E254">
        <v>6190</v>
      </c>
      <c r="F254">
        <v>6186</v>
      </c>
      <c r="G254">
        <v>6188</v>
      </c>
      <c r="H254">
        <v>7000</v>
      </c>
    </row>
    <row r="255" spans="2:8">
      <c r="B255" t="s">
        <v>587</v>
      </c>
      <c r="C255" t="s">
        <v>418</v>
      </c>
      <c r="D255">
        <v>6188</v>
      </c>
      <c r="E255">
        <v>6188</v>
      </c>
      <c r="F255">
        <v>6182</v>
      </c>
      <c r="G255">
        <v>6185</v>
      </c>
      <c r="H255">
        <v>29700</v>
      </c>
    </row>
    <row r="256" spans="2:8">
      <c r="B256" t="s">
        <v>587</v>
      </c>
      <c r="C256" t="s">
        <v>419</v>
      </c>
      <c r="D256">
        <v>6185</v>
      </c>
      <c r="E256">
        <v>6185</v>
      </c>
      <c r="F256">
        <v>6181</v>
      </c>
      <c r="G256">
        <v>6182</v>
      </c>
      <c r="H256">
        <v>12800</v>
      </c>
    </row>
    <row r="257" spans="2:8">
      <c r="B257" t="s">
        <v>587</v>
      </c>
      <c r="C257" t="s">
        <v>420</v>
      </c>
      <c r="D257">
        <v>6183</v>
      </c>
      <c r="E257">
        <v>6184</v>
      </c>
      <c r="F257">
        <v>6182</v>
      </c>
      <c r="G257">
        <v>6183</v>
      </c>
      <c r="H257">
        <v>5600</v>
      </c>
    </row>
    <row r="258" spans="2:8">
      <c r="B258" t="s">
        <v>587</v>
      </c>
      <c r="C258" t="s">
        <v>421</v>
      </c>
      <c r="D258">
        <v>6183</v>
      </c>
      <c r="E258">
        <v>6183</v>
      </c>
      <c r="F258">
        <v>6170</v>
      </c>
      <c r="G258">
        <v>6171</v>
      </c>
      <c r="H258">
        <v>55400</v>
      </c>
    </row>
    <row r="259" spans="2:8">
      <c r="B259" t="s">
        <v>587</v>
      </c>
      <c r="C259" t="s">
        <v>422</v>
      </c>
      <c r="D259">
        <v>6172</v>
      </c>
      <c r="E259">
        <v>6173</v>
      </c>
      <c r="F259">
        <v>6167</v>
      </c>
      <c r="G259">
        <v>6171</v>
      </c>
      <c r="H259">
        <v>25100</v>
      </c>
    </row>
    <row r="260" spans="2:8">
      <c r="B260" t="s">
        <v>587</v>
      </c>
      <c r="C260" t="s">
        <v>423</v>
      </c>
      <c r="D260">
        <v>6171</v>
      </c>
      <c r="E260">
        <v>6177</v>
      </c>
      <c r="F260">
        <v>6171</v>
      </c>
      <c r="G260">
        <v>6175</v>
      </c>
      <c r="H260">
        <v>14200</v>
      </c>
    </row>
    <row r="261" spans="2:8">
      <c r="B261" t="s">
        <v>587</v>
      </c>
      <c r="C261" t="s">
        <v>424</v>
      </c>
      <c r="D261">
        <v>6175</v>
      </c>
      <c r="E261">
        <v>6176</v>
      </c>
      <c r="F261">
        <v>6175</v>
      </c>
      <c r="G261">
        <v>6176</v>
      </c>
      <c r="H261">
        <v>3400</v>
      </c>
    </row>
    <row r="262" spans="2:8">
      <c r="B262" t="s">
        <v>587</v>
      </c>
      <c r="C262" t="s">
        <v>425</v>
      </c>
      <c r="D262">
        <v>6177</v>
      </c>
      <c r="E262">
        <v>6181</v>
      </c>
      <c r="F262">
        <v>6176</v>
      </c>
      <c r="G262">
        <v>6176</v>
      </c>
      <c r="H262">
        <v>22200</v>
      </c>
    </row>
    <row r="263" spans="2:8">
      <c r="B263" t="s">
        <v>587</v>
      </c>
      <c r="C263" t="s">
        <v>426</v>
      </c>
      <c r="D263">
        <v>6176</v>
      </c>
      <c r="E263">
        <v>6178</v>
      </c>
      <c r="F263">
        <v>6176</v>
      </c>
      <c r="G263">
        <v>6177</v>
      </c>
      <c r="H263">
        <v>5600</v>
      </c>
    </row>
    <row r="264" spans="2:8">
      <c r="B264" t="s">
        <v>587</v>
      </c>
      <c r="C264" t="s">
        <v>427</v>
      </c>
      <c r="D264">
        <v>6177</v>
      </c>
      <c r="E264">
        <v>6183</v>
      </c>
      <c r="F264">
        <v>6177</v>
      </c>
      <c r="G264">
        <v>6179</v>
      </c>
      <c r="H264">
        <v>16300</v>
      </c>
    </row>
    <row r="265" spans="2:8">
      <c r="B265" t="s">
        <v>587</v>
      </c>
      <c r="C265" t="s">
        <v>428</v>
      </c>
      <c r="D265">
        <v>6179</v>
      </c>
      <c r="E265">
        <v>6184</v>
      </c>
      <c r="F265">
        <v>6179</v>
      </c>
      <c r="G265">
        <v>6184</v>
      </c>
      <c r="H265">
        <v>12500</v>
      </c>
    </row>
    <row r="266" spans="2:8">
      <c r="B266" t="s">
        <v>587</v>
      </c>
      <c r="C266" t="s">
        <v>429</v>
      </c>
      <c r="D266">
        <v>6184</v>
      </c>
      <c r="E266">
        <v>6187</v>
      </c>
      <c r="F266">
        <v>6184</v>
      </c>
      <c r="G266">
        <v>6186</v>
      </c>
      <c r="H266">
        <v>11200</v>
      </c>
    </row>
    <row r="267" spans="2:8">
      <c r="B267" t="s">
        <v>587</v>
      </c>
      <c r="C267" t="s">
        <v>430</v>
      </c>
      <c r="D267">
        <v>6186</v>
      </c>
      <c r="E267">
        <v>6189</v>
      </c>
      <c r="F267">
        <v>6184</v>
      </c>
      <c r="G267">
        <v>6188</v>
      </c>
      <c r="H267">
        <v>14800</v>
      </c>
    </row>
    <row r="268" spans="2:8">
      <c r="B268" t="s">
        <v>587</v>
      </c>
      <c r="C268" t="s">
        <v>431</v>
      </c>
      <c r="D268">
        <v>6188</v>
      </c>
      <c r="E268">
        <v>6188</v>
      </c>
      <c r="F268">
        <v>6186</v>
      </c>
      <c r="G268">
        <v>6186</v>
      </c>
      <c r="H268">
        <v>6200</v>
      </c>
    </row>
    <row r="269" spans="2:8">
      <c r="B269" t="s">
        <v>587</v>
      </c>
      <c r="C269" t="s">
        <v>9</v>
      </c>
      <c r="D269">
        <v>6186</v>
      </c>
      <c r="E269">
        <v>6188</v>
      </c>
      <c r="F269">
        <v>6184</v>
      </c>
      <c r="G269">
        <v>6187</v>
      </c>
      <c r="H269">
        <v>10600</v>
      </c>
    </row>
    <row r="270" spans="2:8">
      <c r="B270" t="s">
        <v>587</v>
      </c>
      <c r="C270" t="s">
        <v>10</v>
      </c>
      <c r="D270">
        <v>6188</v>
      </c>
      <c r="E270">
        <v>6193</v>
      </c>
      <c r="F270">
        <v>6187</v>
      </c>
      <c r="G270">
        <v>6189</v>
      </c>
      <c r="H270">
        <v>24600</v>
      </c>
    </row>
    <row r="271" spans="2:8">
      <c r="B271" t="s">
        <v>587</v>
      </c>
      <c r="C271" t="s">
        <v>11</v>
      </c>
      <c r="D271">
        <v>6190</v>
      </c>
      <c r="E271">
        <v>6190</v>
      </c>
      <c r="F271">
        <v>6186</v>
      </c>
      <c r="G271">
        <v>6187</v>
      </c>
      <c r="H271">
        <v>11600</v>
      </c>
    </row>
    <row r="272" spans="2:8">
      <c r="B272" t="s">
        <v>587</v>
      </c>
      <c r="C272" t="s">
        <v>12</v>
      </c>
      <c r="D272">
        <v>6187</v>
      </c>
      <c r="E272">
        <v>6195</v>
      </c>
      <c r="F272">
        <v>6186</v>
      </c>
      <c r="G272">
        <v>6194</v>
      </c>
      <c r="H272">
        <v>14400</v>
      </c>
    </row>
    <row r="273" spans="2:8">
      <c r="B273" t="s">
        <v>587</v>
      </c>
      <c r="C273" t="s">
        <v>13</v>
      </c>
      <c r="D273">
        <v>6195</v>
      </c>
      <c r="E273">
        <v>6208</v>
      </c>
      <c r="F273">
        <v>6192</v>
      </c>
      <c r="G273">
        <v>6202</v>
      </c>
      <c r="H273">
        <v>82200</v>
      </c>
    </row>
    <row r="274" spans="2:8">
      <c r="B274" t="s">
        <v>587</v>
      </c>
      <c r="C274" t="s">
        <v>14</v>
      </c>
      <c r="D274">
        <v>6204</v>
      </c>
      <c r="E274">
        <v>6205</v>
      </c>
      <c r="F274">
        <v>6200</v>
      </c>
      <c r="G274">
        <v>6200</v>
      </c>
      <c r="H274">
        <v>24200</v>
      </c>
    </row>
    <row r="275" spans="2:8">
      <c r="B275" t="s">
        <v>587</v>
      </c>
      <c r="C275" t="s">
        <v>15</v>
      </c>
      <c r="D275">
        <v>6200</v>
      </c>
      <c r="E275">
        <v>6203</v>
      </c>
      <c r="F275">
        <v>6195</v>
      </c>
      <c r="G275">
        <v>6203</v>
      </c>
      <c r="H275">
        <v>24800</v>
      </c>
    </row>
    <row r="276" spans="2:8">
      <c r="B276" t="s">
        <v>587</v>
      </c>
      <c r="C276" t="s">
        <v>16</v>
      </c>
      <c r="D276">
        <v>6203</v>
      </c>
      <c r="E276">
        <v>6209</v>
      </c>
      <c r="F276">
        <v>6201</v>
      </c>
      <c r="G276">
        <v>6208</v>
      </c>
      <c r="H276">
        <v>23600</v>
      </c>
    </row>
    <row r="277" spans="2:8">
      <c r="B277" t="s">
        <v>587</v>
      </c>
      <c r="C277" t="s">
        <v>17</v>
      </c>
      <c r="D277">
        <v>6208</v>
      </c>
      <c r="E277">
        <v>6209</v>
      </c>
      <c r="F277">
        <v>6205</v>
      </c>
      <c r="G277">
        <v>6206</v>
      </c>
      <c r="H277">
        <v>15400</v>
      </c>
    </row>
    <row r="278" spans="2:8">
      <c r="B278" t="s">
        <v>587</v>
      </c>
      <c r="C278" t="s">
        <v>18</v>
      </c>
      <c r="D278">
        <v>6205</v>
      </c>
      <c r="E278">
        <v>6205</v>
      </c>
      <c r="F278">
        <v>6200</v>
      </c>
      <c r="G278">
        <v>6203</v>
      </c>
      <c r="H278">
        <v>14700</v>
      </c>
    </row>
    <row r="279" spans="2:8">
      <c r="B279" t="s">
        <v>587</v>
      </c>
      <c r="C279" t="s">
        <v>19</v>
      </c>
      <c r="D279">
        <v>6203</v>
      </c>
      <c r="E279">
        <v>6215</v>
      </c>
      <c r="F279">
        <v>6203</v>
      </c>
      <c r="G279">
        <v>6215</v>
      </c>
      <c r="H279">
        <v>49600</v>
      </c>
    </row>
    <row r="280" spans="2:8">
      <c r="B280" t="s">
        <v>587</v>
      </c>
      <c r="C280" t="s">
        <v>20</v>
      </c>
      <c r="D280">
        <v>6215</v>
      </c>
      <c r="E280">
        <v>6225</v>
      </c>
      <c r="F280">
        <v>6214</v>
      </c>
      <c r="G280">
        <v>6223</v>
      </c>
      <c r="H280">
        <v>60400</v>
      </c>
    </row>
    <row r="281" spans="2:8">
      <c r="B281" t="s">
        <v>587</v>
      </c>
      <c r="C281" t="s">
        <v>21</v>
      </c>
      <c r="D281">
        <v>6223</v>
      </c>
      <c r="E281">
        <v>6229</v>
      </c>
      <c r="F281">
        <v>6219</v>
      </c>
      <c r="G281">
        <v>6222</v>
      </c>
      <c r="H281">
        <v>52200</v>
      </c>
    </row>
    <row r="282" spans="2:8">
      <c r="B282" t="s">
        <v>587</v>
      </c>
      <c r="C282" t="s">
        <v>22</v>
      </c>
      <c r="D282">
        <v>6222</v>
      </c>
      <c r="E282">
        <v>6224</v>
      </c>
      <c r="F282">
        <v>6221</v>
      </c>
      <c r="G282">
        <v>6223</v>
      </c>
      <c r="H282">
        <v>16800</v>
      </c>
    </row>
    <row r="283" spans="2:8">
      <c r="B283" t="s">
        <v>587</v>
      </c>
      <c r="C283" t="s">
        <v>23</v>
      </c>
      <c r="D283">
        <v>6222</v>
      </c>
      <c r="E283">
        <v>6225</v>
      </c>
      <c r="F283">
        <v>6219</v>
      </c>
      <c r="G283">
        <v>6220</v>
      </c>
      <c r="H283">
        <v>21000</v>
      </c>
    </row>
    <row r="284" spans="2:8">
      <c r="B284" t="s">
        <v>587</v>
      </c>
      <c r="C284" t="s">
        <v>24</v>
      </c>
      <c r="D284">
        <v>6220</v>
      </c>
      <c r="E284">
        <v>6225</v>
      </c>
      <c r="F284">
        <v>6215</v>
      </c>
      <c r="G284">
        <v>6218</v>
      </c>
      <c r="H284">
        <v>64000</v>
      </c>
    </row>
    <row r="285" spans="2:8">
      <c r="B285" t="s">
        <v>587</v>
      </c>
      <c r="C285" t="s">
        <v>25</v>
      </c>
      <c r="D285">
        <v>6217</v>
      </c>
      <c r="E285">
        <v>6222</v>
      </c>
      <c r="F285">
        <v>6215</v>
      </c>
      <c r="G285">
        <v>6222</v>
      </c>
      <c r="H285">
        <v>25500</v>
      </c>
    </row>
    <row r="286" spans="2:8">
      <c r="B286" t="s">
        <v>587</v>
      </c>
      <c r="C286" t="s">
        <v>26</v>
      </c>
      <c r="D286">
        <v>6223</v>
      </c>
      <c r="E286">
        <v>6224</v>
      </c>
      <c r="F286">
        <v>6219</v>
      </c>
      <c r="G286">
        <v>6220</v>
      </c>
      <c r="H286">
        <v>20900</v>
      </c>
    </row>
    <row r="287" spans="2:8">
      <c r="B287" t="s">
        <v>587</v>
      </c>
      <c r="C287" t="s">
        <v>27</v>
      </c>
      <c r="D287">
        <v>6220</v>
      </c>
      <c r="E287">
        <v>6222</v>
      </c>
      <c r="F287">
        <v>6218</v>
      </c>
      <c r="G287">
        <v>6220</v>
      </c>
      <c r="H287">
        <v>14600</v>
      </c>
    </row>
    <row r="288" spans="2:8">
      <c r="B288" t="s">
        <v>587</v>
      </c>
      <c r="C288" t="s">
        <v>28</v>
      </c>
      <c r="D288">
        <v>6220</v>
      </c>
      <c r="E288">
        <v>6225</v>
      </c>
      <c r="F288">
        <v>6218</v>
      </c>
      <c r="G288">
        <v>6222</v>
      </c>
      <c r="H288">
        <v>29800</v>
      </c>
    </row>
    <row r="289" spans="2:8">
      <c r="B289" t="s">
        <v>587</v>
      </c>
      <c r="C289" t="s">
        <v>29</v>
      </c>
      <c r="D289">
        <v>6223</v>
      </c>
      <c r="E289">
        <v>6225</v>
      </c>
      <c r="F289">
        <v>6221</v>
      </c>
      <c r="G289">
        <v>6223</v>
      </c>
      <c r="H289">
        <v>28900</v>
      </c>
    </row>
    <row r="290" spans="2:8">
      <c r="B290" t="s">
        <v>587</v>
      </c>
      <c r="C290" t="s">
        <v>30</v>
      </c>
      <c r="D290">
        <v>6223</v>
      </c>
      <c r="E290">
        <v>6224</v>
      </c>
      <c r="F290">
        <v>6220</v>
      </c>
      <c r="G290">
        <v>6221</v>
      </c>
      <c r="H290">
        <v>16000</v>
      </c>
    </row>
    <row r="291" spans="2:8">
      <c r="B291" t="s">
        <v>587</v>
      </c>
      <c r="C291" t="s">
        <v>31</v>
      </c>
      <c r="D291">
        <v>6220</v>
      </c>
      <c r="E291">
        <v>6226</v>
      </c>
      <c r="F291">
        <v>6220</v>
      </c>
      <c r="G291">
        <v>6224</v>
      </c>
      <c r="H291">
        <v>23500</v>
      </c>
    </row>
    <row r="292" spans="2:8">
      <c r="B292" t="s">
        <v>587</v>
      </c>
      <c r="C292" t="s">
        <v>32</v>
      </c>
      <c r="D292">
        <v>6222</v>
      </c>
      <c r="E292">
        <v>6223</v>
      </c>
      <c r="F292">
        <v>6219</v>
      </c>
      <c r="G292">
        <v>6220</v>
      </c>
      <c r="H292">
        <v>13000</v>
      </c>
    </row>
    <row r="293" spans="2:8">
      <c r="B293" t="s">
        <v>587</v>
      </c>
      <c r="C293" t="s">
        <v>33</v>
      </c>
      <c r="D293">
        <v>6220</v>
      </c>
      <c r="E293">
        <v>6221</v>
      </c>
      <c r="F293">
        <v>6217</v>
      </c>
      <c r="G293">
        <v>6221</v>
      </c>
      <c r="H293">
        <v>12900</v>
      </c>
    </row>
    <row r="294" spans="2:8">
      <c r="B294" t="s">
        <v>587</v>
      </c>
      <c r="C294" t="s">
        <v>34</v>
      </c>
      <c r="D294">
        <v>6222</v>
      </c>
      <c r="E294">
        <v>6226</v>
      </c>
      <c r="F294">
        <v>6221</v>
      </c>
      <c r="G294">
        <v>6226</v>
      </c>
      <c r="H294">
        <v>24800</v>
      </c>
    </row>
    <row r="295" spans="2:8">
      <c r="B295" t="s">
        <v>587</v>
      </c>
      <c r="C295" t="s">
        <v>35</v>
      </c>
      <c r="D295">
        <v>6225</v>
      </c>
      <c r="E295">
        <v>6225</v>
      </c>
      <c r="F295">
        <v>6218</v>
      </c>
      <c r="G295">
        <v>6218</v>
      </c>
      <c r="H295">
        <v>26700</v>
      </c>
    </row>
    <row r="296" spans="2:8">
      <c r="B296" t="s">
        <v>587</v>
      </c>
      <c r="C296" t="s">
        <v>36</v>
      </c>
      <c r="D296">
        <v>6218</v>
      </c>
      <c r="E296">
        <v>6219</v>
      </c>
      <c r="F296">
        <v>6211</v>
      </c>
      <c r="G296">
        <v>6219</v>
      </c>
      <c r="H296">
        <v>32500</v>
      </c>
    </row>
    <row r="297" spans="2:8">
      <c r="B297" t="s">
        <v>587</v>
      </c>
      <c r="C297" t="s">
        <v>37</v>
      </c>
      <c r="D297">
        <v>6218</v>
      </c>
      <c r="E297">
        <v>6220</v>
      </c>
      <c r="F297">
        <v>6217</v>
      </c>
      <c r="G297">
        <v>6218</v>
      </c>
      <c r="H297">
        <v>8000</v>
      </c>
    </row>
    <row r="298" spans="2:8">
      <c r="B298" t="s">
        <v>587</v>
      </c>
      <c r="C298" t="s">
        <v>38</v>
      </c>
      <c r="D298">
        <v>6219</v>
      </c>
      <c r="E298">
        <v>6222</v>
      </c>
      <c r="F298">
        <v>6219</v>
      </c>
      <c r="G298">
        <v>6220</v>
      </c>
      <c r="H298">
        <v>14500</v>
      </c>
    </row>
    <row r="299" spans="2:8">
      <c r="B299" t="s">
        <v>587</v>
      </c>
      <c r="C299" t="s">
        <v>39</v>
      </c>
      <c r="D299">
        <v>6220</v>
      </c>
      <c r="E299">
        <v>6224</v>
      </c>
      <c r="F299">
        <v>6219</v>
      </c>
      <c r="G299">
        <v>6223</v>
      </c>
      <c r="H299">
        <v>18000</v>
      </c>
    </row>
    <row r="300" spans="2:8">
      <c r="B300" t="s">
        <v>587</v>
      </c>
      <c r="C300" t="s">
        <v>40</v>
      </c>
      <c r="D300">
        <v>6223</v>
      </c>
      <c r="E300">
        <v>6223</v>
      </c>
      <c r="F300">
        <v>6215</v>
      </c>
      <c r="G300">
        <v>6218</v>
      </c>
      <c r="H300">
        <v>15800</v>
      </c>
    </row>
    <row r="301" spans="2:8">
      <c r="B301" t="s">
        <v>587</v>
      </c>
      <c r="C301" t="s">
        <v>41</v>
      </c>
      <c r="D301">
        <v>6218</v>
      </c>
      <c r="E301">
        <v>6221</v>
      </c>
      <c r="F301">
        <v>6218</v>
      </c>
      <c r="G301">
        <v>6220</v>
      </c>
      <c r="H301">
        <v>9300</v>
      </c>
    </row>
    <row r="302" spans="2:8">
      <c r="B302" t="s">
        <v>587</v>
      </c>
      <c r="C302" t="s">
        <v>42</v>
      </c>
      <c r="D302">
        <v>6220</v>
      </c>
      <c r="E302">
        <v>6221</v>
      </c>
      <c r="F302">
        <v>6218</v>
      </c>
      <c r="G302">
        <v>6220</v>
      </c>
      <c r="H302">
        <v>12600</v>
      </c>
    </row>
    <row r="303" spans="2:8">
      <c r="B303" t="s">
        <v>587</v>
      </c>
      <c r="C303" t="s">
        <v>43</v>
      </c>
      <c r="D303">
        <v>6219</v>
      </c>
      <c r="E303">
        <v>6230</v>
      </c>
      <c r="F303">
        <v>6218</v>
      </c>
      <c r="G303">
        <v>6228</v>
      </c>
      <c r="H303">
        <v>42700</v>
      </c>
    </row>
    <row r="304" spans="2:8">
      <c r="B304" t="s">
        <v>587</v>
      </c>
      <c r="C304" t="s">
        <v>44</v>
      </c>
      <c r="D304">
        <v>6230</v>
      </c>
      <c r="E304">
        <v>6231</v>
      </c>
      <c r="F304">
        <v>6227</v>
      </c>
      <c r="G304">
        <v>6228</v>
      </c>
      <c r="H304">
        <v>42200</v>
      </c>
    </row>
    <row r="305" spans="2:8">
      <c r="B305" t="s">
        <v>587</v>
      </c>
      <c r="C305" t="s">
        <v>45</v>
      </c>
      <c r="D305">
        <v>6229</v>
      </c>
      <c r="E305">
        <v>6230</v>
      </c>
      <c r="F305">
        <v>6222</v>
      </c>
      <c r="G305">
        <v>6223</v>
      </c>
      <c r="H305">
        <v>12300</v>
      </c>
    </row>
    <row r="306" spans="2:8">
      <c r="B306" t="s">
        <v>587</v>
      </c>
      <c r="C306" t="s">
        <v>46</v>
      </c>
      <c r="D306">
        <v>6223</v>
      </c>
      <c r="E306">
        <v>6223</v>
      </c>
      <c r="F306">
        <v>6215</v>
      </c>
      <c r="G306">
        <v>6215</v>
      </c>
      <c r="H306">
        <v>24500</v>
      </c>
    </row>
    <row r="307" spans="2:8">
      <c r="B307" t="s">
        <v>587</v>
      </c>
      <c r="C307" t="s">
        <v>47</v>
      </c>
      <c r="D307">
        <v>6216</v>
      </c>
      <c r="E307">
        <v>6223</v>
      </c>
      <c r="F307">
        <v>6216</v>
      </c>
      <c r="G307">
        <v>6220</v>
      </c>
      <c r="H307">
        <v>14300</v>
      </c>
    </row>
    <row r="308" spans="2:8">
      <c r="B308" t="s">
        <v>587</v>
      </c>
      <c r="C308" t="s">
        <v>48</v>
      </c>
      <c r="D308">
        <v>6221</v>
      </c>
      <c r="E308">
        <v>6227</v>
      </c>
      <c r="F308">
        <v>6221</v>
      </c>
      <c r="G308">
        <v>6227</v>
      </c>
      <c r="H308">
        <v>15300</v>
      </c>
    </row>
    <row r="309" spans="2:8">
      <c r="B309" t="s">
        <v>587</v>
      </c>
      <c r="C309" t="s">
        <v>49</v>
      </c>
      <c r="D309">
        <v>6226</v>
      </c>
      <c r="E309">
        <v>6228</v>
      </c>
      <c r="F309">
        <v>6224</v>
      </c>
      <c r="G309">
        <v>6225</v>
      </c>
      <c r="H309">
        <v>8600</v>
      </c>
    </row>
    <row r="310" spans="2:8">
      <c r="B310" t="s">
        <v>587</v>
      </c>
      <c r="C310" t="s">
        <v>50</v>
      </c>
      <c r="D310">
        <v>6224</v>
      </c>
      <c r="E310">
        <v>6229</v>
      </c>
      <c r="F310">
        <v>6224</v>
      </c>
      <c r="G310">
        <v>6228</v>
      </c>
      <c r="H310">
        <v>22100</v>
      </c>
    </row>
    <row r="311" spans="2:8">
      <c r="B311" t="s">
        <v>587</v>
      </c>
      <c r="C311" t="s">
        <v>51</v>
      </c>
      <c r="D311">
        <v>6228</v>
      </c>
      <c r="E311">
        <v>6239</v>
      </c>
      <c r="F311">
        <v>6227</v>
      </c>
      <c r="G311">
        <v>6239</v>
      </c>
      <c r="H311">
        <v>54800</v>
      </c>
    </row>
    <row r="312" spans="2:8">
      <c r="B312" t="s">
        <v>587</v>
      </c>
      <c r="C312" t="s">
        <v>52</v>
      </c>
      <c r="D312">
        <v>6239</v>
      </c>
      <c r="E312">
        <v>6245</v>
      </c>
      <c r="F312">
        <v>6237</v>
      </c>
      <c r="G312">
        <v>6244</v>
      </c>
      <c r="H312">
        <v>39700</v>
      </c>
    </row>
    <row r="313" spans="2:8">
      <c r="B313" t="s">
        <v>587</v>
      </c>
      <c r="C313" t="s">
        <v>53</v>
      </c>
      <c r="D313">
        <v>6244</v>
      </c>
      <c r="E313">
        <v>6254</v>
      </c>
      <c r="F313">
        <v>6244</v>
      </c>
      <c r="G313">
        <v>6248</v>
      </c>
      <c r="H313">
        <v>97200</v>
      </c>
    </row>
    <row r="314" spans="2:8">
      <c r="B314" t="s">
        <v>587</v>
      </c>
      <c r="C314" t="s">
        <v>54</v>
      </c>
      <c r="D314">
        <v>6248</v>
      </c>
      <c r="E314">
        <v>6263</v>
      </c>
      <c r="F314">
        <v>6247</v>
      </c>
      <c r="G314">
        <v>6261</v>
      </c>
      <c r="H314">
        <v>68500</v>
      </c>
    </row>
    <row r="315" spans="2:8">
      <c r="B315" t="s">
        <v>587</v>
      </c>
      <c r="C315" t="s">
        <v>55</v>
      </c>
      <c r="D315">
        <v>6259</v>
      </c>
      <c r="E315">
        <v>6262</v>
      </c>
      <c r="F315">
        <v>6257</v>
      </c>
      <c r="G315">
        <v>6262</v>
      </c>
      <c r="H315">
        <v>30100</v>
      </c>
    </row>
    <row r="316" spans="2:8">
      <c r="B316" t="s">
        <v>587</v>
      </c>
      <c r="C316" t="s">
        <v>56</v>
      </c>
      <c r="D316">
        <v>6261</v>
      </c>
      <c r="E316">
        <v>6262</v>
      </c>
      <c r="F316">
        <v>6256</v>
      </c>
      <c r="G316">
        <v>6259</v>
      </c>
      <c r="H316">
        <v>42900</v>
      </c>
    </row>
    <row r="317" spans="2:8">
      <c r="B317" t="s">
        <v>587</v>
      </c>
      <c r="C317" t="s">
        <v>57</v>
      </c>
      <c r="D317">
        <v>6260</v>
      </c>
      <c r="E317">
        <v>6271</v>
      </c>
      <c r="F317">
        <v>6255</v>
      </c>
      <c r="G317">
        <v>6271</v>
      </c>
      <c r="H317">
        <v>89200</v>
      </c>
    </row>
    <row r="318" spans="2:8">
      <c r="B318" t="s">
        <v>587</v>
      </c>
      <c r="C318" t="s">
        <v>58</v>
      </c>
      <c r="D318">
        <v>6271</v>
      </c>
      <c r="E318">
        <v>6275</v>
      </c>
      <c r="F318">
        <v>6265</v>
      </c>
      <c r="G318">
        <v>6275</v>
      </c>
      <c r="H318">
        <v>63000</v>
      </c>
    </row>
    <row r="319" spans="2:8">
      <c r="B319" t="s">
        <v>587</v>
      </c>
      <c r="C319" t="s">
        <v>59</v>
      </c>
      <c r="D319">
        <v>6275</v>
      </c>
      <c r="E319">
        <v>6275</v>
      </c>
      <c r="F319">
        <v>6261</v>
      </c>
      <c r="G319">
        <v>6263</v>
      </c>
      <c r="H319">
        <v>71100</v>
      </c>
    </row>
    <row r="320" spans="2:8">
      <c r="B320" t="s">
        <v>587</v>
      </c>
      <c r="C320" t="s">
        <v>60</v>
      </c>
      <c r="D320">
        <v>6264</v>
      </c>
      <c r="E320">
        <v>6271</v>
      </c>
      <c r="F320">
        <v>6262</v>
      </c>
      <c r="G320">
        <v>6266</v>
      </c>
      <c r="H320">
        <v>36000</v>
      </c>
    </row>
    <row r="321" spans="1:8">
      <c r="B321" t="s">
        <v>587</v>
      </c>
      <c r="C321" t="s">
        <v>61</v>
      </c>
      <c r="D321">
        <v>6265</v>
      </c>
      <c r="E321">
        <v>6267</v>
      </c>
      <c r="F321">
        <v>6259</v>
      </c>
      <c r="G321">
        <v>6267</v>
      </c>
      <c r="H321">
        <v>49200</v>
      </c>
    </row>
    <row r="322" spans="1:8">
      <c r="B322" t="s">
        <v>587</v>
      </c>
      <c r="C322" t="s">
        <v>62</v>
      </c>
      <c r="D322">
        <v>6266</v>
      </c>
      <c r="E322">
        <v>6270</v>
      </c>
      <c r="F322">
        <v>6264</v>
      </c>
      <c r="G322">
        <v>6267</v>
      </c>
      <c r="H322">
        <v>24200</v>
      </c>
    </row>
    <row r="323" spans="1:8">
      <c r="B323" t="s">
        <v>587</v>
      </c>
      <c r="C323" t="s">
        <v>63</v>
      </c>
      <c r="D323">
        <v>6267</v>
      </c>
      <c r="E323">
        <v>6284</v>
      </c>
      <c r="F323">
        <v>6265</v>
      </c>
      <c r="G323">
        <v>6282</v>
      </c>
      <c r="H323">
        <v>99900</v>
      </c>
    </row>
    <row r="324" spans="1:8">
      <c r="B324" t="s">
        <v>587</v>
      </c>
      <c r="C324" t="s">
        <v>64</v>
      </c>
      <c r="D324">
        <v>6282</v>
      </c>
      <c r="E324">
        <v>6285</v>
      </c>
      <c r="F324">
        <v>6280</v>
      </c>
      <c r="G324">
        <v>6285</v>
      </c>
      <c r="H324">
        <v>66600</v>
      </c>
    </row>
    <row r="325" spans="1:8">
      <c r="B325" t="s">
        <v>587</v>
      </c>
      <c r="C325" t="s">
        <v>65</v>
      </c>
      <c r="D325">
        <v>6285</v>
      </c>
      <c r="E325">
        <v>6302</v>
      </c>
      <c r="F325">
        <v>6285</v>
      </c>
      <c r="G325">
        <v>6288</v>
      </c>
      <c r="H325">
        <v>235600</v>
      </c>
    </row>
    <row r="326" spans="1:8">
      <c r="B326" t="s">
        <v>587</v>
      </c>
      <c r="C326" t="s">
        <v>66</v>
      </c>
      <c r="D326">
        <v>6289</v>
      </c>
      <c r="E326">
        <v>6290</v>
      </c>
      <c r="F326">
        <v>6283</v>
      </c>
      <c r="G326">
        <v>6289</v>
      </c>
      <c r="H326">
        <v>44400</v>
      </c>
    </row>
    <row r="327" spans="1:8">
      <c r="B327" t="s">
        <v>587</v>
      </c>
      <c r="C327" t="s">
        <v>164</v>
      </c>
      <c r="D327">
        <v>6289</v>
      </c>
      <c r="E327">
        <v>6302</v>
      </c>
      <c r="F327">
        <v>6285</v>
      </c>
      <c r="G327">
        <v>6297</v>
      </c>
      <c r="H327">
        <v>116100</v>
      </c>
    </row>
    <row r="328" spans="1:8">
      <c r="B328" t="s">
        <v>587</v>
      </c>
      <c r="C328" t="s">
        <v>165</v>
      </c>
      <c r="D328">
        <v>6296</v>
      </c>
      <c r="E328">
        <v>6302</v>
      </c>
      <c r="F328">
        <v>6270</v>
      </c>
      <c r="G328">
        <v>6282</v>
      </c>
      <c r="H328">
        <v>136000</v>
      </c>
    </row>
    <row r="329" spans="1:8">
      <c r="B329" t="s">
        <v>587</v>
      </c>
      <c r="C329" t="s">
        <v>67</v>
      </c>
      <c r="D329" t="s">
        <v>8</v>
      </c>
      <c r="E329" t="s">
        <v>8</v>
      </c>
      <c r="F329" t="s">
        <v>8</v>
      </c>
      <c r="G329" t="s">
        <v>8</v>
      </c>
      <c r="H329">
        <v>0</v>
      </c>
    </row>
    <row r="330" spans="1:8">
      <c r="B330" t="s">
        <v>587</v>
      </c>
      <c r="C330" t="s">
        <v>68</v>
      </c>
      <c r="D330" t="s">
        <v>8</v>
      </c>
      <c r="E330" t="s">
        <v>8</v>
      </c>
      <c r="F330" t="s">
        <v>8</v>
      </c>
      <c r="G330" t="s">
        <v>8</v>
      </c>
      <c r="H330">
        <v>0</v>
      </c>
    </row>
    <row r="331" spans="1:8">
      <c r="B331" t="s">
        <v>587</v>
      </c>
      <c r="C331" t="s">
        <v>69</v>
      </c>
      <c r="D331" t="s">
        <v>8</v>
      </c>
      <c r="E331" t="s">
        <v>8</v>
      </c>
      <c r="F331" t="s">
        <v>8</v>
      </c>
      <c r="G331" t="s">
        <v>8</v>
      </c>
      <c r="H331">
        <v>0</v>
      </c>
    </row>
    <row r="332" spans="1:8">
      <c r="B332" t="s">
        <v>587</v>
      </c>
      <c r="C332" t="s">
        <v>70</v>
      </c>
      <c r="D332" t="s">
        <v>8</v>
      </c>
      <c r="E332" t="s">
        <v>8</v>
      </c>
      <c r="F332" t="s">
        <v>8</v>
      </c>
      <c r="G332" t="s">
        <v>8</v>
      </c>
      <c r="H332">
        <v>0</v>
      </c>
    </row>
    <row r="333" spans="1:8">
      <c r="B333" t="s">
        <v>587</v>
      </c>
      <c r="C333" t="s">
        <v>71</v>
      </c>
      <c r="D333" t="s">
        <v>8</v>
      </c>
      <c r="E333" t="s">
        <v>8</v>
      </c>
      <c r="F333" t="s">
        <v>8</v>
      </c>
      <c r="G333" t="s">
        <v>8</v>
      </c>
      <c r="H333">
        <v>0</v>
      </c>
    </row>
    <row r="334" spans="1:8">
      <c r="B334" t="s">
        <v>587</v>
      </c>
      <c r="C334" t="s">
        <v>72</v>
      </c>
      <c r="D334">
        <v>6288</v>
      </c>
      <c r="E334">
        <v>6288</v>
      </c>
      <c r="F334">
        <v>6288</v>
      </c>
      <c r="G334">
        <v>6288</v>
      </c>
      <c r="H334">
        <v>303800</v>
      </c>
    </row>
    <row r="335" spans="1:8">
      <c r="A335" s="1" t="s">
        <v>79</v>
      </c>
      <c r="B335" s="1" t="s">
        <v>79</v>
      </c>
      <c r="C335" s="1" t="s">
        <v>79</v>
      </c>
      <c r="D335" s="1" t="s">
        <v>79</v>
      </c>
      <c r="E335" s="1" t="s">
        <v>79</v>
      </c>
      <c r="F335" s="1" t="s">
        <v>79</v>
      </c>
      <c r="G335" s="1" t="s">
        <v>79</v>
      </c>
      <c r="H335" s="1" t="s">
        <v>79</v>
      </c>
    </row>
    <row r="336" spans="1:8">
      <c r="B336" t="s">
        <v>442</v>
      </c>
      <c r="C336" t="s">
        <v>167</v>
      </c>
      <c r="D336">
        <v>5723</v>
      </c>
      <c r="E336">
        <v>5727</v>
      </c>
      <c r="F336">
        <v>5701</v>
      </c>
      <c r="G336">
        <v>5711</v>
      </c>
      <c r="H336">
        <v>154500</v>
      </c>
    </row>
    <row r="337" spans="2:8">
      <c r="B337" t="s">
        <v>442</v>
      </c>
      <c r="C337" t="s">
        <v>168</v>
      </c>
      <c r="D337">
        <v>5711</v>
      </c>
      <c r="E337">
        <v>5720</v>
      </c>
      <c r="F337">
        <v>5692</v>
      </c>
      <c r="G337">
        <v>5717</v>
      </c>
      <c r="H337">
        <v>196100</v>
      </c>
    </row>
    <row r="338" spans="2:8">
      <c r="B338" t="s">
        <v>442</v>
      </c>
      <c r="C338" t="s">
        <v>169</v>
      </c>
      <c r="D338">
        <v>5718</v>
      </c>
      <c r="E338">
        <v>5730</v>
      </c>
      <c r="F338">
        <v>5704</v>
      </c>
      <c r="G338">
        <v>5728</v>
      </c>
      <c r="H338">
        <v>83800</v>
      </c>
    </row>
    <row r="339" spans="2:8">
      <c r="B339" t="s">
        <v>442</v>
      </c>
      <c r="C339" t="s">
        <v>170</v>
      </c>
      <c r="D339">
        <v>5727</v>
      </c>
      <c r="E339">
        <v>5736</v>
      </c>
      <c r="F339">
        <v>5711</v>
      </c>
      <c r="G339">
        <v>5716</v>
      </c>
      <c r="H339">
        <v>72900</v>
      </c>
    </row>
    <row r="340" spans="2:8">
      <c r="B340" t="s">
        <v>442</v>
      </c>
      <c r="C340" t="s">
        <v>171</v>
      </c>
      <c r="D340">
        <v>5718</v>
      </c>
      <c r="E340">
        <v>5720</v>
      </c>
      <c r="F340">
        <v>5705</v>
      </c>
      <c r="G340">
        <v>5710</v>
      </c>
      <c r="H340">
        <v>68400</v>
      </c>
    </row>
    <row r="341" spans="2:8">
      <c r="B341" t="s">
        <v>442</v>
      </c>
      <c r="C341" t="s">
        <v>172</v>
      </c>
      <c r="D341">
        <v>5708</v>
      </c>
      <c r="E341">
        <v>5726</v>
      </c>
      <c r="F341">
        <v>5707</v>
      </c>
      <c r="G341">
        <v>5724</v>
      </c>
      <c r="H341">
        <v>55100</v>
      </c>
    </row>
    <row r="342" spans="2:8">
      <c r="B342" t="s">
        <v>442</v>
      </c>
      <c r="C342" t="s">
        <v>173</v>
      </c>
      <c r="D342">
        <v>5725</v>
      </c>
      <c r="E342">
        <v>5733</v>
      </c>
      <c r="F342">
        <v>5722</v>
      </c>
      <c r="G342">
        <v>5726</v>
      </c>
      <c r="H342">
        <v>59100</v>
      </c>
    </row>
    <row r="343" spans="2:8">
      <c r="B343" t="s">
        <v>442</v>
      </c>
      <c r="C343" t="s">
        <v>174</v>
      </c>
      <c r="D343">
        <v>5727</v>
      </c>
      <c r="E343">
        <v>5729</v>
      </c>
      <c r="F343">
        <v>5717</v>
      </c>
      <c r="G343">
        <v>5717</v>
      </c>
      <c r="H343">
        <v>44100</v>
      </c>
    </row>
    <row r="344" spans="2:8">
      <c r="B344" t="s">
        <v>442</v>
      </c>
      <c r="C344" t="s">
        <v>175</v>
      </c>
      <c r="D344">
        <v>5718</v>
      </c>
      <c r="E344">
        <v>5720</v>
      </c>
      <c r="F344">
        <v>5713</v>
      </c>
      <c r="G344">
        <v>5717</v>
      </c>
      <c r="H344">
        <v>37100</v>
      </c>
    </row>
    <row r="345" spans="2:8">
      <c r="B345" t="s">
        <v>442</v>
      </c>
      <c r="C345" t="s">
        <v>176</v>
      </c>
      <c r="D345">
        <v>5717</v>
      </c>
      <c r="E345">
        <v>5717</v>
      </c>
      <c r="F345">
        <v>5702</v>
      </c>
      <c r="G345">
        <v>5709</v>
      </c>
      <c r="H345">
        <v>77000</v>
      </c>
    </row>
    <row r="346" spans="2:8">
      <c r="B346" t="s">
        <v>442</v>
      </c>
      <c r="C346" t="s">
        <v>177</v>
      </c>
      <c r="D346">
        <v>5710</v>
      </c>
      <c r="E346">
        <v>5710</v>
      </c>
      <c r="F346">
        <v>5700</v>
      </c>
      <c r="G346">
        <v>5703</v>
      </c>
      <c r="H346">
        <v>44300</v>
      </c>
    </row>
    <row r="347" spans="2:8">
      <c r="B347" t="s">
        <v>442</v>
      </c>
      <c r="C347" t="s">
        <v>178</v>
      </c>
      <c r="D347">
        <v>5703</v>
      </c>
      <c r="E347">
        <v>5706</v>
      </c>
      <c r="F347">
        <v>5688</v>
      </c>
      <c r="G347">
        <v>5689</v>
      </c>
      <c r="H347">
        <v>89500</v>
      </c>
    </row>
    <row r="348" spans="2:8">
      <c r="B348" t="s">
        <v>442</v>
      </c>
      <c r="C348" t="s">
        <v>179</v>
      </c>
      <c r="D348">
        <v>5689</v>
      </c>
      <c r="E348">
        <v>5689</v>
      </c>
      <c r="F348">
        <v>5677</v>
      </c>
      <c r="G348">
        <v>5682</v>
      </c>
      <c r="H348">
        <v>88000</v>
      </c>
    </row>
    <row r="349" spans="2:8">
      <c r="B349" t="s">
        <v>442</v>
      </c>
      <c r="C349" t="s">
        <v>180</v>
      </c>
      <c r="D349">
        <v>5681</v>
      </c>
      <c r="E349">
        <v>5688</v>
      </c>
      <c r="F349">
        <v>5675</v>
      </c>
      <c r="G349">
        <v>5678</v>
      </c>
      <c r="H349">
        <v>74500</v>
      </c>
    </row>
    <row r="350" spans="2:8">
      <c r="B350" t="s">
        <v>442</v>
      </c>
      <c r="C350" t="s">
        <v>181</v>
      </c>
      <c r="D350">
        <v>5677</v>
      </c>
      <c r="E350">
        <v>5698</v>
      </c>
      <c r="F350">
        <v>5672</v>
      </c>
      <c r="G350">
        <v>5692</v>
      </c>
      <c r="H350">
        <v>140000</v>
      </c>
    </row>
    <row r="351" spans="2:8">
      <c r="B351" t="s">
        <v>442</v>
      </c>
      <c r="C351" t="s">
        <v>182</v>
      </c>
      <c r="D351">
        <v>5692</v>
      </c>
      <c r="E351">
        <v>5703</v>
      </c>
      <c r="F351">
        <v>5691</v>
      </c>
      <c r="G351">
        <v>5698</v>
      </c>
      <c r="H351">
        <v>71300</v>
      </c>
    </row>
    <row r="352" spans="2:8">
      <c r="B352" t="s">
        <v>442</v>
      </c>
      <c r="C352" t="s">
        <v>183</v>
      </c>
      <c r="D352">
        <v>5700</v>
      </c>
      <c r="E352">
        <v>5704</v>
      </c>
      <c r="F352">
        <v>5695</v>
      </c>
      <c r="G352">
        <v>5701</v>
      </c>
      <c r="H352">
        <v>42800</v>
      </c>
    </row>
    <row r="353" spans="2:8">
      <c r="B353" t="s">
        <v>442</v>
      </c>
      <c r="C353" t="s">
        <v>184</v>
      </c>
      <c r="D353">
        <v>5701</v>
      </c>
      <c r="E353">
        <v>5706</v>
      </c>
      <c r="F353">
        <v>5697</v>
      </c>
      <c r="G353">
        <v>5703</v>
      </c>
      <c r="H353">
        <v>35800</v>
      </c>
    </row>
    <row r="354" spans="2:8">
      <c r="B354" t="s">
        <v>442</v>
      </c>
      <c r="C354" t="s">
        <v>185</v>
      </c>
      <c r="D354">
        <v>5704</v>
      </c>
      <c r="E354">
        <v>5720</v>
      </c>
      <c r="F354">
        <v>5701</v>
      </c>
      <c r="G354">
        <v>5707</v>
      </c>
      <c r="H354">
        <v>75600</v>
      </c>
    </row>
    <row r="355" spans="2:8">
      <c r="B355" t="s">
        <v>442</v>
      </c>
      <c r="C355" t="s">
        <v>186</v>
      </c>
      <c r="D355">
        <v>5708</v>
      </c>
      <c r="E355">
        <v>5722</v>
      </c>
      <c r="F355">
        <v>5708</v>
      </c>
      <c r="G355">
        <v>5717</v>
      </c>
      <c r="H355">
        <v>73200</v>
      </c>
    </row>
    <row r="356" spans="2:8">
      <c r="B356" t="s">
        <v>442</v>
      </c>
      <c r="C356" t="s">
        <v>187</v>
      </c>
      <c r="D356">
        <v>5717</v>
      </c>
      <c r="E356">
        <v>5722</v>
      </c>
      <c r="F356">
        <v>5708</v>
      </c>
      <c r="G356">
        <v>5709</v>
      </c>
      <c r="H356">
        <v>45500</v>
      </c>
    </row>
    <row r="357" spans="2:8">
      <c r="B357" t="s">
        <v>442</v>
      </c>
      <c r="C357" t="s">
        <v>188</v>
      </c>
      <c r="D357">
        <v>5710</v>
      </c>
      <c r="E357">
        <v>5740</v>
      </c>
      <c r="F357">
        <v>5710</v>
      </c>
      <c r="G357">
        <v>5731</v>
      </c>
      <c r="H357">
        <v>108700</v>
      </c>
    </row>
    <row r="358" spans="2:8">
      <c r="B358" t="s">
        <v>442</v>
      </c>
      <c r="C358" t="s">
        <v>189</v>
      </c>
      <c r="D358">
        <v>5731</v>
      </c>
      <c r="E358">
        <v>5735</v>
      </c>
      <c r="F358">
        <v>5722</v>
      </c>
      <c r="G358">
        <v>5727</v>
      </c>
      <c r="H358">
        <v>60900</v>
      </c>
    </row>
    <row r="359" spans="2:8">
      <c r="B359" t="s">
        <v>442</v>
      </c>
      <c r="C359" t="s">
        <v>190</v>
      </c>
      <c r="D359">
        <v>5727</v>
      </c>
      <c r="E359">
        <v>5728</v>
      </c>
      <c r="F359">
        <v>5721</v>
      </c>
      <c r="G359">
        <v>5726</v>
      </c>
      <c r="H359">
        <v>28700</v>
      </c>
    </row>
    <row r="360" spans="2:8">
      <c r="B360" t="s">
        <v>442</v>
      </c>
      <c r="C360" t="s">
        <v>191</v>
      </c>
      <c r="D360">
        <v>5726</v>
      </c>
      <c r="E360">
        <v>5735</v>
      </c>
      <c r="F360">
        <v>5720</v>
      </c>
      <c r="G360">
        <v>5734</v>
      </c>
      <c r="H360">
        <v>59300</v>
      </c>
    </row>
    <row r="361" spans="2:8">
      <c r="B361" t="s">
        <v>442</v>
      </c>
      <c r="C361" t="s">
        <v>192</v>
      </c>
      <c r="D361">
        <v>5734</v>
      </c>
      <c r="E361">
        <v>5739</v>
      </c>
      <c r="F361">
        <v>5731</v>
      </c>
      <c r="G361">
        <v>5736</v>
      </c>
      <c r="H361">
        <v>52800</v>
      </c>
    </row>
    <row r="362" spans="2:8">
      <c r="B362" t="s">
        <v>442</v>
      </c>
      <c r="C362" t="s">
        <v>193</v>
      </c>
      <c r="D362">
        <v>5736</v>
      </c>
      <c r="E362">
        <v>5752</v>
      </c>
      <c r="F362">
        <v>5735</v>
      </c>
      <c r="G362">
        <v>5741</v>
      </c>
      <c r="H362">
        <v>99700</v>
      </c>
    </row>
    <row r="363" spans="2:8">
      <c r="B363" t="s">
        <v>442</v>
      </c>
      <c r="C363" t="s">
        <v>194</v>
      </c>
      <c r="D363">
        <v>5740</v>
      </c>
      <c r="E363">
        <v>5746</v>
      </c>
      <c r="F363">
        <v>5737</v>
      </c>
      <c r="G363">
        <v>5738</v>
      </c>
      <c r="H363">
        <v>41900</v>
      </c>
    </row>
    <row r="364" spans="2:8">
      <c r="B364" t="s">
        <v>442</v>
      </c>
      <c r="C364" t="s">
        <v>195</v>
      </c>
      <c r="D364">
        <v>5738</v>
      </c>
      <c r="E364">
        <v>5754</v>
      </c>
      <c r="F364">
        <v>5733</v>
      </c>
      <c r="G364">
        <v>5752</v>
      </c>
      <c r="H364">
        <v>53000</v>
      </c>
    </row>
    <row r="365" spans="2:8">
      <c r="B365" t="s">
        <v>442</v>
      </c>
      <c r="C365" t="s">
        <v>196</v>
      </c>
      <c r="D365">
        <v>5752</v>
      </c>
      <c r="E365">
        <v>5753</v>
      </c>
      <c r="F365">
        <v>5728</v>
      </c>
      <c r="G365">
        <v>5744</v>
      </c>
      <c r="H365">
        <v>72000</v>
      </c>
    </row>
    <row r="366" spans="2:8">
      <c r="B366" t="s">
        <v>442</v>
      </c>
      <c r="C366" t="s">
        <v>197</v>
      </c>
      <c r="D366">
        <v>5744</v>
      </c>
      <c r="E366">
        <v>5760</v>
      </c>
      <c r="F366">
        <v>5740</v>
      </c>
      <c r="G366">
        <v>5752</v>
      </c>
      <c r="H366">
        <v>99500</v>
      </c>
    </row>
    <row r="367" spans="2:8">
      <c r="B367" t="s">
        <v>442</v>
      </c>
      <c r="C367" t="s">
        <v>198</v>
      </c>
      <c r="D367">
        <v>5754</v>
      </c>
      <c r="E367">
        <v>5788</v>
      </c>
      <c r="F367">
        <v>5754</v>
      </c>
      <c r="G367">
        <v>5783</v>
      </c>
      <c r="H367">
        <v>170300</v>
      </c>
    </row>
    <row r="368" spans="2:8">
      <c r="B368" t="s">
        <v>442</v>
      </c>
      <c r="C368" t="s">
        <v>199</v>
      </c>
      <c r="D368">
        <v>5784</v>
      </c>
      <c r="E368">
        <v>5798</v>
      </c>
      <c r="F368">
        <v>5779</v>
      </c>
      <c r="G368">
        <v>5783</v>
      </c>
      <c r="H368">
        <v>144800</v>
      </c>
    </row>
    <row r="369" spans="2:8">
      <c r="B369" t="s">
        <v>442</v>
      </c>
      <c r="C369" t="s">
        <v>200</v>
      </c>
      <c r="D369">
        <v>5783</v>
      </c>
      <c r="E369">
        <v>5789</v>
      </c>
      <c r="F369">
        <v>5777</v>
      </c>
      <c r="G369">
        <v>5786</v>
      </c>
      <c r="H369">
        <v>81900</v>
      </c>
    </row>
    <row r="370" spans="2:8">
      <c r="B370" t="s">
        <v>442</v>
      </c>
      <c r="C370" t="s">
        <v>201</v>
      </c>
      <c r="D370">
        <v>5787</v>
      </c>
      <c r="E370">
        <v>5790</v>
      </c>
      <c r="F370">
        <v>5777</v>
      </c>
      <c r="G370">
        <v>5781</v>
      </c>
      <c r="H370">
        <v>77500</v>
      </c>
    </row>
    <row r="371" spans="2:8">
      <c r="B371" t="s">
        <v>442</v>
      </c>
      <c r="C371" t="s">
        <v>202</v>
      </c>
      <c r="D371">
        <v>5781</v>
      </c>
      <c r="E371">
        <v>5783</v>
      </c>
      <c r="F371">
        <v>5764</v>
      </c>
      <c r="G371">
        <v>5782</v>
      </c>
      <c r="H371">
        <v>132400</v>
      </c>
    </row>
    <row r="372" spans="2:8">
      <c r="B372" t="s">
        <v>442</v>
      </c>
      <c r="C372" t="s">
        <v>203</v>
      </c>
      <c r="D372">
        <v>5780</v>
      </c>
      <c r="E372">
        <v>5786</v>
      </c>
      <c r="F372">
        <v>5766</v>
      </c>
      <c r="G372">
        <v>5767</v>
      </c>
      <c r="H372">
        <v>64400</v>
      </c>
    </row>
    <row r="373" spans="2:8">
      <c r="B373" t="s">
        <v>442</v>
      </c>
      <c r="C373" t="s">
        <v>204</v>
      </c>
      <c r="D373">
        <v>5767</v>
      </c>
      <c r="E373">
        <v>5776</v>
      </c>
      <c r="F373">
        <v>5760</v>
      </c>
      <c r="G373">
        <v>5769</v>
      </c>
      <c r="H373">
        <v>80800</v>
      </c>
    </row>
    <row r="374" spans="2:8">
      <c r="B374" t="s">
        <v>442</v>
      </c>
      <c r="C374" t="s">
        <v>205</v>
      </c>
      <c r="D374">
        <v>5769</v>
      </c>
      <c r="E374">
        <v>5771</v>
      </c>
      <c r="F374">
        <v>5751</v>
      </c>
      <c r="G374">
        <v>5759</v>
      </c>
      <c r="H374">
        <v>94300</v>
      </c>
    </row>
    <row r="375" spans="2:8">
      <c r="B375" t="s">
        <v>442</v>
      </c>
      <c r="C375" t="s">
        <v>206</v>
      </c>
      <c r="D375">
        <v>5759</v>
      </c>
      <c r="E375">
        <v>5764</v>
      </c>
      <c r="F375">
        <v>5755</v>
      </c>
      <c r="G375">
        <v>5762</v>
      </c>
      <c r="H375">
        <v>43600</v>
      </c>
    </row>
    <row r="376" spans="2:8">
      <c r="B376" t="s">
        <v>442</v>
      </c>
      <c r="C376" t="s">
        <v>207</v>
      </c>
      <c r="D376">
        <v>5762</v>
      </c>
      <c r="E376">
        <v>5783</v>
      </c>
      <c r="F376">
        <v>5758</v>
      </c>
      <c r="G376">
        <v>5779</v>
      </c>
      <c r="H376">
        <v>99000</v>
      </c>
    </row>
    <row r="377" spans="2:8">
      <c r="B377" t="s">
        <v>442</v>
      </c>
      <c r="C377" t="s">
        <v>208</v>
      </c>
      <c r="D377">
        <v>5779</v>
      </c>
      <c r="E377">
        <v>5814</v>
      </c>
      <c r="F377">
        <v>5776</v>
      </c>
      <c r="G377">
        <v>5808</v>
      </c>
      <c r="H377">
        <v>155300</v>
      </c>
    </row>
    <row r="378" spans="2:8">
      <c r="B378" t="s">
        <v>442</v>
      </c>
      <c r="C378" t="s">
        <v>209</v>
      </c>
      <c r="D378">
        <v>5808</v>
      </c>
      <c r="E378">
        <v>5827</v>
      </c>
      <c r="F378">
        <v>5808</v>
      </c>
      <c r="G378">
        <v>5820</v>
      </c>
      <c r="H378">
        <v>164900</v>
      </c>
    </row>
    <row r="379" spans="2:8">
      <c r="B379" t="s">
        <v>442</v>
      </c>
      <c r="C379" t="s">
        <v>210</v>
      </c>
      <c r="D379">
        <v>5817</v>
      </c>
      <c r="E379">
        <v>5834</v>
      </c>
      <c r="F379">
        <v>5813</v>
      </c>
      <c r="G379">
        <v>5826</v>
      </c>
      <c r="H379">
        <v>162000</v>
      </c>
    </row>
    <row r="380" spans="2:8">
      <c r="B380" t="s">
        <v>442</v>
      </c>
      <c r="C380" t="s">
        <v>211</v>
      </c>
      <c r="D380">
        <v>5826</v>
      </c>
      <c r="E380">
        <v>5830</v>
      </c>
      <c r="F380">
        <v>5818</v>
      </c>
      <c r="G380">
        <v>5825</v>
      </c>
      <c r="H380">
        <v>98600</v>
      </c>
    </row>
    <row r="381" spans="2:8">
      <c r="B381" t="s">
        <v>442</v>
      </c>
      <c r="C381" t="s">
        <v>212</v>
      </c>
      <c r="D381">
        <v>5823</v>
      </c>
      <c r="E381">
        <v>5840</v>
      </c>
      <c r="F381">
        <v>5821</v>
      </c>
      <c r="G381">
        <v>5835</v>
      </c>
      <c r="H381">
        <v>147100</v>
      </c>
    </row>
    <row r="382" spans="2:8">
      <c r="B382" t="s">
        <v>442</v>
      </c>
      <c r="C382" t="s">
        <v>213</v>
      </c>
      <c r="D382">
        <v>5834</v>
      </c>
      <c r="E382">
        <v>5835</v>
      </c>
      <c r="F382">
        <v>5821</v>
      </c>
      <c r="G382">
        <v>5826</v>
      </c>
      <c r="H382">
        <v>71100</v>
      </c>
    </row>
    <row r="383" spans="2:8">
      <c r="B383" t="s">
        <v>442</v>
      </c>
      <c r="C383" t="s">
        <v>214</v>
      </c>
      <c r="D383">
        <v>5825</v>
      </c>
      <c r="E383">
        <v>5825</v>
      </c>
      <c r="F383">
        <v>5813</v>
      </c>
      <c r="G383">
        <v>5814</v>
      </c>
      <c r="H383">
        <v>75400</v>
      </c>
    </row>
    <row r="384" spans="2:8">
      <c r="B384" t="s">
        <v>442</v>
      </c>
      <c r="C384" t="s">
        <v>215</v>
      </c>
      <c r="D384">
        <v>5814</v>
      </c>
      <c r="E384">
        <v>5817</v>
      </c>
      <c r="F384">
        <v>5803</v>
      </c>
      <c r="G384">
        <v>5814</v>
      </c>
      <c r="H384">
        <v>108500</v>
      </c>
    </row>
    <row r="385" spans="2:8">
      <c r="B385" t="s">
        <v>442</v>
      </c>
      <c r="C385" t="s">
        <v>216</v>
      </c>
      <c r="D385">
        <v>5815</v>
      </c>
      <c r="E385">
        <v>5829</v>
      </c>
      <c r="F385">
        <v>5815</v>
      </c>
      <c r="G385">
        <v>5823</v>
      </c>
      <c r="H385">
        <v>88200</v>
      </c>
    </row>
    <row r="386" spans="2:8">
      <c r="B386" t="s">
        <v>442</v>
      </c>
      <c r="C386" t="s">
        <v>217</v>
      </c>
      <c r="D386">
        <v>5823</v>
      </c>
      <c r="E386">
        <v>5823</v>
      </c>
      <c r="F386">
        <v>5796</v>
      </c>
      <c r="G386">
        <v>5803</v>
      </c>
      <c r="H386">
        <v>148700</v>
      </c>
    </row>
    <row r="387" spans="2:8">
      <c r="B387" t="s">
        <v>442</v>
      </c>
      <c r="C387" t="s">
        <v>218</v>
      </c>
      <c r="D387">
        <v>5802</v>
      </c>
      <c r="E387">
        <v>5814</v>
      </c>
      <c r="F387">
        <v>5797</v>
      </c>
      <c r="G387">
        <v>5809</v>
      </c>
      <c r="H387">
        <v>64500</v>
      </c>
    </row>
    <row r="388" spans="2:8">
      <c r="B388" t="s">
        <v>442</v>
      </c>
      <c r="C388" t="s">
        <v>219</v>
      </c>
      <c r="D388">
        <v>5810</v>
      </c>
      <c r="E388">
        <v>5814</v>
      </c>
      <c r="F388">
        <v>5800</v>
      </c>
      <c r="G388">
        <v>5803</v>
      </c>
      <c r="H388">
        <v>52200</v>
      </c>
    </row>
    <row r="389" spans="2:8">
      <c r="B389" t="s">
        <v>442</v>
      </c>
      <c r="C389" t="s">
        <v>220</v>
      </c>
      <c r="D389">
        <v>5803</v>
      </c>
      <c r="E389">
        <v>5811</v>
      </c>
      <c r="F389">
        <v>5782</v>
      </c>
      <c r="G389">
        <v>5790</v>
      </c>
      <c r="H389">
        <v>102600</v>
      </c>
    </row>
    <row r="390" spans="2:8">
      <c r="B390" t="s">
        <v>442</v>
      </c>
      <c r="C390" t="s">
        <v>221</v>
      </c>
      <c r="D390">
        <v>5789</v>
      </c>
      <c r="E390">
        <v>5810</v>
      </c>
      <c r="F390">
        <v>5789</v>
      </c>
      <c r="G390">
        <v>5802</v>
      </c>
      <c r="H390">
        <v>65200</v>
      </c>
    </row>
    <row r="391" spans="2:8">
      <c r="B391" t="s">
        <v>442</v>
      </c>
      <c r="C391" t="s">
        <v>222</v>
      </c>
      <c r="D391">
        <v>5801</v>
      </c>
      <c r="E391">
        <v>5811</v>
      </c>
      <c r="F391">
        <v>5800</v>
      </c>
      <c r="G391">
        <v>5811</v>
      </c>
      <c r="H391">
        <v>44600</v>
      </c>
    </row>
    <row r="392" spans="2:8">
      <c r="B392" t="s">
        <v>442</v>
      </c>
      <c r="C392" t="s">
        <v>223</v>
      </c>
      <c r="D392">
        <v>5811</v>
      </c>
      <c r="E392">
        <v>5813</v>
      </c>
      <c r="F392">
        <v>5804</v>
      </c>
      <c r="G392">
        <v>5807</v>
      </c>
      <c r="H392">
        <v>56300</v>
      </c>
    </row>
    <row r="393" spans="2:8">
      <c r="B393" t="s">
        <v>442</v>
      </c>
      <c r="C393" t="s">
        <v>224</v>
      </c>
      <c r="D393">
        <v>5805</v>
      </c>
      <c r="E393">
        <v>5817</v>
      </c>
      <c r="F393">
        <v>5805</v>
      </c>
      <c r="G393">
        <v>5811</v>
      </c>
      <c r="H393">
        <v>35700</v>
      </c>
    </row>
    <row r="394" spans="2:8">
      <c r="B394" t="s">
        <v>442</v>
      </c>
      <c r="C394" t="s">
        <v>225</v>
      </c>
      <c r="D394">
        <v>5810</v>
      </c>
      <c r="E394">
        <v>5834</v>
      </c>
      <c r="F394">
        <v>5808</v>
      </c>
      <c r="G394">
        <v>5833</v>
      </c>
      <c r="H394">
        <v>78300</v>
      </c>
    </row>
    <row r="395" spans="2:8">
      <c r="B395" t="s">
        <v>442</v>
      </c>
      <c r="C395" t="s">
        <v>226</v>
      </c>
      <c r="D395">
        <v>5833</v>
      </c>
      <c r="E395">
        <v>5856</v>
      </c>
      <c r="F395">
        <v>5832</v>
      </c>
      <c r="G395">
        <v>5842</v>
      </c>
      <c r="H395">
        <v>181000</v>
      </c>
    </row>
    <row r="396" spans="2:8">
      <c r="B396" t="s">
        <v>442</v>
      </c>
      <c r="C396" t="s">
        <v>227</v>
      </c>
      <c r="D396">
        <v>5842</v>
      </c>
      <c r="E396">
        <v>5844</v>
      </c>
      <c r="F396">
        <v>5822</v>
      </c>
      <c r="G396">
        <v>5823</v>
      </c>
      <c r="H396">
        <v>100400</v>
      </c>
    </row>
    <row r="397" spans="2:8">
      <c r="B397" t="s">
        <v>442</v>
      </c>
      <c r="C397" t="s">
        <v>228</v>
      </c>
      <c r="D397">
        <v>5822</v>
      </c>
      <c r="E397">
        <v>5832</v>
      </c>
      <c r="F397">
        <v>5810</v>
      </c>
      <c r="G397">
        <v>5813</v>
      </c>
      <c r="H397">
        <v>112600</v>
      </c>
    </row>
    <row r="398" spans="2:8">
      <c r="B398" t="s">
        <v>442</v>
      </c>
      <c r="C398" t="s">
        <v>229</v>
      </c>
      <c r="D398">
        <v>5812</v>
      </c>
      <c r="E398">
        <v>5821</v>
      </c>
      <c r="F398">
        <v>5810</v>
      </c>
      <c r="G398">
        <v>5819</v>
      </c>
      <c r="H398">
        <v>60400</v>
      </c>
    </row>
    <row r="399" spans="2:8">
      <c r="B399" t="s">
        <v>442</v>
      </c>
      <c r="C399" t="s">
        <v>230</v>
      </c>
      <c r="D399">
        <v>5818</v>
      </c>
      <c r="E399">
        <v>5818</v>
      </c>
      <c r="F399">
        <v>5800</v>
      </c>
      <c r="G399">
        <v>5809</v>
      </c>
      <c r="H399">
        <v>96800</v>
      </c>
    </row>
    <row r="400" spans="2:8">
      <c r="B400" t="s">
        <v>442</v>
      </c>
      <c r="C400" t="s">
        <v>231</v>
      </c>
      <c r="D400">
        <v>5809</v>
      </c>
      <c r="E400">
        <v>5813</v>
      </c>
      <c r="F400">
        <v>5799</v>
      </c>
      <c r="G400">
        <v>5804</v>
      </c>
      <c r="H400">
        <v>62900</v>
      </c>
    </row>
    <row r="401" spans="2:8">
      <c r="B401" t="s">
        <v>442</v>
      </c>
      <c r="C401" t="s">
        <v>232</v>
      </c>
      <c r="D401">
        <v>5804</v>
      </c>
      <c r="E401">
        <v>5820</v>
      </c>
      <c r="F401">
        <v>5797</v>
      </c>
      <c r="G401">
        <v>5812</v>
      </c>
      <c r="H401">
        <v>90500</v>
      </c>
    </row>
    <row r="402" spans="2:8">
      <c r="B402" t="s">
        <v>442</v>
      </c>
      <c r="C402" t="s">
        <v>233</v>
      </c>
      <c r="D402">
        <v>5811</v>
      </c>
      <c r="E402">
        <v>5820</v>
      </c>
      <c r="F402">
        <v>5805</v>
      </c>
      <c r="G402">
        <v>5818</v>
      </c>
      <c r="H402">
        <v>57700</v>
      </c>
    </row>
    <row r="403" spans="2:8">
      <c r="B403" t="s">
        <v>442</v>
      </c>
      <c r="C403" t="s">
        <v>234</v>
      </c>
      <c r="D403">
        <v>5816</v>
      </c>
      <c r="E403">
        <v>5830</v>
      </c>
      <c r="F403">
        <v>5816</v>
      </c>
      <c r="G403">
        <v>5829</v>
      </c>
      <c r="H403">
        <v>74700</v>
      </c>
    </row>
    <row r="404" spans="2:8">
      <c r="B404" t="s">
        <v>442</v>
      </c>
      <c r="C404" t="s">
        <v>235</v>
      </c>
      <c r="D404">
        <v>5828</v>
      </c>
      <c r="E404">
        <v>5829</v>
      </c>
      <c r="F404">
        <v>5816</v>
      </c>
      <c r="G404">
        <v>5821</v>
      </c>
      <c r="H404">
        <v>47100</v>
      </c>
    </row>
    <row r="405" spans="2:8">
      <c r="B405" t="s">
        <v>442</v>
      </c>
      <c r="C405" t="s">
        <v>236</v>
      </c>
      <c r="D405">
        <v>5822</v>
      </c>
      <c r="E405">
        <v>5828</v>
      </c>
      <c r="F405">
        <v>5820</v>
      </c>
      <c r="G405">
        <v>5824</v>
      </c>
      <c r="H405">
        <v>31500</v>
      </c>
    </row>
    <row r="406" spans="2:8">
      <c r="B406" t="s">
        <v>442</v>
      </c>
      <c r="C406" t="s">
        <v>237</v>
      </c>
      <c r="D406">
        <v>5824</v>
      </c>
      <c r="E406">
        <v>5827</v>
      </c>
      <c r="F406">
        <v>5817</v>
      </c>
      <c r="G406">
        <v>5818</v>
      </c>
      <c r="H406">
        <v>41300</v>
      </c>
    </row>
    <row r="407" spans="2:8">
      <c r="B407" t="s">
        <v>442</v>
      </c>
      <c r="C407" t="s">
        <v>238</v>
      </c>
      <c r="D407">
        <v>5818</v>
      </c>
      <c r="E407">
        <v>5827</v>
      </c>
      <c r="F407">
        <v>5818</v>
      </c>
      <c r="G407">
        <v>5824</v>
      </c>
      <c r="H407">
        <v>19200</v>
      </c>
    </row>
    <row r="408" spans="2:8">
      <c r="B408" t="s">
        <v>442</v>
      </c>
      <c r="C408" t="s">
        <v>239</v>
      </c>
      <c r="D408">
        <v>5823</v>
      </c>
      <c r="E408">
        <v>5836</v>
      </c>
      <c r="F408">
        <v>5821</v>
      </c>
      <c r="G408">
        <v>5821</v>
      </c>
      <c r="H408">
        <v>66200</v>
      </c>
    </row>
    <row r="409" spans="2:8">
      <c r="B409" t="s">
        <v>442</v>
      </c>
      <c r="C409" t="s">
        <v>240</v>
      </c>
      <c r="D409">
        <v>5822</v>
      </c>
      <c r="E409">
        <v>5822</v>
      </c>
      <c r="F409">
        <v>5814</v>
      </c>
      <c r="G409">
        <v>5815</v>
      </c>
      <c r="H409">
        <v>35700</v>
      </c>
    </row>
    <row r="410" spans="2:8">
      <c r="B410" t="s">
        <v>442</v>
      </c>
      <c r="C410" t="s">
        <v>241</v>
      </c>
      <c r="D410">
        <v>5815</v>
      </c>
      <c r="E410">
        <v>5830</v>
      </c>
      <c r="F410">
        <v>5815</v>
      </c>
      <c r="G410">
        <v>5829</v>
      </c>
      <c r="H410">
        <v>68400</v>
      </c>
    </row>
    <row r="411" spans="2:8">
      <c r="B411" t="s">
        <v>442</v>
      </c>
      <c r="C411" t="s">
        <v>242</v>
      </c>
      <c r="D411">
        <v>5827</v>
      </c>
      <c r="E411">
        <v>5833</v>
      </c>
      <c r="F411">
        <v>5826</v>
      </c>
      <c r="G411">
        <v>5832</v>
      </c>
      <c r="H411">
        <v>30800</v>
      </c>
    </row>
    <row r="412" spans="2:8">
      <c r="B412" t="s">
        <v>442</v>
      </c>
      <c r="C412" t="s">
        <v>243</v>
      </c>
      <c r="D412">
        <v>5832</v>
      </c>
      <c r="E412">
        <v>5843</v>
      </c>
      <c r="F412">
        <v>5831</v>
      </c>
      <c r="G412">
        <v>5837</v>
      </c>
      <c r="H412">
        <v>60000</v>
      </c>
    </row>
    <row r="413" spans="2:8">
      <c r="B413" t="s">
        <v>442</v>
      </c>
      <c r="C413" t="s">
        <v>244</v>
      </c>
      <c r="D413">
        <v>5837</v>
      </c>
      <c r="E413">
        <v>5860</v>
      </c>
      <c r="F413">
        <v>5837</v>
      </c>
      <c r="G413">
        <v>5847</v>
      </c>
      <c r="H413">
        <v>141100</v>
      </c>
    </row>
    <row r="414" spans="2:8">
      <c r="B414" t="s">
        <v>442</v>
      </c>
      <c r="C414" t="s">
        <v>245</v>
      </c>
      <c r="D414">
        <v>5846</v>
      </c>
      <c r="E414">
        <v>5848</v>
      </c>
      <c r="F414">
        <v>5840</v>
      </c>
      <c r="G414">
        <v>5843</v>
      </c>
      <c r="H414">
        <v>37700</v>
      </c>
    </row>
    <row r="415" spans="2:8">
      <c r="B415" t="s">
        <v>442</v>
      </c>
      <c r="C415" t="s">
        <v>246</v>
      </c>
      <c r="D415">
        <v>5844</v>
      </c>
      <c r="E415">
        <v>5851</v>
      </c>
      <c r="F415">
        <v>5840</v>
      </c>
      <c r="G415">
        <v>5848</v>
      </c>
      <c r="H415">
        <v>60600</v>
      </c>
    </row>
    <row r="416" spans="2:8">
      <c r="B416" t="s">
        <v>442</v>
      </c>
      <c r="C416" t="s">
        <v>247</v>
      </c>
      <c r="D416">
        <v>5849</v>
      </c>
      <c r="E416">
        <v>5850</v>
      </c>
      <c r="F416">
        <v>5841</v>
      </c>
      <c r="G416">
        <v>5846</v>
      </c>
      <c r="H416">
        <v>47800</v>
      </c>
    </row>
    <row r="417" spans="2:8">
      <c r="B417" t="s">
        <v>442</v>
      </c>
      <c r="C417" t="s">
        <v>248</v>
      </c>
      <c r="D417">
        <v>5847</v>
      </c>
      <c r="E417">
        <v>5857</v>
      </c>
      <c r="F417">
        <v>5835</v>
      </c>
      <c r="G417">
        <v>5840</v>
      </c>
      <c r="H417">
        <v>116500</v>
      </c>
    </row>
    <row r="418" spans="2:8">
      <c r="B418" t="s">
        <v>442</v>
      </c>
      <c r="C418" t="s">
        <v>249</v>
      </c>
      <c r="D418">
        <v>5841</v>
      </c>
      <c r="E418">
        <v>5841</v>
      </c>
      <c r="F418">
        <v>5835</v>
      </c>
      <c r="G418">
        <v>5840</v>
      </c>
      <c r="H418">
        <v>46800</v>
      </c>
    </row>
    <row r="419" spans="2:8">
      <c r="B419" t="s">
        <v>442</v>
      </c>
      <c r="C419" t="s">
        <v>250</v>
      </c>
      <c r="D419">
        <v>5841</v>
      </c>
      <c r="E419">
        <v>5854</v>
      </c>
      <c r="F419">
        <v>5841</v>
      </c>
      <c r="G419">
        <v>5850</v>
      </c>
      <c r="H419">
        <v>53600</v>
      </c>
    </row>
    <row r="420" spans="2:8">
      <c r="B420" t="s">
        <v>442</v>
      </c>
      <c r="C420" t="s">
        <v>251</v>
      </c>
      <c r="D420">
        <v>5851</v>
      </c>
      <c r="E420">
        <v>5854</v>
      </c>
      <c r="F420">
        <v>5846</v>
      </c>
      <c r="G420">
        <v>5851</v>
      </c>
      <c r="H420">
        <v>27900</v>
      </c>
    </row>
    <row r="421" spans="2:8">
      <c r="B421" t="s">
        <v>442</v>
      </c>
      <c r="C421" t="s">
        <v>252</v>
      </c>
      <c r="D421">
        <v>5851</v>
      </c>
      <c r="E421">
        <v>5859</v>
      </c>
      <c r="F421">
        <v>5850</v>
      </c>
      <c r="G421">
        <v>5857</v>
      </c>
      <c r="H421">
        <v>45300</v>
      </c>
    </row>
    <row r="422" spans="2:8">
      <c r="B422" t="s">
        <v>442</v>
      </c>
      <c r="C422" t="s">
        <v>253</v>
      </c>
      <c r="D422">
        <v>5856</v>
      </c>
      <c r="E422">
        <v>5857</v>
      </c>
      <c r="F422">
        <v>5853</v>
      </c>
      <c r="G422">
        <v>5857</v>
      </c>
      <c r="H422">
        <v>41900</v>
      </c>
    </row>
    <row r="423" spans="2:8">
      <c r="B423" t="s">
        <v>442</v>
      </c>
      <c r="C423" t="s">
        <v>254</v>
      </c>
      <c r="D423">
        <v>5857</v>
      </c>
      <c r="E423">
        <v>5865</v>
      </c>
      <c r="F423">
        <v>5855</v>
      </c>
      <c r="G423">
        <v>5862</v>
      </c>
      <c r="H423">
        <v>79300</v>
      </c>
    </row>
    <row r="424" spans="2:8">
      <c r="B424" t="s">
        <v>442</v>
      </c>
      <c r="C424" t="s">
        <v>255</v>
      </c>
      <c r="D424">
        <v>5862</v>
      </c>
      <c r="E424">
        <v>5862</v>
      </c>
      <c r="F424">
        <v>5848</v>
      </c>
      <c r="G424">
        <v>5848</v>
      </c>
      <c r="H424">
        <v>88500</v>
      </c>
    </row>
    <row r="425" spans="2:8">
      <c r="B425" t="s">
        <v>442</v>
      </c>
      <c r="C425" t="s">
        <v>256</v>
      </c>
      <c r="D425">
        <v>5848</v>
      </c>
      <c r="E425">
        <v>5848</v>
      </c>
      <c r="F425">
        <v>5837</v>
      </c>
      <c r="G425">
        <v>5842</v>
      </c>
      <c r="H425">
        <v>99300</v>
      </c>
    </row>
    <row r="426" spans="2:8">
      <c r="B426" t="s">
        <v>442</v>
      </c>
      <c r="C426" t="s">
        <v>257</v>
      </c>
      <c r="D426">
        <v>5842</v>
      </c>
      <c r="E426">
        <v>5848</v>
      </c>
      <c r="F426">
        <v>5841</v>
      </c>
      <c r="G426">
        <v>5843</v>
      </c>
      <c r="H426">
        <v>25100</v>
      </c>
    </row>
    <row r="427" spans="2:8">
      <c r="B427" t="s">
        <v>442</v>
      </c>
      <c r="C427" t="s">
        <v>258</v>
      </c>
      <c r="D427">
        <v>5843</v>
      </c>
      <c r="E427">
        <v>5846</v>
      </c>
      <c r="F427">
        <v>5841</v>
      </c>
      <c r="G427">
        <v>5844</v>
      </c>
      <c r="H427">
        <v>33800</v>
      </c>
    </row>
    <row r="428" spans="2:8">
      <c r="B428" t="s">
        <v>442</v>
      </c>
      <c r="C428" t="s">
        <v>259</v>
      </c>
      <c r="D428">
        <v>5842</v>
      </c>
      <c r="E428">
        <v>5849</v>
      </c>
      <c r="F428">
        <v>5842</v>
      </c>
      <c r="G428">
        <v>5847</v>
      </c>
      <c r="H428">
        <v>21300</v>
      </c>
    </row>
    <row r="429" spans="2:8">
      <c r="B429" t="s">
        <v>442</v>
      </c>
      <c r="C429" t="s">
        <v>260</v>
      </c>
      <c r="D429">
        <v>5847</v>
      </c>
      <c r="E429">
        <v>5851</v>
      </c>
      <c r="F429">
        <v>5831</v>
      </c>
      <c r="G429">
        <v>5834</v>
      </c>
      <c r="H429">
        <v>81700</v>
      </c>
    </row>
    <row r="430" spans="2:8">
      <c r="B430" t="s">
        <v>442</v>
      </c>
      <c r="C430" t="s">
        <v>261</v>
      </c>
      <c r="D430">
        <v>5834</v>
      </c>
      <c r="E430">
        <v>5838</v>
      </c>
      <c r="F430">
        <v>5828</v>
      </c>
      <c r="G430">
        <v>5837</v>
      </c>
      <c r="H430">
        <v>65500</v>
      </c>
    </row>
    <row r="431" spans="2:8">
      <c r="B431" t="s">
        <v>442</v>
      </c>
      <c r="C431" t="s">
        <v>262</v>
      </c>
      <c r="D431">
        <v>5838</v>
      </c>
      <c r="E431">
        <v>5839</v>
      </c>
      <c r="F431">
        <v>5831</v>
      </c>
      <c r="G431">
        <v>5832</v>
      </c>
      <c r="H431">
        <v>33200</v>
      </c>
    </row>
    <row r="432" spans="2:8">
      <c r="B432" t="s">
        <v>442</v>
      </c>
      <c r="C432" t="s">
        <v>263</v>
      </c>
      <c r="D432">
        <v>5832</v>
      </c>
      <c r="E432">
        <v>5838</v>
      </c>
      <c r="F432">
        <v>5824</v>
      </c>
      <c r="G432">
        <v>5828</v>
      </c>
      <c r="H432">
        <v>46000</v>
      </c>
    </row>
    <row r="433" spans="2:8">
      <c r="B433" t="s">
        <v>442</v>
      </c>
      <c r="C433" t="s">
        <v>264</v>
      </c>
      <c r="D433">
        <v>5828</v>
      </c>
      <c r="E433">
        <v>5829</v>
      </c>
      <c r="F433">
        <v>5815</v>
      </c>
      <c r="G433">
        <v>5816</v>
      </c>
      <c r="H433">
        <v>62600</v>
      </c>
    </row>
    <row r="434" spans="2:8">
      <c r="B434" t="s">
        <v>442</v>
      </c>
      <c r="C434" t="s">
        <v>265</v>
      </c>
      <c r="D434">
        <v>5815</v>
      </c>
      <c r="E434">
        <v>5823</v>
      </c>
      <c r="F434">
        <v>5815</v>
      </c>
      <c r="G434">
        <v>5820</v>
      </c>
      <c r="H434">
        <v>37000</v>
      </c>
    </row>
    <row r="435" spans="2:8">
      <c r="B435" t="s">
        <v>442</v>
      </c>
      <c r="C435" t="s">
        <v>266</v>
      </c>
      <c r="D435">
        <v>5822</v>
      </c>
      <c r="E435">
        <v>5833</v>
      </c>
      <c r="F435">
        <v>5822</v>
      </c>
      <c r="G435">
        <v>5832</v>
      </c>
      <c r="H435">
        <v>61600</v>
      </c>
    </row>
    <row r="436" spans="2:8">
      <c r="B436" t="s">
        <v>442</v>
      </c>
      <c r="C436" t="s">
        <v>267</v>
      </c>
      <c r="D436">
        <v>5833</v>
      </c>
      <c r="E436">
        <v>5836</v>
      </c>
      <c r="F436">
        <v>5830</v>
      </c>
      <c r="G436">
        <v>5836</v>
      </c>
      <c r="H436">
        <v>18700</v>
      </c>
    </row>
    <row r="437" spans="2:8">
      <c r="B437" t="s">
        <v>442</v>
      </c>
      <c r="C437" t="s">
        <v>268</v>
      </c>
      <c r="D437">
        <v>5836</v>
      </c>
      <c r="E437">
        <v>5839</v>
      </c>
      <c r="F437">
        <v>5829</v>
      </c>
      <c r="G437">
        <v>5829</v>
      </c>
      <c r="H437">
        <v>33400</v>
      </c>
    </row>
    <row r="438" spans="2:8">
      <c r="B438" t="s">
        <v>442</v>
      </c>
      <c r="C438" t="s">
        <v>269</v>
      </c>
      <c r="D438">
        <v>5831</v>
      </c>
      <c r="E438">
        <v>5833</v>
      </c>
      <c r="F438">
        <v>5828</v>
      </c>
      <c r="G438">
        <v>5831</v>
      </c>
      <c r="H438">
        <v>10900</v>
      </c>
    </row>
    <row r="439" spans="2:8">
      <c r="B439" t="s">
        <v>442</v>
      </c>
      <c r="C439" t="s">
        <v>270</v>
      </c>
      <c r="D439">
        <v>5830</v>
      </c>
      <c r="E439">
        <v>5831</v>
      </c>
      <c r="F439">
        <v>5818</v>
      </c>
      <c r="G439">
        <v>5825</v>
      </c>
      <c r="H439">
        <v>30800</v>
      </c>
    </row>
    <row r="440" spans="2:8">
      <c r="B440" t="s">
        <v>442</v>
      </c>
      <c r="C440" t="s">
        <v>271</v>
      </c>
      <c r="D440">
        <v>5824</v>
      </c>
      <c r="E440">
        <v>5826</v>
      </c>
      <c r="F440">
        <v>5815</v>
      </c>
      <c r="G440">
        <v>5816</v>
      </c>
      <c r="H440">
        <v>26900</v>
      </c>
    </row>
    <row r="441" spans="2:8">
      <c r="B441" t="s">
        <v>442</v>
      </c>
      <c r="C441" t="s">
        <v>272</v>
      </c>
      <c r="D441">
        <v>5816</v>
      </c>
      <c r="E441">
        <v>5820</v>
      </c>
      <c r="F441">
        <v>5813</v>
      </c>
      <c r="G441">
        <v>5814</v>
      </c>
      <c r="H441">
        <v>55800</v>
      </c>
    </row>
    <row r="442" spans="2:8">
      <c r="B442" t="s">
        <v>442</v>
      </c>
      <c r="C442" t="s">
        <v>273</v>
      </c>
      <c r="D442">
        <v>5815</v>
      </c>
      <c r="E442">
        <v>5818</v>
      </c>
      <c r="F442">
        <v>5814</v>
      </c>
      <c r="G442">
        <v>5816</v>
      </c>
      <c r="H442">
        <v>20800</v>
      </c>
    </row>
    <row r="443" spans="2:8">
      <c r="B443" t="s">
        <v>442</v>
      </c>
      <c r="C443" t="s">
        <v>274</v>
      </c>
      <c r="D443">
        <v>5817</v>
      </c>
      <c r="E443">
        <v>5829</v>
      </c>
      <c r="F443">
        <v>5817</v>
      </c>
      <c r="G443">
        <v>5826</v>
      </c>
      <c r="H443">
        <v>58200</v>
      </c>
    </row>
    <row r="444" spans="2:8">
      <c r="B444" t="s">
        <v>442</v>
      </c>
      <c r="C444" t="s">
        <v>275</v>
      </c>
      <c r="D444">
        <v>5825</v>
      </c>
      <c r="E444">
        <v>5832</v>
      </c>
      <c r="F444">
        <v>5823</v>
      </c>
      <c r="G444">
        <v>5832</v>
      </c>
      <c r="H444">
        <v>32700</v>
      </c>
    </row>
    <row r="445" spans="2:8">
      <c r="B445" t="s">
        <v>442</v>
      </c>
      <c r="C445" t="s">
        <v>276</v>
      </c>
      <c r="D445">
        <v>5833</v>
      </c>
      <c r="E445">
        <v>5845</v>
      </c>
      <c r="F445">
        <v>5831</v>
      </c>
      <c r="G445">
        <v>5841</v>
      </c>
      <c r="H445">
        <v>90800</v>
      </c>
    </row>
    <row r="446" spans="2:8">
      <c r="B446" t="s">
        <v>442</v>
      </c>
      <c r="C446" t="s">
        <v>277</v>
      </c>
      <c r="D446">
        <v>5841</v>
      </c>
      <c r="E446">
        <v>5850</v>
      </c>
      <c r="F446">
        <v>5841</v>
      </c>
      <c r="G446">
        <v>5846</v>
      </c>
      <c r="H446">
        <v>76300</v>
      </c>
    </row>
    <row r="447" spans="2:8">
      <c r="B447" t="s">
        <v>442</v>
      </c>
      <c r="C447" t="s">
        <v>278</v>
      </c>
      <c r="D447">
        <v>5846</v>
      </c>
      <c r="E447">
        <v>5848</v>
      </c>
      <c r="F447">
        <v>5840</v>
      </c>
      <c r="G447">
        <v>5848</v>
      </c>
      <c r="H447">
        <v>39900</v>
      </c>
    </row>
    <row r="448" spans="2:8">
      <c r="B448" t="s">
        <v>442</v>
      </c>
      <c r="C448" t="s">
        <v>279</v>
      </c>
      <c r="D448">
        <v>5847</v>
      </c>
      <c r="E448">
        <v>5847</v>
      </c>
      <c r="F448">
        <v>5836</v>
      </c>
      <c r="G448">
        <v>5840</v>
      </c>
      <c r="H448">
        <v>33900</v>
      </c>
    </row>
    <row r="449" spans="2:8">
      <c r="B449" t="s">
        <v>442</v>
      </c>
      <c r="C449" t="s">
        <v>280</v>
      </c>
      <c r="D449">
        <v>5840</v>
      </c>
      <c r="E449">
        <v>5846</v>
      </c>
      <c r="F449">
        <v>5840</v>
      </c>
      <c r="G449">
        <v>5843</v>
      </c>
      <c r="H449">
        <v>21000</v>
      </c>
    </row>
    <row r="450" spans="2:8">
      <c r="B450" t="s">
        <v>442</v>
      </c>
      <c r="C450" t="s">
        <v>281</v>
      </c>
      <c r="D450">
        <v>5843</v>
      </c>
      <c r="E450">
        <v>5843</v>
      </c>
      <c r="F450">
        <v>5836</v>
      </c>
      <c r="G450">
        <v>5842</v>
      </c>
      <c r="H450">
        <v>19100</v>
      </c>
    </row>
    <row r="451" spans="2:8">
      <c r="B451" t="s">
        <v>442</v>
      </c>
      <c r="C451" t="s">
        <v>282</v>
      </c>
      <c r="D451">
        <v>5842</v>
      </c>
      <c r="E451">
        <v>5843</v>
      </c>
      <c r="F451">
        <v>5825</v>
      </c>
      <c r="G451">
        <v>5825</v>
      </c>
      <c r="H451">
        <v>51100</v>
      </c>
    </row>
    <row r="452" spans="2:8">
      <c r="B452" t="s">
        <v>442</v>
      </c>
      <c r="C452" t="s">
        <v>283</v>
      </c>
      <c r="D452">
        <v>5827</v>
      </c>
      <c r="E452">
        <v>5827</v>
      </c>
      <c r="F452">
        <v>5816</v>
      </c>
      <c r="G452">
        <v>5824</v>
      </c>
      <c r="H452">
        <v>49700</v>
      </c>
    </row>
    <row r="453" spans="2:8">
      <c r="B453" t="s">
        <v>442</v>
      </c>
      <c r="C453" t="s">
        <v>284</v>
      </c>
      <c r="D453">
        <v>5823</v>
      </c>
      <c r="E453">
        <v>5824</v>
      </c>
      <c r="F453">
        <v>5815</v>
      </c>
      <c r="G453">
        <v>5815</v>
      </c>
      <c r="H453">
        <v>35200</v>
      </c>
    </row>
    <row r="454" spans="2:8">
      <c r="B454" t="s">
        <v>442</v>
      </c>
      <c r="C454" t="s">
        <v>285</v>
      </c>
      <c r="D454">
        <v>5815</v>
      </c>
      <c r="E454">
        <v>5819</v>
      </c>
      <c r="F454">
        <v>5813</v>
      </c>
      <c r="G454">
        <v>5817</v>
      </c>
      <c r="H454">
        <v>47100</v>
      </c>
    </row>
    <row r="455" spans="2:8">
      <c r="B455" t="s">
        <v>442</v>
      </c>
      <c r="C455" t="s">
        <v>286</v>
      </c>
      <c r="D455">
        <v>5817</v>
      </c>
      <c r="E455">
        <v>5820</v>
      </c>
      <c r="F455">
        <v>5817</v>
      </c>
      <c r="G455">
        <v>5817</v>
      </c>
      <c r="H455">
        <v>18800</v>
      </c>
    </row>
    <row r="456" spans="2:8">
      <c r="B456" t="s">
        <v>442</v>
      </c>
      <c r="C456" t="s">
        <v>287</v>
      </c>
      <c r="D456">
        <v>5817</v>
      </c>
      <c r="E456">
        <v>5818</v>
      </c>
      <c r="F456">
        <v>5807</v>
      </c>
      <c r="G456">
        <v>5810</v>
      </c>
      <c r="H456">
        <v>55200</v>
      </c>
    </row>
    <row r="457" spans="2:8">
      <c r="B457" t="s">
        <v>442</v>
      </c>
      <c r="C457" t="s">
        <v>288</v>
      </c>
      <c r="D457">
        <v>5811</v>
      </c>
      <c r="E457">
        <v>5811</v>
      </c>
      <c r="F457">
        <v>5806</v>
      </c>
      <c r="G457">
        <v>5809</v>
      </c>
      <c r="H457">
        <v>22400</v>
      </c>
    </row>
    <row r="458" spans="2:8">
      <c r="B458" t="s">
        <v>442</v>
      </c>
      <c r="C458" t="s">
        <v>289</v>
      </c>
      <c r="D458">
        <v>5809</v>
      </c>
      <c r="E458">
        <v>5810</v>
      </c>
      <c r="F458">
        <v>5799</v>
      </c>
      <c r="G458">
        <v>5807</v>
      </c>
      <c r="H458">
        <v>74500</v>
      </c>
    </row>
    <row r="459" spans="2:8">
      <c r="B459" t="s">
        <v>442</v>
      </c>
      <c r="C459" t="s">
        <v>290</v>
      </c>
      <c r="D459">
        <v>5807</v>
      </c>
      <c r="E459">
        <v>5809</v>
      </c>
      <c r="F459">
        <v>5799</v>
      </c>
      <c r="G459">
        <v>5801</v>
      </c>
      <c r="H459">
        <v>35600</v>
      </c>
    </row>
    <row r="460" spans="2:8">
      <c r="B460" t="s">
        <v>442</v>
      </c>
      <c r="C460" t="s">
        <v>291</v>
      </c>
      <c r="D460">
        <v>5802</v>
      </c>
      <c r="E460">
        <v>5813</v>
      </c>
      <c r="F460">
        <v>5801</v>
      </c>
      <c r="G460">
        <v>5812</v>
      </c>
      <c r="H460">
        <v>35900</v>
      </c>
    </row>
    <row r="461" spans="2:8">
      <c r="B461" t="s">
        <v>442</v>
      </c>
      <c r="C461" t="s">
        <v>292</v>
      </c>
      <c r="D461">
        <v>5813</v>
      </c>
      <c r="E461">
        <v>5815</v>
      </c>
      <c r="F461">
        <v>5808</v>
      </c>
      <c r="G461">
        <v>5811</v>
      </c>
      <c r="H461">
        <v>26200</v>
      </c>
    </row>
    <row r="462" spans="2:8">
      <c r="B462" t="s">
        <v>442</v>
      </c>
      <c r="C462" t="s">
        <v>293</v>
      </c>
      <c r="D462">
        <v>5811</v>
      </c>
      <c r="E462">
        <v>5812</v>
      </c>
      <c r="F462">
        <v>5807</v>
      </c>
      <c r="G462">
        <v>5809</v>
      </c>
      <c r="H462">
        <v>16800</v>
      </c>
    </row>
    <row r="463" spans="2:8">
      <c r="B463" t="s">
        <v>442</v>
      </c>
      <c r="C463" t="s">
        <v>294</v>
      </c>
      <c r="D463">
        <v>5809</v>
      </c>
      <c r="E463">
        <v>5812</v>
      </c>
      <c r="F463">
        <v>5807</v>
      </c>
      <c r="G463">
        <v>5808</v>
      </c>
      <c r="H463">
        <v>12200</v>
      </c>
    </row>
    <row r="464" spans="2:8">
      <c r="B464" t="s">
        <v>442</v>
      </c>
      <c r="C464" t="s">
        <v>295</v>
      </c>
      <c r="D464">
        <v>5810</v>
      </c>
      <c r="E464">
        <v>5811</v>
      </c>
      <c r="F464">
        <v>5805</v>
      </c>
      <c r="G464">
        <v>5807</v>
      </c>
      <c r="H464">
        <v>14400</v>
      </c>
    </row>
    <row r="465" spans="2:8">
      <c r="B465" t="s">
        <v>442</v>
      </c>
      <c r="C465" t="s">
        <v>296</v>
      </c>
      <c r="D465">
        <v>5808</v>
      </c>
      <c r="E465">
        <v>5809</v>
      </c>
      <c r="F465">
        <v>5807</v>
      </c>
      <c r="G465">
        <v>5808</v>
      </c>
      <c r="H465">
        <v>8900</v>
      </c>
    </row>
    <row r="466" spans="2:8">
      <c r="B466" t="s">
        <v>442</v>
      </c>
      <c r="C466" t="s">
        <v>297</v>
      </c>
      <c r="D466">
        <v>5809</v>
      </c>
      <c r="E466">
        <v>5828</v>
      </c>
      <c r="F466">
        <v>5809</v>
      </c>
      <c r="G466">
        <v>5814</v>
      </c>
      <c r="H466">
        <v>68900</v>
      </c>
    </row>
    <row r="467" spans="2:8">
      <c r="B467" t="s">
        <v>442</v>
      </c>
      <c r="C467" t="s">
        <v>298</v>
      </c>
      <c r="D467">
        <v>5813</v>
      </c>
      <c r="E467">
        <v>5814</v>
      </c>
      <c r="F467">
        <v>5805</v>
      </c>
      <c r="G467">
        <v>5806</v>
      </c>
      <c r="H467">
        <v>26400</v>
      </c>
    </row>
    <row r="468" spans="2:8">
      <c r="B468" t="s">
        <v>442</v>
      </c>
      <c r="C468" t="s">
        <v>299</v>
      </c>
      <c r="D468">
        <v>5807</v>
      </c>
      <c r="E468">
        <v>5807</v>
      </c>
      <c r="F468">
        <v>5797</v>
      </c>
      <c r="G468">
        <v>5800</v>
      </c>
      <c r="H468">
        <v>43900</v>
      </c>
    </row>
    <row r="469" spans="2:8">
      <c r="B469" t="s">
        <v>442</v>
      </c>
      <c r="C469" t="s">
        <v>300</v>
      </c>
      <c r="D469">
        <v>5799</v>
      </c>
      <c r="E469">
        <v>5803</v>
      </c>
      <c r="F469">
        <v>5799</v>
      </c>
      <c r="G469">
        <v>5799</v>
      </c>
      <c r="H469">
        <v>23000</v>
      </c>
    </row>
    <row r="470" spans="2:8">
      <c r="B470" t="s">
        <v>442</v>
      </c>
      <c r="C470" t="s">
        <v>301</v>
      </c>
      <c r="D470">
        <v>5798</v>
      </c>
      <c r="E470">
        <v>5800</v>
      </c>
      <c r="F470">
        <v>5790</v>
      </c>
      <c r="G470">
        <v>5796</v>
      </c>
      <c r="H470">
        <v>40800</v>
      </c>
    </row>
    <row r="471" spans="2:8">
      <c r="B471" t="s">
        <v>442</v>
      </c>
      <c r="C471" t="s">
        <v>302</v>
      </c>
      <c r="D471">
        <v>5795</v>
      </c>
      <c r="E471">
        <v>5797</v>
      </c>
      <c r="F471">
        <v>5785</v>
      </c>
      <c r="G471">
        <v>5793</v>
      </c>
      <c r="H471">
        <v>63100</v>
      </c>
    </row>
    <row r="472" spans="2:8">
      <c r="B472" t="s">
        <v>442</v>
      </c>
      <c r="C472" t="s">
        <v>303</v>
      </c>
      <c r="D472">
        <v>5793</v>
      </c>
      <c r="E472">
        <v>5796</v>
      </c>
      <c r="F472">
        <v>5786</v>
      </c>
      <c r="G472">
        <v>5790</v>
      </c>
      <c r="H472">
        <v>30400</v>
      </c>
    </row>
    <row r="473" spans="2:8">
      <c r="B473" t="s">
        <v>442</v>
      </c>
      <c r="C473" t="s">
        <v>304</v>
      </c>
      <c r="D473">
        <v>5790</v>
      </c>
      <c r="E473">
        <v>5791</v>
      </c>
      <c r="F473">
        <v>5782</v>
      </c>
      <c r="G473">
        <v>5782</v>
      </c>
      <c r="H473">
        <v>44700</v>
      </c>
    </row>
    <row r="474" spans="2:8">
      <c r="B474" t="s">
        <v>442</v>
      </c>
      <c r="C474" t="s">
        <v>305</v>
      </c>
      <c r="D474">
        <v>5782</v>
      </c>
      <c r="E474">
        <v>5785</v>
      </c>
      <c r="F474">
        <v>5778</v>
      </c>
      <c r="G474">
        <v>5782</v>
      </c>
      <c r="H474">
        <v>54400</v>
      </c>
    </row>
    <row r="475" spans="2:8">
      <c r="B475" t="s">
        <v>442</v>
      </c>
      <c r="C475" t="s">
        <v>306</v>
      </c>
      <c r="D475">
        <v>5783</v>
      </c>
      <c r="E475">
        <v>5791</v>
      </c>
      <c r="F475">
        <v>5783</v>
      </c>
      <c r="G475">
        <v>5784</v>
      </c>
      <c r="H475">
        <v>35200</v>
      </c>
    </row>
    <row r="476" spans="2:8">
      <c r="B476" t="s">
        <v>442</v>
      </c>
      <c r="C476" t="s">
        <v>307</v>
      </c>
      <c r="D476">
        <v>5784</v>
      </c>
      <c r="E476">
        <v>5794</v>
      </c>
      <c r="F476">
        <v>5784</v>
      </c>
      <c r="G476">
        <v>5788</v>
      </c>
      <c r="H476">
        <v>26300</v>
      </c>
    </row>
    <row r="477" spans="2:8">
      <c r="B477" t="s">
        <v>442</v>
      </c>
      <c r="C477" t="s">
        <v>308</v>
      </c>
      <c r="D477">
        <v>5788</v>
      </c>
      <c r="E477">
        <v>5793</v>
      </c>
      <c r="F477">
        <v>5788</v>
      </c>
      <c r="G477">
        <v>5789</v>
      </c>
      <c r="H477">
        <v>24300</v>
      </c>
    </row>
    <row r="478" spans="2:8">
      <c r="B478" t="s">
        <v>442</v>
      </c>
      <c r="C478" t="s">
        <v>309</v>
      </c>
      <c r="D478">
        <v>5790</v>
      </c>
      <c r="E478">
        <v>5791</v>
      </c>
      <c r="F478">
        <v>5789</v>
      </c>
      <c r="G478">
        <v>5790</v>
      </c>
      <c r="H478">
        <v>11400</v>
      </c>
    </row>
    <row r="479" spans="2:8">
      <c r="B479" t="s">
        <v>442</v>
      </c>
      <c r="C479" t="s">
        <v>310</v>
      </c>
      <c r="D479">
        <v>5790</v>
      </c>
      <c r="E479">
        <v>5790</v>
      </c>
      <c r="F479">
        <v>5787</v>
      </c>
      <c r="G479">
        <v>5790</v>
      </c>
      <c r="H479">
        <v>18500</v>
      </c>
    </row>
    <row r="480" spans="2:8">
      <c r="B480" t="s">
        <v>442</v>
      </c>
      <c r="C480" t="s">
        <v>311</v>
      </c>
      <c r="D480">
        <v>5789</v>
      </c>
      <c r="E480">
        <v>5790</v>
      </c>
      <c r="F480">
        <v>5786</v>
      </c>
      <c r="G480">
        <v>5786</v>
      </c>
      <c r="H480">
        <v>6500</v>
      </c>
    </row>
    <row r="481" spans="2:8">
      <c r="B481" t="s">
        <v>442</v>
      </c>
      <c r="C481" t="s">
        <v>312</v>
      </c>
      <c r="D481">
        <v>5785</v>
      </c>
      <c r="E481">
        <v>5789</v>
      </c>
      <c r="F481">
        <v>5785</v>
      </c>
      <c r="G481">
        <v>5785</v>
      </c>
      <c r="H481">
        <v>15600</v>
      </c>
    </row>
    <row r="482" spans="2:8">
      <c r="B482" t="s">
        <v>442</v>
      </c>
      <c r="C482" t="s">
        <v>313</v>
      </c>
      <c r="D482">
        <v>5784</v>
      </c>
      <c r="E482">
        <v>5785</v>
      </c>
      <c r="F482">
        <v>5778</v>
      </c>
      <c r="G482">
        <v>5779</v>
      </c>
      <c r="H482">
        <v>22800</v>
      </c>
    </row>
    <row r="483" spans="2:8">
      <c r="B483" t="s">
        <v>442</v>
      </c>
      <c r="C483" t="s">
        <v>314</v>
      </c>
      <c r="D483">
        <v>5778</v>
      </c>
      <c r="E483">
        <v>5781</v>
      </c>
      <c r="F483">
        <v>5777</v>
      </c>
      <c r="G483">
        <v>5779</v>
      </c>
      <c r="H483">
        <v>13700</v>
      </c>
    </row>
    <row r="484" spans="2:8">
      <c r="B484" t="s">
        <v>442</v>
      </c>
      <c r="C484" t="s">
        <v>315</v>
      </c>
      <c r="D484">
        <v>5779</v>
      </c>
      <c r="E484">
        <v>5783</v>
      </c>
      <c r="F484">
        <v>5777</v>
      </c>
      <c r="G484">
        <v>5782</v>
      </c>
      <c r="H484">
        <v>19700</v>
      </c>
    </row>
    <row r="485" spans="2:8">
      <c r="B485" t="s">
        <v>442</v>
      </c>
      <c r="C485" t="s">
        <v>316</v>
      </c>
      <c r="D485">
        <v>5784</v>
      </c>
      <c r="E485">
        <v>5784</v>
      </c>
      <c r="F485">
        <v>5784</v>
      </c>
      <c r="G485">
        <v>5784</v>
      </c>
      <c r="H485">
        <v>11200</v>
      </c>
    </row>
    <row r="486" spans="2:8">
      <c r="B486" t="s">
        <v>442</v>
      </c>
      <c r="C486" t="s">
        <v>317</v>
      </c>
      <c r="D486">
        <v>5807</v>
      </c>
      <c r="E486">
        <v>5819</v>
      </c>
      <c r="F486">
        <v>5790</v>
      </c>
      <c r="G486">
        <v>5811</v>
      </c>
      <c r="H486">
        <v>170500</v>
      </c>
    </row>
    <row r="487" spans="2:8">
      <c r="B487" t="s">
        <v>442</v>
      </c>
      <c r="C487" t="s">
        <v>318</v>
      </c>
      <c r="D487">
        <v>5812</v>
      </c>
      <c r="E487">
        <v>5825</v>
      </c>
      <c r="F487">
        <v>5803</v>
      </c>
      <c r="G487">
        <v>5819</v>
      </c>
      <c r="H487">
        <v>67300</v>
      </c>
    </row>
    <row r="488" spans="2:8">
      <c r="B488" t="s">
        <v>442</v>
      </c>
      <c r="C488" t="s">
        <v>319</v>
      </c>
      <c r="D488">
        <v>5819</v>
      </c>
      <c r="E488">
        <v>5821</v>
      </c>
      <c r="F488">
        <v>5812</v>
      </c>
      <c r="G488">
        <v>5818</v>
      </c>
      <c r="H488">
        <v>50800</v>
      </c>
    </row>
    <row r="489" spans="2:8">
      <c r="B489" t="s">
        <v>442</v>
      </c>
      <c r="C489" t="s">
        <v>320</v>
      </c>
      <c r="D489">
        <v>5817</v>
      </c>
      <c r="E489">
        <v>5817</v>
      </c>
      <c r="F489">
        <v>5805</v>
      </c>
      <c r="G489">
        <v>5807</v>
      </c>
      <c r="H489">
        <v>69700</v>
      </c>
    </row>
    <row r="490" spans="2:8">
      <c r="B490" t="s">
        <v>442</v>
      </c>
      <c r="C490" t="s">
        <v>321</v>
      </c>
      <c r="D490">
        <v>5806</v>
      </c>
      <c r="E490">
        <v>5814</v>
      </c>
      <c r="F490">
        <v>5805</v>
      </c>
      <c r="G490">
        <v>5810</v>
      </c>
      <c r="H490">
        <v>20700</v>
      </c>
    </row>
    <row r="491" spans="2:8">
      <c r="B491" t="s">
        <v>442</v>
      </c>
      <c r="C491" t="s">
        <v>322</v>
      </c>
      <c r="D491">
        <v>5810</v>
      </c>
      <c r="E491">
        <v>5818</v>
      </c>
      <c r="F491">
        <v>5810</v>
      </c>
      <c r="G491">
        <v>5814</v>
      </c>
      <c r="H491">
        <v>34800</v>
      </c>
    </row>
    <row r="492" spans="2:8">
      <c r="B492" t="s">
        <v>442</v>
      </c>
      <c r="C492" t="s">
        <v>323</v>
      </c>
      <c r="D492">
        <v>5814</v>
      </c>
      <c r="E492">
        <v>5815</v>
      </c>
      <c r="F492">
        <v>5808</v>
      </c>
      <c r="G492">
        <v>5812</v>
      </c>
      <c r="H492">
        <v>27400</v>
      </c>
    </row>
    <row r="493" spans="2:8">
      <c r="B493" t="s">
        <v>442</v>
      </c>
      <c r="C493" t="s">
        <v>324</v>
      </c>
      <c r="D493">
        <v>5811</v>
      </c>
      <c r="E493">
        <v>5815</v>
      </c>
      <c r="F493">
        <v>5810</v>
      </c>
      <c r="G493">
        <v>5812</v>
      </c>
      <c r="H493">
        <v>18700</v>
      </c>
    </row>
    <row r="494" spans="2:8">
      <c r="B494" t="s">
        <v>442</v>
      </c>
      <c r="C494" t="s">
        <v>325</v>
      </c>
      <c r="D494">
        <v>5812</v>
      </c>
      <c r="E494">
        <v>5813</v>
      </c>
      <c r="F494">
        <v>5808</v>
      </c>
      <c r="G494">
        <v>5809</v>
      </c>
      <c r="H494">
        <v>12500</v>
      </c>
    </row>
    <row r="495" spans="2:8">
      <c r="B495" t="s">
        <v>442</v>
      </c>
      <c r="C495" t="s">
        <v>326</v>
      </c>
      <c r="D495">
        <v>5808</v>
      </c>
      <c r="E495">
        <v>5808</v>
      </c>
      <c r="F495">
        <v>5799</v>
      </c>
      <c r="G495">
        <v>5800</v>
      </c>
      <c r="H495">
        <v>50100</v>
      </c>
    </row>
    <row r="496" spans="2:8">
      <c r="B496" t="s">
        <v>442</v>
      </c>
      <c r="C496" t="s">
        <v>327</v>
      </c>
      <c r="D496">
        <v>5801</v>
      </c>
      <c r="E496">
        <v>5804</v>
      </c>
      <c r="F496">
        <v>5792</v>
      </c>
      <c r="G496">
        <v>5803</v>
      </c>
      <c r="H496">
        <v>54700</v>
      </c>
    </row>
    <row r="497" spans="2:8">
      <c r="B497" t="s">
        <v>442</v>
      </c>
      <c r="C497" t="s">
        <v>328</v>
      </c>
      <c r="D497">
        <v>5803</v>
      </c>
      <c r="E497">
        <v>5811</v>
      </c>
      <c r="F497">
        <v>5803</v>
      </c>
      <c r="G497">
        <v>5809</v>
      </c>
      <c r="H497">
        <v>41700</v>
      </c>
    </row>
    <row r="498" spans="2:8">
      <c r="B498" t="s">
        <v>442</v>
      </c>
      <c r="C498" t="s">
        <v>329</v>
      </c>
      <c r="D498">
        <v>5809</v>
      </c>
      <c r="E498">
        <v>5809</v>
      </c>
      <c r="F498">
        <v>5803</v>
      </c>
      <c r="G498">
        <v>5804</v>
      </c>
      <c r="H498">
        <v>28400</v>
      </c>
    </row>
    <row r="499" spans="2:8">
      <c r="B499" t="s">
        <v>442</v>
      </c>
      <c r="C499" t="s">
        <v>330</v>
      </c>
      <c r="D499">
        <v>5803</v>
      </c>
      <c r="E499">
        <v>5810</v>
      </c>
      <c r="F499">
        <v>5802</v>
      </c>
      <c r="G499">
        <v>5807</v>
      </c>
      <c r="H499">
        <v>21600</v>
      </c>
    </row>
    <row r="500" spans="2:8">
      <c r="B500" t="s">
        <v>442</v>
      </c>
      <c r="C500" t="s">
        <v>331</v>
      </c>
      <c r="D500">
        <v>5806</v>
      </c>
      <c r="E500">
        <v>5816</v>
      </c>
      <c r="F500">
        <v>5806</v>
      </c>
      <c r="G500">
        <v>5816</v>
      </c>
      <c r="H500">
        <v>33700</v>
      </c>
    </row>
    <row r="501" spans="2:8">
      <c r="B501" t="s">
        <v>442</v>
      </c>
      <c r="C501" t="s">
        <v>332</v>
      </c>
      <c r="D501">
        <v>5817</v>
      </c>
      <c r="E501">
        <v>5820</v>
      </c>
      <c r="F501">
        <v>5812</v>
      </c>
      <c r="G501">
        <v>5814</v>
      </c>
      <c r="H501">
        <v>51900</v>
      </c>
    </row>
    <row r="502" spans="2:8">
      <c r="B502" t="s">
        <v>442</v>
      </c>
      <c r="C502" t="s">
        <v>333</v>
      </c>
      <c r="D502">
        <v>5813</v>
      </c>
      <c r="E502">
        <v>5814</v>
      </c>
      <c r="F502">
        <v>5807</v>
      </c>
      <c r="G502">
        <v>5808</v>
      </c>
      <c r="H502">
        <v>22000</v>
      </c>
    </row>
    <row r="503" spans="2:8">
      <c r="B503" t="s">
        <v>442</v>
      </c>
      <c r="C503" t="s">
        <v>334</v>
      </c>
      <c r="D503">
        <v>5808</v>
      </c>
      <c r="E503">
        <v>5808</v>
      </c>
      <c r="F503">
        <v>5800</v>
      </c>
      <c r="G503">
        <v>5802</v>
      </c>
      <c r="H503">
        <v>34600</v>
      </c>
    </row>
    <row r="504" spans="2:8">
      <c r="B504" t="s">
        <v>442</v>
      </c>
      <c r="C504" t="s">
        <v>335</v>
      </c>
      <c r="D504">
        <v>5803</v>
      </c>
      <c r="E504">
        <v>5809</v>
      </c>
      <c r="F504">
        <v>5802</v>
      </c>
      <c r="G504">
        <v>5807</v>
      </c>
      <c r="H504">
        <v>17300</v>
      </c>
    </row>
    <row r="505" spans="2:8">
      <c r="B505" t="s">
        <v>442</v>
      </c>
      <c r="C505" t="s">
        <v>336</v>
      </c>
      <c r="D505">
        <v>5808</v>
      </c>
      <c r="E505">
        <v>5810</v>
      </c>
      <c r="F505">
        <v>5805</v>
      </c>
      <c r="G505">
        <v>5805</v>
      </c>
      <c r="H505">
        <v>10100</v>
      </c>
    </row>
    <row r="506" spans="2:8">
      <c r="B506" t="s">
        <v>442</v>
      </c>
      <c r="C506" t="s">
        <v>337</v>
      </c>
      <c r="D506">
        <v>5805</v>
      </c>
      <c r="E506">
        <v>5809</v>
      </c>
      <c r="F506">
        <v>5791</v>
      </c>
      <c r="G506">
        <v>5796</v>
      </c>
      <c r="H506">
        <v>61300</v>
      </c>
    </row>
    <row r="507" spans="2:8">
      <c r="B507" t="s">
        <v>442</v>
      </c>
      <c r="C507" t="s">
        <v>338</v>
      </c>
      <c r="D507">
        <v>5796</v>
      </c>
      <c r="E507">
        <v>5797</v>
      </c>
      <c r="F507">
        <v>5792</v>
      </c>
      <c r="G507">
        <v>5792</v>
      </c>
      <c r="H507">
        <v>25200</v>
      </c>
    </row>
    <row r="508" spans="2:8">
      <c r="B508" t="s">
        <v>442</v>
      </c>
      <c r="C508" t="s">
        <v>339</v>
      </c>
      <c r="D508">
        <v>5793</v>
      </c>
      <c r="E508">
        <v>5794</v>
      </c>
      <c r="F508">
        <v>5781</v>
      </c>
      <c r="G508">
        <v>5783</v>
      </c>
      <c r="H508">
        <v>78100</v>
      </c>
    </row>
    <row r="509" spans="2:8">
      <c r="B509" t="s">
        <v>442</v>
      </c>
      <c r="C509" t="s">
        <v>340</v>
      </c>
      <c r="D509">
        <v>5784</v>
      </c>
      <c r="E509">
        <v>5788</v>
      </c>
      <c r="F509">
        <v>5782</v>
      </c>
      <c r="G509">
        <v>5787</v>
      </c>
      <c r="H509">
        <v>28600</v>
      </c>
    </row>
    <row r="510" spans="2:8">
      <c r="B510" t="s">
        <v>442</v>
      </c>
      <c r="C510" t="s">
        <v>341</v>
      </c>
      <c r="D510">
        <v>5787</v>
      </c>
      <c r="E510">
        <v>5790</v>
      </c>
      <c r="F510">
        <v>5783</v>
      </c>
      <c r="G510">
        <v>5783</v>
      </c>
      <c r="H510">
        <v>30600</v>
      </c>
    </row>
    <row r="511" spans="2:8">
      <c r="B511" t="s">
        <v>442</v>
      </c>
      <c r="C511" t="s">
        <v>342</v>
      </c>
      <c r="D511">
        <v>5783</v>
      </c>
      <c r="E511">
        <v>5788</v>
      </c>
      <c r="F511">
        <v>5780</v>
      </c>
      <c r="G511">
        <v>5782</v>
      </c>
      <c r="H511">
        <v>34100</v>
      </c>
    </row>
    <row r="512" spans="2:8">
      <c r="B512" t="s">
        <v>442</v>
      </c>
      <c r="C512" t="s">
        <v>343</v>
      </c>
      <c r="D512">
        <v>5783</v>
      </c>
      <c r="E512">
        <v>5789</v>
      </c>
      <c r="F512">
        <v>5783</v>
      </c>
      <c r="G512">
        <v>5786</v>
      </c>
      <c r="H512">
        <v>20100</v>
      </c>
    </row>
    <row r="513" spans="2:8">
      <c r="B513" t="s">
        <v>442</v>
      </c>
      <c r="C513" t="s">
        <v>344</v>
      </c>
      <c r="D513">
        <v>5787</v>
      </c>
      <c r="E513">
        <v>5792</v>
      </c>
      <c r="F513">
        <v>5786</v>
      </c>
      <c r="G513">
        <v>5791</v>
      </c>
      <c r="H513">
        <v>23000</v>
      </c>
    </row>
    <row r="514" spans="2:8">
      <c r="B514" t="s">
        <v>442</v>
      </c>
      <c r="C514" t="s">
        <v>345</v>
      </c>
      <c r="D514">
        <v>5791</v>
      </c>
      <c r="E514">
        <v>5791</v>
      </c>
      <c r="F514">
        <v>5786</v>
      </c>
      <c r="G514">
        <v>5787</v>
      </c>
      <c r="H514">
        <v>18300</v>
      </c>
    </row>
    <row r="515" spans="2:8">
      <c r="B515" t="s">
        <v>442</v>
      </c>
      <c r="C515" t="s">
        <v>346</v>
      </c>
      <c r="D515">
        <v>5787</v>
      </c>
      <c r="E515">
        <v>5788</v>
      </c>
      <c r="F515">
        <v>5780</v>
      </c>
      <c r="G515">
        <v>5781</v>
      </c>
      <c r="H515">
        <v>18800</v>
      </c>
    </row>
    <row r="516" spans="2:8">
      <c r="B516" t="s">
        <v>442</v>
      </c>
      <c r="C516" t="s">
        <v>347</v>
      </c>
      <c r="D516">
        <v>5782</v>
      </c>
      <c r="E516">
        <v>5786</v>
      </c>
      <c r="F516">
        <v>5782</v>
      </c>
      <c r="G516">
        <v>5785</v>
      </c>
      <c r="H516">
        <v>16000</v>
      </c>
    </row>
    <row r="517" spans="2:8">
      <c r="B517" t="s">
        <v>442</v>
      </c>
      <c r="C517" t="s">
        <v>348</v>
      </c>
      <c r="D517">
        <v>5784</v>
      </c>
      <c r="E517">
        <v>5790</v>
      </c>
      <c r="F517">
        <v>5784</v>
      </c>
      <c r="G517">
        <v>5788</v>
      </c>
      <c r="H517">
        <v>26000</v>
      </c>
    </row>
    <row r="518" spans="2:8">
      <c r="B518" t="s">
        <v>442</v>
      </c>
      <c r="C518" t="s">
        <v>349</v>
      </c>
      <c r="D518">
        <v>5787</v>
      </c>
      <c r="E518">
        <v>5790</v>
      </c>
      <c r="F518">
        <v>5787</v>
      </c>
      <c r="G518">
        <v>5789</v>
      </c>
      <c r="H518">
        <v>8700</v>
      </c>
    </row>
    <row r="519" spans="2:8">
      <c r="B519" t="s">
        <v>442</v>
      </c>
      <c r="C519" t="s">
        <v>350</v>
      </c>
      <c r="D519">
        <v>5789</v>
      </c>
      <c r="E519">
        <v>5790</v>
      </c>
      <c r="F519">
        <v>5785</v>
      </c>
      <c r="G519">
        <v>5789</v>
      </c>
      <c r="H519">
        <v>13400</v>
      </c>
    </row>
    <row r="520" spans="2:8">
      <c r="B520" t="s">
        <v>442</v>
      </c>
      <c r="C520" t="s">
        <v>351</v>
      </c>
      <c r="D520">
        <v>5789</v>
      </c>
      <c r="E520">
        <v>5789</v>
      </c>
      <c r="F520">
        <v>5785</v>
      </c>
      <c r="G520">
        <v>5786</v>
      </c>
      <c r="H520">
        <v>9400</v>
      </c>
    </row>
    <row r="521" spans="2:8">
      <c r="B521" t="s">
        <v>442</v>
      </c>
      <c r="C521" t="s">
        <v>352</v>
      </c>
      <c r="D521">
        <v>5787</v>
      </c>
      <c r="E521">
        <v>5787</v>
      </c>
      <c r="F521">
        <v>5782</v>
      </c>
      <c r="G521">
        <v>5785</v>
      </c>
      <c r="H521">
        <v>14200</v>
      </c>
    </row>
    <row r="522" spans="2:8">
      <c r="B522" t="s">
        <v>442</v>
      </c>
      <c r="C522" t="s">
        <v>353</v>
      </c>
      <c r="D522">
        <v>5786</v>
      </c>
      <c r="E522">
        <v>5799</v>
      </c>
      <c r="F522">
        <v>5785</v>
      </c>
      <c r="G522">
        <v>5798</v>
      </c>
      <c r="H522">
        <v>49000</v>
      </c>
    </row>
    <row r="523" spans="2:8">
      <c r="B523" t="s">
        <v>442</v>
      </c>
      <c r="C523" t="s">
        <v>354</v>
      </c>
      <c r="D523">
        <v>5796</v>
      </c>
      <c r="E523">
        <v>5801</v>
      </c>
      <c r="F523">
        <v>5794</v>
      </c>
      <c r="G523">
        <v>5801</v>
      </c>
      <c r="H523">
        <v>30000</v>
      </c>
    </row>
    <row r="524" spans="2:8">
      <c r="B524" t="s">
        <v>442</v>
      </c>
      <c r="C524" t="s">
        <v>355</v>
      </c>
      <c r="D524">
        <v>5800</v>
      </c>
      <c r="E524">
        <v>5802</v>
      </c>
      <c r="F524">
        <v>5798</v>
      </c>
      <c r="G524">
        <v>5799</v>
      </c>
      <c r="H524">
        <v>31000</v>
      </c>
    </row>
    <row r="525" spans="2:8">
      <c r="B525" t="s">
        <v>442</v>
      </c>
      <c r="C525" t="s">
        <v>356</v>
      </c>
      <c r="D525">
        <v>5798</v>
      </c>
      <c r="E525">
        <v>5798</v>
      </c>
      <c r="F525">
        <v>5795</v>
      </c>
      <c r="G525">
        <v>5797</v>
      </c>
      <c r="H525">
        <v>17000</v>
      </c>
    </row>
    <row r="526" spans="2:8">
      <c r="B526" t="s">
        <v>442</v>
      </c>
      <c r="C526" t="s">
        <v>357</v>
      </c>
      <c r="D526">
        <v>5797</v>
      </c>
      <c r="E526">
        <v>5802</v>
      </c>
      <c r="F526">
        <v>5797</v>
      </c>
      <c r="G526">
        <v>5802</v>
      </c>
      <c r="H526">
        <v>15400</v>
      </c>
    </row>
    <row r="527" spans="2:8">
      <c r="B527" t="s">
        <v>442</v>
      </c>
      <c r="C527" t="s">
        <v>358</v>
      </c>
      <c r="D527">
        <v>5801</v>
      </c>
      <c r="E527">
        <v>5801</v>
      </c>
      <c r="F527">
        <v>5797</v>
      </c>
      <c r="G527">
        <v>5800</v>
      </c>
      <c r="H527">
        <v>20500</v>
      </c>
    </row>
    <row r="528" spans="2:8">
      <c r="B528" t="s">
        <v>442</v>
      </c>
      <c r="C528" t="s">
        <v>359</v>
      </c>
      <c r="D528">
        <v>5799</v>
      </c>
      <c r="E528">
        <v>5807</v>
      </c>
      <c r="F528">
        <v>5798</v>
      </c>
      <c r="G528">
        <v>5806</v>
      </c>
      <c r="H528">
        <v>34700</v>
      </c>
    </row>
    <row r="529" spans="2:8">
      <c r="B529" t="s">
        <v>442</v>
      </c>
      <c r="C529" t="s">
        <v>360</v>
      </c>
      <c r="D529">
        <v>5806</v>
      </c>
      <c r="E529">
        <v>5806</v>
      </c>
      <c r="F529">
        <v>5800</v>
      </c>
      <c r="G529">
        <v>5804</v>
      </c>
      <c r="H529">
        <v>11900</v>
      </c>
    </row>
    <row r="530" spans="2:8">
      <c r="B530" t="s">
        <v>442</v>
      </c>
      <c r="C530" t="s">
        <v>361</v>
      </c>
      <c r="D530">
        <v>5804</v>
      </c>
      <c r="E530">
        <v>5808</v>
      </c>
      <c r="F530">
        <v>5804</v>
      </c>
      <c r="G530">
        <v>5808</v>
      </c>
      <c r="H530">
        <v>16300</v>
      </c>
    </row>
    <row r="531" spans="2:8">
      <c r="B531" t="s">
        <v>442</v>
      </c>
      <c r="C531" t="s">
        <v>362</v>
      </c>
      <c r="D531">
        <v>5808</v>
      </c>
      <c r="E531">
        <v>5808</v>
      </c>
      <c r="F531">
        <v>5800</v>
      </c>
      <c r="G531">
        <v>5801</v>
      </c>
      <c r="H531">
        <v>32200</v>
      </c>
    </row>
    <row r="532" spans="2:8">
      <c r="B532" t="s">
        <v>442</v>
      </c>
      <c r="C532" t="s">
        <v>363</v>
      </c>
      <c r="D532">
        <v>5801</v>
      </c>
      <c r="E532">
        <v>5804</v>
      </c>
      <c r="F532">
        <v>5800</v>
      </c>
      <c r="G532">
        <v>5804</v>
      </c>
      <c r="H532">
        <v>18700</v>
      </c>
    </row>
    <row r="533" spans="2:8">
      <c r="B533" t="s">
        <v>442</v>
      </c>
      <c r="C533" t="s">
        <v>364</v>
      </c>
      <c r="D533">
        <v>5804</v>
      </c>
      <c r="E533">
        <v>5806</v>
      </c>
      <c r="F533">
        <v>5802</v>
      </c>
      <c r="G533">
        <v>5806</v>
      </c>
      <c r="H533">
        <v>11800</v>
      </c>
    </row>
    <row r="534" spans="2:8">
      <c r="B534" t="s">
        <v>442</v>
      </c>
      <c r="C534" t="s">
        <v>365</v>
      </c>
      <c r="D534">
        <v>5807</v>
      </c>
      <c r="E534">
        <v>5814</v>
      </c>
      <c r="F534">
        <v>5807</v>
      </c>
      <c r="G534">
        <v>5811</v>
      </c>
      <c r="H534">
        <v>42300</v>
      </c>
    </row>
    <row r="535" spans="2:8">
      <c r="B535" t="s">
        <v>442</v>
      </c>
      <c r="C535" t="s">
        <v>366</v>
      </c>
      <c r="D535">
        <v>5811</v>
      </c>
      <c r="E535">
        <v>5811</v>
      </c>
      <c r="F535">
        <v>5809</v>
      </c>
      <c r="G535">
        <v>5809</v>
      </c>
      <c r="H535">
        <v>4000</v>
      </c>
    </row>
    <row r="536" spans="2:8">
      <c r="B536" t="s">
        <v>442</v>
      </c>
      <c r="C536" t="s">
        <v>367</v>
      </c>
      <c r="D536">
        <v>5810</v>
      </c>
      <c r="E536">
        <v>5816</v>
      </c>
      <c r="F536">
        <v>5809</v>
      </c>
      <c r="G536">
        <v>5815</v>
      </c>
      <c r="H536">
        <v>39400</v>
      </c>
    </row>
    <row r="537" spans="2:8">
      <c r="B537" t="s">
        <v>442</v>
      </c>
      <c r="C537" t="s">
        <v>368</v>
      </c>
      <c r="D537">
        <v>5815</v>
      </c>
      <c r="E537">
        <v>5817</v>
      </c>
      <c r="F537">
        <v>5811</v>
      </c>
      <c r="G537">
        <v>5812</v>
      </c>
      <c r="H537">
        <v>22800</v>
      </c>
    </row>
    <row r="538" spans="2:8">
      <c r="B538" t="s">
        <v>442</v>
      </c>
      <c r="C538" t="s">
        <v>369</v>
      </c>
      <c r="D538">
        <v>5812</v>
      </c>
      <c r="E538">
        <v>5820</v>
      </c>
      <c r="F538">
        <v>5812</v>
      </c>
      <c r="G538">
        <v>5818</v>
      </c>
      <c r="H538">
        <v>40900</v>
      </c>
    </row>
    <row r="539" spans="2:8">
      <c r="B539" t="s">
        <v>442</v>
      </c>
      <c r="C539" t="s">
        <v>370</v>
      </c>
      <c r="D539">
        <v>5819</v>
      </c>
      <c r="E539">
        <v>5820</v>
      </c>
      <c r="F539">
        <v>5815</v>
      </c>
      <c r="G539">
        <v>5816</v>
      </c>
      <c r="H539">
        <v>27500</v>
      </c>
    </row>
    <row r="540" spans="2:8">
      <c r="B540" t="s">
        <v>442</v>
      </c>
      <c r="C540" t="s">
        <v>371</v>
      </c>
      <c r="D540">
        <v>5816</v>
      </c>
      <c r="E540">
        <v>5818</v>
      </c>
      <c r="F540">
        <v>5816</v>
      </c>
      <c r="G540">
        <v>5817</v>
      </c>
      <c r="H540">
        <v>6800</v>
      </c>
    </row>
    <row r="541" spans="2:8">
      <c r="B541" t="s">
        <v>442</v>
      </c>
      <c r="C541" t="s">
        <v>372</v>
      </c>
      <c r="D541">
        <v>5817</v>
      </c>
      <c r="E541">
        <v>5820</v>
      </c>
      <c r="F541">
        <v>5816</v>
      </c>
      <c r="G541">
        <v>5818</v>
      </c>
      <c r="H541">
        <v>24300</v>
      </c>
    </row>
    <row r="542" spans="2:8">
      <c r="B542" t="s">
        <v>442</v>
      </c>
      <c r="C542" t="s">
        <v>373</v>
      </c>
      <c r="D542">
        <v>5818</v>
      </c>
      <c r="E542">
        <v>5826</v>
      </c>
      <c r="F542">
        <v>5818</v>
      </c>
      <c r="G542">
        <v>5825</v>
      </c>
      <c r="H542">
        <v>42500</v>
      </c>
    </row>
    <row r="543" spans="2:8">
      <c r="B543" t="s">
        <v>442</v>
      </c>
      <c r="C543" t="s">
        <v>374</v>
      </c>
      <c r="D543">
        <v>5825</v>
      </c>
      <c r="E543">
        <v>5827</v>
      </c>
      <c r="F543">
        <v>5822</v>
      </c>
      <c r="G543">
        <v>5825</v>
      </c>
      <c r="H543">
        <v>33500</v>
      </c>
    </row>
    <row r="544" spans="2:8">
      <c r="B544" t="s">
        <v>442</v>
      </c>
      <c r="C544" t="s">
        <v>375</v>
      </c>
      <c r="D544">
        <v>5826</v>
      </c>
      <c r="E544">
        <v>5832</v>
      </c>
      <c r="F544">
        <v>5823</v>
      </c>
      <c r="G544">
        <v>5831</v>
      </c>
      <c r="H544">
        <v>34700</v>
      </c>
    </row>
    <row r="545" spans="2:8">
      <c r="B545" t="s">
        <v>442</v>
      </c>
      <c r="C545" t="s">
        <v>376</v>
      </c>
      <c r="D545">
        <v>5831</v>
      </c>
      <c r="E545">
        <v>5831</v>
      </c>
      <c r="F545">
        <v>5823</v>
      </c>
      <c r="G545">
        <v>5824</v>
      </c>
      <c r="H545">
        <v>38400</v>
      </c>
    </row>
    <row r="546" spans="2:8">
      <c r="B546" t="s">
        <v>442</v>
      </c>
      <c r="C546" t="s">
        <v>377</v>
      </c>
      <c r="D546">
        <v>5824</v>
      </c>
      <c r="E546">
        <v>5825</v>
      </c>
      <c r="F546">
        <v>5819</v>
      </c>
      <c r="G546">
        <v>5822</v>
      </c>
      <c r="H546">
        <v>49000</v>
      </c>
    </row>
    <row r="547" spans="2:8">
      <c r="B547" t="s">
        <v>442</v>
      </c>
      <c r="C547" t="s">
        <v>378</v>
      </c>
      <c r="D547">
        <v>5822</v>
      </c>
      <c r="E547">
        <v>5826</v>
      </c>
      <c r="F547">
        <v>5821</v>
      </c>
      <c r="G547">
        <v>5825</v>
      </c>
      <c r="H547">
        <v>19800</v>
      </c>
    </row>
    <row r="548" spans="2:8">
      <c r="B548" t="s">
        <v>442</v>
      </c>
      <c r="C548" t="s">
        <v>379</v>
      </c>
      <c r="D548">
        <v>5826</v>
      </c>
      <c r="E548">
        <v>5830</v>
      </c>
      <c r="F548">
        <v>5826</v>
      </c>
      <c r="G548">
        <v>5829</v>
      </c>
      <c r="H548">
        <v>27500</v>
      </c>
    </row>
    <row r="549" spans="2:8">
      <c r="B549" t="s">
        <v>442</v>
      </c>
      <c r="C549" t="s">
        <v>380</v>
      </c>
      <c r="D549">
        <v>5829</v>
      </c>
      <c r="E549">
        <v>5836</v>
      </c>
      <c r="F549">
        <v>5827</v>
      </c>
      <c r="G549">
        <v>5834</v>
      </c>
      <c r="H549">
        <v>46400</v>
      </c>
    </row>
    <row r="550" spans="2:8">
      <c r="B550" t="s">
        <v>442</v>
      </c>
      <c r="C550" t="s">
        <v>381</v>
      </c>
      <c r="D550">
        <v>5832</v>
      </c>
      <c r="E550">
        <v>5837</v>
      </c>
      <c r="F550">
        <v>5831</v>
      </c>
      <c r="G550">
        <v>5833</v>
      </c>
      <c r="H550">
        <v>29100</v>
      </c>
    </row>
    <row r="551" spans="2:8">
      <c r="B551" t="s">
        <v>442</v>
      </c>
      <c r="C551" t="s">
        <v>382</v>
      </c>
      <c r="D551">
        <v>5835</v>
      </c>
      <c r="E551">
        <v>5839</v>
      </c>
      <c r="F551">
        <v>5835</v>
      </c>
      <c r="G551">
        <v>5838</v>
      </c>
      <c r="H551">
        <v>19700</v>
      </c>
    </row>
    <row r="552" spans="2:8">
      <c r="B552" t="s">
        <v>442</v>
      </c>
      <c r="C552" t="s">
        <v>383</v>
      </c>
      <c r="D552">
        <v>5837</v>
      </c>
      <c r="E552">
        <v>5840</v>
      </c>
      <c r="F552">
        <v>5835</v>
      </c>
      <c r="G552">
        <v>5836</v>
      </c>
      <c r="H552">
        <v>40500</v>
      </c>
    </row>
    <row r="553" spans="2:8">
      <c r="B553" t="s">
        <v>442</v>
      </c>
      <c r="C553" t="s">
        <v>384</v>
      </c>
      <c r="D553">
        <v>5837</v>
      </c>
      <c r="E553">
        <v>5837</v>
      </c>
      <c r="F553">
        <v>5830</v>
      </c>
      <c r="G553">
        <v>5834</v>
      </c>
      <c r="H553">
        <v>37200</v>
      </c>
    </row>
    <row r="554" spans="2:8">
      <c r="B554" t="s">
        <v>442</v>
      </c>
      <c r="C554" t="s">
        <v>385</v>
      </c>
      <c r="D554">
        <v>5834</v>
      </c>
      <c r="E554">
        <v>5837</v>
      </c>
      <c r="F554">
        <v>5833</v>
      </c>
      <c r="G554">
        <v>5833</v>
      </c>
      <c r="H554">
        <v>18100</v>
      </c>
    </row>
    <row r="555" spans="2:8">
      <c r="B555" t="s">
        <v>442</v>
      </c>
      <c r="C555" t="s">
        <v>386</v>
      </c>
      <c r="D555">
        <v>5832</v>
      </c>
      <c r="E555">
        <v>5833</v>
      </c>
      <c r="F555">
        <v>5830</v>
      </c>
      <c r="G555">
        <v>5830</v>
      </c>
      <c r="H555">
        <v>18600</v>
      </c>
    </row>
    <row r="556" spans="2:8">
      <c r="B556" t="s">
        <v>442</v>
      </c>
      <c r="C556" t="s">
        <v>387</v>
      </c>
      <c r="D556">
        <v>5830</v>
      </c>
      <c r="E556">
        <v>5831</v>
      </c>
      <c r="F556">
        <v>5825</v>
      </c>
      <c r="G556">
        <v>5826</v>
      </c>
      <c r="H556">
        <v>53700</v>
      </c>
    </row>
    <row r="557" spans="2:8">
      <c r="B557" t="s">
        <v>442</v>
      </c>
      <c r="C557" t="s">
        <v>388</v>
      </c>
      <c r="D557">
        <v>5826</v>
      </c>
      <c r="E557">
        <v>5835</v>
      </c>
      <c r="F557">
        <v>5826</v>
      </c>
      <c r="G557">
        <v>5830</v>
      </c>
      <c r="H557">
        <v>31900</v>
      </c>
    </row>
    <row r="558" spans="2:8">
      <c r="B558" t="s">
        <v>442</v>
      </c>
      <c r="C558" t="s">
        <v>389</v>
      </c>
      <c r="D558">
        <v>5830</v>
      </c>
      <c r="E558">
        <v>5833</v>
      </c>
      <c r="F558">
        <v>5827</v>
      </c>
      <c r="G558">
        <v>5831</v>
      </c>
      <c r="H558">
        <v>32900</v>
      </c>
    </row>
    <row r="559" spans="2:8">
      <c r="B559" t="s">
        <v>442</v>
      </c>
      <c r="C559" t="s">
        <v>390</v>
      </c>
      <c r="D559">
        <v>5831</v>
      </c>
      <c r="E559">
        <v>5838</v>
      </c>
      <c r="F559">
        <v>5831</v>
      </c>
      <c r="G559">
        <v>5835</v>
      </c>
      <c r="H559">
        <v>26800</v>
      </c>
    </row>
    <row r="560" spans="2:8">
      <c r="B560" t="s">
        <v>442</v>
      </c>
      <c r="C560" t="s">
        <v>391</v>
      </c>
      <c r="D560">
        <v>5836</v>
      </c>
      <c r="E560">
        <v>5842</v>
      </c>
      <c r="F560">
        <v>5831</v>
      </c>
      <c r="G560">
        <v>5840</v>
      </c>
      <c r="H560">
        <v>81500</v>
      </c>
    </row>
    <row r="561" spans="2:8">
      <c r="B561" t="s">
        <v>442</v>
      </c>
      <c r="C561" t="s">
        <v>392</v>
      </c>
      <c r="D561">
        <v>5841</v>
      </c>
      <c r="E561">
        <v>5848</v>
      </c>
      <c r="F561">
        <v>5840</v>
      </c>
      <c r="G561">
        <v>5844</v>
      </c>
      <c r="H561">
        <v>68000</v>
      </c>
    </row>
    <row r="562" spans="2:8">
      <c r="B562" t="s">
        <v>442</v>
      </c>
      <c r="C562" t="s">
        <v>393</v>
      </c>
      <c r="D562">
        <v>5845</v>
      </c>
      <c r="E562">
        <v>5847</v>
      </c>
      <c r="F562">
        <v>5845</v>
      </c>
      <c r="G562">
        <v>5846</v>
      </c>
      <c r="H562">
        <v>16500</v>
      </c>
    </row>
    <row r="563" spans="2:8">
      <c r="B563" t="s">
        <v>442</v>
      </c>
      <c r="C563" t="s">
        <v>394</v>
      </c>
      <c r="D563">
        <v>5846</v>
      </c>
      <c r="E563">
        <v>5855</v>
      </c>
      <c r="F563">
        <v>5846</v>
      </c>
      <c r="G563">
        <v>5848</v>
      </c>
      <c r="H563">
        <v>89400</v>
      </c>
    </row>
    <row r="564" spans="2:8">
      <c r="B564" t="s">
        <v>442</v>
      </c>
      <c r="C564" t="s">
        <v>395</v>
      </c>
      <c r="D564">
        <v>5849</v>
      </c>
      <c r="E564">
        <v>5854</v>
      </c>
      <c r="F564">
        <v>5848</v>
      </c>
      <c r="G564">
        <v>5853</v>
      </c>
      <c r="H564">
        <v>41300</v>
      </c>
    </row>
    <row r="565" spans="2:8">
      <c r="B565" t="s">
        <v>442</v>
      </c>
      <c r="C565" t="s">
        <v>396</v>
      </c>
      <c r="D565">
        <v>5851</v>
      </c>
      <c r="E565">
        <v>5852</v>
      </c>
      <c r="F565">
        <v>5849</v>
      </c>
      <c r="G565">
        <v>5849</v>
      </c>
      <c r="H565">
        <v>28000</v>
      </c>
    </row>
    <row r="566" spans="2:8">
      <c r="B566" t="s">
        <v>442</v>
      </c>
      <c r="C566" t="s">
        <v>397</v>
      </c>
      <c r="D566">
        <v>5849</v>
      </c>
      <c r="E566">
        <v>5849</v>
      </c>
      <c r="F566">
        <v>5841</v>
      </c>
      <c r="G566">
        <v>5846</v>
      </c>
      <c r="H566">
        <v>79400</v>
      </c>
    </row>
    <row r="567" spans="2:8">
      <c r="B567" t="s">
        <v>442</v>
      </c>
      <c r="C567" t="s">
        <v>398</v>
      </c>
      <c r="D567">
        <v>5847</v>
      </c>
      <c r="E567">
        <v>5853</v>
      </c>
      <c r="F567">
        <v>5846</v>
      </c>
      <c r="G567">
        <v>5852</v>
      </c>
      <c r="H567">
        <v>30400</v>
      </c>
    </row>
    <row r="568" spans="2:8">
      <c r="B568" t="s">
        <v>442</v>
      </c>
      <c r="C568" t="s">
        <v>399</v>
      </c>
      <c r="D568">
        <v>5853</v>
      </c>
      <c r="E568">
        <v>5858</v>
      </c>
      <c r="F568">
        <v>5852</v>
      </c>
      <c r="G568">
        <v>5856</v>
      </c>
      <c r="H568">
        <v>43100</v>
      </c>
    </row>
    <row r="569" spans="2:8">
      <c r="B569" t="s">
        <v>442</v>
      </c>
      <c r="C569" t="s">
        <v>400</v>
      </c>
      <c r="D569">
        <v>5857</v>
      </c>
      <c r="E569">
        <v>5869</v>
      </c>
      <c r="F569">
        <v>5857</v>
      </c>
      <c r="G569">
        <v>5862</v>
      </c>
      <c r="H569">
        <v>98500</v>
      </c>
    </row>
    <row r="570" spans="2:8">
      <c r="B570" t="s">
        <v>442</v>
      </c>
      <c r="C570" t="s">
        <v>401</v>
      </c>
      <c r="D570">
        <v>5861</v>
      </c>
      <c r="E570">
        <v>5871</v>
      </c>
      <c r="F570">
        <v>5861</v>
      </c>
      <c r="G570">
        <v>5868</v>
      </c>
      <c r="H570">
        <v>73200</v>
      </c>
    </row>
    <row r="571" spans="2:8">
      <c r="B571" t="s">
        <v>442</v>
      </c>
      <c r="C571" t="s">
        <v>402</v>
      </c>
      <c r="D571">
        <v>5869</v>
      </c>
      <c r="E571">
        <v>5869</v>
      </c>
      <c r="F571">
        <v>5861</v>
      </c>
      <c r="G571">
        <v>5861</v>
      </c>
      <c r="H571">
        <v>67400</v>
      </c>
    </row>
    <row r="572" spans="2:8">
      <c r="B572" t="s">
        <v>442</v>
      </c>
      <c r="C572" t="s">
        <v>403</v>
      </c>
      <c r="D572">
        <v>5860</v>
      </c>
      <c r="E572">
        <v>5861</v>
      </c>
      <c r="F572">
        <v>5846</v>
      </c>
      <c r="G572">
        <v>5850</v>
      </c>
      <c r="H572">
        <v>85900</v>
      </c>
    </row>
    <row r="573" spans="2:8">
      <c r="B573" t="s">
        <v>442</v>
      </c>
      <c r="C573" t="s">
        <v>404</v>
      </c>
      <c r="D573">
        <v>5850</v>
      </c>
      <c r="E573">
        <v>5859</v>
      </c>
      <c r="F573">
        <v>5849</v>
      </c>
      <c r="G573">
        <v>5849</v>
      </c>
      <c r="H573">
        <v>56600</v>
      </c>
    </row>
    <row r="574" spans="2:8">
      <c r="B574" t="s">
        <v>442</v>
      </c>
      <c r="C574" t="s">
        <v>405</v>
      </c>
      <c r="D574">
        <v>5849</v>
      </c>
      <c r="E574">
        <v>5854</v>
      </c>
      <c r="F574">
        <v>5848</v>
      </c>
      <c r="G574">
        <v>5852</v>
      </c>
      <c r="H574">
        <v>46300</v>
      </c>
    </row>
    <row r="575" spans="2:8">
      <c r="B575" t="s">
        <v>442</v>
      </c>
      <c r="C575" t="s">
        <v>406</v>
      </c>
      <c r="D575">
        <v>5853</v>
      </c>
      <c r="E575">
        <v>5857</v>
      </c>
      <c r="F575">
        <v>5851</v>
      </c>
      <c r="G575">
        <v>5854</v>
      </c>
      <c r="H575">
        <v>24600</v>
      </c>
    </row>
    <row r="576" spans="2:8">
      <c r="B576" t="s">
        <v>442</v>
      </c>
      <c r="C576" t="s">
        <v>407</v>
      </c>
      <c r="D576">
        <v>5854</v>
      </c>
      <c r="E576">
        <v>5854</v>
      </c>
      <c r="F576">
        <v>5836</v>
      </c>
      <c r="G576">
        <v>5843</v>
      </c>
      <c r="H576">
        <v>123200</v>
      </c>
    </row>
    <row r="577" spans="2:8">
      <c r="B577" t="s">
        <v>442</v>
      </c>
      <c r="C577" t="s">
        <v>408</v>
      </c>
      <c r="D577">
        <v>5842</v>
      </c>
      <c r="E577">
        <v>5842</v>
      </c>
      <c r="F577">
        <v>5830</v>
      </c>
      <c r="G577">
        <v>5832</v>
      </c>
      <c r="H577">
        <v>87800</v>
      </c>
    </row>
    <row r="578" spans="2:8">
      <c r="B578" t="s">
        <v>442</v>
      </c>
      <c r="C578" t="s">
        <v>409</v>
      </c>
      <c r="D578">
        <v>5832</v>
      </c>
      <c r="E578">
        <v>5838</v>
      </c>
      <c r="F578">
        <v>5832</v>
      </c>
      <c r="G578">
        <v>5836</v>
      </c>
      <c r="H578">
        <v>32000</v>
      </c>
    </row>
    <row r="579" spans="2:8">
      <c r="B579" t="s">
        <v>442</v>
      </c>
      <c r="C579" t="s">
        <v>410</v>
      </c>
      <c r="D579">
        <v>5837</v>
      </c>
      <c r="E579">
        <v>5850</v>
      </c>
      <c r="F579">
        <v>5836</v>
      </c>
      <c r="G579">
        <v>5846</v>
      </c>
      <c r="H579">
        <v>49300</v>
      </c>
    </row>
    <row r="580" spans="2:8">
      <c r="B580" t="s">
        <v>442</v>
      </c>
      <c r="C580" t="s">
        <v>411</v>
      </c>
      <c r="D580">
        <v>5847</v>
      </c>
      <c r="E580">
        <v>5847</v>
      </c>
      <c r="F580">
        <v>5841</v>
      </c>
      <c r="G580">
        <v>5842</v>
      </c>
      <c r="H580">
        <v>33500</v>
      </c>
    </row>
    <row r="581" spans="2:8">
      <c r="B581" t="s">
        <v>442</v>
      </c>
      <c r="C581" t="s">
        <v>412</v>
      </c>
      <c r="D581">
        <v>5843</v>
      </c>
      <c r="E581">
        <v>5850</v>
      </c>
      <c r="F581">
        <v>5842</v>
      </c>
      <c r="G581">
        <v>5847</v>
      </c>
      <c r="H581">
        <v>27600</v>
      </c>
    </row>
    <row r="582" spans="2:8">
      <c r="B582" t="s">
        <v>442</v>
      </c>
      <c r="C582" t="s">
        <v>413</v>
      </c>
      <c r="D582">
        <v>5847</v>
      </c>
      <c r="E582">
        <v>5849</v>
      </c>
      <c r="F582">
        <v>5844</v>
      </c>
      <c r="G582">
        <v>5847</v>
      </c>
      <c r="H582">
        <v>27500</v>
      </c>
    </row>
    <row r="583" spans="2:8">
      <c r="B583" t="s">
        <v>442</v>
      </c>
      <c r="C583" t="s">
        <v>414</v>
      </c>
      <c r="D583">
        <v>5847</v>
      </c>
      <c r="E583">
        <v>5849</v>
      </c>
      <c r="F583">
        <v>5843</v>
      </c>
      <c r="G583">
        <v>5846</v>
      </c>
      <c r="H583">
        <v>23000</v>
      </c>
    </row>
    <row r="584" spans="2:8">
      <c r="B584" t="s">
        <v>442</v>
      </c>
      <c r="C584" t="s">
        <v>415</v>
      </c>
      <c r="D584">
        <v>5846</v>
      </c>
      <c r="E584">
        <v>5848</v>
      </c>
      <c r="F584">
        <v>5843</v>
      </c>
      <c r="G584">
        <v>5844</v>
      </c>
      <c r="H584">
        <v>12400</v>
      </c>
    </row>
    <row r="585" spans="2:8">
      <c r="B585" t="s">
        <v>442</v>
      </c>
      <c r="C585" t="s">
        <v>416</v>
      </c>
      <c r="D585">
        <v>5844</v>
      </c>
      <c r="E585">
        <v>5846</v>
      </c>
      <c r="F585">
        <v>5842</v>
      </c>
      <c r="G585">
        <v>5842</v>
      </c>
      <c r="H585">
        <v>16600</v>
      </c>
    </row>
    <row r="586" spans="2:8">
      <c r="B586" t="s">
        <v>442</v>
      </c>
      <c r="C586" t="s">
        <v>417</v>
      </c>
      <c r="D586">
        <v>5843</v>
      </c>
      <c r="E586">
        <v>5856</v>
      </c>
      <c r="F586">
        <v>5842</v>
      </c>
      <c r="G586">
        <v>5856</v>
      </c>
      <c r="H586">
        <v>57900</v>
      </c>
    </row>
    <row r="587" spans="2:8">
      <c r="B587" t="s">
        <v>442</v>
      </c>
      <c r="C587" t="s">
        <v>418</v>
      </c>
      <c r="D587">
        <v>5856</v>
      </c>
      <c r="E587">
        <v>5864</v>
      </c>
      <c r="F587">
        <v>5856</v>
      </c>
      <c r="G587">
        <v>5861</v>
      </c>
      <c r="H587">
        <v>61000</v>
      </c>
    </row>
    <row r="588" spans="2:8">
      <c r="B588" t="s">
        <v>442</v>
      </c>
      <c r="C588" t="s">
        <v>419</v>
      </c>
      <c r="D588">
        <v>5861</v>
      </c>
      <c r="E588">
        <v>5865</v>
      </c>
      <c r="F588">
        <v>5859</v>
      </c>
      <c r="G588">
        <v>5865</v>
      </c>
      <c r="H588">
        <v>28400</v>
      </c>
    </row>
    <row r="589" spans="2:8">
      <c r="B589" t="s">
        <v>442</v>
      </c>
      <c r="C589" t="s">
        <v>420</v>
      </c>
      <c r="D589">
        <v>5864</v>
      </c>
      <c r="E589">
        <v>5865</v>
      </c>
      <c r="F589">
        <v>5860</v>
      </c>
      <c r="G589">
        <v>5863</v>
      </c>
      <c r="H589">
        <v>27500</v>
      </c>
    </row>
    <row r="590" spans="2:8">
      <c r="B590" t="s">
        <v>442</v>
      </c>
      <c r="C590" t="s">
        <v>421</v>
      </c>
      <c r="D590">
        <v>5863</v>
      </c>
      <c r="E590">
        <v>5867</v>
      </c>
      <c r="F590">
        <v>5859</v>
      </c>
      <c r="G590">
        <v>5866</v>
      </c>
      <c r="H590">
        <v>40100</v>
      </c>
    </row>
    <row r="591" spans="2:8">
      <c r="B591" t="s">
        <v>442</v>
      </c>
      <c r="C591" t="s">
        <v>422</v>
      </c>
      <c r="D591">
        <v>5866</v>
      </c>
      <c r="E591">
        <v>5870</v>
      </c>
      <c r="F591">
        <v>5860</v>
      </c>
      <c r="G591">
        <v>5867</v>
      </c>
      <c r="H591">
        <v>47700</v>
      </c>
    </row>
    <row r="592" spans="2:8">
      <c r="B592" t="s">
        <v>442</v>
      </c>
      <c r="C592" t="s">
        <v>423</v>
      </c>
      <c r="D592">
        <v>5867</v>
      </c>
      <c r="E592">
        <v>5868</v>
      </c>
      <c r="F592">
        <v>5858</v>
      </c>
      <c r="G592">
        <v>5861</v>
      </c>
      <c r="H592">
        <v>43500</v>
      </c>
    </row>
    <row r="593" spans="2:8">
      <c r="B593" t="s">
        <v>442</v>
      </c>
      <c r="C593" t="s">
        <v>424</v>
      </c>
      <c r="D593">
        <v>5860</v>
      </c>
      <c r="E593">
        <v>5865</v>
      </c>
      <c r="F593">
        <v>5860</v>
      </c>
      <c r="G593">
        <v>5860</v>
      </c>
      <c r="H593">
        <v>20500</v>
      </c>
    </row>
    <row r="594" spans="2:8">
      <c r="B594" t="s">
        <v>442</v>
      </c>
      <c r="C594" t="s">
        <v>425</v>
      </c>
      <c r="D594">
        <v>5860</v>
      </c>
      <c r="E594">
        <v>5865</v>
      </c>
      <c r="F594">
        <v>5857</v>
      </c>
      <c r="G594">
        <v>5863</v>
      </c>
      <c r="H594">
        <v>24200</v>
      </c>
    </row>
    <row r="595" spans="2:8">
      <c r="B595" t="s">
        <v>442</v>
      </c>
      <c r="C595" t="s">
        <v>426</v>
      </c>
      <c r="D595">
        <v>5864</v>
      </c>
      <c r="E595">
        <v>5888</v>
      </c>
      <c r="F595">
        <v>5862</v>
      </c>
      <c r="G595">
        <v>5881</v>
      </c>
      <c r="H595">
        <v>115500</v>
      </c>
    </row>
    <row r="596" spans="2:8">
      <c r="B596" t="s">
        <v>442</v>
      </c>
      <c r="C596" t="s">
        <v>427</v>
      </c>
      <c r="D596">
        <v>5882</v>
      </c>
      <c r="E596">
        <v>5885</v>
      </c>
      <c r="F596">
        <v>5875</v>
      </c>
      <c r="G596">
        <v>5884</v>
      </c>
      <c r="H596">
        <v>64400</v>
      </c>
    </row>
    <row r="597" spans="2:8">
      <c r="B597" t="s">
        <v>442</v>
      </c>
      <c r="C597" t="s">
        <v>428</v>
      </c>
      <c r="D597">
        <v>5883</v>
      </c>
      <c r="E597">
        <v>5896</v>
      </c>
      <c r="F597">
        <v>5882</v>
      </c>
      <c r="G597">
        <v>5894</v>
      </c>
      <c r="H597">
        <v>81800</v>
      </c>
    </row>
    <row r="598" spans="2:8">
      <c r="B598" t="s">
        <v>442</v>
      </c>
      <c r="C598" t="s">
        <v>429</v>
      </c>
      <c r="D598">
        <v>5893</v>
      </c>
      <c r="E598">
        <v>5900</v>
      </c>
      <c r="F598">
        <v>5891</v>
      </c>
      <c r="G598">
        <v>5897</v>
      </c>
      <c r="H598">
        <v>73500</v>
      </c>
    </row>
    <row r="599" spans="2:8">
      <c r="B599" t="s">
        <v>442</v>
      </c>
      <c r="C599" t="s">
        <v>430</v>
      </c>
      <c r="D599">
        <v>5897</v>
      </c>
      <c r="E599">
        <v>5900</v>
      </c>
      <c r="F599">
        <v>5895</v>
      </c>
      <c r="G599">
        <v>5898</v>
      </c>
      <c r="H599">
        <v>69100</v>
      </c>
    </row>
    <row r="600" spans="2:8">
      <c r="B600" t="s">
        <v>442</v>
      </c>
      <c r="C600" t="s">
        <v>431</v>
      </c>
      <c r="D600">
        <v>5899</v>
      </c>
      <c r="E600">
        <v>5905</v>
      </c>
      <c r="F600">
        <v>5895</v>
      </c>
      <c r="G600">
        <v>5897</v>
      </c>
      <c r="H600">
        <v>107100</v>
      </c>
    </row>
    <row r="601" spans="2:8">
      <c r="B601" t="s">
        <v>442</v>
      </c>
      <c r="C601" t="s">
        <v>9</v>
      </c>
      <c r="D601">
        <v>5895</v>
      </c>
      <c r="E601">
        <v>5902</v>
      </c>
      <c r="F601">
        <v>5891</v>
      </c>
      <c r="G601">
        <v>5893</v>
      </c>
      <c r="H601">
        <v>64500</v>
      </c>
    </row>
    <row r="602" spans="2:8">
      <c r="B602" t="s">
        <v>442</v>
      </c>
      <c r="C602" t="s">
        <v>10</v>
      </c>
      <c r="D602">
        <v>5892</v>
      </c>
      <c r="E602">
        <v>5895</v>
      </c>
      <c r="F602">
        <v>5888</v>
      </c>
      <c r="G602">
        <v>5894</v>
      </c>
      <c r="H602">
        <v>62900</v>
      </c>
    </row>
    <row r="603" spans="2:8">
      <c r="B603" t="s">
        <v>442</v>
      </c>
      <c r="C603" t="s">
        <v>11</v>
      </c>
      <c r="D603">
        <v>5893</v>
      </c>
      <c r="E603">
        <v>5909</v>
      </c>
      <c r="F603">
        <v>5893</v>
      </c>
      <c r="G603">
        <v>5909</v>
      </c>
      <c r="H603">
        <v>61600</v>
      </c>
    </row>
    <row r="604" spans="2:8">
      <c r="B604" t="s">
        <v>442</v>
      </c>
      <c r="C604" t="s">
        <v>12</v>
      </c>
      <c r="D604">
        <v>5909</v>
      </c>
      <c r="E604">
        <v>5909</v>
      </c>
      <c r="F604">
        <v>5895</v>
      </c>
      <c r="G604">
        <v>5900</v>
      </c>
      <c r="H604">
        <v>75000</v>
      </c>
    </row>
    <row r="605" spans="2:8">
      <c r="B605" t="s">
        <v>442</v>
      </c>
      <c r="C605" t="s">
        <v>13</v>
      </c>
      <c r="D605">
        <v>5899</v>
      </c>
      <c r="E605">
        <v>5904</v>
      </c>
      <c r="F605">
        <v>5898</v>
      </c>
      <c r="G605">
        <v>5901</v>
      </c>
      <c r="H605">
        <v>30400</v>
      </c>
    </row>
    <row r="606" spans="2:8">
      <c r="B606" t="s">
        <v>442</v>
      </c>
      <c r="C606" t="s">
        <v>14</v>
      </c>
      <c r="D606">
        <v>5901</v>
      </c>
      <c r="E606">
        <v>5907</v>
      </c>
      <c r="F606">
        <v>5900</v>
      </c>
      <c r="G606">
        <v>5902</v>
      </c>
      <c r="H606">
        <v>42500</v>
      </c>
    </row>
    <row r="607" spans="2:8">
      <c r="B607" t="s">
        <v>442</v>
      </c>
      <c r="C607" t="s">
        <v>15</v>
      </c>
      <c r="D607">
        <v>5902</v>
      </c>
      <c r="E607">
        <v>5905</v>
      </c>
      <c r="F607">
        <v>5891</v>
      </c>
      <c r="G607">
        <v>5897</v>
      </c>
      <c r="H607">
        <v>69700</v>
      </c>
    </row>
    <row r="608" spans="2:8">
      <c r="B608" t="s">
        <v>442</v>
      </c>
      <c r="C608" t="s">
        <v>16</v>
      </c>
      <c r="D608">
        <v>5897</v>
      </c>
      <c r="E608">
        <v>5905</v>
      </c>
      <c r="F608">
        <v>5896</v>
      </c>
      <c r="G608">
        <v>5904</v>
      </c>
      <c r="H608">
        <v>27300</v>
      </c>
    </row>
    <row r="609" spans="2:8">
      <c r="B609" t="s">
        <v>442</v>
      </c>
      <c r="C609" t="s">
        <v>17</v>
      </c>
      <c r="D609">
        <v>5903</v>
      </c>
      <c r="E609">
        <v>5908</v>
      </c>
      <c r="F609">
        <v>5902</v>
      </c>
      <c r="G609">
        <v>5908</v>
      </c>
      <c r="H609">
        <v>46100</v>
      </c>
    </row>
    <row r="610" spans="2:8">
      <c r="B610" t="s">
        <v>442</v>
      </c>
      <c r="C610" t="s">
        <v>18</v>
      </c>
      <c r="D610">
        <v>5908</v>
      </c>
      <c r="E610">
        <v>5912</v>
      </c>
      <c r="F610">
        <v>5905</v>
      </c>
      <c r="G610">
        <v>5906</v>
      </c>
      <c r="H610">
        <v>49400</v>
      </c>
    </row>
    <row r="611" spans="2:8">
      <c r="B611" t="s">
        <v>442</v>
      </c>
      <c r="C611" t="s">
        <v>19</v>
      </c>
      <c r="D611">
        <v>5905</v>
      </c>
      <c r="E611">
        <v>5909</v>
      </c>
      <c r="F611">
        <v>5905</v>
      </c>
      <c r="G611">
        <v>5906</v>
      </c>
      <c r="H611">
        <v>23300</v>
      </c>
    </row>
    <row r="612" spans="2:8">
      <c r="B612" t="s">
        <v>442</v>
      </c>
      <c r="C612" t="s">
        <v>20</v>
      </c>
      <c r="D612">
        <v>5907</v>
      </c>
      <c r="E612">
        <v>5908</v>
      </c>
      <c r="F612">
        <v>5892</v>
      </c>
      <c r="G612">
        <v>5898</v>
      </c>
      <c r="H612">
        <v>123100</v>
      </c>
    </row>
    <row r="613" spans="2:8">
      <c r="B613" t="s">
        <v>442</v>
      </c>
      <c r="C613" t="s">
        <v>21</v>
      </c>
      <c r="D613">
        <v>5900</v>
      </c>
      <c r="E613">
        <v>5902</v>
      </c>
      <c r="F613">
        <v>5894</v>
      </c>
      <c r="G613">
        <v>5899</v>
      </c>
      <c r="H613">
        <v>38400</v>
      </c>
    </row>
    <row r="614" spans="2:8">
      <c r="B614" t="s">
        <v>442</v>
      </c>
      <c r="C614" t="s">
        <v>22</v>
      </c>
      <c r="D614">
        <v>5900</v>
      </c>
      <c r="E614">
        <v>5906</v>
      </c>
      <c r="F614">
        <v>5895</v>
      </c>
      <c r="G614">
        <v>5900</v>
      </c>
      <c r="H614">
        <v>46200</v>
      </c>
    </row>
    <row r="615" spans="2:8">
      <c r="B615" t="s">
        <v>442</v>
      </c>
      <c r="C615" t="s">
        <v>23</v>
      </c>
      <c r="D615">
        <v>5901</v>
      </c>
      <c r="E615">
        <v>5903</v>
      </c>
      <c r="F615">
        <v>5899</v>
      </c>
      <c r="G615">
        <v>5901</v>
      </c>
      <c r="H615">
        <v>16800</v>
      </c>
    </row>
    <row r="616" spans="2:8">
      <c r="B616" t="s">
        <v>442</v>
      </c>
      <c r="C616" t="s">
        <v>24</v>
      </c>
      <c r="D616">
        <v>5900</v>
      </c>
      <c r="E616">
        <v>5901</v>
      </c>
      <c r="F616">
        <v>5899</v>
      </c>
      <c r="G616">
        <v>5900</v>
      </c>
      <c r="H616">
        <v>16700</v>
      </c>
    </row>
    <row r="617" spans="2:8">
      <c r="B617" t="s">
        <v>442</v>
      </c>
      <c r="C617" t="s">
        <v>25</v>
      </c>
      <c r="D617">
        <v>5900</v>
      </c>
      <c r="E617">
        <v>5903</v>
      </c>
      <c r="F617">
        <v>5899</v>
      </c>
      <c r="G617">
        <v>5902</v>
      </c>
      <c r="H617">
        <v>21800</v>
      </c>
    </row>
    <row r="618" spans="2:8">
      <c r="B618" t="s">
        <v>442</v>
      </c>
      <c r="C618" t="s">
        <v>26</v>
      </c>
      <c r="D618">
        <v>5901</v>
      </c>
      <c r="E618">
        <v>5906</v>
      </c>
      <c r="F618">
        <v>5901</v>
      </c>
      <c r="G618">
        <v>5906</v>
      </c>
      <c r="H618">
        <v>18000</v>
      </c>
    </row>
    <row r="619" spans="2:8">
      <c r="B619" t="s">
        <v>442</v>
      </c>
      <c r="C619" t="s">
        <v>27</v>
      </c>
      <c r="D619">
        <v>5906</v>
      </c>
      <c r="E619">
        <v>5911</v>
      </c>
      <c r="F619">
        <v>5902</v>
      </c>
      <c r="G619">
        <v>5911</v>
      </c>
      <c r="H619">
        <v>51700</v>
      </c>
    </row>
    <row r="620" spans="2:8">
      <c r="B620" t="s">
        <v>442</v>
      </c>
      <c r="C620" t="s">
        <v>28</v>
      </c>
      <c r="D620">
        <v>5911</v>
      </c>
      <c r="E620">
        <v>5914</v>
      </c>
      <c r="F620">
        <v>5910</v>
      </c>
      <c r="G620">
        <v>5910</v>
      </c>
      <c r="H620">
        <v>51700</v>
      </c>
    </row>
    <row r="621" spans="2:8">
      <c r="B621" t="s">
        <v>442</v>
      </c>
      <c r="C621" t="s">
        <v>29</v>
      </c>
      <c r="D621">
        <v>5911</v>
      </c>
      <c r="E621">
        <v>5912</v>
      </c>
      <c r="F621">
        <v>5903</v>
      </c>
      <c r="G621">
        <v>5903</v>
      </c>
      <c r="H621">
        <v>41400</v>
      </c>
    </row>
    <row r="622" spans="2:8">
      <c r="B622" t="s">
        <v>442</v>
      </c>
      <c r="C622" t="s">
        <v>30</v>
      </c>
      <c r="D622">
        <v>5904</v>
      </c>
      <c r="E622">
        <v>5917</v>
      </c>
      <c r="F622">
        <v>5903</v>
      </c>
      <c r="G622">
        <v>5917</v>
      </c>
      <c r="H622">
        <v>45600</v>
      </c>
    </row>
    <row r="623" spans="2:8">
      <c r="B623" t="s">
        <v>442</v>
      </c>
      <c r="C623" t="s">
        <v>31</v>
      </c>
      <c r="D623">
        <v>5917</v>
      </c>
      <c r="E623">
        <v>5919</v>
      </c>
      <c r="F623">
        <v>5906</v>
      </c>
      <c r="G623">
        <v>5911</v>
      </c>
      <c r="H623">
        <v>67600</v>
      </c>
    </row>
    <row r="624" spans="2:8">
      <c r="B624" t="s">
        <v>442</v>
      </c>
      <c r="C624" t="s">
        <v>32</v>
      </c>
      <c r="D624">
        <v>5911</v>
      </c>
      <c r="E624">
        <v>5914</v>
      </c>
      <c r="F624">
        <v>5910</v>
      </c>
      <c r="G624">
        <v>5914</v>
      </c>
      <c r="H624">
        <v>24400</v>
      </c>
    </row>
    <row r="625" spans="2:8">
      <c r="B625" t="s">
        <v>442</v>
      </c>
      <c r="C625" t="s">
        <v>33</v>
      </c>
      <c r="D625">
        <v>5914</v>
      </c>
      <c r="E625">
        <v>5918</v>
      </c>
      <c r="F625">
        <v>5912</v>
      </c>
      <c r="G625">
        <v>5915</v>
      </c>
      <c r="H625">
        <v>29300</v>
      </c>
    </row>
    <row r="626" spans="2:8">
      <c r="B626" t="s">
        <v>442</v>
      </c>
      <c r="C626" t="s">
        <v>34</v>
      </c>
      <c r="D626">
        <v>5915</v>
      </c>
      <c r="E626">
        <v>5916</v>
      </c>
      <c r="F626">
        <v>5912</v>
      </c>
      <c r="G626">
        <v>5913</v>
      </c>
      <c r="H626">
        <v>17200</v>
      </c>
    </row>
    <row r="627" spans="2:8">
      <c r="B627" t="s">
        <v>442</v>
      </c>
      <c r="C627" t="s">
        <v>35</v>
      </c>
      <c r="D627">
        <v>5914</v>
      </c>
      <c r="E627">
        <v>5914</v>
      </c>
      <c r="F627">
        <v>5893</v>
      </c>
      <c r="G627">
        <v>5903</v>
      </c>
      <c r="H627">
        <v>115100</v>
      </c>
    </row>
    <row r="628" spans="2:8">
      <c r="B628" t="s">
        <v>442</v>
      </c>
      <c r="C628" t="s">
        <v>36</v>
      </c>
      <c r="D628">
        <v>5902</v>
      </c>
      <c r="E628">
        <v>5906</v>
      </c>
      <c r="F628">
        <v>5900</v>
      </c>
      <c r="G628">
        <v>5903</v>
      </c>
      <c r="H628">
        <v>33200</v>
      </c>
    </row>
    <row r="629" spans="2:8">
      <c r="B629" t="s">
        <v>442</v>
      </c>
      <c r="C629" t="s">
        <v>37</v>
      </c>
      <c r="D629">
        <v>5902</v>
      </c>
      <c r="E629">
        <v>5903</v>
      </c>
      <c r="F629">
        <v>5896</v>
      </c>
      <c r="G629">
        <v>5901</v>
      </c>
      <c r="H629">
        <v>46100</v>
      </c>
    </row>
    <row r="630" spans="2:8">
      <c r="B630" t="s">
        <v>442</v>
      </c>
      <c r="C630" t="s">
        <v>38</v>
      </c>
      <c r="D630">
        <v>5902</v>
      </c>
      <c r="E630">
        <v>5909</v>
      </c>
      <c r="F630">
        <v>5900</v>
      </c>
      <c r="G630">
        <v>5908</v>
      </c>
      <c r="H630">
        <v>56000</v>
      </c>
    </row>
    <row r="631" spans="2:8">
      <c r="B631" t="s">
        <v>442</v>
      </c>
      <c r="C631" t="s">
        <v>39</v>
      </c>
      <c r="D631">
        <v>5909</v>
      </c>
      <c r="E631">
        <v>5909</v>
      </c>
      <c r="F631">
        <v>5906</v>
      </c>
      <c r="G631">
        <v>5908</v>
      </c>
      <c r="H631">
        <v>17800</v>
      </c>
    </row>
    <row r="632" spans="2:8">
      <c r="B632" t="s">
        <v>442</v>
      </c>
      <c r="C632" t="s">
        <v>40</v>
      </c>
      <c r="D632">
        <v>5907</v>
      </c>
      <c r="E632">
        <v>5915</v>
      </c>
      <c r="F632">
        <v>5907</v>
      </c>
      <c r="G632">
        <v>5915</v>
      </c>
      <c r="H632">
        <v>38900</v>
      </c>
    </row>
    <row r="633" spans="2:8">
      <c r="B633" t="s">
        <v>442</v>
      </c>
      <c r="C633" t="s">
        <v>41</v>
      </c>
      <c r="D633">
        <v>5915</v>
      </c>
      <c r="E633">
        <v>5915</v>
      </c>
      <c r="F633">
        <v>5910</v>
      </c>
      <c r="G633">
        <v>5912</v>
      </c>
      <c r="H633">
        <v>17000</v>
      </c>
    </row>
    <row r="634" spans="2:8">
      <c r="B634" t="s">
        <v>442</v>
      </c>
      <c r="C634" t="s">
        <v>42</v>
      </c>
      <c r="D634">
        <v>5912</v>
      </c>
      <c r="E634">
        <v>5912</v>
      </c>
      <c r="F634">
        <v>5905</v>
      </c>
      <c r="G634">
        <v>5906</v>
      </c>
      <c r="H634">
        <v>18800</v>
      </c>
    </row>
    <row r="635" spans="2:8">
      <c r="B635" t="s">
        <v>442</v>
      </c>
      <c r="C635" t="s">
        <v>43</v>
      </c>
      <c r="D635">
        <v>5907</v>
      </c>
      <c r="E635">
        <v>5911</v>
      </c>
      <c r="F635">
        <v>5906</v>
      </c>
      <c r="G635">
        <v>5908</v>
      </c>
      <c r="H635">
        <v>20200</v>
      </c>
    </row>
    <row r="636" spans="2:8">
      <c r="B636" t="s">
        <v>442</v>
      </c>
      <c r="C636" t="s">
        <v>44</v>
      </c>
      <c r="D636">
        <v>5908</v>
      </c>
      <c r="E636">
        <v>5920</v>
      </c>
      <c r="F636">
        <v>5908</v>
      </c>
      <c r="G636">
        <v>5919</v>
      </c>
      <c r="H636">
        <v>82200</v>
      </c>
    </row>
    <row r="637" spans="2:8">
      <c r="B637" t="s">
        <v>442</v>
      </c>
      <c r="C637" t="s">
        <v>45</v>
      </c>
      <c r="D637">
        <v>5920</v>
      </c>
      <c r="E637">
        <v>5920</v>
      </c>
      <c r="F637">
        <v>5915</v>
      </c>
      <c r="G637">
        <v>5916</v>
      </c>
      <c r="H637">
        <v>26300</v>
      </c>
    </row>
    <row r="638" spans="2:8">
      <c r="B638" t="s">
        <v>442</v>
      </c>
      <c r="C638" t="s">
        <v>46</v>
      </c>
      <c r="D638">
        <v>5916</v>
      </c>
      <c r="E638">
        <v>5916</v>
      </c>
      <c r="F638">
        <v>5912</v>
      </c>
      <c r="G638">
        <v>5912</v>
      </c>
      <c r="H638">
        <v>28900</v>
      </c>
    </row>
    <row r="639" spans="2:8">
      <c r="B639" t="s">
        <v>442</v>
      </c>
      <c r="C639" t="s">
        <v>47</v>
      </c>
      <c r="D639">
        <v>5912</v>
      </c>
      <c r="E639">
        <v>5920</v>
      </c>
      <c r="F639">
        <v>5912</v>
      </c>
      <c r="G639">
        <v>5915</v>
      </c>
      <c r="H639">
        <v>44800</v>
      </c>
    </row>
    <row r="640" spans="2:8">
      <c r="B640" t="s">
        <v>442</v>
      </c>
      <c r="C640" t="s">
        <v>48</v>
      </c>
      <c r="D640">
        <v>5914</v>
      </c>
      <c r="E640">
        <v>5916</v>
      </c>
      <c r="F640">
        <v>5907</v>
      </c>
      <c r="G640">
        <v>5912</v>
      </c>
      <c r="H640">
        <v>38500</v>
      </c>
    </row>
    <row r="641" spans="2:8">
      <c r="B641" t="s">
        <v>442</v>
      </c>
      <c r="C641" t="s">
        <v>49</v>
      </c>
      <c r="D641">
        <v>5912</v>
      </c>
      <c r="E641">
        <v>5914</v>
      </c>
      <c r="F641">
        <v>5911</v>
      </c>
      <c r="G641">
        <v>5914</v>
      </c>
      <c r="H641">
        <v>16300</v>
      </c>
    </row>
    <row r="642" spans="2:8">
      <c r="B642" t="s">
        <v>442</v>
      </c>
      <c r="C642" t="s">
        <v>50</v>
      </c>
      <c r="D642">
        <v>5913</v>
      </c>
      <c r="E642">
        <v>5914</v>
      </c>
      <c r="F642">
        <v>5910</v>
      </c>
      <c r="G642">
        <v>5911</v>
      </c>
      <c r="H642">
        <v>35600</v>
      </c>
    </row>
    <row r="643" spans="2:8">
      <c r="B643" t="s">
        <v>442</v>
      </c>
      <c r="C643" t="s">
        <v>51</v>
      </c>
      <c r="D643">
        <v>5912</v>
      </c>
      <c r="E643">
        <v>5913</v>
      </c>
      <c r="F643">
        <v>5905</v>
      </c>
      <c r="G643">
        <v>5908</v>
      </c>
      <c r="H643">
        <v>53200</v>
      </c>
    </row>
    <row r="644" spans="2:8">
      <c r="B644" t="s">
        <v>442</v>
      </c>
      <c r="C644" t="s">
        <v>52</v>
      </c>
      <c r="D644">
        <v>5909</v>
      </c>
      <c r="E644">
        <v>5910</v>
      </c>
      <c r="F644">
        <v>5905</v>
      </c>
      <c r="G644">
        <v>5908</v>
      </c>
      <c r="H644">
        <v>20900</v>
      </c>
    </row>
    <row r="645" spans="2:8">
      <c r="B645" t="s">
        <v>442</v>
      </c>
      <c r="C645" t="s">
        <v>53</v>
      </c>
      <c r="D645">
        <v>5907</v>
      </c>
      <c r="E645">
        <v>5912</v>
      </c>
      <c r="F645">
        <v>5907</v>
      </c>
      <c r="G645">
        <v>5909</v>
      </c>
      <c r="H645">
        <v>19700</v>
      </c>
    </row>
    <row r="646" spans="2:8">
      <c r="B646" t="s">
        <v>442</v>
      </c>
      <c r="C646" t="s">
        <v>54</v>
      </c>
      <c r="D646">
        <v>5909</v>
      </c>
      <c r="E646">
        <v>5913</v>
      </c>
      <c r="F646">
        <v>5906</v>
      </c>
      <c r="G646">
        <v>5912</v>
      </c>
      <c r="H646">
        <v>29400</v>
      </c>
    </row>
    <row r="647" spans="2:8">
      <c r="B647" t="s">
        <v>442</v>
      </c>
      <c r="C647" t="s">
        <v>55</v>
      </c>
      <c r="D647">
        <v>5912</v>
      </c>
      <c r="E647">
        <v>5915</v>
      </c>
      <c r="F647">
        <v>5911</v>
      </c>
      <c r="G647">
        <v>5914</v>
      </c>
      <c r="H647">
        <v>19800</v>
      </c>
    </row>
    <row r="648" spans="2:8">
      <c r="B648" t="s">
        <v>442</v>
      </c>
      <c r="C648" t="s">
        <v>56</v>
      </c>
      <c r="D648">
        <v>5913</v>
      </c>
      <c r="E648">
        <v>5913</v>
      </c>
      <c r="F648">
        <v>5908</v>
      </c>
      <c r="G648">
        <v>5910</v>
      </c>
      <c r="H648">
        <v>22400</v>
      </c>
    </row>
    <row r="649" spans="2:8">
      <c r="B649" t="s">
        <v>442</v>
      </c>
      <c r="C649" t="s">
        <v>57</v>
      </c>
      <c r="D649">
        <v>5910</v>
      </c>
      <c r="E649">
        <v>5915</v>
      </c>
      <c r="F649">
        <v>5909</v>
      </c>
      <c r="G649">
        <v>5910</v>
      </c>
      <c r="H649">
        <v>28400</v>
      </c>
    </row>
    <row r="650" spans="2:8">
      <c r="B650" t="s">
        <v>442</v>
      </c>
      <c r="C650" t="s">
        <v>58</v>
      </c>
      <c r="D650">
        <v>5911</v>
      </c>
      <c r="E650">
        <v>5913</v>
      </c>
      <c r="F650">
        <v>5910</v>
      </c>
      <c r="G650">
        <v>5913</v>
      </c>
      <c r="H650">
        <v>11400</v>
      </c>
    </row>
    <row r="651" spans="2:8">
      <c r="B651" t="s">
        <v>442</v>
      </c>
      <c r="C651" t="s">
        <v>59</v>
      </c>
      <c r="D651">
        <v>5912</v>
      </c>
      <c r="E651">
        <v>5919</v>
      </c>
      <c r="F651">
        <v>5912</v>
      </c>
      <c r="G651">
        <v>5916</v>
      </c>
      <c r="H651">
        <v>45700</v>
      </c>
    </row>
    <row r="652" spans="2:8">
      <c r="B652" t="s">
        <v>442</v>
      </c>
      <c r="C652" t="s">
        <v>60</v>
      </c>
      <c r="D652">
        <v>5915</v>
      </c>
      <c r="E652">
        <v>5917</v>
      </c>
      <c r="F652">
        <v>5914</v>
      </c>
      <c r="G652">
        <v>5915</v>
      </c>
      <c r="H652">
        <v>18500</v>
      </c>
    </row>
    <row r="653" spans="2:8">
      <c r="B653" t="s">
        <v>442</v>
      </c>
      <c r="C653" t="s">
        <v>61</v>
      </c>
      <c r="D653">
        <v>5916</v>
      </c>
      <c r="E653">
        <v>5917</v>
      </c>
      <c r="F653">
        <v>5914</v>
      </c>
      <c r="G653">
        <v>5917</v>
      </c>
      <c r="H653">
        <v>24000</v>
      </c>
    </row>
    <row r="654" spans="2:8">
      <c r="B654" t="s">
        <v>442</v>
      </c>
      <c r="C654" t="s">
        <v>62</v>
      </c>
      <c r="D654">
        <v>5916</v>
      </c>
      <c r="E654">
        <v>5918</v>
      </c>
      <c r="F654">
        <v>5913</v>
      </c>
      <c r="G654">
        <v>5916</v>
      </c>
      <c r="H654">
        <v>27800</v>
      </c>
    </row>
    <row r="655" spans="2:8">
      <c r="B655" t="s">
        <v>442</v>
      </c>
      <c r="C655" t="s">
        <v>63</v>
      </c>
      <c r="D655">
        <v>5916</v>
      </c>
      <c r="E655">
        <v>5918</v>
      </c>
      <c r="F655">
        <v>5912</v>
      </c>
      <c r="G655">
        <v>5916</v>
      </c>
      <c r="H655">
        <v>28700</v>
      </c>
    </row>
    <row r="656" spans="2:8">
      <c r="B656" t="s">
        <v>442</v>
      </c>
      <c r="C656" t="s">
        <v>64</v>
      </c>
      <c r="D656">
        <v>5917</v>
      </c>
      <c r="E656">
        <v>5917</v>
      </c>
      <c r="F656">
        <v>5914</v>
      </c>
      <c r="G656">
        <v>5916</v>
      </c>
      <c r="H656">
        <v>22600</v>
      </c>
    </row>
    <row r="657" spans="2:8">
      <c r="B657" t="s">
        <v>442</v>
      </c>
      <c r="C657" t="s">
        <v>65</v>
      </c>
      <c r="D657">
        <v>5915</v>
      </c>
      <c r="E657">
        <v>5918</v>
      </c>
      <c r="F657">
        <v>5915</v>
      </c>
      <c r="G657">
        <v>5918</v>
      </c>
      <c r="H657">
        <v>27500</v>
      </c>
    </row>
    <row r="658" spans="2:8">
      <c r="B658" t="s">
        <v>442</v>
      </c>
      <c r="C658" t="s">
        <v>66</v>
      </c>
      <c r="D658">
        <v>5917</v>
      </c>
      <c r="E658">
        <v>5930</v>
      </c>
      <c r="F658">
        <v>5917</v>
      </c>
      <c r="G658">
        <v>5927</v>
      </c>
      <c r="H658">
        <v>94200</v>
      </c>
    </row>
    <row r="659" spans="2:8">
      <c r="B659" t="s">
        <v>442</v>
      </c>
      <c r="C659" t="s">
        <v>164</v>
      </c>
      <c r="D659">
        <v>5926</v>
      </c>
      <c r="E659">
        <v>5930</v>
      </c>
      <c r="F659">
        <v>5923</v>
      </c>
      <c r="G659">
        <v>5927</v>
      </c>
      <c r="H659">
        <v>50000</v>
      </c>
    </row>
    <row r="660" spans="2:8">
      <c r="B660" t="s">
        <v>442</v>
      </c>
      <c r="C660" t="s">
        <v>165</v>
      </c>
      <c r="D660">
        <v>5926</v>
      </c>
      <c r="E660">
        <v>5935</v>
      </c>
      <c r="F660">
        <v>5921</v>
      </c>
      <c r="G660">
        <v>5924</v>
      </c>
      <c r="H660">
        <v>94000</v>
      </c>
    </row>
    <row r="661" spans="2:8">
      <c r="B661" t="s">
        <v>442</v>
      </c>
      <c r="C661" t="s">
        <v>67</v>
      </c>
      <c r="D661" t="s">
        <v>8</v>
      </c>
      <c r="E661" t="s">
        <v>8</v>
      </c>
      <c r="F661" t="s">
        <v>8</v>
      </c>
      <c r="G661" t="s">
        <v>8</v>
      </c>
      <c r="H661">
        <v>0</v>
      </c>
    </row>
    <row r="662" spans="2:8">
      <c r="B662" t="s">
        <v>442</v>
      </c>
      <c r="C662" t="s">
        <v>68</v>
      </c>
      <c r="D662" t="s">
        <v>8</v>
      </c>
      <c r="E662" t="s">
        <v>8</v>
      </c>
      <c r="F662" t="s">
        <v>8</v>
      </c>
      <c r="G662" t="s">
        <v>8</v>
      </c>
      <c r="H662">
        <v>0</v>
      </c>
    </row>
    <row r="663" spans="2:8">
      <c r="B663" t="s">
        <v>442</v>
      </c>
      <c r="C663" t="s">
        <v>69</v>
      </c>
      <c r="D663" t="s">
        <v>8</v>
      </c>
      <c r="E663" t="s">
        <v>8</v>
      </c>
      <c r="F663" t="s">
        <v>8</v>
      </c>
      <c r="G663" t="s">
        <v>8</v>
      </c>
      <c r="H663">
        <v>0</v>
      </c>
    </row>
    <row r="664" spans="2:8">
      <c r="B664" t="s">
        <v>442</v>
      </c>
      <c r="C664" t="s">
        <v>70</v>
      </c>
      <c r="D664" t="s">
        <v>8</v>
      </c>
      <c r="E664" t="s">
        <v>8</v>
      </c>
      <c r="F664" t="s">
        <v>8</v>
      </c>
      <c r="G664" t="s">
        <v>8</v>
      </c>
      <c r="H664">
        <v>0</v>
      </c>
    </row>
    <row r="665" spans="2:8">
      <c r="B665" t="s">
        <v>442</v>
      </c>
      <c r="C665" t="s">
        <v>71</v>
      </c>
      <c r="D665" t="s">
        <v>8</v>
      </c>
      <c r="E665" t="s">
        <v>8</v>
      </c>
      <c r="F665" t="s">
        <v>8</v>
      </c>
      <c r="G665" t="s">
        <v>8</v>
      </c>
      <c r="H665">
        <v>0</v>
      </c>
    </row>
    <row r="666" spans="2:8">
      <c r="B666" t="s">
        <v>442</v>
      </c>
      <c r="C666" t="s">
        <v>72</v>
      </c>
      <c r="D666">
        <v>5936</v>
      </c>
      <c r="E666">
        <v>5936</v>
      </c>
      <c r="F666">
        <v>5936</v>
      </c>
      <c r="G666">
        <v>5936</v>
      </c>
      <c r="H666">
        <v>368000</v>
      </c>
    </row>
    <row r="667" spans="2:8">
      <c r="B667" t="s">
        <v>443</v>
      </c>
      <c r="C667" t="s">
        <v>166</v>
      </c>
      <c r="D667">
        <v>5971</v>
      </c>
      <c r="E667">
        <v>5983</v>
      </c>
      <c r="F667">
        <v>5896</v>
      </c>
      <c r="G667">
        <v>5948</v>
      </c>
      <c r="H667">
        <v>678100</v>
      </c>
    </row>
    <row r="668" spans="2:8">
      <c r="B668" t="s">
        <v>443</v>
      </c>
      <c r="C668" t="s">
        <v>167</v>
      </c>
      <c r="D668">
        <v>5947</v>
      </c>
      <c r="E668">
        <v>5947</v>
      </c>
      <c r="F668">
        <v>5903</v>
      </c>
      <c r="G668">
        <v>5922</v>
      </c>
      <c r="H668">
        <v>240500</v>
      </c>
    </row>
    <row r="669" spans="2:8">
      <c r="B669" t="s">
        <v>443</v>
      </c>
      <c r="C669" t="s">
        <v>168</v>
      </c>
      <c r="D669">
        <v>5924</v>
      </c>
      <c r="E669">
        <v>5945</v>
      </c>
      <c r="F669">
        <v>5890</v>
      </c>
      <c r="G669">
        <v>5899</v>
      </c>
      <c r="H669">
        <v>205200</v>
      </c>
    </row>
    <row r="670" spans="2:8">
      <c r="B670" t="s">
        <v>443</v>
      </c>
      <c r="C670" t="s">
        <v>169</v>
      </c>
      <c r="D670">
        <v>5899</v>
      </c>
      <c r="E670">
        <v>5899</v>
      </c>
      <c r="F670">
        <v>5874</v>
      </c>
      <c r="G670">
        <v>5894</v>
      </c>
      <c r="H670">
        <v>147000</v>
      </c>
    </row>
    <row r="671" spans="2:8">
      <c r="B671" t="s">
        <v>443</v>
      </c>
      <c r="C671" t="s">
        <v>170</v>
      </c>
      <c r="D671">
        <v>5894</v>
      </c>
      <c r="E671">
        <v>5894</v>
      </c>
      <c r="F671">
        <v>5855</v>
      </c>
      <c r="G671">
        <v>5863</v>
      </c>
      <c r="H671">
        <v>133800</v>
      </c>
    </row>
    <row r="672" spans="2:8">
      <c r="B672" t="s">
        <v>443</v>
      </c>
      <c r="C672" t="s">
        <v>171</v>
      </c>
      <c r="D672">
        <v>5862</v>
      </c>
      <c r="E672">
        <v>5875</v>
      </c>
      <c r="F672">
        <v>5833</v>
      </c>
      <c r="G672">
        <v>5834</v>
      </c>
      <c r="H672">
        <v>190200</v>
      </c>
    </row>
    <row r="673" spans="2:8">
      <c r="B673" t="s">
        <v>443</v>
      </c>
      <c r="C673" t="s">
        <v>172</v>
      </c>
      <c r="D673">
        <v>5835</v>
      </c>
      <c r="E673">
        <v>5849</v>
      </c>
      <c r="F673">
        <v>5813</v>
      </c>
      <c r="G673">
        <v>5846</v>
      </c>
      <c r="H673">
        <v>187600</v>
      </c>
    </row>
    <row r="674" spans="2:8">
      <c r="B674" t="s">
        <v>443</v>
      </c>
      <c r="C674" t="s">
        <v>173</v>
      </c>
      <c r="D674">
        <v>5845</v>
      </c>
      <c r="E674">
        <v>5848</v>
      </c>
      <c r="F674">
        <v>5830</v>
      </c>
      <c r="G674">
        <v>5839</v>
      </c>
      <c r="H674">
        <v>65300</v>
      </c>
    </row>
    <row r="675" spans="2:8">
      <c r="B675" t="s">
        <v>443</v>
      </c>
      <c r="C675" t="s">
        <v>174</v>
      </c>
      <c r="D675">
        <v>5838</v>
      </c>
      <c r="E675">
        <v>5840</v>
      </c>
      <c r="F675">
        <v>5813</v>
      </c>
      <c r="G675">
        <v>5816</v>
      </c>
      <c r="H675">
        <v>134300</v>
      </c>
    </row>
    <row r="676" spans="2:8">
      <c r="B676" t="s">
        <v>443</v>
      </c>
      <c r="C676" t="s">
        <v>175</v>
      </c>
      <c r="D676">
        <v>5815</v>
      </c>
      <c r="E676">
        <v>5829</v>
      </c>
      <c r="F676">
        <v>5808</v>
      </c>
      <c r="G676">
        <v>5829</v>
      </c>
      <c r="H676">
        <v>87000</v>
      </c>
    </row>
    <row r="677" spans="2:8">
      <c r="B677" t="s">
        <v>443</v>
      </c>
      <c r="C677" t="s">
        <v>176</v>
      </c>
      <c r="D677">
        <v>5829</v>
      </c>
      <c r="E677">
        <v>5851</v>
      </c>
      <c r="F677">
        <v>5829</v>
      </c>
      <c r="G677">
        <v>5846</v>
      </c>
      <c r="H677">
        <v>120500</v>
      </c>
    </row>
    <row r="678" spans="2:8">
      <c r="B678" t="s">
        <v>443</v>
      </c>
      <c r="C678" t="s">
        <v>177</v>
      </c>
      <c r="D678">
        <v>5847</v>
      </c>
      <c r="E678">
        <v>5853</v>
      </c>
      <c r="F678">
        <v>5823</v>
      </c>
      <c r="G678">
        <v>5840</v>
      </c>
      <c r="H678">
        <v>104500</v>
      </c>
    </row>
    <row r="679" spans="2:8">
      <c r="B679" t="s">
        <v>443</v>
      </c>
      <c r="C679" t="s">
        <v>178</v>
      </c>
      <c r="D679">
        <v>5841</v>
      </c>
      <c r="E679">
        <v>5844</v>
      </c>
      <c r="F679">
        <v>5833</v>
      </c>
      <c r="G679">
        <v>5843</v>
      </c>
      <c r="H679">
        <v>41000</v>
      </c>
    </row>
    <row r="680" spans="2:8">
      <c r="B680" t="s">
        <v>443</v>
      </c>
      <c r="C680" t="s">
        <v>179</v>
      </c>
      <c r="D680">
        <v>5843</v>
      </c>
      <c r="E680">
        <v>5867</v>
      </c>
      <c r="F680">
        <v>5840</v>
      </c>
      <c r="G680">
        <v>5858</v>
      </c>
      <c r="H680">
        <v>133400</v>
      </c>
    </row>
    <row r="681" spans="2:8">
      <c r="B681" t="s">
        <v>443</v>
      </c>
      <c r="C681" t="s">
        <v>180</v>
      </c>
      <c r="D681">
        <v>5858</v>
      </c>
      <c r="E681">
        <v>5859</v>
      </c>
      <c r="F681">
        <v>5832</v>
      </c>
      <c r="G681">
        <v>5842</v>
      </c>
      <c r="H681">
        <v>80300</v>
      </c>
    </row>
    <row r="682" spans="2:8">
      <c r="B682" t="s">
        <v>443</v>
      </c>
      <c r="C682" t="s">
        <v>181</v>
      </c>
      <c r="D682">
        <v>5842</v>
      </c>
      <c r="E682">
        <v>5842</v>
      </c>
      <c r="F682">
        <v>5821</v>
      </c>
      <c r="G682">
        <v>5824</v>
      </c>
      <c r="H682">
        <v>102200</v>
      </c>
    </row>
    <row r="683" spans="2:8">
      <c r="B683" t="s">
        <v>443</v>
      </c>
      <c r="C683" t="s">
        <v>182</v>
      </c>
      <c r="D683">
        <v>5824</v>
      </c>
      <c r="E683">
        <v>5825</v>
      </c>
      <c r="F683">
        <v>5781</v>
      </c>
      <c r="G683">
        <v>5789</v>
      </c>
      <c r="H683">
        <v>231700</v>
      </c>
    </row>
    <row r="684" spans="2:8">
      <c r="B684" t="s">
        <v>443</v>
      </c>
      <c r="C684" t="s">
        <v>183</v>
      </c>
      <c r="D684">
        <v>5788</v>
      </c>
      <c r="E684">
        <v>5805</v>
      </c>
      <c r="F684">
        <v>5785</v>
      </c>
      <c r="G684">
        <v>5802</v>
      </c>
      <c r="H684">
        <v>76400</v>
      </c>
    </row>
    <row r="685" spans="2:8">
      <c r="B685" t="s">
        <v>443</v>
      </c>
      <c r="C685" t="s">
        <v>184</v>
      </c>
      <c r="D685">
        <v>5803</v>
      </c>
      <c r="E685">
        <v>5815</v>
      </c>
      <c r="F685">
        <v>5794</v>
      </c>
      <c r="G685">
        <v>5814</v>
      </c>
      <c r="H685">
        <v>70100</v>
      </c>
    </row>
    <row r="686" spans="2:8">
      <c r="B686" t="s">
        <v>443</v>
      </c>
      <c r="C686" t="s">
        <v>185</v>
      </c>
      <c r="D686">
        <v>5815</v>
      </c>
      <c r="E686">
        <v>5824</v>
      </c>
      <c r="F686">
        <v>5810</v>
      </c>
      <c r="G686">
        <v>5815</v>
      </c>
      <c r="H686">
        <v>76300</v>
      </c>
    </row>
    <row r="687" spans="2:8">
      <c r="B687" t="s">
        <v>443</v>
      </c>
      <c r="C687" t="s">
        <v>186</v>
      </c>
      <c r="D687">
        <v>5814</v>
      </c>
      <c r="E687">
        <v>5821</v>
      </c>
      <c r="F687">
        <v>5802</v>
      </c>
      <c r="G687">
        <v>5807</v>
      </c>
      <c r="H687">
        <v>77700</v>
      </c>
    </row>
    <row r="688" spans="2:8">
      <c r="B688" t="s">
        <v>443</v>
      </c>
      <c r="C688" t="s">
        <v>187</v>
      </c>
      <c r="D688">
        <v>5806</v>
      </c>
      <c r="E688">
        <v>5818</v>
      </c>
      <c r="F688">
        <v>5803</v>
      </c>
      <c r="G688">
        <v>5817</v>
      </c>
      <c r="H688">
        <v>47400</v>
      </c>
    </row>
    <row r="689" spans="2:8">
      <c r="B689" t="s">
        <v>443</v>
      </c>
      <c r="C689" t="s">
        <v>188</v>
      </c>
      <c r="D689">
        <v>5817</v>
      </c>
      <c r="E689">
        <v>5817</v>
      </c>
      <c r="F689">
        <v>5809</v>
      </c>
      <c r="G689">
        <v>5812</v>
      </c>
      <c r="H689">
        <v>46900</v>
      </c>
    </row>
    <row r="690" spans="2:8">
      <c r="B690" t="s">
        <v>443</v>
      </c>
      <c r="C690" t="s">
        <v>189</v>
      </c>
      <c r="D690">
        <v>5812</v>
      </c>
      <c r="E690">
        <v>5812</v>
      </c>
      <c r="F690">
        <v>5800</v>
      </c>
      <c r="G690">
        <v>5802</v>
      </c>
      <c r="H690">
        <v>40000</v>
      </c>
    </row>
    <row r="691" spans="2:8">
      <c r="B691" t="s">
        <v>443</v>
      </c>
      <c r="C691" t="s">
        <v>190</v>
      </c>
      <c r="D691">
        <v>5802</v>
      </c>
      <c r="E691">
        <v>5812</v>
      </c>
      <c r="F691">
        <v>5795</v>
      </c>
      <c r="G691">
        <v>5811</v>
      </c>
      <c r="H691">
        <v>90200</v>
      </c>
    </row>
    <row r="692" spans="2:8">
      <c r="B692" t="s">
        <v>443</v>
      </c>
      <c r="C692" t="s">
        <v>191</v>
      </c>
      <c r="D692">
        <v>5811</v>
      </c>
      <c r="E692">
        <v>5816</v>
      </c>
      <c r="F692">
        <v>5798</v>
      </c>
      <c r="G692">
        <v>5801</v>
      </c>
      <c r="H692">
        <v>46500</v>
      </c>
    </row>
    <row r="693" spans="2:8">
      <c r="B693" t="s">
        <v>443</v>
      </c>
      <c r="C693" t="s">
        <v>192</v>
      </c>
      <c r="D693">
        <v>5802</v>
      </c>
      <c r="E693">
        <v>5807</v>
      </c>
      <c r="F693">
        <v>5799</v>
      </c>
      <c r="G693">
        <v>5804</v>
      </c>
      <c r="H693">
        <v>31900</v>
      </c>
    </row>
    <row r="694" spans="2:8">
      <c r="B694" t="s">
        <v>443</v>
      </c>
      <c r="C694" t="s">
        <v>193</v>
      </c>
      <c r="D694">
        <v>5805</v>
      </c>
      <c r="E694">
        <v>5806</v>
      </c>
      <c r="F694">
        <v>5787</v>
      </c>
      <c r="G694">
        <v>5801</v>
      </c>
      <c r="H694">
        <v>124900</v>
      </c>
    </row>
    <row r="695" spans="2:8">
      <c r="B695" t="s">
        <v>443</v>
      </c>
      <c r="C695" t="s">
        <v>194</v>
      </c>
      <c r="D695">
        <v>5801</v>
      </c>
      <c r="E695">
        <v>5809</v>
      </c>
      <c r="F695">
        <v>5799</v>
      </c>
      <c r="G695">
        <v>5807</v>
      </c>
      <c r="H695">
        <v>37000</v>
      </c>
    </row>
    <row r="696" spans="2:8">
      <c r="B696" t="s">
        <v>443</v>
      </c>
      <c r="C696" t="s">
        <v>195</v>
      </c>
      <c r="D696">
        <v>5807</v>
      </c>
      <c r="E696">
        <v>5813</v>
      </c>
      <c r="F696">
        <v>5800</v>
      </c>
      <c r="G696">
        <v>5801</v>
      </c>
      <c r="H696">
        <v>58100</v>
      </c>
    </row>
    <row r="697" spans="2:8">
      <c r="B697" t="s">
        <v>443</v>
      </c>
      <c r="C697" t="s">
        <v>196</v>
      </c>
      <c r="D697">
        <v>5803</v>
      </c>
      <c r="E697">
        <v>5806</v>
      </c>
      <c r="F697">
        <v>5797</v>
      </c>
      <c r="G697">
        <v>5804</v>
      </c>
      <c r="H697">
        <v>46700</v>
      </c>
    </row>
    <row r="698" spans="2:8">
      <c r="B698" t="s">
        <v>443</v>
      </c>
      <c r="C698" t="s">
        <v>197</v>
      </c>
      <c r="D698">
        <v>5804</v>
      </c>
      <c r="E698">
        <v>5812</v>
      </c>
      <c r="F698">
        <v>5802</v>
      </c>
      <c r="G698">
        <v>5810</v>
      </c>
      <c r="H698">
        <v>31900</v>
      </c>
    </row>
    <row r="699" spans="2:8">
      <c r="B699" t="s">
        <v>443</v>
      </c>
      <c r="C699" t="s">
        <v>198</v>
      </c>
      <c r="D699">
        <v>5809</v>
      </c>
      <c r="E699">
        <v>5819</v>
      </c>
      <c r="F699">
        <v>5808</v>
      </c>
      <c r="G699">
        <v>5814</v>
      </c>
      <c r="H699">
        <v>54900</v>
      </c>
    </row>
    <row r="700" spans="2:8">
      <c r="B700" t="s">
        <v>443</v>
      </c>
      <c r="C700" t="s">
        <v>199</v>
      </c>
      <c r="D700">
        <v>5814</v>
      </c>
      <c r="E700">
        <v>5826</v>
      </c>
      <c r="F700">
        <v>5814</v>
      </c>
      <c r="G700">
        <v>5821</v>
      </c>
      <c r="H700">
        <v>80900</v>
      </c>
    </row>
    <row r="701" spans="2:8">
      <c r="B701" t="s">
        <v>443</v>
      </c>
      <c r="C701" t="s">
        <v>200</v>
      </c>
      <c r="D701">
        <v>5821</v>
      </c>
      <c r="E701">
        <v>5830</v>
      </c>
      <c r="F701">
        <v>5816</v>
      </c>
      <c r="G701">
        <v>5818</v>
      </c>
      <c r="H701">
        <v>89600</v>
      </c>
    </row>
    <row r="702" spans="2:8">
      <c r="B702" t="s">
        <v>443</v>
      </c>
      <c r="C702" t="s">
        <v>201</v>
      </c>
      <c r="D702">
        <v>5818</v>
      </c>
      <c r="E702">
        <v>5826</v>
      </c>
      <c r="F702">
        <v>5818</v>
      </c>
      <c r="G702">
        <v>5826</v>
      </c>
      <c r="H702">
        <v>30300</v>
      </c>
    </row>
    <row r="703" spans="2:8">
      <c r="B703" t="s">
        <v>443</v>
      </c>
      <c r="C703" t="s">
        <v>202</v>
      </c>
      <c r="D703">
        <v>5825</v>
      </c>
      <c r="E703">
        <v>5826</v>
      </c>
      <c r="F703">
        <v>5816</v>
      </c>
      <c r="G703">
        <v>5816</v>
      </c>
      <c r="H703">
        <v>32500</v>
      </c>
    </row>
    <row r="704" spans="2:8">
      <c r="B704" t="s">
        <v>443</v>
      </c>
      <c r="C704" t="s">
        <v>203</v>
      </c>
      <c r="D704">
        <v>5816</v>
      </c>
      <c r="E704">
        <v>5822</v>
      </c>
      <c r="F704">
        <v>5815</v>
      </c>
      <c r="G704">
        <v>5820</v>
      </c>
      <c r="H704">
        <v>32700</v>
      </c>
    </row>
    <row r="705" spans="2:8">
      <c r="B705" t="s">
        <v>443</v>
      </c>
      <c r="C705" t="s">
        <v>204</v>
      </c>
      <c r="D705">
        <v>5819</v>
      </c>
      <c r="E705">
        <v>5832</v>
      </c>
      <c r="F705">
        <v>5818</v>
      </c>
      <c r="G705">
        <v>5832</v>
      </c>
      <c r="H705">
        <v>60500</v>
      </c>
    </row>
    <row r="706" spans="2:8">
      <c r="B706" t="s">
        <v>443</v>
      </c>
      <c r="C706" t="s">
        <v>205</v>
      </c>
      <c r="D706">
        <v>5832</v>
      </c>
      <c r="E706">
        <v>5835</v>
      </c>
      <c r="F706">
        <v>5825</v>
      </c>
      <c r="G706">
        <v>5826</v>
      </c>
      <c r="H706">
        <v>67100</v>
      </c>
    </row>
    <row r="707" spans="2:8">
      <c r="B707" t="s">
        <v>443</v>
      </c>
      <c r="C707" t="s">
        <v>206</v>
      </c>
      <c r="D707">
        <v>5826</v>
      </c>
      <c r="E707">
        <v>5839</v>
      </c>
      <c r="F707">
        <v>5825</v>
      </c>
      <c r="G707">
        <v>5832</v>
      </c>
      <c r="H707">
        <v>53900</v>
      </c>
    </row>
    <row r="708" spans="2:8">
      <c r="B708" t="s">
        <v>443</v>
      </c>
      <c r="C708" t="s">
        <v>207</v>
      </c>
      <c r="D708">
        <v>5831</v>
      </c>
      <c r="E708">
        <v>5831</v>
      </c>
      <c r="F708">
        <v>5826</v>
      </c>
      <c r="G708">
        <v>5828</v>
      </c>
      <c r="H708">
        <v>39300</v>
      </c>
    </row>
    <row r="709" spans="2:8">
      <c r="B709" t="s">
        <v>443</v>
      </c>
      <c r="C709" t="s">
        <v>208</v>
      </c>
      <c r="D709">
        <v>5828</v>
      </c>
      <c r="E709">
        <v>5828</v>
      </c>
      <c r="F709">
        <v>5816</v>
      </c>
      <c r="G709">
        <v>5817</v>
      </c>
      <c r="H709">
        <v>63600</v>
      </c>
    </row>
    <row r="710" spans="2:8">
      <c r="B710" t="s">
        <v>443</v>
      </c>
      <c r="C710" t="s">
        <v>209</v>
      </c>
      <c r="D710">
        <v>5817</v>
      </c>
      <c r="E710">
        <v>5826</v>
      </c>
      <c r="F710">
        <v>5817</v>
      </c>
      <c r="G710">
        <v>5819</v>
      </c>
      <c r="H710">
        <v>32100</v>
      </c>
    </row>
    <row r="711" spans="2:8">
      <c r="B711" t="s">
        <v>443</v>
      </c>
      <c r="C711" t="s">
        <v>210</v>
      </c>
      <c r="D711">
        <v>5819</v>
      </c>
      <c r="E711">
        <v>5819</v>
      </c>
      <c r="F711">
        <v>5801</v>
      </c>
      <c r="G711">
        <v>5806</v>
      </c>
      <c r="H711">
        <v>68500</v>
      </c>
    </row>
    <row r="712" spans="2:8">
      <c r="B712" t="s">
        <v>443</v>
      </c>
      <c r="C712" t="s">
        <v>211</v>
      </c>
      <c r="D712">
        <v>5805</v>
      </c>
      <c r="E712">
        <v>5814</v>
      </c>
      <c r="F712">
        <v>5800</v>
      </c>
      <c r="G712">
        <v>5812</v>
      </c>
      <c r="H712">
        <v>47300</v>
      </c>
    </row>
    <row r="713" spans="2:8">
      <c r="B713" t="s">
        <v>443</v>
      </c>
      <c r="C713" t="s">
        <v>212</v>
      </c>
      <c r="D713">
        <v>5812</v>
      </c>
      <c r="E713">
        <v>5814</v>
      </c>
      <c r="F713">
        <v>5806</v>
      </c>
      <c r="G713">
        <v>5807</v>
      </c>
      <c r="H713">
        <v>20800</v>
      </c>
    </row>
    <row r="714" spans="2:8">
      <c r="B714" t="s">
        <v>443</v>
      </c>
      <c r="C714" t="s">
        <v>213</v>
      </c>
      <c r="D714">
        <v>5807</v>
      </c>
      <c r="E714">
        <v>5807</v>
      </c>
      <c r="F714">
        <v>5800</v>
      </c>
      <c r="G714">
        <v>5804</v>
      </c>
      <c r="H714">
        <v>30700</v>
      </c>
    </row>
    <row r="715" spans="2:8">
      <c r="B715" t="s">
        <v>443</v>
      </c>
      <c r="C715" t="s">
        <v>214</v>
      </c>
      <c r="D715">
        <v>5804</v>
      </c>
      <c r="E715">
        <v>5805</v>
      </c>
      <c r="F715">
        <v>5796</v>
      </c>
      <c r="G715">
        <v>5798</v>
      </c>
      <c r="H715">
        <v>53400</v>
      </c>
    </row>
    <row r="716" spans="2:8">
      <c r="B716" t="s">
        <v>443</v>
      </c>
      <c r="C716" t="s">
        <v>215</v>
      </c>
      <c r="D716">
        <v>5798</v>
      </c>
      <c r="E716">
        <v>5800</v>
      </c>
      <c r="F716">
        <v>5795</v>
      </c>
      <c r="G716">
        <v>5796</v>
      </c>
      <c r="H716">
        <v>30700</v>
      </c>
    </row>
    <row r="717" spans="2:8">
      <c r="B717" t="s">
        <v>443</v>
      </c>
      <c r="C717" t="s">
        <v>216</v>
      </c>
      <c r="D717">
        <v>5796</v>
      </c>
      <c r="E717">
        <v>5800</v>
      </c>
      <c r="F717">
        <v>5791</v>
      </c>
      <c r="G717">
        <v>5793</v>
      </c>
      <c r="H717">
        <v>46900</v>
      </c>
    </row>
    <row r="718" spans="2:8">
      <c r="B718" t="s">
        <v>443</v>
      </c>
      <c r="C718" t="s">
        <v>217</v>
      </c>
      <c r="D718">
        <v>5794</v>
      </c>
      <c r="E718">
        <v>5794</v>
      </c>
      <c r="F718">
        <v>5788</v>
      </c>
      <c r="G718">
        <v>5788</v>
      </c>
      <c r="H718">
        <v>39300</v>
      </c>
    </row>
    <row r="719" spans="2:8">
      <c r="B719" t="s">
        <v>443</v>
      </c>
      <c r="C719" t="s">
        <v>218</v>
      </c>
      <c r="D719">
        <v>5788</v>
      </c>
      <c r="E719">
        <v>5789</v>
      </c>
      <c r="F719">
        <v>5773</v>
      </c>
      <c r="G719">
        <v>5782</v>
      </c>
      <c r="H719">
        <v>142700</v>
      </c>
    </row>
    <row r="720" spans="2:8">
      <c r="B720" t="s">
        <v>443</v>
      </c>
      <c r="C720" t="s">
        <v>219</v>
      </c>
      <c r="D720">
        <v>5783</v>
      </c>
      <c r="E720">
        <v>5788</v>
      </c>
      <c r="F720">
        <v>5778</v>
      </c>
      <c r="G720">
        <v>5787</v>
      </c>
      <c r="H720">
        <v>43300</v>
      </c>
    </row>
    <row r="721" spans="2:8">
      <c r="B721" t="s">
        <v>443</v>
      </c>
      <c r="C721" t="s">
        <v>220</v>
      </c>
      <c r="D721">
        <v>5787</v>
      </c>
      <c r="E721">
        <v>5798</v>
      </c>
      <c r="F721">
        <v>5787</v>
      </c>
      <c r="G721">
        <v>5798</v>
      </c>
      <c r="H721">
        <v>60600</v>
      </c>
    </row>
    <row r="722" spans="2:8">
      <c r="B722" t="s">
        <v>443</v>
      </c>
      <c r="C722" t="s">
        <v>221</v>
      </c>
      <c r="D722">
        <v>5799</v>
      </c>
      <c r="E722">
        <v>5806</v>
      </c>
      <c r="F722">
        <v>5799</v>
      </c>
      <c r="G722">
        <v>5804</v>
      </c>
      <c r="H722">
        <v>54800</v>
      </c>
    </row>
    <row r="723" spans="2:8">
      <c r="B723" t="s">
        <v>443</v>
      </c>
      <c r="C723" t="s">
        <v>222</v>
      </c>
      <c r="D723">
        <v>5804</v>
      </c>
      <c r="E723">
        <v>5808</v>
      </c>
      <c r="F723">
        <v>5802</v>
      </c>
      <c r="G723">
        <v>5805</v>
      </c>
      <c r="H723">
        <v>33500</v>
      </c>
    </row>
    <row r="724" spans="2:8">
      <c r="B724" t="s">
        <v>443</v>
      </c>
      <c r="C724" t="s">
        <v>223</v>
      </c>
      <c r="D724">
        <v>5805</v>
      </c>
      <c r="E724">
        <v>5814</v>
      </c>
      <c r="F724">
        <v>5805</v>
      </c>
      <c r="G724">
        <v>5812</v>
      </c>
      <c r="H724">
        <v>35800</v>
      </c>
    </row>
    <row r="725" spans="2:8">
      <c r="B725" t="s">
        <v>443</v>
      </c>
      <c r="C725" t="s">
        <v>224</v>
      </c>
      <c r="D725">
        <v>5813</v>
      </c>
      <c r="E725">
        <v>5817</v>
      </c>
      <c r="F725">
        <v>5808</v>
      </c>
      <c r="G725">
        <v>5813</v>
      </c>
      <c r="H725">
        <v>40800</v>
      </c>
    </row>
    <row r="726" spans="2:8">
      <c r="B726" t="s">
        <v>443</v>
      </c>
      <c r="C726" t="s">
        <v>225</v>
      </c>
      <c r="D726">
        <v>5812</v>
      </c>
      <c r="E726">
        <v>5813</v>
      </c>
      <c r="F726">
        <v>5808</v>
      </c>
      <c r="G726">
        <v>5812</v>
      </c>
      <c r="H726">
        <v>22900</v>
      </c>
    </row>
    <row r="727" spans="2:8">
      <c r="B727" t="s">
        <v>443</v>
      </c>
      <c r="C727" t="s">
        <v>226</v>
      </c>
      <c r="D727">
        <v>5812</v>
      </c>
      <c r="E727">
        <v>5819</v>
      </c>
      <c r="F727">
        <v>5812</v>
      </c>
      <c r="G727">
        <v>5814</v>
      </c>
      <c r="H727">
        <v>34100</v>
      </c>
    </row>
    <row r="728" spans="2:8">
      <c r="B728" t="s">
        <v>443</v>
      </c>
      <c r="C728" t="s">
        <v>227</v>
      </c>
      <c r="D728">
        <v>5814</v>
      </c>
      <c r="E728">
        <v>5817</v>
      </c>
      <c r="F728">
        <v>5812</v>
      </c>
      <c r="G728">
        <v>5812</v>
      </c>
      <c r="H728">
        <v>18800</v>
      </c>
    </row>
    <row r="729" spans="2:8">
      <c r="B729" t="s">
        <v>443</v>
      </c>
      <c r="C729" t="s">
        <v>228</v>
      </c>
      <c r="D729">
        <v>5813</v>
      </c>
      <c r="E729">
        <v>5827</v>
      </c>
      <c r="F729">
        <v>5812</v>
      </c>
      <c r="G729">
        <v>5824</v>
      </c>
      <c r="H729">
        <v>47000</v>
      </c>
    </row>
    <row r="730" spans="2:8">
      <c r="B730" t="s">
        <v>443</v>
      </c>
      <c r="C730" t="s">
        <v>229</v>
      </c>
      <c r="D730">
        <v>5824</v>
      </c>
      <c r="E730">
        <v>5827</v>
      </c>
      <c r="F730">
        <v>5818</v>
      </c>
      <c r="G730">
        <v>5820</v>
      </c>
      <c r="H730">
        <v>27400</v>
      </c>
    </row>
    <row r="731" spans="2:8">
      <c r="B731" t="s">
        <v>443</v>
      </c>
      <c r="C731" t="s">
        <v>230</v>
      </c>
      <c r="D731">
        <v>5821</v>
      </c>
      <c r="E731">
        <v>5824</v>
      </c>
      <c r="F731">
        <v>5818</v>
      </c>
      <c r="G731">
        <v>5822</v>
      </c>
      <c r="H731">
        <v>18800</v>
      </c>
    </row>
    <row r="732" spans="2:8">
      <c r="B732" t="s">
        <v>443</v>
      </c>
      <c r="C732" t="s">
        <v>231</v>
      </c>
      <c r="D732">
        <v>5821</v>
      </c>
      <c r="E732">
        <v>5824</v>
      </c>
      <c r="F732">
        <v>5815</v>
      </c>
      <c r="G732">
        <v>5824</v>
      </c>
      <c r="H732">
        <v>35500</v>
      </c>
    </row>
    <row r="733" spans="2:8">
      <c r="B733" t="s">
        <v>443</v>
      </c>
      <c r="C733" t="s">
        <v>232</v>
      </c>
      <c r="D733">
        <v>5824</v>
      </c>
      <c r="E733">
        <v>5832</v>
      </c>
      <c r="F733">
        <v>5818</v>
      </c>
      <c r="G733">
        <v>5832</v>
      </c>
      <c r="H733">
        <v>62300</v>
      </c>
    </row>
    <row r="734" spans="2:8">
      <c r="B734" t="s">
        <v>443</v>
      </c>
      <c r="C734" t="s">
        <v>233</v>
      </c>
      <c r="D734">
        <v>5832</v>
      </c>
      <c r="E734">
        <v>5839</v>
      </c>
      <c r="F734">
        <v>5831</v>
      </c>
      <c r="G734">
        <v>5834</v>
      </c>
      <c r="H734">
        <v>63800</v>
      </c>
    </row>
    <row r="735" spans="2:8">
      <c r="B735" t="s">
        <v>443</v>
      </c>
      <c r="C735" t="s">
        <v>234</v>
      </c>
      <c r="D735">
        <v>5833</v>
      </c>
      <c r="E735">
        <v>5837</v>
      </c>
      <c r="F735">
        <v>5832</v>
      </c>
      <c r="G735">
        <v>5836</v>
      </c>
      <c r="H735">
        <v>20500</v>
      </c>
    </row>
    <row r="736" spans="2:8">
      <c r="B736" t="s">
        <v>443</v>
      </c>
      <c r="C736" t="s">
        <v>235</v>
      </c>
      <c r="D736">
        <v>5835</v>
      </c>
      <c r="E736">
        <v>5835</v>
      </c>
      <c r="F736">
        <v>5826</v>
      </c>
      <c r="G736">
        <v>5826</v>
      </c>
      <c r="H736">
        <v>37700</v>
      </c>
    </row>
    <row r="737" spans="2:8">
      <c r="B737" t="s">
        <v>443</v>
      </c>
      <c r="C737" t="s">
        <v>236</v>
      </c>
      <c r="D737">
        <v>5825</v>
      </c>
      <c r="E737">
        <v>5834</v>
      </c>
      <c r="F737">
        <v>5823</v>
      </c>
      <c r="G737">
        <v>5831</v>
      </c>
      <c r="H737">
        <v>40400</v>
      </c>
    </row>
    <row r="738" spans="2:8">
      <c r="B738" t="s">
        <v>443</v>
      </c>
      <c r="C738" t="s">
        <v>237</v>
      </c>
      <c r="D738">
        <v>5830</v>
      </c>
      <c r="E738">
        <v>5836</v>
      </c>
      <c r="F738">
        <v>5827</v>
      </c>
      <c r="G738">
        <v>5834</v>
      </c>
      <c r="H738">
        <v>39800</v>
      </c>
    </row>
    <row r="739" spans="2:8">
      <c r="B739" t="s">
        <v>443</v>
      </c>
      <c r="C739" t="s">
        <v>238</v>
      </c>
      <c r="D739">
        <v>5834</v>
      </c>
      <c r="E739">
        <v>5836</v>
      </c>
      <c r="F739">
        <v>5830</v>
      </c>
      <c r="G739">
        <v>5833</v>
      </c>
      <c r="H739">
        <v>21800</v>
      </c>
    </row>
    <row r="740" spans="2:8">
      <c r="B740" t="s">
        <v>443</v>
      </c>
      <c r="C740" t="s">
        <v>239</v>
      </c>
      <c r="D740">
        <v>5833</v>
      </c>
      <c r="E740">
        <v>5835</v>
      </c>
      <c r="F740">
        <v>5829</v>
      </c>
      <c r="G740">
        <v>5832</v>
      </c>
      <c r="H740">
        <v>22500</v>
      </c>
    </row>
    <row r="741" spans="2:8">
      <c r="B741" t="s">
        <v>443</v>
      </c>
      <c r="C741" t="s">
        <v>240</v>
      </c>
      <c r="D741">
        <v>5832</v>
      </c>
      <c r="E741">
        <v>5838</v>
      </c>
      <c r="F741">
        <v>5831</v>
      </c>
      <c r="G741">
        <v>5837</v>
      </c>
      <c r="H741">
        <v>26900</v>
      </c>
    </row>
    <row r="742" spans="2:8">
      <c r="B742" t="s">
        <v>443</v>
      </c>
      <c r="C742" t="s">
        <v>241</v>
      </c>
      <c r="D742">
        <v>5837</v>
      </c>
      <c r="E742">
        <v>5848</v>
      </c>
      <c r="F742">
        <v>5837</v>
      </c>
      <c r="G742">
        <v>5847</v>
      </c>
      <c r="H742">
        <v>52500</v>
      </c>
    </row>
    <row r="743" spans="2:8">
      <c r="B743" t="s">
        <v>443</v>
      </c>
      <c r="C743" t="s">
        <v>242</v>
      </c>
      <c r="D743">
        <v>5848</v>
      </c>
      <c r="E743">
        <v>5854</v>
      </c>
      <c r="F743">
        <v>5847</v>
      </c>
      <c r="G743">
        <v>5854</v>
      </c>
      <c r="H743">
        <v>40900</v>
      </c>
    </row>
    <row r="744" spans="2:8">
      <c r="B744" t="s">
        <v>443</v>
      </c>
      <c r="C744" t="s">
        <v>243</v>
      </c>
      <c r="D744">
        <v>5854</v>
      </c>
      <c r="E744">
        <v>5855</v>
      </c>
      <c r="F744">
        <v>5850</v>
      </c>
      <c r="G744">
        <v>5852</v>
      </c>
      <c r="H744">
        <v>36100</v>
      </c>
    </row>
    <row r="745" spans="2:8">
      <c r="B745" t="s">
        <v>443</v>
      </c>
      <c r="C745" t="s">
        <v>244</v>
      </c>
      <c r="D745">
        <v>5853</v>
      </c>
      <c r="E745">
        <v>5859</v>
      </c>
      <c r="F745">
        <v>5850</v>
      </c>
      <c r="G745">
        <v>5852</v>
      </c>
      <c r="H745">
        <v>49800</v>
      </c>
    </row>
    <row r="746" spans="2:8">
      <c r="B746" t="s">
        <v>443</v>
      </c>
      <c r="C746" t="s">
        <v>245</v>
      </c>
      <c r="D746">
        <v>5852</v>
      </c>
      <c r="E746">
        <v>5854</v>
      </c>
      <c r="F746">
        <v>5845</v>
      </c>
      <c r="G746">
        <v>5845</v>
      </c>
      <c r="H746">
        <v>54700</v>
      </c>
    </row>
    <row r="747" spans="2:8">
      <c r="B747" t="s">
        <v>443</v>
      </c>
      <c r="C747" t="s">
        <v>246</v>
      </c>
      <c r="D747">
        <v>5845</v>
      </c>
      <c r="E747">
        <v>5846</v>
      </c>
      <c r="F747">
        <v>5837</v>
      </c>
      <c r="G747">
        <v>5841</v>
      </c>
      <c r="H747">
        <v>52000</v>
      </c>
    </row>
    <row r="748" spans="2:8">
      <c r="B748" t="s">
        <v>443</v>
      </c>
      <c r="C748" t="s">
        <v>247</v>
      </c>
      <c r="D748">
        <v>5840</v>
      </c>
      <c r="E748">
        <v>5844</v>
      </c>
      <c r="F748">
        <v>5833</v>
      </c>
      <c r="G748">
        <v>5843</v>
      </c>
      <c r="H748">
        <v>49200</v>
      </c>
    </row>
    <row r="749" spans="2:8">
      <c r="B749" t="s">
        <v>443</v>
      </c>
      <c r="C749" t="s">
        <v>248</v>
      </c>
      <c r="D749">
        <v>5843</v>
      </c>
      <c r="E749">
        <v>5855</v>
      </c>
      <c r="F749">
        <v>5843</v>
      </c>
      <c r="G749">
        <v>5852</v>
      </c>
      <c r="H749">
        <v>45200</v>
      </c>
    </row>
    <row r="750" spans="2:8">
      <c r="B750" t="s">
        <v>443</v>
      </c>
      <c r="C750" t="s">
        <v>249</v>
      </c>
      <c r="D750">
        <v>5850</v>
      </c>
      <c r="E750">
        <v>5853</v>
      </c>
      <c r="F750">
        <v>5848</v>
      </c>
      <c r="G750">
        <v>5853</v>
      </c>
      <c r="H750">
        <v>23600</v>
      </c>
    </row>
    <row r="751" spans="2:8">
      <c r="B751" t="s">
        <v>443</v>
      </c>
      <c r="C751" t="s">
        <v>250</v>
      </c>
      <c r="D751">
        <v>5853</v>
      </c>
      <c r="E751">
        <v>5855</v>
      </c>
      <c r="F751">
        <v>5851</v>
      </c>
      <c r="G751">
        <v>5852</v>
      </c>
      <c r="H751">
        <v>20900</v>
      </c>
    </row>
    <row r="752" spans="2:8">
      <c r="B752" t="s">
        <v>443</v>
      </c>
      <c r="C752" t="s">
        <v>251</v>
      </c>
      <c r="D752">
        <v>5853</v>
      </c>
      <c r="E752">
        <v>5867</v>
      </c>
      <c r="F752">
        <v>5851</v>
      </c>
      <c r="G752">
        <v>5862</v>
      </c>
      <c r="H752">
        <v>82300</v>
      </c>
    </row>
    <row r="753" spans="2:8">
      <c r="B753" t="s">
        <v>443</v>
      </c>
      <c r="C753" t="s">
        <v>252</v>
      </c>
      <c r="D753">
        <v>5863</v>
      </c>
      <c r="E753">
        <v>5868</v>
      </c>
      <c r="F753">
        <v>5863</v>
      </c>
      <c r="G753">
        <v>5867</v>
      </c>
      <c r="H753">
        <v>45100</v>
      </c>
    </row>
    <row r="754" spans="2:8">
      <c r="B754" t="s">
        <v>443</v>
      </c>
      <c r="C754" t="s">
        <v>253</v>
      </c>
      <c r="D754">
        <v>5866</v>
      </c>
      <c r="E754">
        <v>5877</v>
      </c>
      <c r="F754">
        <v>5866</v>
      </c>
      <c r="G754">
        <v>5871</v>
      </c>
      <c r="H754">
        <v>72900</v>
      </c>
    </row>
    <row r="755" spans="2:8">
      <c r="B755" t="s">
        <v>443</v>
      </c>
      <c r="C755" t="s">
        <v>254</v>
      </c>
      <c r="D755">
        <v>5870</v>
      </c>
      <c r="E755">
        <v>5874</v>
      </c>
      <c r="F755">
        <v>5867</v>
      </c>
      <c r="G755">
        <v>5869</v>
      </c>
      <c r="H755">
        <v>42900</v>
      </c>
    </row>
    <row r="756" spans="2:8">
      <c r="B756" t="s">
        <v>443</v>
      </c>
      <c r="C756" t="s">
        <v>255</v>
      </c>
      <c r="D756">
        <v>5870</v>
      </c>
      <c r="E756">
        <v>5877</v>
      </c>
      <c r="F756">
        <v>5868</v>
      </c>
      <c r="G756">
        <v>5874</v>
      </c>
      <c r="H756">
        <v>32200</v>
      </c>
    </row>
    <row r="757" spans="2:8">
      <c r="B757" t="s">
        <v>443</v>
      </c>
      <c r="C757" t="s">
        <v>256</v>
      </c>
      <c r="D757">
        <v>5875</v>
      </c>
      <c r="E757">
        <v>5883</v>
      </c>
      <c r="F757">
        <v>5868</v>
      </c>
      <c r="G757">
        <v>5875</v>
      </c>
      <c r="H757">
        <v>77400</v>
      </c>
    </row>
    <row r="758" spans="2:8">
      <c r="B758" t="s">
        <v>443</v>
      </c>
      <c r="C758" t="s">
        <v>257</v>
      </c>
      <c r="D758">
        <v>5876</v>
      </c>
      <c r="E758">
        <v>5886</v>
      </c>
      <c r="F758">
        <v>5873</v>
      </c>
      <c r="G758">
        <v>5880</v>
      </c>
      <c r="H758">
        <v>60700</v>
      </c>
    </row>
    <row r="759" spans="2:8">
      <c r="B759" t="s">
        <v>443</v>
      </c>
      <c r="C759" t="s">
        <v>258</v>
      </c>
      <c r="D759">
        <v>5880</v>
      </c>
      <c r="E759">
        <v>5895</v>
      </c>
      <c r="F759">
        <v>5880</v>
      </c>
      <c r="G759">
        <v>5888</v>
      </c>
      <c r="H759">
        <v>79000</v>
      </c>
    </row>
    <row r="760" spans="2:8">
      <c r="B760" t="s">
        <v>443</v>
      </c>
      <c r="C760" t="s">
        <v>259</v>
      </c>
      <c r="D760">
        <v>5887</v>
      </c>
      <c r="E760">
        <v>5891</v>
      </c>
      <c r="F760">
        <v>5878</v>
      </c>
      <c r="G760">
        <v>5883</v>
      </c>
      <c r="H760">
        <v>84100</v>
      </c>
    </row>
    <row r="761" spans="2:8">
      <c r="B761" t="s">
        <v>443</v>
      </c>
      <c r="C761" t="s">
        <v>260</v>
      </c>
      <c r="D761">
        <v>5882</v>
      </c>
      <c r="E761">
        <v>5889</v>
      </c>
      <c r="F761">
        <v>5873</v>
      </c>
      <c r="G761">
        <v>5882</v>
      </c>
      <c r="H761">
        <v>58800</v>
      </c>
    </row>
    <row r="762" spans="2:8">
      <c r="B762" t="s">
        <v>443</v>
      </c>
      <c r="C762" t="s">
        <v>261</v>
      </c>
      <c r="D762">
        <v>5882</v>
      </c>
      <c r="E762">
        <v>5893</v>
      </c>
      <c r="F762">
        <v>5878</v>
      </c>
      <c r="G762">
        <v>5884</v>
      </c>
      <c r="H762">
        <v>73500</v>
      </c>
    </row>
    <row r="763" spans="2:8">
      <c r="B763" t="s">
        <v>443</v>
      </c>
      <c r="C763" t="s">
        <v>262</v>
      </c>
      <c r="D763">
        <v>5885</v>
      </c>
      <c r="E763">
        <v>5895</v>
      </c>
      <c r="F763">
        <v>5885</v>
      </c>
      <c r="G763">
        <v>5891</v>
      </c>
      <c r="H763">
        <v>57800</v>
      </c>
    </row>
    <row r="764" spans="2:8">
      <c r="B764" t="s">
        <v>443</v>
      </c>
      <c r="C764" t="s">
        <v>263</v>
      </c>
      <c r="D764">
        <v>5892</v>
      </c>
      <c r="E764">
        <v>5898</v>
      </c>
      <c r="F764">
        <v>5887</v>
      </c>
      <c r="G764">
        <v>5895</v>
      </c>
      <c r="H764">
        <v>76300</v>
      </c>
    </row>
    <row r="765" spans="2:8">
      <c r="B765" t="s">
        <v>443</v>
      </c>
      <c r="C765" t="s">
        <v>264</v>
      </c>
      <c r="D765">
        <v>5895</v>
      </c>
      <c r="E765">
        <v>5902</v>
      </c>
      <c r="F765">
        <v>5889</v>
      </c>
      <c r="G765">
        <v>5899</v>
      </c>
      <c r="H765">
        <v>73100</v>
      </c>
    </row>
    <row r="766" spans="2:8">
      <c r="B766" t="s">
        <v>443</v>
      </c>
      <c r="C766" t="s">
        <v>265</v>
      </c>
      <c r="D766">
        <v>5900</v>
      </c>
      <c r="E766">
        <v>5907</v>
      </c>
      <c r="F766">
        <v>5898</v>
      </c>
      <c r="G766">
        <v>5900</v>
      </c>
      <c r="H766">
        <v>57100</v>
      </c>
    </row>
    <row r="767" spans="2:8">
      <c r="B767" t="s">
        <v>443</v>
      </c>
      <c r="C767" t="s">
        <v>266</v>
      </c>
      <c r="D767">
        <v>5900</v>
      </c>
      <c r="E767">
        <v>5901</v>
      </c>
      <c r="F767">
        <v>5892</v>
      </c>
      <c r="G767">
        <v>5899</v>
      </c>
      <c r="H767">
        <v>52900</v>
      </c>
    </row>
    <row r="768" spans="2:8">
      <c r="B768" t="s">
        <v>443</v>
      </c>
      <c r="C768" t="s">
        <v>267</v>
      </c>
      <c r="D768">
        <v>5899</v>
      </c>
      <c r="E768">
        <v>5905</v>
      </c>
      <c r="F768">
        <v>5899</v>
      </c>
      <c r="G768">
        <v>5903</v>
      </c>
      <c r="H768">
        <v>30100</v>
      </c>
    </row>
    <row r="769" spans="2:8">
      <c r="B769" t="s">
        <v>443</v>
      </c>
      <c r="C769" t="s">
        <v>268</v>
      </c>
      <c r="D769">
        <v>5903</v>
      </c>
      <c r="E769">
        <v>5904</v>
      </c>
      <c r="F769">
        <v>5896</v>
      </c>
      <c r="G769">
        <v>5900</v>
      </c>
      <c r="H769">
        <v>52300</v>
      </c>
    </row>
    <row r="770" spans="2:8">
      <c r="B770" t="s">
        <v>443</v>
      </c>
      <c r="C770" t="s">
        <v>269</v>
      </c>
      <c r="D770">
        <v>5899</v>
      </c>
      <c r="E770">
        <v>5900</v>
      </c>
      <c r="F770">
        <v>5891</v>
      </c>
      <c r="G770">
        <v>5895</v>
      </c>
      <c r="H770">
        <v>57900</v>
      </c>
    </row>
    <row r="771" spans="2:8">
      <c r="B771" t="s">
        <v>443</v>
      </c>
      <c r="C771" t="s">
        <v>270</v>
      </c>
      <c r="D771">
        <v>5896</v>
      </c>
      <c r="E771">
        <v>5904</v>
      </c>
      <c r="F771">
        <v>5895</v>
      </c>
      <c r="G771">
        <v>5901</v>
      </c>
      <c r="H771">
        <v>40300</v>
      </c>
    </row>
    <row r="772" spans="2:8">
      <c r="B772" t="s">
        <v>443</v>
      </c>
      <c r="C772" t="s">
        <v>271</v>
      </c>
      <c r="D772">
        <v>5899</v>
      </c>
      <c r="E772">
        <v>5902</v>
      </c>
      <c r="F772">
        <v>5896</v>
      </c>
      <c r="G772">
        <v>5898</v>
      </c>
      <c r="H772">
        <v>31400</v>
      </c>
    </row>
    <row r="773" spans="2:8">
      <c r="B773" t="s">
        <v>443</v>
      </c>
      <c r="C773" t="s">
        <v>272</v>
      </c>
      <c r="D773">
        <v>5897</v>
      </c>
      <c r="E773">
        <v>5906</v>
      </c>
      <c r="F773">
        <v>5895</v>
      </c>
      <c r="G773">
        <v>5902</v>
      </c>
      <c r="H773">
        <v>53500</v>
      </c>
    </row>
    <row r="774" spans="2:8">
      <c r="B774" t="s">
        <v>443</v>
      </c>
      <c r="C774" t="s">
        <v>273</v>
      </c>
      <c r="D774">
        <v>5903</v>
      </c>
      <c r="E774">
        <v>5915</v>
      </c>
      <c r="F774">
        <v>5902</v>
      </c>
      <c r="G774">
        <v>5912</v>
      </c>
      <c r="H774">
        <v>70900</v>
      </c>
    </row>
    <row r="775" spans="2:8">
      <c r="B775" t="s">
        <v>443</v>
      </c>
      <c r="C775" t="s">
        <v>274</v>
      </c>
      <c r="D775">
        <v>5911</v>
      </c>
      <c r="E775">
        <v>5921</v>
      </c>
      <c r="F775">
        <v>5910</v>
      </c>
      <c r="G775">
        <v>5919</v>
      </c>
      <c r="H775">
        <v>93300</v>
      </c>
    </row>
    <row r="776" spans="2:8">
      <c r="B776" t="s">
        <v>443</v>
      </c>
      <c r="C776" t="s">
        <v>275</v>
      </c>
      <c r="D776">
        <v>5920</v>
      </c>
      <c r="E776">
        <v>5924</v>
      </c>
      <c r="F776">
        <v>5915</v>
      </c>
      <c r="G776">
        <v>5917</v>
      </c>
      <c r="H776">
        <v>80200</v>
      </c>
    </row>
    <row r="777" spans="2:8">
      <c r="B777" t="s">
        <v>443</v>
      </c>
      <c r="C777" t="s">
        <v>276</v>
      </c>
      <c r="D777">
        <v>5918</v>
      </c>
      <c r="E777">
        <v>5929</v>
      </c>
      <c r="F777">
        <v>5918</v>
      </c>
      <c r="G777">
        <v>5926</v>
      </c>
      <c r="H777">
        <v>82900</v>
      </c>
    </row>
    <row r="778" spans="2:8">
      <c r="B778" t="s">
        <v>443</v>
      </c>
      <c r="C778" t="s">
        <v>277</v>
      </c>
      <c r="D778">
        <v>5925</v>
      </c>
      <c r="E778">
        <v>5930</v>
      </c>
      <c r="F778">
        <v>5917</v>
      </c>
      <c r="G778">
        <v>5920</v>
      </c>
      <c r="H778">
        <v>77200</v>
      </c>
    </row>
    <row r="779" spans="2:8">
      <c r="B779" t="s">
        <v>443</v>
      </c>
      <c r="C779" t="s">
        <v>278</v>
      </c>
      <c r="D779">
        <v>5920</v>
      </c>
      <c r="E779">
        <v>5921</v>
      </c>
      <c r="F779">
        <v>5908</v>
      </c>
      <c r="G779">
        <v>5912</v>
      </c>
      <c r="H779">
        <v>63000</v>
      </c>
    </row>
    <row r="780" spans="2:8">
      <c r="B780" t="s">
        <v>443</v>
      </c>
      <c r="C780" t="s">
        <v>279</v>
      </c>
      <c r="D780">
        <v>5913</v>
      </c>
      <c r="E780">
        <v>5916</v>
      </c>
      <c r="F780">
        <v>5908</v>
      </c>
      <c r="G780">
        <v>5911</v>
      </c>
      <c r="H780">
        <v>46300</v>
      </c>
    </row>
    <row r="781" spans="2:8">
      <c r="B781" t="s">
        <v>443</v>
      </c>
      <c r="C781" t="s">
        <v>280</v>
      </c>
      <c r="D781">
        <v>5911</v>
      </c>
      <c r="E781">
        <v>5919</v>
      </c>
      <c r="F781">
        <v>5909</v>
      </c>
      <c r="G781">
        <v>5919</v>
      </c>
      <c r="H781">
        <v>43300</v>
      </c>
    </row>
    <row r="782" spans="2:8">
      <c r="B782" t="s">
        <v>443</v>
      </c>
      <c r="C782" t="s">
        <v>281</v>
      </c>
      <c r="D782">
        <v>5920</v>
      </c>
      <c r="E782">
        <v>5921</v>
      </c>
      <c r="F782">
        <v>5916</v>
      </c>
      <c r="G782">
        <v>5919</v>
      </c>
      <c r="H782">
        <v>38500</v>
      </c>
    </row>
    <row r="783" spans="2:8">
      <c r="B783" t="s">
        <v>443</v>
      </c>
      <c r="C783" t="s">
        <v>282</v>
      </c>
      <c r="D783">
        <v>5919</v>
      </c>
      <c r="E783">
        <v>5920</v>
      </c>
      <c r="F783">
        <v>5911</v>
      </c>
      <c r="G783">
        <v>5917</v>
      </c>
      <c r="H783">
        <v>33400</v>
      </c>
    </row>
    <row r="784" spans="2:8">
      <c r="B784" t="s">
        <v>443</v>
      </c>
      <c r="C784" t="s">
        <v>283</v>
      </c>
      <c r="D784">
        <v>5917</v>
      </c>
      <c r="E784">
        <v>5919</v>
      </c>
      <c r="F784">
        <v>5912</v>
      </c>
      <c r="G784">
        <v>5916</v>
      </c>
      <c r="H784">
        <v>23200</v>
      </c>
    </row>
    <row r="785" spans="2:8">
      <c r="B785" t="s">
        <v>443</v>
      </c>
      <c r="C785" t="s">
        <v>284</v>
      </c>
      <c r="D785">
        <v>5917</v>
      </c>
      <c r="E785">
        <v>5930</v>
      </c>
      <c r="F785">
        <v>5916</v>
      </c>
      <c r="G785">
        <v>5928</v>
      </c>
      <c r="H785">
        <v>62400</v>
      </c>
    </row>
    <row r="786" spans="2:8">
      <c r="B786" t="s">
        <v>443</v>
      </c>
      <c r="C786" t="s">
        <v>285</v>
      </c>
      <c r="D786">
        <v>5927</v>
      </c>
      <c r="E786">
        <v>5928</v>
      </c>
      <c r="F786">
        <v>5917</v>
      </c>
      <c r="G786">
        <v>5919</v>
      </c>
      <c r="H786">
        <v>42400</v>
      </c>
    </row>
    <row r="787" spans="2:8">
      <c r="B787" t="s">
        <v>443</v>
      </c>
      <c r="C787" t="s">
        <v>286</v>
      </c>
      <c r="D787">
        <v>5919</v>
      </c>
      <c r="E787">
        <v>5921</v>
      </c>
      <c r="F787">
        <v>5912</v>
      </c>
      <c r="G787">
        <v>5917</v>
      </c>
      <c r="H787">
        <v>53100</v>
      </c>
    </row>
    <row r="788" spans="2:8">
      <c r="B788" t="s">
        <v>443</v>
      </c>
      <c r="C788" t="s">
        <v>287</v>
      </c>
      <c r="D788">
        <v>5918</v>
      </c>
      <c r="E788">
        <v>5920</v>
      </c>
      <c r="F788">
        <v>5915</v>
      </c>
      <c r="G788">
        <v>5918</v>
      </c>
      <c r="H788">
        <v>25500</v>
      </c>
    </row>
    <row r="789" spans="2:8">
      <c r="B789" t="s">
        <v>443</v>
      </c>
      <c r="C789" t="s">
        <v>288</v>
      </c>
      <c r="D789">
        <v>5919</v>
      </c>
      <c r="E789">
        <v>5922</v>
      </c>
      <c r="F789">
        <v>5914</v>
      </c>
      <c r="G789">
        <v>5916</v>
      </c>
      <c r="H789">
        <v>40300</v>
      </c>
    </row>
    <row r="790" spans="2:8">
      <c r="B790" t="s">
        <v>443</v>
      </c>
      <c r="C790" t="s">
        <v>289</v>
      </c>
      <c r="D790">
        <v>5915</v>
      </c>
      <c r="E790">
        <v>5917</v>
      </c>
      <c r="F790">
        <v>5910</v>
      </c>
      <c r="G790">
        <v>5915</v>
      </c>
      <c r="H790">
        <v>56900</v>
      </c>
    </row>
    <row r="791" spans="2:8">
      <c r="B791" t="s">
        <v>443</v>
      </c>
      <c r="C791" t="s">
        <v>290</v>
      </c>
      <c r="D791">
        <v>5915</v>
      </c>
      <c r="E791">
        <v>5922</v>
      </c>
      <c r="F791">
        <v>5914</v>
      </c>
      <c r="G791">
        <v>5918</v>
      </c>
      <c r="H791">
        <v>39900</v>
      </c>
    </row>
    <row r="792" spans="2:8">
      <c r="B792" t="s">
        <v>443</v>
      </c>
      <c r="C792" t="s">
        <v>291</v>
      </c>
      <c r="D792">
        <v>5918</v>
      </c>
      <c r="E792">
        <v>5923</v>
      </c>
      <c r="F792">
        <v>5917</v>
      </c>
      <c r="G792">
        <v>5920</v>
      </c>
      <c r="H792">
        <v>23100</v>
      </c>
    </row>
    <row r="793" spans="2:8">
      <c r="B793" t="s">
        <v>443</v>
      </c>
      <c r="C793" t="s">
        <v>292</v>
      </c>
      <c r="D793">
        <v>5920</v>
      </c>
      <c r="E793">
        <v>5923</v>
      </c>
      <c r="F793">
        <v>5918</v>
      </c>
      <c r="G793">
        <v>5920</v>
      </c>
      <c r="H793">
        <v>21300</v>
      </c>
    </row>
    <row r="794" spans="2:8">
      <c r="B794" t="s">
        <v>443</v>
      </c>
      <c r="C794" t="s">
        <v>293</v>
      </c>
      <c r="D794">
        <v>5920</v>
      </c>
      <c r="E794">
        <v>5923</v>
      </c>
      <c r="F794">
        <v>5916</v>
      </c>
      <c r="G794">
        <v>5918</v>
      </c>
      <c r="H794">
        <v>21500</v>
      </c>
    </row>
    <row r="795" spans="2:8">
      <c r="B795" t="s">
        <v>443</v>
      </c>
      <c r="C795" t="s">
        <v>294</v>
      </c>
      <c r="D795">
        <v>5918</v>
      </c>
      <c r="E795">
        <v>5919</v>
      </c>
      <c r="F795">
        <v>5913</v>
      </c>
      <c r="G795">
        <v>5913</v>
      </c>
      <c r="H795">
        <v>28800</v>
      </c>
    </row>
    <row r="796" spans="2:8">
      <c r="B796" t="s">
        <v>443</v>
      </c>
      <c r="C796" t="s">
        <v>295</v>
      </c>
      <c r="D796">
        <v>5912</v>
      </c>
      <c r="E796">
        <v>5919</v>
      </c>
      <c r="F796">
        <v>5910</v>
      </c>
      <c r="G796">
        <v>5914</v>
      </c>
      <c r="H796">
        <v>53100</v>
      </c>
    </row>
    <row r="797" spans="2:8">
      <c r="B797" t="s">
        <v>443</v>
      </c>
      <c r="C797" t="s">
        <v>296</v>
      </c>
      <c r="D797">
        <v>5914</v>
      </c>
      <c r="E797">
        <v>5914</v>
      </c>
      <c r="F797">
        <v>5901</v>
      </c>
      <c r="G797">
        <v>5905</v>
      </c>
      <c r="H797">
        <v>97900</v>
      </c>
    </row>
    <row r="798" spans="2:8">
      <c r="B798" t="s">
        <v>443</v>
      </c>
      <c r="C798" t="s">
        <v>297</v>
      </c>
      <c r="D798">
        <v>5905</v>
      </c>
      <c r="E798">
        <v>5909</v>
      </c>
      <c r="F798">
        <v>5903</v>
      </c>
      <c r="G798">
        <v>5903</v>
      </c>
      <c r="H798">
        <v>30700</v>
      </c>
    </row>
    <row r="799" spans="2:8">
      <c r="B799" t="s">
        <v>443</v>
      </c>
      <c r="C799" t="s">
        <v>298</v>
      </c>
      <c r="D799">
        <v>5903</v>
      </c>
      <c r="E799">
        <v>5914</v>
      </c>
      <c r="F799">
        <v>5902</v>
      </c>
      <c r="G799">
        <v>5912</v>
      </c>
      <c r="H799">
        <v>44500</v>
      </c>
    </row>
    <row r="800" spans="2:8">
      <c r="B800" t="s">
        <v>443</v>
      </c>
      <c r="C800" t="s">
        <v>299</v>
      </c>
      <c r="D800">
        <v>5911</v>
      </c>
      <c r="E800">
        <v>5912</v>
      </c>
      <c r="F800">
        <v>5890</v>
      </c>
      <c r="G800">
        <v>5905</v>
      </c>
      <c r="H800">
        <v>87000</v>
      </c>
    </row>
    <row r="801" spans="2:8">
      <c r="B801" t="s">
        <v>443</v>
      </c>
      <c r="C801" t="s">
        <v>300</v>
      </c>
      <c r="D801">
        <v>5905</v>
      </c>
      <c r="E801">
        <v>5910</v>
      </c>
      <c r="F801">
        <v>5903</v>
      </c>
      <c r="G801">
        <v>5908</v>
      </c>
      <c r="H801">
        <v>23100</v>
      </c>
    </row>
    <row r="802" spans="2:8">
      <c r="B802" t="s">
        <v>443</v>
      </c>
      <c r="C802" t="s">
        <v>301</v>
      </c>
      <c r="D802">
        <v>5906</v>
      </c>
      <c r="E802">
        <v>5912</v>
      </c>
      <c r="F802">
        <v>5904</v>
      </c>
      <c r="G802">
        <v>5912</v>
      </c>
      <c r="H802">
        <v>29900</v>
      </c>
    </row>
    <row r="803" spans="2:8">
      <c r="B803" t="s">
        <v>443</v>
      </c>
      <c r="C803" t="s">
        <v>302</v>
      </c>
      <c r="D803">
        <v>5910</v>
      </c>
      <c r="E803">
        <v>5923</v>
      </c>
      <c r="F803">
        <v>5909</v>
      </c>
      <c r="G803">
        <v>5920</v>
      </c>
      <c r="H803">
        <v>80200</v>
      </c>
    </row>
    <row r="804" spans="2:8">
      <c r="B804" t="s">
        <v>443</v>
      </c>
      <c r="C804" t="s">
        <v>303</v>
      </c>
      <c r="D804">
        <v>5919</v>
      </c>
      <c r="E804">
        <v>5921</v>
      </c>
      <c r="F804">
        <v>5916</v>
      </c>
      <c r="G804">
        <v>5919</v>
      </c>
      <c r="H804">
        <v>27200</v>
      </c>
    </row>
    <row r="805" spans="2:8">
      <c r="B805" t="s">
        <v>443</v>
      </c>
      <c r="C805" t="s">
        <v>304</v>
      </c>
      <c r="D805">
        <v>5919</v>
      </c>
      <c r="E805">
        <v>5927</v>
      </c>
      <c r="F805">
        <v>5919</v>
      </c>
      <c r="G805">
        <v>5925</v>
      </c>
      <c r="H805">
        <v>45000</v>
      </c>
    </row>
    <row r="806" spans="2:8">
      <c r="B806" t="s">
        <v>443</v>
      </c>
      <c r="C806" t="s">
        <v>305</v>
      </c>
      <c r="D806">
        <v>5926</v>
      </c>
      <c r="E806">
        <v>5926</v>
      </c>
      <c r="F806">
        <v>5922</v>
      </c>
      <c r="G806">
        <v>5923</v>
      </c>
      <c r="H806">
        <v>28500</v>
      </c>
    </row>
    <row r="807" spans="2:8">
      <c r="B807" t="s">
        <v>443</v>
      </c>
      <c r="C807" t="s">
        <v>306</v>
      </c>
      <c r="D807">
        <v>5924</v>
      </c>
      <c r="E807">
        <v>5927</v>
      </c>
      <c r="F807">
        <v>5921</v>
      </c>
      <c r="G807">
        <v>5921</v>
      </c>
      <c r="H807">
        <v>31700</v>
      </c>
    </row>
    <row r="808" spans="2:8">
      <c r="B808" t="s">
        <v>443</v>
      </c>
      <c r="C808" t="s">
        <v>307</v>
      </c>
      <c r="D808">
        <v>5922</v>
      </c>
      <c r="E808">
        <v>5923</v>
      </c>
      <c r="F808">
        <v>5919</v>
      </c>
      <c r="G808">
        <v>5922</v>
      </c>
      <c r="H808">
        <v>18300</v>
      </c>
    </row>
    <row r="809" spans="2:8">
      <c r="B809" t="s">
        <v>443</v>
      </c>
      <c r="C809" t="s">
        <v>308</v>
      </c>
      <c r="D809">
        <v>5921</v>
      </c>
      <c r="E809">
        <v>5924</v>
      </c>
      <c r="F809">
        <v>5920</v>
      </c>
      <c r="G809">
        <v>5923</v>
      </c>
      <c r="H809">
        <v>15100</v>
      </c>
    </row>
    <row r="810" spans="2:8">
      <c r="B810" t="s">
        <v>443</v>
      </c>
      <c r="C810" t="s">
        <v>309</v>
      </c>
      <c r="D810">
        <v>5922</v>
      </c>
      <c r="E810">
        <v>5924</v>
      </c>
      <c r="F810">
        <v>5920</v>
      </c>
      <c r="G810">
        <v>5924</v>
      </c>
      <c r="H810">
        <v>18300</v>
      </c>
    </row>
    <row r="811" spans="2:8">
      <c r="B811" t="s">
        <v>443</v>
      </c>
      <c r="C811" t="s">
        <v>310</v>
      </c>
      <c r="D811">
        <v>5923</v>
      </c>
      <c r="E811">
        <v>5928</v>
      </c>
      <c r="F811">
        <v>5923</v>
      </c>
      <c r="G811">
        <v>5924</v>
      </c>
      <c r="H811">
        <v>16800</v>
      </c>
    </row>
    <row r="812" spans="2:8">
      <c r="B812" t="s">
        <v>443</v>
      </c>
      <c r="C812" t="s">
        <v>311</v>
      </c>
      <c r="D812">
        <v>5925</v>
      </c>
      <c r="E812">
        <v>5939</v>
      </c>
      <c r="F812">
        <v>5925</v>
      </c>
      <c r="G812">
        <v>5938</v>
      </c>
      <c r="H812">
        <v>68200</v>
      </c>
    </row>
    <row r="813" spans="2:8">
      <c r="B813" t="s">
        <v>443</v>
      </c>
      <c r="C813" t="s">
        <v>312</v>
      </c>
      <c r="D813">
        <v>5938</v>
      </c>
      <c r="E813">
        <v>5940</v>
      </c>
      <c r="F813">
        <v>5934</v>
      </c>
      <c r="G813">
        <v>5936</v>
      </c>
      <c r="H813">
        <v>45500</v>
      </c>
    </row>
    <row r="814" spans="2:8">
      <c r="B814" t="s">
        <v>443</v>
      </c>
      <c r="C814" t="s">
        <v>313</v>
      </c>
      <c r="D814">
        <v>5935</v>
      </c>
      <c r="E814">
        <v>5936</v>
      </c>
      <c r="F814">
        <v>5928</v>
      </c>
      <c r="G814">
        <v>5933</v>
      </c>
      <c r="H814">
        <v>39000</v>
      </c>
    </row>
    <row r="815" spans="2:8">
      <c r="B815" t="s">
        <v>443</v>
      </c>
      <c r="C815" t="s">
        <v>314</v>
      </c>
      <c r="D815">
        <v>5932</v>
      </c>
      <c r="E815">
        <v>5933</v>
      </c>
      <c r="F815">
        <v>5928</v>
      </c>
      <c r="G815">
        <v>5931</v>
      </c>
      <c r="H815">
        <v>13700</v>
      </c>
    </row>
    <row r="816" spans="2:8">
      <c r="B816" t="s">
        <v>443</v>
      </c>
      <c r="C816" t="s">
        <v>315</v>
      </c>
      <c r="D816">
        <v>5931</v>
      </c>
      <c r="E816">
        <v>5935</v>
      </c>
      <c r="F816">
        <v>5930</v>
      </c>
      <c r="G816">
        <v>5931</v>
      </c>
      <c r="H816">
        <v>24500</v>
      </c>
    </row>
    <row r="817" spans="2:8">
      <c r="B817" t="s">
        <v>443</v>
      </c>
      <c r="C817" t="s">
        <v>316</v>
      </c>
      <c r="D817">
        <v>5930</v>
      </c>
      <c r="E817">
        <v>5930</v>
      </c>
      <c r="F817">
        <v>5930</v>
      </c>
      <c r="G817">
        <v>5930</v>
      </c>
      <c r="H817">
        <v>7300</v>
      </c>
    </row>
    <row r="818" spans="2:8">
      <c r="B818" t="s">
        <v>443</v>
      </c>
      <c r="C818" t="s">
        <v>317</v>
      </c>
      <c r="D818">
        <v>5944</v>
      </c>
      <c r="E818">
        <v>5956</v>
      </c>
      <c r="F818">
        <v>5931</v>
      </c>
      <c r="G818">
        <v>5944</v>
      </c>
      <c r="H818">
        <v>189900</v>
      </c>
    </row>
    <row r="819" spans="2:8">
      <c r="B819" t="s">
        <v>443</v>
      </c>
      <c r="C819" t="s">
        <v>318</v>
      </c>
      <c r="D819">
        <v>5944</v>
      </c>
      <c r="E819">
        <v>5945</v>
      </c>
      <c r="F819">
        <v>5931</v>
      </c>
      <c r="G819">
        <v>5932</v>
      </c>
      <c r="H819">
        <v>37500</v>
      </c>
    </row>
    <row r="820" spans="2:8">
      <c r="B820" t="s">
        <v>443</v>
      </c>
      <c r="C820" t="s">
        <v>319</v>
      </c>
      <c r="D820">
        <v>5933</v>
      </c>
      <c r="E820">
        <v>5940</v>
      </c>
      <c r="F820">
        <v>5933</v>
      </c>
      <c r="G820">
        <v>5937</v>
      </c>
      <c r="H820">
        <v>19400</v>
      </c>
    </row>
    <row r="821" spans="2:8">
      <c r="B821" t="s">
        <v>443</v>
      </c>
      <c r="C821" t="s">
        <v>320</v>
      </c>
      <c r="D821">
        <v>5938</v>
      </c>
      <c r="E821">
        <v>5950</v>
      </c>
      <c r="F821">
        <v>5938</v>
      </c>
      <c r="G821">
        <v>5948</v>
      </c>
      <c r="H821">
        <v>50600</v>
      </c>
    </row>
    <row r="822" spans="2:8">
      <c r="B822" t="s">
        <v>443</v>
      </c>
      <c r="C822" t="s">
        <v>321</v>
      </c>
      <c r="D822">
        <v>5949</v>
      </c>
      <c r="E822">
        <v>5953</v>
      </c>
      <c r="F822">
        <v>5948</v>
      </c>
      <c r="G822">
        <v>5952</v>
      </c>
      <c r="H822">
        <v>40200</v>
      </c>
    </row>
    <row r="823" spans="2:8">
      <c r="B823" t="s">
        <v>443</v>
      </c>
      <c r="C823" t="s">
        <v>322</v>
      </c>
      <c r="D823">
        <v>5952</v>
      </c>
      <c r="E823">
        <v>5960</v>
      </c>
      <c r="F823">
        <v>5952</v>
      </c>
      <c r="G823">
        <v>5960</v>
      </c>
      <c r="H823">
        <v>86700</v>
      </c>
    </row>
    <row r="824" spans="2:8">
      <c r="B824" t="s">
        <v>443</v>
      </c>
      <c r="C824" t="s">
        <v>323</v>
      </c>
      <c r="D824">
        <v>5960</v>
      </c>
      <c r="E824">
        <v>5968</v>
      </c>
      <c r="F824">
        <v>5957</v>
      </c>
      <c r="G824">
        <v>5967</v>
      </c>
      <c r="H824">
        <v>70100</v>
      </c>
    </row>
    <row r="825" spans="2:8">
      <c r="B825" t="s">
        <v>443</v>
      </c>
      <c r="C825" t="s">
        <v>324</v>
      </c>
      <c r="D825">
        <v>5967</v>
      </c>
      <c r="E825">
        <v>5969</v>
      </c>
      <c r="F825">
        <v>5958</v>
      </c>
      <c r="G825">
        <v>5967</v>
      </c>
      <c r="H825">
        <v>117400</v>
      </c>
    </row>
    <row r="826" spans="2:8">
      <c r="B826" t="s">
        <v>443</v>
      </c>
      <c r="C826" t="s">
        <v>325</v>
      </c>
      <c r="D826">
        <v>5967</v>
      </c>
      <c r="E826">
        <v>5967</v>
      </c>
      <c r="F826">
        <v>5960</v>
      </c>
      <c r="G826">
        <v>5964</v>
      </c>
      <c r="H826">
        <v>39500</v>
      </c>
    </row>
    <row r="827" spans="2:8">
      <c r="B827" t="s">
        <v>443</v>
      </c>
      <c r="C827" t="s">
        <v>326</v>
      </c>
      <c r="D827">
        <v>5963</v>
      </c>
      <c r="E827">
        <v>5985</v>
      </c>
      <c r="F827">
        <v>5963</v>
      </c>
      <c r="G827">
        <v>5984</v>
      </c>
      <c r="H827">
        <v>150900</v>
      </c>
    </row>
    <row r="828" spans="2:8">
      <c r="B828" t="s">
        <v>443</v>
      </c>
      <c r="C828" t="s">
        <v>327</v>
      </c>
      <c r="D828">
        <v>5984</v>
      </c>
      <c r="E828">
        <v>5997</v>
      </c>
      <c r="F828">
        <v>5980</v>
      </c>
      <c r="G828">
        <v>5994</v>
      </c>
      <c r="H828">
        <v>157800</v>
      </c>
    </row>
    <row r="829" spans="2:8">
      <c r="B829" t="s">
        <v>443</v>
      </c>
      <c r="C829" t="s">
        <v>328</v>
      </c>
      <c r="D829">
        <v>5996</v>
      </c>
      <c r="E829">
        <v>6015</v>
      </c>
      <c r="F829">
        <v>5993</v>
      </c>
      <c r="G829">
        <v>6009</v>
      </c>
      <c r="H829">
        <v>206500</v>
      </c>
    </row>
    <row r="830" spans="2:8">
      <c r="B830" t="s">
        <v>443</v>
      </c>
      <c r="C830" t="s">
        <v>329</v>
      </c>
      <c r="D830">
        <v>6009</v>
      </c>
      <c r="E830">
        <v>6027</v>
      </c>
      <c r="F830">
        <v>6009</v>
      </c>
      <c r="G830">
        <v>6023</v>
      </c>
      <c r="H830">
        <v>200900</v>
      </c>
    </row>
    <row r="831" spans="2:8">
      <c r="B831" t="s">
        <v>443</v>
      </c>
      <c r="C831" t="s">
        <v>330</v>
      </c>
      <c r="D831">
        <v>6023</v>
      </c>
      <c r="E831">
        <v>6024</v>
      </c>
      <c r="F831">
        <v>6012</v>
      </c>
      <c r="G831">
        <v>6015</v>
      </c>
      <c r="H831">
        <v>123500</v>
      </c>
    </row>
    <row r="832" spans="2:8">
      <c r="B832" t="s">
        <v>443</v>
      </c>
      <c r="C832" t="s">
        <v>331</v>
      </c>
      <c r="D832">
        <v>6015</v>
      </c>
      <c r="E832">
        <v>6022</v>
      </c>
      <c r="F832">
        <v>6015</v>
      </c>
      <c r="G832">
        <v>6016</v>
      </c>
      <c r="H832">
        <v>61600</v>
      </c>
    </row>
    <row r="833" spans="2:8">
      <c r="B833" t="s">
        <v>443</v>
      </c>
      <c r="C833" t="s">
        <v>332</v>
      </c>
      <c r="D833">
        <v>6015</v>
      </c>
      <c r="E833">
        <v>6035</v>
      </c>
      <c r="F833">
        <v>6007</v>
      </c>
      <c r="G833">
        <v>6031</v>
      </c>
      <c r="H833">
        <v>244800</v>
      </c>
    </row>
    <row r="834" spans="2:8">
      <c r="B834" t="s">
        <v>443</v>
      </c>
      <c r="C834" t="s">
        <v>333</v>
      </c>
      <c r="D834">
        <v>6031</v>
      </c>
      <c r="E834">
        <v>6033</v>
      </c>
      <c r="F834">
        <v>6012</v>
      </c>
      <c r="G834">
        <v>6015</v>
      </c>
      <c r="H834">
        <v>158900</v>
      </c>
    </row>
    <row r="835" spans="2:8">
      <c r="B835" t="s">
        <v>443</v>
      </c>
      <c r="C835" t="s">
        <v>334</v>
      </c>
      <c r="D835">
        <v>6015</v>
      </c>
      <c r="E835">
        <v>6016</v>
      </c>
      <c r="F835">
        <v>6000</v>
      </c>
      <c r="G835">
        <v>6006</v>
      </c>
      <c r="H835">
        <v>131500</v>
      </c>
    </row>
    <row r="836" spans="2:8">
      <c r="B836" t="s">
        <v>443</v>
      </c>
      <c r="C836" t="s">
        <v>335</v>
      </c>
      <c r="D836">
        <v>6007</v>
      </c>
      <c r="E836">
        <v>6007</v>
      </c>
      <c r="F836">
        <v>5993</v>
      </c>
      <c r="G836">
        <v>5997</v>
      </c>
      <c r="H836">
        <v>103700</v>
      </c>
    </row>
    <row r="837" spans="2:8">
      <c r="B837" t="s">
        <v>443</v>
      </c>
      <c r="C837" t="s">
        <v>336</v>
      </c>
      <c r="D837">
        <v>5997</v>
      </c>
      <c r="E837">
        <v>5998</v>
      </c>
      <c r="F837">
        <v>5977</v>
      </c>
      <c r="G837">
        <v>5984</v>
      </c>
      <c r="H837">
        <v>183400</v>
      </c>
    </row>
    <row r="838" spans="2:8">
      <c r="B838" t="s">
        <v>443</v>
      </c>
      <c r="C838" t="s">
        <v>337</v>
      </c>
      <c r="D838">
        <v>5984</v>
      </c>
      <c r="E838">
        <v>5996</v>
      </c>
      <c r="F838">
        <v>5984</v>
      </c>
      <c r="G838">
        <v>5991</v>
      </c>
      <c r="H838">
        <v>116200</v>
      </c>
    </row>
    <row r="839" spans="2:8">
      <c r="B839" t="s">
        <v>443</v>
      </c>
      <c r="C839" t="s">
        <v>338</v>
      </c>
      <c r="D839">
        <v>5992</v>
      </c>
      <c r="E839">
        <v>6002</v>
      </c>
      <c r="F839">
        <v>5983</v>
      </c>
      <c r="G839">
        <v>6002</v>
      </c>
      <c r="H839">
        <v>95400</v>
      </c>
    </row>
    <row r="840" spans="2:8">
      <c r="B840" t="s">
        <v>443</v>
      </c>
      <c r="C840" t="s">
        <v>339</v>
      </c>
      <c r="D840">
        <v>6001</v>
      </c>
      <c r="E840">
        <v>6001</v>
      </c>
      <c r="F840">
        <v>5990</v>
      </c>
      <c r="G840">
        <v>5996</v>
      </c>
      <c r="H840">
        <v>84200</v>
      </c>
    </row>
    <row r="841" spans="2:8">
      <c r="B841" t="s">
        <v>443</v>
      </c>
      <c r="C841" t="s">
        <v>340</v>
      </c>
      <c r="D841">
        <v>5996</v>
      </c>
      <c r="E841">
        <v>5999</v>
      </c>
      <c r="F841">
        <v>5992</v>
      </c>
      <c r="G841">
        <v>5996</v>
      </c>
      <c r="H841">
        <v>31000</v>
      </c>
    </row>
    <row r="842" spans="2:8">
      <c r="B842" t="s">
        <v>443</v>
      </c>
      <c r="C842" t="s">
        <v>341</v>
      </c>
      <c r="D842">
        <v>5996</v>
      </c>
      <c r="E842">
        <v>6009</v>
      </c>
      <c r="F842">
        <v>5988</v>
      </c>
      <c r="G842">
        <v>6009</v>
      </c>
      <c r="H842">
        <v>158100</v>
      </c>
    </row>
    <row r="843" spans="2:8">
      <c r="B843" t="s">
        <v>443</v>
      </c>
      <c r="C843" t="s">
        <v>342</v>
      </c>
      <c r="D843">
        <v>6010</v>
      </c>
      <c r="E843">
        <v>6021</v>
      </c>
      <c r="F843">
        <v>6009</v>
      </c>
      <c r="G843">
        <v>6015</v>
      </c>
      <c r="H843">
        <v>98600</v>
      </c>
    </row>
    <row r="844" spans="2:8">
      <c r="B844" t="s">
        <v>443</v>
      </c>
      <c r="C844" t="s">
        <v>343</v>
      </c>
      <c r="D844">
        <v>6015</v>
      </c>
      <c r="E844">
        <v>6018</v>
      </c>
      <c r="F844">
        <v>6002</v>
      </c>
      <c r="G844">
        <v>6008</v>
      </c>
      <c r="H844">
        <v>124700</v>
      </c>
    </row>
    <row r="845" spans="2:8">
      <c r="B845" t="s">
        <v>443</v>
      </c>
      <c r="C845" t="s">
        <v>344</v>
      </c>
      <c r="D845">
        <v>6008</v>
      </c>
      <c r="E845">
        <v>6011</v>
      </c>
      <c r="F845">
        <v>6003</v>
      </c>
      <c r="G845">
        <v>6008</v>
      </c>
      <c r="H845">
        <v>62300</v>
      </c>
    </row>
    <row r="846" spans="2:8">
      <c r="B846" t="s">
        <v>443</v>
      </c>
      <c r="C846" t="s">
        <v>345</v>
      </c>
      <c r="D846">
        <v>6008</v>
      </c>
      <c r="E846">
        <v>6013</v>
      </c>
      <c r="F846">
        <v>6005</v>
      </c>
      <c r="G846">
        <v>6010</v>
      </c>
      <c r="H846">
        <v>47200</v>
      </c>
    </row>
    <row r="847" spans="2:8">
      <c r="B847" t="s">
        <v>443</v>
      </c>
      <c r="C847" t="s">
        <v>346</v>
      </c>
      <c r="D847">
        <v>6009</v>
      </c>
      <c r="E847">
        <v>6012</v>
      </c>
      <c r="F847">
        <v>6006</v>
      </c>
      <c r="G847">
        <v>6011</v>
      </c>
      <c r="H847">
        <v>30700</v>
      </c>
    </row>
    <row r="848" spans="2:8">
      <c r="B848" t="s">
        <v>443</v>
      </c>
      <c r="C848" t="s">
        <v>347</v>
      </c>
      <c r="D848">
        <v>6011</v>
      </c>
      <c r="E848">
        <v>6029</v>
      </c>
      <c r="F848">
        <v>6009</v>
      </c>
      <c r="G848">
        <v>6024</v>
      </c>
      <c r="H848">
        <v>120800</v>
      </c>
    </row>
    <row r="849" spans="2:8">
      <c r="B849" t="s">
        <v>443</v>
      </c>
      <c r="C849" t="s">
        <v>348</v>
      </c>
      <c r="D849">
        <v>6024</v>
      </c>
      <c r="E849">
        <v>6035</v>
      </c>
      <c r="F849">
        <v>6024</v>
      </c>
      <c r="G849">
        <v>6031</v>
      </c>
      <c r="H849">
        <v>132300</v>
      </c>
    </row>
    <row r="850" spans="2:8">
      <c r="B850" t="s">
        <v>443</v>
      </c>
      <c r="C850" t="s">
        <v>349</v>
      </c>
      <c r="D850">
        <v>6031</v>
      </c>
      <c r="E850">
        <v>6040</v>
      </c>
      <c r="F850">
        <v>6030</v>
      </c>
      <c r="G850">
        <v>6036</v>
      </c>
      <c r="H850">
        <v>105900</v>
      </c>
    </row>
    <row r="851" spans="2:8">
      <c r="B851" t="s">
        <v>443</v>
      </c>
      <c r="C851" t="s">
        <v>350</v>
      </c>
      <c r="D851">
        <v>6036</v>
      </c>
      <c r="E851">
        <v>6048</v>
      </c>
      <c r="F851">
        <v>6034</v>
      </c>
      <c r="G851">
        <v>6048</v>
      </c>
      <c r="H851">
        <v>98600</v>
      </c>
    </row>
    <row r="852" spans="2:8">
      <c r="B852" t="s">
        <v>443</v>
      </c>
      <c r="C852" t="s">
        <v>351</v>
      </c>
      <c r="D852">
        <v>6047</v>
      </c>
      <c r="E852">
        <v>6056</v>
      </c>
      <c r="F852">
        <v>6046</v>
      </c>
      <c r="G852">
        <v>6051</v>
      </c>
      <c r="H852">
        <v>169200</v>
      </c>
    </row>
    <row r="853" spans="2:8">
      <c r="B853" t="s">
        <v>443</v>
      </c>
      <c r="C853" t="s">
        <v>352</v>
      </c>
      <c r="D853">
        <v>6052</v>
      </c>
      <c r="E853">
        <v>6056</v>
      </c>
      <c r="F853">
        <v>6047</v>
      </c>
      <c r="G853">
        <v>6048</v>
      </c>
      <c r="H853">
        <v>79900</v>
      </c>
    </row>
    <row r="854" spans="2:8">
      <c r="B854" t="s">
        <v>443</v>
      </c>
      <c r="C854" t="s">
        <v>353</v>
      </c>
      <c r="D854">
        <v>6048</v>
      </c>
      <c r="E854">
        <v>6052</v>
      </c>
      <c r="F854">
        <v>6039</v>
      </c>
      <c r="G854">
        <v>6051</v>
      </c>
      <c r="H854">
        <v>108200</v>
      </c>
    </row>
    <row r="855" spans="2:8">
      <c r="B855" t="s">
        <v>443</v>
      </c>
      <c r="C855" t="s">
        <v>354</v>
      </c>
      <c r="D855">
        <v>6051</v>
      </c>
      <c r="E855">
        <v>6060</v>
      </c>
      <c r="F855">
        <v>6050</v>
      </c>
      <c r="G855">
        <v>6058</v>
      </c>
      <c r="H855">
        <v>113300</v>
      </c>
    </row>
    <row r="856" spans="2:8">
      <c r="B856" t="s">
        <v>443</v>
      </c>
      <c r="C856" t="s">
        <v>355</v>
      </c>
      <c r="D856">
        <v>6058</v>
      </c>
      <c r="E856">
        <v>6062</v>
      </c>
      <c r="F856">
        <v>6054</v>
      </c>
      <c r="G856">
        <v>6056</v>
      </c>
      <c r="H856">
        <v>79100</v>
      </c>
    </row>
    <row r="857" spans="2:8">
      <c r="B857" t="s">
        <v>443</v>
      </c>
      <c r="C857" t="s">
        <v>356</v>
      </c>
      <c r="D857">
        <v>6055</v>
      </c>
      <c r="E857">
        <v>6056</v>
      </c>
      <c r="F857">
        <v>6043</v>
      </c>
      <c r="G857">
        <v>6046</v>
      </c>
      <c r="H857">
        <v>113600</v>
      </c>
    </row>
    <row r="858" spans="2:8">
      <c r="B858" t="s">
        <v>443</v>
      </c>
      <c r="C858" t="s">
        <v>357</v>
      </c>
      <c r="D858">
        <v>6046</v>
      </c>
      <c r="E858">
        <v>6054</v>
      </c>
      <c r="F858">
        <v>6017</v>
      </c>
      <c r="G858">
        <v>6017</v>
      </c>
      <c r="H858">
        <v>189600</v>
      </c>
    </row>
    <row r="859" spans="2:8">
      <c r="B859" t="s">
        <v>443</v>
      </c>
      <c r="C859" t="s">
        <v>358</v>
      </c>
      <c r="D859">
        <v>6016</v>
      </c>
      <c r="E859">
        <v>6021</v>
      </c>
      <c r="F859">
        <v>6001</v>
      </c>
      <c r="G859">
        <v>6016</v>
      </c>
      <c r="H859">
        <v>134500</v>
      </c>
    </row>
    <row r="860" spans="2:8">
      <c r="B860" t="s">
        <v>443</v>
      </c>
      <c r="C860" t="s">
        <v>359</v>
      </c>
      <c r="D860">
        <v>6016</v>
      </c>
      <c r="E860">
        <v>6016</v>
      </c>
      <c r="F860">
        <v>5995</v>
      </c>
      <c r="G860">
        <v>6004</v>
      </c>
      <c r="H860">
        <v>188400</v>
      </c>
    </row>
    <row r="861" spans="2:8">
      <c r="B861" t="s">
        <v>443</v>
      </c>
      <c r="C861" t="s">
        <v>360</v>
      </c>
      <c r="D861">
        <v>6005</v>
      </c>
      <c r="E861">
        <v>6013</v>
      </c>
      <c r="F861">
        <v>6000</v>
      </c>
      <c r="G861">
        <v>6004</v>
      </c>
      <c r="H861">
        <v>71100</v>
      </c>
    </row>
    <row r="862" spans="2:8">
      <c r="B862" t="s">
        <v>443</v>
      </c>
      <c r="C862" t="s">
        <v>361</v>
      </c>
      <c r="D862">
        <v>6004</v>
      </c>
      <c r="E862">
        <v>6005</v>
      </c>
      <c r="F862">
        <v>5990</v>
      </c>
      <c r="G862">
        <v>6001</v>
      </c>
      <c r="H862">
        <v>105500</v>
      </c>
    </row>
    <row r="863" spans="2:8">
      <c r="B863" t="s">
        <v>443</v>
      </c>
      <c r="C863" t="s">
        <v>362</v>
      </c>
      <c r="D863">
        <v>6000</v>
      </c>
      <c r="E863">
        <v>6000</v>
      </c>
      <c r="F863">
        <v>5975</v>
      </c>
      <c r="G863">
        <v>5981</v>
      </c>
      <c r="H863">
        <v>145200</v>
      </c>
    </row>
    <row r="864" spans="2:8">
      <c r="B864" t="s">
        <v>443</v>
      </c>
      <c r="C864" t="s">
        <v>363</v>
      </c>
      <c r="D864">
        <v>5981</v>
      </c>
      <c r="E864">
        <v>5989</v>
      </c>
      <c r="F864">
        <v>5968</v>
      </c>
      <c r="G864">
        <v>5968</v>
      </c>
      <c r="H864">
        <v>149200</v>
      </c>
    </row>
    <row r="865" spans="2:8">
      <c r="B865" t="s">
        <v>443</v>
      </c>
      <c r="C865" t="s">
        <v>364</v>
      </c>
      <c r="D865">
        <v>5967</v>
      </c>
      <c r="E865">
        <v>5979</v>
      </c>
      <c r="F865">
        <v>5965</v>
      </c>
      <c r="G865">
        <v>5972</v>
      </c>
      <c r="H865">
        <v>101800</v>
      </c>
    </row>
    <row r="866" spans="2:8">
      <c r="B866" t="s">
        <v>443</v>
      </c>
      <c r="C866" t="s">
        <v>365</v>
      </c>
      <c r="D866">
        <v>5971</v>
      </c>
      <c r="E866">
        <v>5978</v>
      </c>
      <c r="F866">
        <v>5962</v>
      </c>
      <c r="G866">
        <v>5964</v>
      </c>
      <c r="H866">
        <v>83200</v>
      </c>
    </row>
    <row r="867" spans="2:8">
      <c r="B867" t="s">
        <v>443</v>
      </c>
      <c r="C867" t="s">
        <v>366</v>
      </c>
      <c r="D867">
        <v>5966</v>
      </c>
      <c r="E867">
        <v>5972</v>
      </c>
      <c r="F867">
        <v>5965</v>
      </c>
      <c r="G867">
        <v>5970</v>
      </c>
      <c r="H867">
        <v>58300</v>
      </c>
    </row>
    <row r="868" spans="2:8">
      <c r="B868" t="s">
        <v>443</v>
      </c>
      <c r="C868" t="s">
        <v>367</v>
      </c>
      <c r="D868">
        <v>5970</v>
      </c>
      <c r="E868">
        <v>5970</v>
      </c>
      <c r="F868">
        <v>5936</v>
      </c>
      <c r="G868">
        <v>5945</v>
      </c>
      <c r="H868">
        <v>230500</v>
      </c>
    </row>
    <row r="869" spans="2:8">
      <c r="B869" t="s">
        <v>443</v>
      </c>
      <c r="C869" t="s">
        <v>368</v>
      </c>
      <c r="D869">
        <v>5945</v>
      </c>
      <c r="E869">
        <v>5953</v>
      </c>
      <c r="F869">
        <v>5945</v>
      </c>
      <c r="G869">
        <v>5949</v>
      </c>
      <c r="H869">
        <v>85500</v>
      </c>
    </row>
    <row r="870" spans="2:8">
      <c r="B870" t="s">
        <v>443</v>
      </c>
      <c r="C870" t="s">
        <v>369</v>
      </c>
      <c r="D870">
        <v>5948</v>
      </c>
      <c r="E870">
        <v>5958</v>
      </c>
      <c r="F870">
        <v>5946</v>
      </c>
      <c r="G870">
        <v>5951</v>
      </c>
      <c r="H870">
        <v>104500</v>
      </c>
    </row>
    <row r="871" spans="2:8">
      <c r="B871" t="s">
        <v>443</v>
      </c>
      <c r="C871" t="s">
        <v>370</v>
      </c>
      <c r="D871">
        <v>5952</v>
      </c>
      <c r="E871">
        <v>5963</v>
      </c>
      <c r="F871">
        <v>5952</v>
      </c>
      <c r="G871">
        <v>5957</v>
      </c>
      <c r="H871">
        <v>113800</v>
      </c>
    </row>
    <row r="872" spans="2:8">
      <c r="B872" t="s">
        <v>443</v>
      </c>
      <c r="C872" t="s">
        <v>371</v>
      </c>
      <c r="D872">
        <v>5958</v>
      </c>
      <c r="E872">
        <v>5994</v>
      </c>
      <c r="F872">
        <v>5957</v>
      </c>
      <c r="G872">
        <v>5986</v>
      </c>
      <c r="H872">
        <v>159300</v>
      </c>
    </row>
    <row r="873" spans="2:8">
      <c r="B873" t="s">
        <v>443</v>
      </c>
      <c r="C873" t="s">
        <v>372</v>
      </c>
      <c r="D873">
        <v>5986</v>
      </c>
      <c r="E873">
        <v>5995</v>
      </c>
      <c r="F873">
        <v>5969</v>
      </c>
      <c r="G873">
        <v>5975</v>
      </c>
      <c r="H873">
        <v>121700</v>
      </c>
    </row>
    <row r="874" spans="2:8">
      <c r="B874" t="s">
        <v>443</v>
      </c>
      <c r="C874" t="s">
        <v>373</v>
      </c>
      <c r="D874">
        <v>5975</v>
      </c>
      <c r="E874">
        <v>5982</v>
      </c>
      <c r="F874">
        <v>5974</v>
      </c>
      <c r="G874">
        <v>5979</v>
      </c>
      <c r="H874">
        <v>29200</v>
      </c>
    </row>
    <row r="875" spans="2:8">
      <c r="B875" t="s">
        <v>443</v>
      </c>
      <c r="C875" t="s">
        <v>374</v>
      </c>
      <c r="D875">
        <v>5979</v>
      </c>
      <c r="E875">
        <v>5979</v>
      </c>
      <c r="F875">
        <v>5961</v>
      </c>
      <c r="G875">
        <v>5963</v>
      </c>
      <c r="H875">
        <v>82700</v>
      </c>
    </row>
    <row r="876" spans="2:8">
      <c r="B876" t="s">
        <v>443</v>
      </c>
      <c r="C876" t="s">
        <v>375</v>
      </c>
      <c r="D876">
        <v>5963</v>
      </c>
      <c r="E876">
        <v>5970</v>
      </c>
      <c r="F876">
        <v>5962</v>
      </c>
      <c r="G876">
        <v>5966</v>
      </c>
      <c r="H876">
        <v>39900</v>
      </c>
    </row>
    <row r="877" spans="2:8">
      <c r="B877" t="s">
        <v>443</v>
      </c>
      <c r="C877" t="s">
        <v>376</v>
      </c>
      <c r="D877">
        <v>5965</v>
      </c>
      <c r="E877">
        <v>5965</v>
      </c>
      <c r="F877">
        <v>5956</v>
      </c>
      <c r="G877">
        <v>5962</v>
      </c>
      <c r="H877">
        <v>55200</v>
      </c>
    </row>
    <row r="878" spans="2:8">
      <c r="B878" t="s">
        <v>443</v>
      </c>
      <c r="C878" t="s">
        <v>377</v>
      </c>
      <c r="D878">
        <v>5964</v>
      </c>
      <c r="E878">
        <v>5978</v>
      </c>
      <c r="F878">
        <v>5963</v>
      </c>
      <c r="G878">
        <v>5977</v>
      </c>
      <c r="H878">
        <v>54500</v>
      </c>
    </row>
    <row r="879" spans="2:8">
      <c r="B879" t="s">
        <v>443</v>
      </c>
      <c r="C879" t="s">
        <v>378</v>
      </c>
      <c r="D879">
        <v>5977</v>
      </c>
      <c r="E879">
        <v>5979</v>
      </c>
      <c r="F879">
        <v>5966</v>
      </c>
      <c r="G879">
        <v>5972</v>
      </c>
      <c r="H879">
        <v>42700</v>
      </c>
    </row>
    <row r="880" spans="2:8">
      <c r="B880" t="s">
        <v>443</v>
      </c>
      <c r="C880" t="s">
        <v>379</v>
      </c>
      <c r="D880">
        <v>5971</v>
      </c>
      <c r="E880">
        <v>5977</v>
      </c>
      <c r="F880">
        <v>5971</v>
      </c>
      <c r="G880">
        <v>5975</v>
      </c>
      <c r="H880">
        <v>18700</v>
      </c>
    </row>
    <row r="881" spans="2:8">
      <c r="B881" t="s">
        <v>443</v>
      </c>
      <c r="C881" t="s">
        <v>380</v>
      </c>
      <c r="D881">
        <v>5975</v>
      </c>
      <c r="E881">
        <v>5982</v>
      </c>
      <c r="F881">
        <v>5971</v>
      </c>
      <c r="G881">
        <v>5978</v>
      </c>
      <c r="H881">
        <v>43500</v>
      </c>
    </row>
    <row r="882" spans="2:8">
      <c r="B882" t="s">
        <v>443</v>
      </c>
      <c r="C882" t="s">
        <v>381</v>
      </c>
      <c r="D882">
        <v>5979</v>
      </c>
      <c r="E882">
        <v>5984</v>
      </c>
      <c r="F882">
        <v>5977</v>
      </c>
      <c r="G882">
        <v>5980</v>
      </c>
      <c r="H882">
        <v>27100</v>
      </c>
    </row>
    <row r="883" spans="2:8">
      <c r="B883" t="s">
        <v>443</v>
      </c>
      <c r="C883" t="s">
        <v>382</v>
      </c>
      <c r="D883">
        <v>5980</v>
      </c>
      <c r="E883">
        <v>5989</v>
      </c>
      <c r="F883">
        <v>5973</v>
      </c>
      <c r="G883">
        <v>5988</v>
      </c>
      <c r="H883">
        <v>66800</v>
      </c>
    </row>
    <row r="884" spans="2:8">
      <c r="B884" t="s">
        <v>443</v>
      </c>
      <c r="C884" t="s">
        <v>383</v>
      </c>
      <c r="D884">
        <v>5987</v>
      </c>
      <c r="E884">
        <v>5991</v>
      </c>
      <c r="F884">
        <v>5980</v>
      </c>
      <c r="G884">
        <v>5980</v>
      </c>
      <c r="H884">
        <v>61600</v>
      </c>
    </row>
    <row r="885" spans="2:8">
      <c r="B885" t="s">
        <v>443</v>
      </c>
      <c r="C885" t="s">
        <v>384</v>
      </c>
      <c r="D885">
        <v>5981</v>
      </c>
      <c r="E885">
        <v>5981</v>
      </c>
      <c r="F885">
        <v>5970</v>
      </c>
      <c r="G885">
        <v>5977</v>
      </c>
      <c r="H885">
        <v>54400</v>
      </c>
    </row>
    <row r="886" spans="2:8">
      <c r="B886" t="s">
        <v>443</v>
      </c>
      <c r="C886" t="s">
        <v>385</v>
      </c>
      <c r="D886">
        <v>5977</v>
      </c>
      <c r="E886">
        <v>5978</v>
      </c>
      <c r="F886">
        <v>5971</v>
      </c>
      <c r="G886">
        <v>5973</v>
      </c>
      <c r="H886">
        <v>23800</v>
      </c>
    </row>
    <row r="887" spans="2:8">
      <c r="B887" t="s">
        <v>443</v>
      </c>
      <c r="C887" t="s">
        <v>386</v>
      </c>
      <c r="D887">
        <v>5973</v>
      </c>
      <c r="E887">
        <v>5984</v>
      </c>
      <c r="F887">
        <v>5973</v>
      </c>
      <c r="G887">
        <v>5982</v>
      </c>
      <c r="H887">
        <v>32900</v>
      </c>
    </row>
    <row r="888" spans="2:8">
      <c r="B888" t="s">
        <v>443</v>
      </c>
      <c r="C888" t="s">
        <v>387</v>
      </c>
      <c r="D888">
        <v>5983</v>
      </c>
      <c r="E888">
        <v>5990</v>
      </c>
      <c r="F888">
        <v>5982</v>
      </c>
      <c r="G888">
        <v>5988</v>
      </c>
      <c r="H888">
        <v>43400</v>
      </c>
    </row>
    <row r="889" spans="2:8">
      <c r="B889" t="s">
        <v>443</v>
      </c>
      <c r="C889" t="s">
        <v>388</v>
      </c>
      <c r="D889">
        <v>5988</v>
      </c>
      <c r="E889">
        <v>5992</v>
      </c>
      <c r="F889">
        <v>5986</v>
      </c>
      <c r="G889">
        <v>5987</v>
      </c>
      <c r="H889">
        <v>52000</v>
      </c>
    </row>
    <row r="890" spans="2:8">
      <c r="B890" t="s">
        <v>443</v>
      </c>
      <c r="C890" t="s">
        <v>389</v>
      </c>
      <c r="D890">
        <v>5987</v>
      </c>
      <c r="E890">
        <v>5992</v>
      </c>
      <c r="F890">
        <v>5985</v>
      </c>
      <c r="G890">
        <v>5991</v>
      </c>
      <c r="H890">
        <v>38700</v>
      </c>
    </row>
    <row r="891" spans="2:8">
      <c r="B891" t="s">
        <v>443</v>
      </c>
      <c r="C891" t="s">
        <v>390</v>
      </c>
      <c r="D891">
        <v>5991</v>
      </c>
      <c r="E891">
        <v>5995</v>
      </c>
      <c r="F891">
        <v>5988</v>
      </c>
      <c r="G891">
        <v>5992</v>
      </c>
      <c r="H891">
        <v>68900</v>
      </c>
    </row>
    <row r="892" spans="2:8">
      <c r="B892" t="s">
        <v>443</v>
      </c>
      <c r="C892" t="s">
        <v>391</v>
      </c>
      <c r="D892">
        <v>5992</v>
      </c>
      <c r="E892">
        <v>5992</v>
      </c>
      <c r="F892">
        <v>5982</v>
      </c>
      <c r="G892">
        <v>5983</v>
      </c>
      <c r="H892">
        <v>52900</v>
      </c>
    </row>
    <row r="893" spans="2:8">
      <c r="B893" t="s">
        <v>443</v>
      </c>
      <c r="C893" t="s">
        <v>392</v>
      </c>
      <c r="D893">
        <v>5983</v>
      </c>
      <c r="E893">
        <v>5989</v>
      </c>
      <c r="F893">
        <v>5983</v>
      </c>
      <c r="G893">
        <v>5988</v>
      </c>
      <c r="H893">
        <v>29200</v>
      </c>
    </row>
    <row r="894" spans="2:8">
      <c r="B894" t="s">
        <v>443</v>
      </c>
      <c r="C894" t="s">
        <v>393</v>
      </c>
      <c r="D894">
        <v>5988</v>
      </c>
      <c r="E894">
        <v>5992</v>
      </c>
      <c r="F894">
        <v>5988</v>
      </c>
      <c r="G894">
        <v>5989</v>
      </c>
      <c r="H894">
        <v>21400</v>
      </c>
    </row>
    <row r="895" spans="2:8">
      <c r="B895" t="s">
        <v>443</v>
      </c>
      <c r="C895" t="s">
        <v>394</v>
      </c>
      <c r="D895">
        <v>5988</v>
      </c>
      <c r="E895">
        <v>5989</v>
      </c>
      <c r="F895">
        <v>5977</v>
      </c>
      <c r="G895">
        <v>5984</v>
      </c>
      <c r="H895">
        <v>59000</v>
      </c>
    </row>
    <row r="896" spans="2:8">
      <c r="B896" t="s">
        <v>443</v>
      </c>
      <c r="C896" t="s">
        <v>395</v>
      </c>
      <c r="D896">
        <v>5983</v>
      </c>
      <c r="E896">
        <v>5985</v>
      </c>
      <c r="F896">
        <v>5976</v>
      </c>
      <c r="G896">
        <v>5976</v>
      </c>
      <c r="H896">
        <v>25700</v>
      </c>
    </row>
    <row r="897" spans="2:8">
      <c r="B897" t="s">
        <v>443</v>
      </c>
      <c r="C897" t="s">
        <v>396</v>
      </c>
      <c r="D897">
        <v>5976</v>
      </c>
      <c r="E897">
        <v>5984</v>
      </c>
      <c r="F897">
        <v>5976</v>
      </c>
      <c r="G897">
        <v>5980</v>
      </c>
      <c r="H897">
        <v>29400</v>
      </c>
    </row>
    <row r="898" spans="2:8">
      <c r="B898" t="s">
        <v>443</v>
      </c>
      <c r="C898" t="s">
        <v>397</v>
      </c>
      <c r="D898">
        <v>5979</v>
      </c>
      <c r="E898">
        <v>5979</v>
      </c>
      <c r="F898">
        <v>5975</v>
      </c>
      <c r="G898">
        <v>5979</v>
      </c>
      <c r="H898">
        <v>30300</v>
      </c>
    </row>
    <row r="899" spans="2:8">
      <c r="B899" t="s">
        <v>443</v>
      </c>
      <c r="C899" t="s">
        <v>398</v>
      </c>
      <c r="D899">
        <v>5978</v>
      </c>
      <c r="E899">
        <v>5980</v>
      </c>
      <c r="F899">
        <v>5975</v>
      </c>
      <c r="G899">
        <v>5977</v>
      </c>
      <c r="H899">
        <v>26700</v>
      </c>
    </row>
    <row r="900" spans="2:8">
      <c r="B900" t="s">
        <v>443</v>
      </c>
      <c r="C900" t="s">
        <v>399</v>
      </c>
      <c r="D900">
        <v>5977</v>
      </c>
      <c r="E900">
        <v>5982</v>
      </c>
      <c r="F900">
        <v>5972</v>
      </c>
      <c r="G900">
        <v>5980</v>
      </c>
      <c r="H900">
        <v>47000</v>
      </c>
    </row>
    <row r="901" spans="2:8">
      <c r="B901" t="s">
        <v>443</v>
      </c>
      <c r="C901" t="s">
        <v>400</v>
      </c>
      <c r="D901">
        <v>5981</v>
      </c>
      <c r="E901">
        <v>5983</v>
      </c>
      <c r="F901">
        <v>5976</v>
      </c>
      <c r="G901">
        <v>5977</v>
      </c>
      <c r="H901">
        <v>19700</v>
      </c>
    </row>
    <row r="902" spans="2:8">
      <c r="B902" t="s">
        <v>443</v>
      </c>
      <c r="C902" t="s">
        <v>401</v>
      </c>
      <c r="D902">
        <v>5976</v>
      </c>
      <c r="E902">
        <v>5977</v>
      </c>
      <c r="F902">
        <v>5972</v>
      </c>
      <c r="G902">
        <v>5972</v>
      </c>
      <c r="H902">
        <v>25500</v>
      </c>
    </row>
    <row r="903" spans="2:8">
      <c r="B903" t="s">
        <v>443</v>
      </c>
      <c r="C903" t="s">
        <v>402</v>
      </c>
      <c r="D903">
        <v>5972</v>
      </c>
      <c r="E903">
        <v>5980</v>
      </c>
      <c r="F903">
        <v>5972</v>
      </c>
      <c r="G903">
        <v>5977</v>
      </c>
      <c r="H903">
        <v>26500</v>
      </c>
    </row>
    <row r="904" spans="2:8">
      <c r="B904" t="s">
        <v>443</v>
      </c>
      <c r="C904" t="s">
        <v>403</v>
      </c>
      <c r="D904">
        <v>5978</v>
      </c>
      <c r="E904">
        <v>5980</v>
      </c>
      <c r="F904">
        <v>5978</v>
      </c>
      <c r="G904">
        <v>5979</v>
      </c>
      <c r="H904">
        <v>7300</v>
      </c>
    </row>
    <row r="905" spans="2:8">
      <c r="B905" t="s">
        <v>443</v>
      </c>
      <c r="C905" t="s">
        <v>404</v>
      </c>
      <c r="D905">
        <v>5979</v>
      </c>
      <c r="E905">
        <v>5982</v>
      </c>
      <c r="F905">
        <v>5973</v>
      </c>
      <c r="G905">
        <v>5980</v>
      </c>
      <c r="H905">
        <v>31000</v>
      </c>
    </row>
    <row r="906" spans="2:8">
      <c r="B906" t="s">
        <v>443</v>
      </c>
      <c r="C906" t="s">
        <v>405</v>
      </c>
      <c r="D906">
        <v>5981</v>
      </c>
      <c r="E906">
        <v>5985</v>
      </c>
      <c r="F906">
        <v>5981</v>
      </c>
      <c r="G906">
        <v>5984</v>
      </c>
      <c r="H906">
        <v>23700</v>
      </c>
    </row>
    <row r="907" spans="2:8">
      <c r="B907" t="s">
        <v>443</v>
      </c>
      <c r="C907" t="s">
        <v>406</v>
      </c>
      <c r="D907">
        <v>5984</v>
      </c>
      <c r="E907">
        <v>5985</v>
      </c>
      <c r="F907">
        <v>5980</v>
      </c>
      <c r="G907">
        <v>5982</v>
      </c>
      <c r="H907">
        <v>15600</v>
      </c>
    </row>
    <row r="908" spans="2:8">
      <c r="B908" t="s">
        <v>443</v>
      </c>
      <c r="C908" t="s">
        <v>407</v>
      </c>
      <c r="D908">
        <v>5981</v>
      </c>
      <c r="E908">
        <v>5987</v>
      </c>
      <c r="F908">
        <v>5980</v>
      </c>
      <c r="G908">
        <v>5983</v>
      </c>
      <c r="H908">
        <v>24900</v>
      </c>
    </row>
    <row r="909" spans="2:8">
      <c r="B909" t="s">
        <v>443</v>
      </c>
      <c r="C909" t="s">
        <v>408</v>
      </c>
      <c r="D909">
        <v>5983</v>
      </c>
      <c r="E909">
        <v>5990</v>
      </c>
      <c r="F909">
        <v>5983</v>
      </c>
      <c r="G909">
        <v>5989</v>
      </c>
      <c r="H909">
        <v>24100</v>
      </c>
    </row>
    <row r="910" spans="2:8">
      <c r="B910" t="s">
        <v>443</v>
      </c>
      <c r="C910" t="s">
        <v>409</v>
      </c>
      <c r="D910">
        <v>5989</v>
      </c>
      <c r="E910">
        <v>5991</v>
      </c>
      <c r="F910">
        <v>5987</v>
      </c>
      <c r="G910">
        <v>5991</v>
      </c>
      <c r="H910">
        <v>15000</v>
      </c>
    </row>
    <row r="911" spans="2:8">
      <c r="B911" t="s">
        <v>443</v>
      </c>
      <c r="C911" t="s">
        <v>410</v>
      </c>
      <c r="D911">
        <v>5991</v>
      </c>
      <c r="E911">
        <v>5992</v>
      </c>
      <c r="F911">
        <v>5985</v>
      </c>
      <c r="G911">
        <v>5988</v>
      </c>
      <c r="H911">
        <v>36200</v>
      </c>
    </row>
    <row r="912" spans="2:8">
      <c r="B912" t="s">
        <v>443</v>
      </c>
      <c r="C912" t="s">
        <v>411</v>
      </c>
      <c r="D912">
        <v>5987</v>
      </c>
      <c r="E912">
        <v>5991</v>
      </c>
      <c r="F912">
        <v>5985</v>
      </c>
      <c r="G912">
        <v>5990</v>
      </c>
      <c r="H912">
        <v>23500</v>
      </c>
    </row>
    <row r="913" spans="2:8">
      <c r="B913" t="s">
        <v>443</v>
      </c>
      <c r="C913" t="s">
        <v>412</v>
      </c>
      <c r="D913">
        <v>5990</v>
      </c>
      <c r="E913">
        <v>5993</v>
      </c>
      <c r="F913">
        <v>5989</v>
      </c>
      <c r="G913">
        <v>5993</v>
      </c>
      <c r="H913">
        <v>15300</v>
      </c>
    </row>
    <row r="914" spans="2:8">
      <c r="B914" t="s">
        <v>443</v>
      </c>
      <c r="C914" t="s">
        <v>413</v>
      </c>
      <c r="D914">
        <v>5993</v>
      </c>
      <c r="E914">
        <v>5994</v>
      </c>
      <c r="F914">
        <v>5984</v>
      </c>
      <c r="G914">
        <v>5987</v>
      </c>
      <c r="H914">
        <v>35700</v>
      </c>
    </row>
    <row r="915" spans="2:8">
      <c r="B915" t="s">
        <v>443</v>
      </c>
      <c r="C915" t="s">
        <v>414</v>
      </c>
      <c r="D915">
        <v>5987</v>
      </c>
      <c r="E915">
        <v>5988</v>
      </c>
      <c r="F915">
        <v>5983</v>
      </c>
      <c r="G915">
        <v>5985</v>
      </c>
      <c r="H915">
        <v>26100</v>
      </c>
    </row>
    <row r="916" spans="2:8">
      <c r="B916" t="s">
        <v>443</v>
      </c>
      <c r="C916" t="s">
        <v>415</v>
      </c>
      <c r="D916">
        <v>5985</v>
      </c>
      <c r="E916">
        <v>5988</v>
      </c>
      <c r="F916">
        <v>5977</v>
      </c>
      <c r="G916">
        <v>5979</v>
      </c>
      <c r="H916">
        <v>45700</v>
      </c>
    </row>
    <row r="917" spans="2:8">
      <c r="B917" t="s">
        <v>443</v>
      </c>
      <c r="C917" t="s">
        <v>416</v>
      </c>
      <c r="D917">
        <v>5979</v>
      </c>
      <c r="E917">
        <v>5983</v>
      </c>
      <c r="F917">
        <v>5975</v>
      </c>
      <c r="G917">
        <v>5975</v>
      </c>
      <c r="H917">
        <v>28600</v>
      </c>
    </row>
    <row r="918" spans="2:8">
      <c r="B918" t="s">
        <v>443</v>
      </c>
      <c r="C918" t="s">
        <v>417</v>
      </c>
      <c r="D918">
        <v>5976</v>
      </c>
      <c r="E918">
        <v>5981</v>
      </c>
      <c r="F918">
        <v>5975</v>
      </c>
      <c r="G918">
        <v>5980</v>
      </c>
      <c r="H918">
        <v>14100</v>
      </c>
    </row>
    <row r="919" spans="2:8">
      <c r="B919" t="s">
        <v>443</v>
      </c>
      <c r="C919" t="s">
        <v>418</v>
      </c>
      <c r="D919">
        <v>5980</v>
      </c>
      <c r="E919">
        <v>5980</v>
      </c>
      <c r="F919">
        <v>5971</v>
      </c>
      <c r="G919">
        <v>5971</v>
      </c>
      <c r="H919">
        <v>28900</v>
      </c>
    </row>
    <row r="920" spans="2:8">
      <c r="B920" t="s">
        <v>443</v>
      </c>
      <c r="C920" t="s">
        <v>419</v>
      </c>
      <c r="D920">
        <v>5971</v>
      </c>
      <c r="E920">
        <v>5975</v>
      </c>
      <c r="F920">
        <v>5967</v>
      </c>
      <c r="G920">
        <v>5973</v>
      </c>
      <c r="H920">
        <v>38100</v>
      </c>
    </row>
    <row r="921" spans="2:8">
      <c r="B921" t="s">
        <v>443</v>
      </c>
      <c r="C921" t="s">
        <v>420</v>
      </c>
      <c r="D921">
        <v>5973</v>
      </c>
      <c r="E921">
        <v>5975</v>
      </c>
      <c r="F921">
        <v>5971</v>
      </c>
      <c r="G921">
        <v>5971</v>
      </c>
      <c r="H921">
        <v>20500</v>
      </c>
    </row>
    <row r="922" spans="2:8">
      <c r="B922" t="s">
        <v>443</v>
      </c>
      <c r="C922" t="s">
        <v>421</v>
      </c>
      <c r="D922">
        <v>5971</v>
      </c>
      <c r="E922">
        <v>5971</v>
      </c>
      <c r="F922">
        <v>5964</v>
      </c>
      <c r="G922">
        <v>5965</v>
      </c>
      <c r="H922">
        <v>27500</v>
      </c>
    </row>
    <row r="923" spans="2:8">
      <c r="B923" t="s">
        <v>443</v>
      </c>
      <c r="C923" t="s">
        <v>422</v>
      </c>
      <c r="D923">
        <v>5965</v>
      </c>
      <c r="E923">
        <v>5972</v>
      </c>
      <c r="F923">
        <v>5962</v>
      </c>
      <c r="G923">
        <v>5972</v>
      </c>
      <c r="H923">
        <v>37400</v>
      </c>
    </row>
    <row r="924" spans="2:8">
      <c r="B924" t="s">
        <v>443</v>
      </c>
      <c r="C924" t="s">
        <v>423</v>
      </c>
      <c r="D924">
        <v>5972</v>
      </c>
      <c r="E924">
        <v>5975</v>
      </c>
      <c r="F924">
        <v>5972</v>
      </c>
      <c r="G924">
        <v>5974</v>
      </c>
      <c r="H924">
        <v>17200</v>
      </c>
    </row>
    <row r="925" spans="2:8">
      <c r="B925" t="s">
        <v>443</v>
      </c>
      <c r="C925" t="s">
        <v>424</v>
      </c>
      <c r="D925">
        <v>5973</v>
      </c>
      <c r="E925">
        <v>5977</v>
      </c>
      <c r="F925">
        <v>5973</v>
      </c>
      <c r="G925">
        <v>5975</v>
      </c>
      <c r="H925">
        <v>19900</v>
      </c>
    </row>
    <row r="926" spans="2:8">
      <c r="B926" t="s">
        <v>443</v>
      </c>
      <c r="C926" t="s">
        <v>425</v>
      </c>
      <c r="D926">
        <v>5975</v>
      </c>
      <c r="E926">
        <v>5981</v>
      </c>
      <c r="F926">
        <v>5975</v>
      </c>
      <c r="G926">
        <v>5979</v>
      </c>
      <c r="H926">
        <v>18200</v>
      </c>
    </row>
    <row r="927" spans="2:8">
      <c r="B927" t="s">
        <v>443</v>
      </c>
      <c r="C927" t="s">
        <v>426</v>
      </c>
      <c r="D927">
        <v>5979</v>
      </c>
      <c r="E927">
        <v>5979</v>
      </c>
      <c r="F927">
        <v>5968</v>
      </c>
      <c r="G927">
        <v>5970</v>
      </c>
      <c r="H927">
        <v>31500</v>
      </c>
    </row>
    <row r="928" spans="2:8">
      <c r="B928" t="s">
        <v>443</v>
      </c>
      <c r="C928" t="s">
        <v>427</v>
      </c>
      <c r="D928">
        <v>5970</v>
      </c>
      <c r="E928">
        <v>5971</v>
      </c>
      <c r="F928">
        <v>5964</v>
      </c>
      <c r="G928">
        <v>5971</v>
      </c>
      <c r="H928">
        <v>29300</v>
      </c>
    </row>
    <row r="929" spans="2:8">
      <c r="B929" t="s">
        <v>443</v>
      </c>
      <c r="C929" t="s">
        <v>428</v>
      </c>
      <c r="D929">
        <v>5971</v>
      </c>
      <c r="E929">
        <v>5977</v>
      </c>
      <c r="F929">
        <v>5970</v>
      </c>
      <c r="G929">
        <v>5977</v>
      </c>
      <c r="H929">
        <v>14900</v>
      </c>
    </row>
    <row r="930" spans="2:8">
      <c r="B930" t="s">
        <v>443</v>
      </c>
      <c r="C930" t="s">
        <v>429</v>
      </c>
      <c r="D930">
        <v>5978</v>
      </c>
      <c r="E930">
        <v>5979</v>
      </c>
      <c r="F930">
        <v>5975</v>
      </c>
      <c r="G930">
        <v>5979</v>
      </c>
      <c r="H930">
        <v>15300</v>
      </c>
    </row>
    <row r="931" spans="2:8">
      <c r="B931" t="s">
        <v>443</v>
      </c>
      <c r="C931" t="s">
        <v>430</v>
      </c>
      <c r="D931">
        <v>5979</v>
      </c>
      <c r="E931">
        <v>5982</v>
      </c>
      <c r="F931">
        <v>5977</v>
      </c>
      <c r="G931">
        <v>5981</v>
      </c>
      <c r="H931">
        <v>26700</v>
      </c>
    </row>
    <row r="932" spans="2:8">
      <c r="B932" t="s">
        <v>443</v>
      </c>
      <c r="C932" t="s">
        <v>431</v>
      </c>
      <c r="D932">
        <v>5982</v>
      </c>
      <c r="E932">
        <v>5982</v>
      </c>
      <c r="F932">
        <v>5979</v>
      </c>
      <c r="G932">
        <v>5982</v>
      </c>
      <c r="H932">
        <v>19400</v>
      </c>
    </row>
    <row r="933" spans="2:8">
      <c r="B933" t="s">
        <v>443</v>
      </c>
      <c r="C933" t="s">
        <v>9</v>
      </c>
      <c r="D933">
        <v>5981</v>
      </c>
      <c r="E933">
        <v>5981</v>
      </c>
      <c r="F933">
        <v>5977</v>
      </c>
      <c r="G933">
        <v>5979</v>
      </c>
      <c r="H933">
        <v>16000</v>
      </c>
    </row>
    <row r="934" spans="2:8">
      <c r="B934" t="s">
        <v>443</v>
      </c>
      <c r="C934" t="s">
        <v>10</v>
      </c>
      <c r="D934">
        <v>5979</v>
      </c>
      <c r="E934">
        <v>5986</v>
      </c>
      <c r="F934">
        <v>5979</v>
      </c>
      <c r="G934">
        <v>5983</v>
      </c>
      <c r="H934">
        <v>32700</v>
      </c>
    </row>
    <row r="935" spans="2:8">
      <c r="B935" t="s">
        <v>443</v>
      </c>
      <c r="C935" t="s">
        <v>11</v>
      </c>
      <c r="D935">
        <v>5983</v>
      </c>
      <c r="E935">
        <v>5985</v>
      </c>
      <c r="F935">
        <v>5981</v>
      </c>
      <c r="G935">
        <v>5984</v>
      </c>
      <c r="H935">
        <v>9800</v>
      </c>
    </row>
    <row r="936" spans="2:8">
      <c r="B936" t="s">
        <v>443</v>
      </c>
      <c r="C936" t="s">
        <v>12</v>
      </c>
      <c r="D936">
        <v>5985</v>
      </c>
      <c r="E936">
        <v>5993</v>
      </c>
      <c r="F936">
        <v>5985</v>
      </c>
      <c r="G936">
        <v>5993</v>
      </c>
      <c r="H936">
        <v>56900</v>
      </c>
    </row>
    <row r="937" spans="2:8">
      <c r="B937" t="s">
        <v>443</v>
      </c>
      <c r="C937" t="s">
        <v>13</v>
      </c>
      <c r="D937">
        <v>5993</v>
      </c>
      <c r="E937">
        <v>5993</v>
      </c>
      <c r="F937">
        <v>5989</v>
      </c>
      <c r="G937">
        <v>5990</v>
      </c>
      <c r="H937">
        <v>26400</v>
      </c>
    </row>
    <row r="938" spans="2:8">
      <c r="B938" t="s">
        <v>443</v>
      </c>
      <c r="C938" t="s">
        <v>14</v>
      </c>
      <c r="D938">
        <v>5991</v>
      </c>
      <c r="E938">
        <v>6006</v>
      </c>
      <c r="F938">
        <v>5991</v>
      </c>
      <c r="G938">
        <v>6005</v>
      </c>
      <c r="H938">
        <v>91500</v>
      </c>
    </row>
    <row r="939" spans="2:8">
      <c r="B939" t="s">
        <v>443</v>
      </c>
      <c r="C939" t="s">
        <v>15</v>
      </c>
      <c r="D939">
        <v>6005</v>
      </c>
      <c r="E939">
        <v>6007</v>
      </c>
      <c r="F939">
        <v>5997</v>
      </c>
      <c r="G939">
        <v>6002</v>
      </c>
      <c r="H939">
        <v>71600</v>
      </c>
    </row>
    <row r="940" spans="2:8">
      <c r="B940" t="s">
        <v>443</v>
      </c>
      <c r="C940" t="s">
        <v>16</v>
      </c>
      <c r="D940">
        <v>6001</v>
      </c>
      <c r="E940">
        <v>6003</v>
      </c>
      <c r="F940">
        <v>5999</v>
      </c>
      <c r="G940">
        <v>6003</v>
      </c>
      <c r="H940">
        <v>24000</v>
      </c>
    </row>
    <row r="941" spans="2:8">
      <c r="B941" t="s">
        <v>443</v>
      </c>
      <c r="C941" t="s">
        <v>17</v>
      </c>
      <c r="D941">
        <v>6004</v>
      </c>
      <c r="E941">
        <v>6011</v>
      </c>
      <c r="F941">
        <v>6003</v>
      </c>
      <c r="G941">
        <v>6007</v>
      </c>
      <c r="H941">
        <v>62000</v>
      </c>
    </row>
    <row r="942" spans="2:8">
      <c r="B942" t="s">
        <v>443</v>
      </c>
      <c r="C942" t="s">
        <v>18</v>
      </c>
      <c r="D942">
        <v>6006</v>
      </c>
      <c r="E942">
        <v>6008</v>
      </c>
      <c r="F942">
        <v>6005</v>
      </c>
      <c r="G942">
        <v>6006</v>
      </c>
      <c r="H942">
        <v>19000</v>
      </c>
    </row>
    <row r="943" spans="2:8">
      <c r="B943" t="s">
        <v>443</v>
      </c>
      <c r="C943" t="s">
        <v>19</v>
      </c>
      <c r="D943">
        <v>6007</v>
      </c>
      <c r="E943">
        <v>6010</v>
      </c>
      <c r="F943">
        <v>6001</v>
      </c>
      <c r="G943">
        <v>6008</v>
      </c>
      <c r="H943">
        <v>41400</v>
      </c>
    </row>
    <row r="944" spans="2:8">
      <c r="B944" t="s">
        <v>443</v>
      </c>
      <c r="C944" t="s">
        <v>20</v>
      </c>
      <c r="D944">
        <v>6008</v>
      </c>
      <c r="E944">
        <v>6010</v>
      </c>
      <c r="F944">
        <v>6002</v>
      </c>
      <c r="G944">
        <v>6007</v>
      </c>
      <c r="H944">
        <v>34600</v>
      </c>
    </row>
    <row r="945" spans="2:8">
      <c r="B945" t="s">
        <v>443</v>
      </c>
      <c r="C945" t="s">
        <v>21</v>
      </c>
      <c r="D945">
        <v>6006</v>
      </c>
      <c r="E945">
        <v>6007</v>
      </c>
      <c r="F945">
        <v>6002</v>
      </c>
      <c r="G945">
        <v>6004</v>
      </c>
      <c r="H945">
        <v>21600</v>
      </c>
    </row>
    <row r="946" spans="2:8">
      <c r="B946" t="s">
        <v>443</v>
      </c>
      <c r="C946" t="s">
        <v>22</v>
      </c>
      <c r="D946">
        <v>6004</v>
      </c>
      <c r="E946">
        <v>6005</v>
      </c>
      <c r="F946">
        <v>6003</v>
      </c>
      <c r="G946">
        <v>6004</v>
      </c>
      <c r="H946">
        <v>10600</v>
      </c>
    </row>
    <row r="947" spans="2:8">
      <c r="B947" t="s">
        <v>443</v>
      </c>
      <c r="C947" t="s">
        <v>23</v>
      </c>
      <c r="D947">
        <v>6004</v>
      </c>
      <c r="E947">
        <v>6008</v>
      </c>
      <c r="F947">
        <v>6000</v>
      </c>
      <c r="G947">
        <v>6005</v>
      </c>
      <c r="H947">
        <v>44800</v>
      </c>
    </row>
    <row r="948" spans="2:8">
      <c r="B948" t="s">
        <v>443</v>
      </c>
      <c r="C948" t="s">
        <v>24</v>
      </c>
      <c r="D948">
        <v>6004</v>
      </c>
      <c r="E948">
        <v>6004</v>
      </c>
      <c r="F948">
        <v>5985</v>
      </c>
      <c r="G948">
        <v>5987</v>
      </c>
      <c r="H948">
        <v>101600</v>
      </c>
    </row>
    <row r="949" spans="2:8">
      <c r="B949" t="s">
        <v>443</v>
      </c>
      <c r="C949" t="s">
        <v>25</v>
      </c>
      <c r="D949">
        <v>5987</v>
      </c>
      <c r="E949">
        <v>5992</v>
      </c>
      <c r="F949">
        <v>5987</v>
      </c>
      <c r="G949">
        <v>5989</v>
      </c>
      <c r="H949">
        <v>23100</v>
      </c>
    </row>
    <row r="950" spans="2:8">
      <c r="B950" t="s">
        <v>443</v>
      </c>
      <c r="C950" t="s">
        <v>26</v>
      </c>
      <c r="D950">
        <v>5989</v>
      </c>
      <c r="E950">
        <v>5995</v>
      </c>
      <c r="F950">
        <v>5988</v>
      </c>
      <c r="G950">
        <v>5992</v>
      </c>
      <c r="H950">
        <v>29400</v>
      </c>
    </row>
    <row r="951" spans="2:8">
      <c r="B951" t="s">
        <v>443</v>
      </c>
      <c r="C951" t="s">
        <v>27</v>
      </c>
      <c r="D951">
        <v>5991</v>
      </c>
      <c r="E951">
        <v>5992</v>
      </c>
      <c r="F951">
        <v>5987</v>
      </c>
      <c r="G951">
        <v>5990</v>
      </c>
      <c r="H951">
        <v>16600</v>
      </c>
    </row>
    <row r="952" spans="2:8">
      <c r="B952" t="s">
        <v>443</v>
      </c>
      <c r="C952" t="s">
        <v>28</v>
      </c>
      <c r="D952">
        <v>5990</v>
      </c>
      <c r="E952">
        <v>5996</v>
      </c>
      <c r="F952">
        <v>5990</v>
      </c>
      <c r="G952">
        <v>5996</v>
      </c>
      <c r="H952">
        <v>24000</v>
      </c>
    </row>
    <row r="953" spans="2:8">
      <c r="B953" t="s">
        <v>443</v>
      </c>
      <c r="C953" t="s">
        <v>29</v>
      </c>
      <c r="D953">
        <v>5996</v>
      </c>
      <c r="E953">
        <v>5996</v>
      </c>
      <c r="F953">
        <v>5993</v>
      </c>
      <c r="G953">
        <v>5993</v>
      </c>
      <c r="H953">
        <v>15000</v>
      </c>
    </row>
    <row r="954" spans="2:8">
      <c r="B954" t="s">
        <v>443</v>
      </c>
      <c r="C954" t="s">
        <v>30</v>
      </c>
      <c r="D954">
        <v>5993</v>
      </c>
      <c r="E954">
        <v>6001</v>
      </c>
      <c r="F954">
        <v>5993</v>
      </c>
      <c r="G954">
        <v>5997</v>
      </c>
      <c r="H954">
        <v>34900</v>
      </c>
    </row>
    <row r="955" spans="2:8">
      <c r="B955" t="s">
        <v>443</v>
      </c>
      <c r="C955" t="s">
        <v>31</v>
      </c>
      <c r="D955">
        <v>5999</v>
      </c>
      <c r="E955">
        <v>6002</v>
      </c>
      <c r="F955">
        <v>5997</v>
      </c>
      <c r="G955">
        <v>6002</v>
      </c>
      <c r="H955">
        <v>19600</v>
      </c>
    </row>
    <row r="956" spans="2:8">
      <c r="B956" t="s">
        <v>443</v>
      </c>
      <c r="C956" t="s">
        <v>32</v>
      </c>
      <c r="D956">
        <v>6002</v>
      </c>
      <c r="E956">
        <v>6007</v>
      </c>
      <c r="F956">
        <v>6002</v>
      </c>
      <c r="G956">
        <v>6005</v>
      </c>
      <c r="H956">
        <v>26500</v>
      </c>
    </row>
    <row r="957" spans="2:8">
      <c r="B957" t="s">
        <v>443</v>
      </c>
      <c r="C957" t="s">
        <v>33</v>
      </c>
      <c r="D957">
        <v>6004</v>
      </c>
      <c r="E957">
        <v>6010</v>
      </c>
      <c r="F957">
        <v>6001</v>
      </c>
      <c r="G957">
        <v>6004</v>
      </c>
      <c r="H957">
        <v>79500</v>
      </c>
    </row>
    <row r="958" spans="2:8">
      <c r="B958" t="s">
        <v>443</v>
      </c>
      <c r="C958" t="s">
        <v>34</v>
      </c>
      <c r="D958">
        <v>6004</v>
      </c>
      <c r="E958">
        <v>6006</v>
      </c>
      <c r="F958">
        <v>6003</v>
      </c>
      <c r="G958">
        <v>6004</v>
      </c>
      <c r="H958">
        <v>16200</v>
      </c>
    </row>
    <row r="959" spans="2:8">
      <c r="B959" t="s">
        <v>443</v>
      </c>
      <c r="C959" t="s">
        <v>35</v>
      </c>
      <c r="D959">
        <v>6005</v>
      </c>
      <c r="E959">
        <v>6005</v>
      </c>
      <c r="F959">
        <v>6001</v>
      </c>
      <c r="G959">
        <v>6002</v>
      </c>
      <c r="H959">
        <v>22800</v>
      </c>
    </row>
    <row r="960" spans="2:8">
      <c r="B960" t="s">
        <v>443</v>
      </c>
      <c r="C960" t="s">
        <v>36</v>
      </c>
      <c r="D960">
        <v>6002</v>
      </c>
      <c r="E960">
        <v>6004</v>
      </c>
      <c r="F960">
        <v>5991</v>
      </c>
      <c r="G960">
        <v>5991</v>
      </c>
      <c r="H960">
        <v>74700</v>
      </c>
    </row>
    <row r="961" spans="2:8">
      <c r="B961" t="s">
        <v>443</v>
      </c>
      <c r="C961" t="s">
        <v>37</v>
      </c>
      <c r="D961">
        <v>5992</v>
      </c>
      <c r="E961">
        <v>5996</v>
      </c>
      <c r="F961">
        <v>5992</v>
      </c>
      <c r="G961">
        <v>5995</v>
      </c>
      <c r="H961">
        <v>33200</v>
      </c>
    </row>
    <row r="962" spans="2:8">
      <c r="B962" t="s">
        <v>443</v>
      </c>
      <c r="C962" t="s">
        <v>38</v>
      </c>
      <c r="D962">
        <v>5994</v>
      </c>
      <c r="E962">
        <v>5996</v>
      </c>
      <c r="F962">
        <v>5991</v>
      </c>
      <c r="G962">
        <v>5996</v>
      </c>
      <c r="H962">
        <v>23400</v>
      </c>
    </row>
    <row r="963" spans="2:8">
      <c r="B963" t="s">
        <v>443</v>
      </c>
      <c r="C963" t="s">
        <v>39</v>
      </c>
      <c r="D963">
        <v>5996</v>
      </c>
      <c r="E963">
        <v>5996</v>
      </c>
      <c r="F963">
        <v>5992</v>
      </c>
      <c r="G963">
        <v>5992</v>
      </c>
      <c r="H963">
        <v>9600</v>
      </c>
    </row>
    <row r="964" spans="2:8">
      <c r="B964" t="s">
        <v>443</v>
      </c>
      <c r="C964" t="s">
        <v>40</v>
      </c>
      <c r="D964">
        <v>5992</v>
      </c>
      <c r="E964">
        <v>5993</v>
      </c>
      <c r="F964">
        <v>5987</v>
      </c>
      <c r="G964">
        <v>5990</v>
      </c>
      <c r="H964">
        <v>41400</v>
      </c>
    </row>
    <row r="965" spans="2:8">
      <c r="B965" t="s">
        <v>443</v>
      </c>
      <c r="C965" t="s">
        <v>41</v>
      </c>
      <c r="D965">
        <v>5991</v>
      </c>
      <c r="E965">
        <v>5992</v>
      </c>
      <c r="F965">
        <v>5989</v>
      </c>
      <c r="G965">
        <v>5991</v>
      </c>
      <c r="H965">
        <v>14600</v>
      </c>
    </row>
    <row r="966" spans="2:8">
      <c r="B966" t="s">
        <v>443</v>
      </c>
      <c r="C966" t="s">
        <v>42</v>
      </c>
      <c r="D966">
        <v>5991</v>
      </c>
      <c r="E966">
        <v>5994</v>
      </c>
      <c r="F966">
        <v>5991</v>
      </c>
      <c r="G966">
        <v>5994</v>
      </c>
      <c r="H966">
        <v>11600</v>
      </c>
    </row>
    <row r="967" spans="2:8">
      <c r="B967" t="s">
        <v>443</v>
      </c>
      <c r="C967" t="s">
        <v>43</v>
      </c>
      <c r="D967">
        <v>5994</v>
      </c>
      <c r="E967">
        <v>5994</v>
      </c>
      <c r="F967">
        <v>5988</v>
      </c>
      <c r="G967">
        <v>5988</v>
      </c>
      <c r="H967">
        <v>19600</v>
      </c>
    </row>
    <row r="968" spans="2:8">
      <c r="B968" t="s">
        <v>443</v>
      </c>
      <c r="C968" t="s">
        <v>44</v>
      </c>
      <c r="D968">
        <v>5989</v>
      </c>
      <c r="E968">
        <v>5990</v>
      </c>
      <c r="F968">
        <v>5981</v>
      </c>
      <c r="G968">
        <v>5982</v>
      </c>
      <c r="H968">
        <v>48700</v>
      </c>
    </row>
    <row r="969" spans="2:8">
      <c r="B969" t="s">
        <v>443</v>
      </c>
      <c r="C969" t="s">
        <v>45</v>
      </c>
      <c r="D969">
        <v>5982</v>
      </c>
      <c r="E969">
        <v>5993</v>
      </c>
      <c r="F969">
        <v>5981</v>
      </c>
      <c r="G969">
        <v>5992</v>
      </c>
      <c r="H969">
        <v>36100</v>
      </c>
    </row>
    <row r="970" spans="2:8">
      <c r="B970" t="s">
        <v>443</v>
      </c>
      <c r="C970" t="s">
        <v>46</v>
      </c>
      <c r="D970">
        <v>5991</v>
      </c>
      <c r="E970">
        <v>5991</v>
      </c>
      <c r="F970">
        <v>5986</v>
      </c>
      <c r="G970">
        <v>5986</v>
      </c>
      <c r="H970">
        <v>14400</v>
      </c>
    </row>
    <row r="971" spans="2:8">
      <c r="B971" t="s">
        <v>443</v>
      </c>
      <c r="C971" t="s">
        <v>47</v>
      </c>
      <c r="D971">
        <v>5987</v>
      </c>
      <c r="E971">
        <v>5987</v>
      </c>
      <c r="F971">
        <v>5980</v>
      </c>
      <c r="G971">
        <v>5981</v>
      </c>
      <c r="H971">
        <v>44100</v>
      </c>
    </row>
    <row r="972" spans="2:8">
      <c r="B972" t="s">
        <v>443</v>
      </c>
      <c r="C972" t="s">
        <v>48</v>
      </c>
      <c r="D972">
        <v>5981</v>
      </c>
      <c r="E972">
        <v>5985</v>
      </c>
      <c r="F972">
        <v>5977</v>
      </c>
      <c r="G972">
        <v>5985</v>
      </c>
      <c r="H972">
        <v>29800</v>
      </c>
    </row>
    <row r="973" spans="2:8">
      <c r="B973" t="s">
        <v>443</v>
      </c>
      <c r="C973" t="s">
        <v>49</v>
      </c>
      <c r="D973">
        <v>5984</v>
      </c>
      <c r="E973">
        <v>5986</v>
      </c>
      <c r="F973">
        <v>5981</v>
      </c>
      <c r="G973">
        <v>5985</v>
      </c>
      <c r="H973">
        <v>19800</v>
      </c>
    </row>
    <row r="974" spans="2:8">
      <c r="B974" t="s">
        <v>443</v>
      </c>
      <c r="C974" t="s">
        <v>50</v>
      </c>
      <c r="D974">
        <v>5985</v>
      </c>
      <c r="E974">
        <v>5985</v>
      </c>
      <c r="F974">
        <v>5982</v>
      </c>
      <c r="G974">
        <v>5983</v>
      </c>
      <c r="H974">
        <v>12400</v>
      </c>
    </row>
    <row r="975" spans="2:8">
      <c r="B975" t="s">
        <v>443</v>
      </c>
      <c r="C975" t="s">
        <v>51</v>
      </c>
      <c r="D975">
        <v>5982</v>
      </c>
      <c r="E975">
        <v>5987</v>
      </c>
      <c r="F975">
        <v>5982</v>
      </c>
      <c r="G975">
        <v>5986</v>
      </c>
      <c r="H975">
        <v>30800</v>
      </c>
    </row>
    <row r="976" spans="2:8">
      <c r="B976" t="s">
        <v>443</v>
      </c>
      <c r="C976" t="s">
        <v>52</v>
      </c>
      <c r="D976">
        <v>5986</v>
      </c>
      <c r="E976">
        <v>5988</v>
      </c>
      <c r="F976">
        <v>5985</v>
      </c>
      <c r="G976">
        <v>5988</v>
      </c>
      <c r="H976">
        <v>21300</v>
      </c>
    </row>
    <row r="977" spans="2:8">
      <c r="B977" t="s">
        <v>443</v>
      </c>
      <c r="C977" t="s">
        <v>53</v>
      </c>
      <c r="D977">
        <v>5989</v>
      </c>
      <c r="E977">
        <v>5989</v>
      </c>
      <c r="F977">
        <v>5985</v>
      </c>
      <c r="G977">
        <v>5985</v>
      </c>
      <c r="H977">
        <v>13800</v>
      </c>
    </row>
    <row r="978" spans="2:8">
      <c r="B978" t="s">
        <v>443</v>
      </c>
      <c r="C978" t="s">
        <v>54</v>
      </c>
      <c r="D978">
        <v>5985</v>
      </c>
      <c r="E978">
        <v>5993</v>
      </c>
      <c r="F978">
        <v>5985</v>
      </c>
      <c r="G978">
        <v>5987</v>
      </c>
      <c r="H978">
        <v>39800</v>
      </c>
    </row>
    <row r="979" spans="2:8">
      <c r="B979" t="s">
        <v>443</v>
      </c>
      <c r="C979" t="s">
        <v>55</v>
      </c>
      <c r="D979">
        <v>5986</v>
      </c>
      <c r="E979">
        <v>5991</v>
      </c>
      <c r="F979">
        <v>5984</v>
      </c>
      <c r="G979">
        <v>5989</v>
      </c>
      <c r="H979">
        <v>25800</v>
      </c>
    </row>
    <row r="980" spans="2:8">
      <c r="B980" t="s">
        <v>443</v>
      </c>
      <c r="C980" t="s">
        <v>56</v>
      </c>
      <c r="D980">
        <v>5989</v>
      </c>
      <c r="E980">
        <v>5994</v>
      </c>
      <c r="F980">
        <v>5989</v>
      </c>
      <c r="G980">
        <v>5994</v>
      </c>
      <c r="H980">
        <v>24700</v>
      </c>
    </row>
    <row r="981" spans="2:8">
      <c r="B981" t="s">
        <v>443</v>
      </c>
      <c r="C981" t="s">
        <v>57</v>
      </c>
      <c r="D981">
        <v>5994</v>
      </c>
      <c r="E981">
        <v>5994</v>
      </c>
      <c r="F981">
        <v>5987</v>
      </c>
      <c r="G981">
        <v>5987</v>
      </c>
      <c r="H981">
        <v>13600</v>
      </c>
    </row>
    <row r="982" spans="2:8">
      <c r="B982" t="s">
        <v>443</v>
      </c>
      <c r="C982" t="s">
        <v>58</v>
      </c>
      <c r="D982">
        <v>5987</v>
      </c>
      <c r="E982">
        <v>5988</v>
      </c>
      <c r="F982">
        <v>5982</v>
      </c>
      <c r="G982">
        <v>5985</v>
      </c>
      <c r="H982">
        <v>20000</v>
      </c>
    </row>
    <row r="983" spans="2:8">
      <c r="B983" t="s">
        <v>443</v>
      </c>
      <c r="C983" t="s">
        <v>59</v>
      </c>
      <c r="D983">
        <v>5985</v>
      </c>
      <c r="E983">
        <v>5985</v>
      </c>
      <c r="F983">
        <v>5980</v>
      </c>
      <c r="G983">
        <v>5983</v>
      </c>
      <c r="H983">
        <v>21100</v>
      </c>
    </row>
    <row r="984" spans="2:8">
      <c r="B984" t="s">
        <v>443</v>
      </c>
      <c r="C984" t="s">
        <v>60</v>
      </c>
      <c r="D984">
        <v>5984</v>
      </c>
      <c r="E984">
        <v>5989</v>
      </c>
      <c r="F984">
        <v>5982</v>
      </c>
      <c r="G984">
        <v>5986</v>
      </c>
      <c r="H984">
        <v>25400</v>
      </c>
    </row>
    <row r="985" spans="2:8">
      <c r="B985" t="s">
        <v>443</v>
      </c>
      <c r="C985" t="s">
        <v>61</v>
      </c>
      <c r="D985">
        <v>5986</v>
      </c>
      <c r="E985">
        <v>5988</v>
      </c>
      <c r="F985">
        <v>5985</v>
      </c>
      <c r="G985">
        <v>5988</v>
      </c>
      <c r="H985">
        <v>13500</v>
      </c>
    </row>
    <row r="986" spans="2:8">
      <c r="B986" t="s">
        <v>443</v>
      </c>
      <c r="C986" t="s">
        <v>62</v>
      </c>
      <c r="D986">
        <v>5988</v>
      </c>
      <c r="E986">
        <v>5989</v>
      </c>
      <c r="F986">
        <v>5986</v>
      </c>
      <c r="G986">
        <v>5988</v>
      </c>
      <c r="H986">
        <v>13100</v>
      </c>
    </row>
    <row r="987" spans="2:8">
      <c r="B987" t="s">
        <v>443</v>
      </c>
      <c r="C987" t="s">
        <v>63</v>
      </c>
      <c r="D987">
        <v>5987</v>
      </c>
      <c r="E987">
        <v>5987</v>
      </c>
      <c r="F987">
        <v>5980</v>
      </c>
      <c r="G987">
        <v>5980</v>
      </c>
      <c r="H987">
        <v>21300</v>
      </c>
    </row>
    <row r="988" spans="2:8">
      <c r="B988" t="s">
        <v>443</v>
      </c>
      <c r="C988" t="s">
        <v>64</v>
      </c>
      <c r="D988">
        <v>5980</v>
      </c>
      <c r="E988">
        <v>5981</v>
      </c>
      <c r="F988">
        <v>5963</v>
      </c>
      <c r="G988">
        <v>5966</v>
      </c>
      <c r="H988">
        <v>101900</v>
      </c>
    </row>
    <row r="989" spans="2:8">
      <c r="B989" t="s">
        <v>443</v>
      </c>
      <c r="C989" t="s">
        <v>65</v>
      </c>
      <c r="D989">
        <v>5965</v>
      </c>
      <c r="E989">
        <v>5972</v>
      </c>
      <c r="F989">
        <v>5958</v>
      </c>
      <c r="G989">
        <v>5971</v>
      </c>
      <c r="H989">
        <v>52200</v>
      </c>
    </row>
    <row r="990" spans="2:8">
      <c r="B990" t="s">
        <v>443</v>
      </c>
      <c r="C990" t="s">
        <v>66</v>
      </c>
      <c r="D990">
        <v>5970</v>
      </c>
      <c r="E990">
        <v>5975</v>
      </c>
      <c r="F990">
        <v>5969</v>
      </c>
      <c r="G990">
        <v>5971</v>
      </c>
      <c r="H990">
        <v>38300</v>
      </c>
    </row>
    <row r="991" spans="2:8">
      <c r="B991" t="s">
        <v>443</v>
      </c>
      <c r="C991" t="s">
        <v>164</v>
      </c>
      <c r="D991">
        <v>5971</v>
      </c>
      <c r="E991">
        <v>5980</v>
      </c>
      <c r="F991">
        <v>5969</v>
      </c>
      <c r="G991">
        <v>5977</v>
      </c>
      <c r="H991">
        <v>38500</v>
      </c>
    </row>
    <row r="992" spans="2:8">
      <c r="B992" t="s">
        <v>443</v>
      </c>
      <c r="C992" t="s">
        <v>165</v>
      </c>
      <c r="D992">
        <v>5978</v>
      </c>
      <c r="E992">
        <v>5982</v>
      </c>
      <c r="F992">
        <v>5975</v>
      </c>
      <c r="G992">
        <v>5978</v>
      </c>
      <c r="H992">
        <v>58400</v>
      </c>
    </row>
    <row r="993" spans="2:8">
      <c r="B993" t="s">
        <v>443</v>
      </c>
      <c r="C993" t="s">
        <v>67</v>
      </c>
      <c r="D993" t="s">
        <v>8</v>
      </c>
      <c r="E993" t="s">
        <v>8</v>
      </c>
      <c r="F993" t="s">
        <v>8</v>
      </c>
      <c r="G993" t="s">
        <v>8</v>
      </c>
      <c r="H993">
        <v>0</v>
      </c>
    </row>
    <row r="994" spans="2:8">
      <c r="B994" t="s">
        <v>443</v>
      </c>
      <c r="C994" t="s">
        <v>68</v>
      </c>
      <c r="D994" t="s">
        <v>8</v>
      </c>
      <c r="E994" t="s">
        <v>8</v>
      </c>
      <c r="F994" t="s">
        <v>8</v>
      </c>
      <c r="G994" t="s">
        <v>8</v>
      </c>
      <c r="H994">
        <v>0</v>
      </c>
    </row>
    <row r="995" spans="2:8">
      <c r="B995" t="s">
        <v>443</v>
      </c>
      <c r="C995" t="s">
        <v>69</v>
      </c>
      <c r="D995" t="s">
        <v>8</v>
      </c>
      <c r="E995" t="s">
        <v>8</v>
      </c>
      <c r="F995" t="s">
        <v>8</v>
      </c>
      <c r="G995" t="s">
        <v>8</v>
      </c>
      <c r="H995">
        <v>0</v>
      </c>
    </row>
    <row r="996" spans="2:8">
      <c r="B996" t="s">
        <v>443</v>
      </c>
      <c r="C996" t="s">
        <v>70</v>
      </c>
      <c r="D996" t="s">
        <v>8</v>
      </c>
      <c r="E996" t="s">
        <v>8</v>
      </c>
      <c r="F996" t="s">
        <v>8</v>
      </c>
      <c r="G996" t="s">
        <v>8</v>
      </c>
      <c r="H996">
        <v>0</v>
      </c>
    </row>
    <row r="997" spans="2:8">
      <c r="B997" t="s">
        <v>443</v>
      </c>
      <c r="C997" t="s">
        <v>71</v>
      </c>
      <c r="D997" t="s">
        <v>8</v>
      </c>
      <c r="E997" t="s">
        <v>8</v>
      </c>
      <c r="F997" t="s">
        <v>8</v>
      </c>
      <c r="G997" t="s">
        <v>8</v>
      </c>
      <c r="H997">
        <v>0</v>
      </c>
    </row>
    <row r="998" spans="2:8">
      <c r="B998" t="s">
        <v>443</v>
      </c>
      <c r="C998" t="s">
        <v>72</v>
      </c>
      <c r="D998">
        <v>5986</v>
      </c>
      <c r="E998">
        <v>5986</v>
      </c>
      <c r="F998">
        <v>5986</v>
      </c>
      <c r="G998">
        <v>5986</v>
      </c>
      <c r="H998">
        <v>414800</v>
      </c>
    </row>
    <row r="999" spans="2:8">
      <c r="B999" t="s">
        <v>463</v>
      </c>
      <c r="C999" t="s">
        <v>166</v>
      </c>
      <c r="D999">
        <v>6014</v>
      </c>
      <c r="E999">
        <v>6048</v>
      </c>
      <c r="F999">
        <v>6013</v>
      </c>
      <c r="G999">
        <v>6034</v>
      </c>
      <c r="H999">
        <v>286200</v>
      </c>
    </row>
    <row r="1000" spans="2:8">
      <c r="B1000" t="s">
        <v>463</v>
      </c>
      <c r="C1000" t="s">
        <v>167</v>
      </c>
      <c r="D1000">
        <v>6033</v>
      </c>
      <c r="E1000">
        <v>6035</v>
      </c>
      <c r="F1000">
        <v>5995</v>
      </c>
      <c r="G1000">
        <v>5999</v>
      </c>
      <c r="H1000">
        <v>206100</v>
      </c>
    </row>
    <row r="1001" spans="2:8">
      <c r="B1001" t="s">
        <v>463</v>
      </c>
      <c r="C1001" t="s">
        <v>168</v>
      </c>
      <c r="D1001">
        <v>5998</v>
      </c>
      <c r="E1001">
        <v>6030</v>
      </c>
      <c r="F1001">
        <v>5991</v>
      </c>
      <c r="G1001">
        <v>6029</v>
      </c>
      <c r="H1001">
        <v>166200</v>
      </c>
    </row>
    <row r="1002" spans="2:8">
      <c r="B1002" t="s">
        <v>463</v>
      </c>
      <c r="C1002" t="s">
        <v>169</v>
      </c>
      <c r="D1002">
        <v>6027</v>
      </c>
      <c r="E1002">
        <v>6033</v>
      </c>
      <c r="F1002">
        <v>6009</v>
      </c>
      <c r="G1002">
        <v>6032</v>
      </c>
      <c r="H1002">
        <v>132100</v>
      </c>
    </row>
    <row r="1003" spans="2:8">
      <c r="B1003" t="s">
        <v>463</v>
      </c>
      <c r="C1003" t="s">
        <v>170</v>
      </c>
      <c r="D1003">
        <v>6033</v>
      </c>
      <c r="E1003">
        <v>6042</v>
      </c>
      <c r="F1003">
        <v>6016</v>
      </c>
      <c r="G1003">
        <v>6022</v>
      </c>
      <c r="H1003">
        <v>95700</v>
      </c>
    </row>
    <row r="1004" spans="2:8">
      <c r="B1004" t="s">
        <v>463</v>
      </c>
      <c r="C1004" t="s">
        <v>171</v>
      </c>
      <c r="D1004">
        <v>6023</v>
      </c>
      <c r="E1004">
        <v>6034</v>
      </c>
      <c r="F1004">
        <v>6018</v>
      </c>
      <c r="G1004">
        <v>6034</v>
      </c>
      <c r="H1004">
        <v>75800</v>
      </c>
    </row>
    <row r="1005" spans="2:8">
      <c r="B1005" t="s">
        <v>463</v>
      </c>
      <c r="C1005" t="s">
        <v>172</v>
      </c>
      <c r="D1005">
        <v>6031</v>
      </c>
      <c r="E1005">
        <v>6032</v>
      </c>
      <c r="F1005">
        <v>6020</v>
      </c>
      <c r="G1005">
        <v>6024</v>
      </c>
      <c r="H1005">
        <v>45900</v>
      </c>
    </row>
    <row r="1006" spans="2:8">
      <c r="B1006" t="s">
        <v>463</v>
      </c>
      <c r="C1006" t="s">
        <v>173</v>
      </c>
      <c r="D1006">
        <v>6025</v>
      </c>
      <c r="E1006">
        <v>6025</v>
      </c>
      <c r="F1006">
        <v>6007</v>
      </c>
      <c r="G1006">
        <v>6012</v>
      </c>
      <c r="H1006">
        <v>97500</v>
      </c>
    </row>
    <row r="1007" spans="2:8">
      <c r="B1007" t="s">
        <v>463</v>
      </c>
      <c r="C1007" t="s">
        <v>174</v>
      </c>
      <c r="D1007">
        <v>6014</v>
      </c>
      <c r="E1007">
        <v>6032</v>
      </c>
      <c r="F1007">
        <v>6014</v>
      </c>
      <c r="G1007">
        <v>6030</v>
      </c>
      <c r="H1007">
        <v>60400</v>
      </c>
    </row>
    <row r="1008" spans="2:8">
      <c r="B1008" t="s">
        <v>463</v>
      </c>
      <c r="C1008" t="s">
        <v>175</v>
      </c>
      <c r="D1008">
        <v>6030</v>
      </c>
      <c r="E1008">
        <v>6053</v>
      </c>
      <c r="F1008">
        <v>6028</v>
      </c>
      <c r="G1008">
        <v>6039</v>
      </c>
      <c r="H1008">
        <v>165400</v>
      </c>
    </row>
    <row r="1009" spans="2:8">
      <c r="B1009" t="s">
        <v>463</v>
      </c>
      <c r="C1009" t="s">
        <v>176</v>
      </c>
      <c r="D1009">
        <v>6039</v>
      </c>
      <c r="E1009">
        <v>6047</v>
      </c>
      <c r="F1009">
        <v>6035</v>
      </c>
      <c r="G1009">
        <v>6041</v>
      </c>
      <c r="H1009">
        <v>56700</v>
      </c>
    </row>
    <row r="1010" spans="2:8">
      <c r="B1010" t="s">
        <v>463</v>
      </c>
      <c r="C1010" t="s">
        <v>177</v>
      </c>
      <c r="D1010">
        <v>6041</v>
      </c>
      <c r="E1010">
        <v>6046</v>
      </c>
      <c r="F1010">
        <v>6030</v>
      </c>
      <c r="G1010">
        <v>6044</v>
      </c>
      <c r="H1010">
        <v>72700</v>
      </c>
    </row>
    <row r="1011" spans="2:8">
      <c r="B1011" t="s">
        <v>463</v>
      </c>
      <c r="C1011" t="s">
        <v>178</v>
      </c>
      <c r="D1011">
        <v>6045</v>
      </c>
      <c r="E1011">
        <v>6063</v>
      </c>
      <c r="F1011">
        <v>6044</v>
      </c>
      <c r="G1011">
        <v>6051</v>
      </c>
      <c r="H1011">
        <v>138200</v>
      </c>
    </row>
    <row r="1012" spans="2:8">
      <c r="B1012" t="s">
        <v>463</v>
      </c>
      <c r="C1012" t="s">
        <v>179</v>
      </c>
      <c r="D1012">
        <v>6052</v>
      </c>
      <c r="E1012">
        <v>6053</v>
      </c>
      <c r="F1012">
        <v>6036</v>
      </c>
      <c r="G1012">
        <v>6041</v>
      </c>
      <c r="H1012">
        <v>104500</v>
      </c>
    </row>
    <row r="1013" spans="2:8">
      <c r="B1013" t="s">
        <v>463</v>
      </c>
      <c r="C1013" t="s">
        <v>180</v>
      </c>
      <c r="D1013">
        <v>6040</v>
      </c>
      <c r="E1013">
        <v>6044</v>
      </c>
      <c r="F1013">
        <v>6036</v>
      </c>
      <c r="G1013">
        <v>6036</v>
      </c>
      <c r="H1013">
        <v>43800</v>
      </c>
    </row>
    <row r="1014" spans="2:8">
      <c r="B1014" t="s">
        <v>463</v>
      </c>
      <c r="C1014" t="s">
        <v>181</v>
      </c>
      <c r="D1014">
        <v>6036</v>
      </c>
      <c r="E1014">
        <v>6036</v>
      </c>
      <c r="F1014">
        <v>6025</v>
      </c>
      <c r="G1014">
        <v>6029</v>
      </c>
      <c r="H1014">
        <v>89300</v>
      </c>
    </row>
    <row r="1015" spans="2:8">
      <c r="B1015" t="s">
        <v>463</v>
      </c>
      <c r="C1015" t="s">
        <v>182</v>
      </c>
      <c r="D1015">
        <v>6028</v>
      </c>
      <c r="E1015">
        <v>6034</v>
      </c>
      <c r="F1015">
        <v>6024</v>
      </c>
      <c r="G1015">
        <v>6032</v>
      </c>
      <c r="H1015">
        <v>48700</v>
      </c>
    </row>
    <row r="1016" spans="2:8">
      <c r="B1016" t="s">
        <v>463</v>
      </c>
      <c r="C1016" t="s">
        <v>183</v>
      </c>
      <c r="D1016">
        <v>6032</v>
      </c>
      <c r="E1016">
        <v>6049</v>
      </c>
      <c r="F1016">
        <v>6031</v>
      </c>
      <c r="G1016">
        <v>6045</v>
      </c>
      <c r="H1016">
        <v>76200</v>
      </c>
    </row>
    <row r="1017" spans="2:8">
      <c r="B1017" t="s">
        <v>463</v>
      </c>
      <c r="C1017" t="s">
        <v>184</v>
      </c>
      <c r="D1017">
        <v>6045</v>
      </c>
      <c r="E1017">
        <v>6056</v>
      </c>
      <c r="F1017">
        <v>6044</v>
      </c>
      <c r="G1017">
        <v>6047</v>
      </c>
      <c r="H1017">
        <v>77900</v>
      </c>
    </row>
    <row r="1018" spans="2:8">
      <c r="B1018" t="s">
        <v>463</v>
      </c>
      <c r="C1018" t="s">
        <v>185</v>
      </c>
      <c r="D1018">
        <v>6048</v>
      </c>
      <c r="E1018">
        <v>6052</v>
      </c>
      <c r="F1018">
        <v>6036</v>
      </c>
      <c r="G1018">
        <v>6036</v>
      </c>
      <c r="H1018">
        <v>65300</v>
      </c>
    </row>
    <row r="1019" spans="2:8">
      <c r="B1019" t="s">
        <v>463</v>
      </c>
      <c r="C1019" t="s">
        <v>186</v>
      </c>
      <c r="D1019">
        <v>6035</v>
      </c>
      <c r="E1019">
        <v>6039</v>
      </c>
      <c r="F1019">
        <v>6014</v>
      </c>
      <c r="G1019">
        <v>6022</v>
      </c>
      <c r="H1019">
        <v>108700</v>
      </c>
    </row>
    <row r="1020" spans="2:8">
      <c r="B1020" t="s">
        <v>463</v>
      </c>
      <c r="C1020" t="s">
        <v>187</v>
      </c>
      <c r="D1020">
        <v>6022</v>
      </c>
      <c r="E1020">
        <v>6023</v>
      </c>
      <c r="F1020">
        <v>6015</v>
      </c>
      <c r="G1020">
        <v>6021</v>
      </c>
      <c r="H1020">
        <v>57100</v>
      </c>
    </row>
    <row r="1021" spans="2:8">
      <c r="B1021" t="s">
        <v>463</v>
      </c>
      <c r="C1021" t="s">
        <v>188</v>
      </c>
      <c r="D1021">
        <v>6022</v>
      </c>
      <c r="E1021">
        <v>6022</v>
      </c>
      <c r="F1021">
        <v>6016</v>
      </c>
      <c r="G1021">
        <v>6017</v>
      </c>
      <c r="H1021">
        <v>30600</v>
      </c>
    </row>
    <row r="1022" spans="2:8">
      <c r="B1022" t="s">
        <v>463</v>
      </c>
      <c r="C1022" t="s">
        <v>189</v>
      </c>
      <c r="D1022">
        <v>6017</v>
      </c>
      <c r="E1022">
        <v>6023</v>
      </c>
      <c r="F1022">
        <v>6012</v>
      </c>
      <c r="G1022">
        <v>6021</v>
      </c>
      <c r="H1022">
        <v>59000</v>
      </c>
    </row>
    <row r="1023" spans="2:8">
      <c r="B1023" t="s">
        <v>463</v>
      </c>
      <c r="C1023" t="s">
        <v>190</v>
      </c>
      <c r="D1023">
        <v>6022</v>
      </c>
      <c r="E1023">
        <v>6030</v>
      </c>
      <c r="F1023">
        <v>6022</v>
      </c>
      <c r="G1023">
        <v>6023</v>
      </c>
      <c r="H1023">
        <v>47300</v>
      </c>
    </row>
    <row r="1024" spans="2:8">
      <c r="B1024" t="s">
        <v>463</v>
      </c>
      <c r="C1024" t="s">
        <v>191</v>
      </c>
      <c r="D1024">
        <v>6022</v>
      </c>
      <c r="E1024">
        <v>6034</v>
      </c>
      <c r="F1024">
        <v>6021</v>
      </c>
      <c r="G1024">
        <v>6030</v>
      </c>
      <c r="H1024">
        <v>33700</v>
      </c>
    </row>
    <row r="1025" spans="2:8">
      <c r="B1025" t="s">
        <v>463</v>
      </c>
      <c r="C1025" t="s">
        <v>192</v>
      </c>
      <c r="D1025">
        <v>6028</v>
      </c>
      <c r="E1025">
        <v>6028</v>
      </c>
      <c r="F1025">
        <v>6009</v>
      </c>
      <c r="G1025">
        <v>6018</v>
      </c>
      <c r="H1025">
        <v>79800</v>
      </c>
    </row>
    <row r="1026" spans="2:8">
      <c r="B1026" t="s">
        <v>463</v>
      </c>
      <c r="C1026" t="s">
        <v>193</v>
      </c>
      <c r="D1026">
        <v>6017</v>
      </c>
      <c r="E1026">
        <v>6023</v>
      </c>
      <c r="F1026">
        <v>6012</v>
      </c>
      <c r="G1026">
        <v>6013</v>
      </c>
      <c r="H1026">
        <v>45200</v>
      </c>
    </row>
    <row r="1027" spans="2:8">
      <c r="B1027" t="s">
        <v>463</v>
      </c>
      <c r="C1027" t="s">
        <v>194</v>
      </c>
      <c r="D1027">
        <v>6014</v>
      </c>
      <c r="E1027">
        <v>6017</v>
      </c>
      <c r="F1027">
        <v>6007</v>
      </c>
      <c r="G1027">
        <v>6007</v>
      </c>
      <c r="H1027">
        <v>53300</v>
      </c>
    </row>
    <row r="1028" spans="2:8">
      <c r="B1028" t="s">
        <v>463</v>
      </c>
      <c r="C1028" t="s">
        <v>195</v>
      </c>
      <c r="D1028">
        <v>6007</v>
      </c>
      <c r="E1028">
        <v>6020</v>
      </c>
      <c r="F1028">
        <v>6007</v>
      </c>
      <c r="G1028">
        <v>6020</v>
      </c>
      <c r="H1028">
        <v>41600</v>
      </c>
    </row>
    <row r="1029" spans="2:8">
      <c r="B1029" t="s">
        <v>463</v>
      </c>
      <c r="C1029" t="s">
        <v>196</v>
      </c>
      <c r="D1029">
        <v>6020</v>
      </c>
      <c r="E1029">
        <v>6029</v>
      </c>
      <c r="F1029">
        <v>6019</v>
      </c>
      <c r="G1029">
        <v>6022</v>
      </c>
      <c r="H1029">
        <v>54000</v>
      </c>
    </row>
    <row r="1030" spans="2:8">
      <c r="B1030" t="s">
        <v>463</v>
      </c>
      <c r="C1030" t="s">
        <v>197</v>
      </c>
      <c r="D1030">
        <v>6021</v>
      </c>
      <c r="E1030">
        <v>6029</v>
      </c>
      <c r="F1030">
        <v>6018</v>
      </c>
      <c r="G1030">
        <v>6025</v>
      </c>
      <c r="H1030">
        <v>38600</v>
      </c>
    </row>
    <row r="1031" spans="2:8">
      <c r="B1031" t="s">
        <v>463</v>
      </c>
      <c r="C1031" t="s">
        <v>198</v>
      </c>
      <c r="D1031">
        <v>6026</v>
      </c>
      <c r="E1031">
        <v>6045</v>
      </c>
      <c r="F1031">
        <v>6025</v>
      </c>
      <c r="G1031">
        <v>6040</v>
      </c>
      <c r="H1031">
        <v>100900</v>
      </c>
    </row>
    <row r="1032" spans="2:8">
      <c r="B1032" t="s">
        <v>463</v>
      </c>
      <c r="C1032" t="s">
        <v>199</v>
      </c>
      <c r="D1032">
        <v>6040</v>
      </c>
      <c r="E1032">
        <v>6043</v>
      </c>
      <c r="F1032">
        <v>6033</v>
      </c>
      <c r="G1032">
        <v>6035</v>
      </c>
      <c r="H1032">
        <v>48000</v>
      </c>
    </row>
    <row r="1033" spans="2:8">
      <c r="B1033" t="s">
        <v>463</v>
      </c>
      <c r="C1033" t="s">
        <v>200</v>
      </c>
      <c r="D1033">
        <v>6034</v>
      </c>
      <c r="E1033">
        <v>6045</v>
      </c>
      <c r="F1033">
        <v>6034</v>
      </c>
      <c r="G1033">
        <v>6038</v>
      </c>
      <c r="H1033">
        <v>54700</v>
      </c>
    </row>
    <row r="1034" spans="2:8">
      <c r="B1034" t="s">
        <v>463</v>
      </c>
      <c r="C1034" t="s">
        <v>201</v>
      </c>
      <c r="D1034">
        <v>6039</v>
      </c>
      <c r="E1034">
        <v>6045</v>
      </c>
      <c r="F1034">
        <v>6037</v>
      </c>
      <c r="G1034">
        <v>6040</v>
      </c>
      <c r="H1034">
        <v>44100</v>
      </c>
    </row>
    <row r="1035" spans="2:8">
      <c r="B1035" t="s">
        <v>463</v>
      </c>
      <c r="C1035" t="s">
        <v>202</v>
      </c>
      <c r="D1035">
        <v>6040</v>
      </c>
      <c r="E1035">
        <v>6052</v>
      </c>
      <c r="F1035">
        <v>6040</v>
      </c>
      <c r="G1035">
        <v>6048</v>
      </c>
      <c r="H1035">
        <v>71600</v>
      </c>
    </row>
    <row r="1036" spans="2:8">
      <c r="B1036" t="s">
        <v>463</v>
      </c>
      <c r="C1036" t="s">
        <v>203</v>
      </c>
      <c r="D1036">
        <v>6048</v>
      </c>
      <c r="E1036">
        <v>6055</v>
      </c>
      <c r="F1036">
        <v>6048</v>
      </c>
      <c r="G1036">
        <v>6053</v>
      </c>
      <c r="H1036">
        <v>56500</v>
      </c>
    </row>
    <row r="1037" spans="2:8">
      <c r="B1037" t="s">
        <v>463</v>
      </c>
      <c r="C1037" t="s">
        <v>204</v>
      </c>
      <c r="D1037">
        <v>6052</v>
      </c>
      <c r="E1037">
        <v>6052</v>
      </c>
      <c r="F1037">
        <v>6040</v>
      </c>
      <c r="G1037">
        <v>6042</v>
      </c>
      <c r="H1037">
        <v>45600</v>
      </c>
    </row>
    <row r="1038" spans="2:8">
      <c r="B1038" t="s">
        <v>463</v>
      </c>
      <c r="C1038" t="s">
        <v>205</v>
      </c>
      <c r="D1038">
        <v>6041</v>
      </c>
      <c r="E1038">
        <v>6042</v>
      </c>
      <c r="F1038">
        <v>6035</v>
      </c>
      <c r="G1038">
        <v>6041</v>
      </c>
      <c r="H1038">
        <v>50400</v>
      </c>
    </row>
    <row r="1039" spans="2:8">
      <c r="B1039" t="s">
        <v>463</v>
      </c>
      <c r="C1039" t="s">
        <v>206</v>
      </c>
      <c r="D1039">
        <v>6040</v>
      </c>
      <c r="E1039">
        <v>6046</v>
      </c>
      <c r="F1039">
        <v>6037</v>
      </c>
      <c r="G1039">
        <v>6038</v>
      </c>
      <c r="H1039">
        <v>39100</v>
      </c>
    </row>
    <row r="1040" spans="2:8">
      <c r="B1040" t="s">
        <v>463</v>
      </c>
      <c r="C1040" t="s">
        <v>207</v>
      </c>
      <c r="D1040">
        <v>6037</v>
      </c>
      <c r="E1040">
        <v>6040</v>
      </c>
      <c r="F1040">
        <v>6033</v>
      </c>
      <c r="G1040">
        <v>6037</v>
      </c>
      <c r="H1040">
        <v>28400</v>
      </c>
    </row>
    <row r="1041" spans="2:8">
      <c r="B1041" t="s">
        <v>463</v>
      </c>
      <c r="C1041" t="s">
        <v>208</v>
      </c>
      <c r="D1041">
        <v>6037</v>
      </c>
      <c r="E1041">
        <v>6045</v>
      </c>
      <c r="F1041">
        <v>6037</v>
      </c>
      <c r="G1041">
        <v>6044</v>
      </c>
      <c r="H1041">
        <v>21500</v>
      </c>
    </row>
    <row r="1042" spans="2:8">
      <c r="B1042" t="s">
        <v>463</v>
      </c>
      <c r="C1042" t="s">
        <v>209</v>
      </c>
      <c r="D1042">
        <v>6043</v>
      </c>
      <c r="E1042">
        <v>6043</v>
      </c>
      <c r="F1042">
        <v>6035</v>
      </c>
      <c r="G1042">
        <v>6038</v>
      </c>
      <c r="H1042">
        <v>25400</v>
      </c>
    </row>
    <row r="1043" spans="2:8">
      <c r="B1043" t="s">
        <v>463</v>
      </c>
      <c r="C1043" t="s">
        <v>210</v>
      </c>
      <c r="D1043">
        <v>6038</v>
      </c>
      <c r="E1043">
        <v>6044</v>
      </c>
      <c r="F1043">
        <v>6037</v>
      </c>
      <c r="G1043">
        <v>6040</v>
      </c>
      <c r="H1043">
        <v>22600</v>
      </c>
    </row>
    <row r="1044" spans="2:8">
      <c r="B1044" t="s">
        <v>463</v>
      </c>
      <c r="C1044" t="s">
        <v>211</v>
      </c>
      <c r="D1044">
        <v>6040</v>
      </c>
      <c r="E1044">
        <v>6043</v>
      </c>
      <c r="F1044">
        <v>6037</v>
      </c>
      <c r="G1044">
        <v>6042</v>
      </c>
      <c r="H1044">
        <v>36900</v>
      </c>
    </row>
    <row r="1045" spans="2:8">
      <c r="B1045" t="s">
        <v>463</v>
      </c>
      <c r="C1045" t="s">
        <v>212</v>
      </c>
      <c r="D1045">
        <v>6042</v>
      </c>
      <c r="E1045">
        <v>6047</v>
      </c>
      <c r="F1045">
        <v>6039</v>
      </c>
      <c r="G1045">
        <v>6046</v>
      </c>
      <c r="H1045">
        <v>25900</v>
      </c>
    </row>
    <row r="1046" spans="2:8">
      <c r="B1046" t="s">
        <v>463</v>
      </c>
      <c r="C1046" t="s">
        <v>213</v>
      </c>
      <c r="D1046">
        <v>6046</v>
      </c>
      <c r="E1046">
        <v>6052</v>
      </c>
      <c r="F1046">
        <v>6045</v>
      </c>
      <c r="G1046">
        <v>6049</v>
      </c>
      <c r="H1046">
        <v>50300</v>
      </c>
    </row>
    <row r="1047" spans="2:8">
      <c r="B1047" t="s">
        <v>463</v>
      </c>
      <c r="C1047" t="s">
        <v>214</v>
      </c>
      <c r="D1047">
        <v>6049</v>
      </c>
      <c r="E1047">
        <v>6051</v>
      </c>
      <c r="F1047">
        <v>6040</v>
      </c>
      <c r="G1047">
        <v>6041</v>
      </c>
      <c r="H1047">
        <v>30400</v>
      </c>
    </row>
    <row r="1048" spans="2:8">
      <c r="B1048" t="s">
        <v>463</v>
      </c>
      <c r="C1048" t="s">
        <v>215</v>
      </c>
      <c r="D1048">
        <v>6041</v>
      </c>
      <c r="E1048">
        <v>6042</v>
      </c>
      <c r="F1048">
        <v>6033</v>
      </c>
      <c r="G1048">
        <v>6038</v>
      </c>
      <c r="H1048">
        <v>59300</v>
      </c>
    </row>
    <row r="1049" spans="2:8">
      <c r="B1049" t="s">
        <v>463</v>
      </c>
      <c r="C1049" t="s">
        <v>216</v>
      </c>
      <c r="D1049">
        <v>6038</v>
      </c>
      <c r="E1049">
        <v>6044</v>
      </c>
      <c r="F1049">
        <v>6038</v>
      </c>
      <c r="G1049">
        <v>6038</v>
      </c>
      <c r="H1049">
        <v>30300</v>
      </c>
    </row>
    <row r="1050" spans="2:8">
      <c r="B1050" t="s">
        <v>463</v>
      </c>
      <c r="C1050" t="s">
        <v>217</v>
      </c>
      <c r="D1050">
        <v>6038</v>
      </c>
      <c r="E1050">
        <v>6038</v>
      </c>
      <c r="F1050">
        <v>6027</v>
      </c>
      <c r="G1050">
        <v>6036</v>
      </c>
      <c r="H1050">
        <v>79200</v>
      </c>
    </row>
    <row r="1051" spans="2:8">
      <c r="B1051" t="s">
        <v>463</v>
      </c>
      <c r="C1051" t="s">
        <v>218</v>
      </c>
      <c r="D1051">
        <v>6036</v>
      </c>
      <c r="E1051">
        <v>6046</v>
      </c>
      <c r="F1051">
        <v>6036</v>
      </c>
      <c r="G1051">
        <v>6043</v>
      </c>
      <c r="H1051">
        <v>54100</v>
      </c>
    </row>
    <row r="1052" spans="2:8">
      <c r="B1052" t="s">
        <v>463</v>
      </c>
      <c r="C1052" t="s">
        <v>219</v>
      </c>
      <c r="D1052">
        <v>6043</v>
      </c>
      <c r="E1052">
        <v>6044</v>
      </c>
      <c r="F1052">
        <v>6036</v>
      </c>
      <c r="G1052">
        <v>6041</v>
      </c>
      <c r="H1052">
        <v>28400</v>
      </c>
    </row>
    <row r="1053" spans="2:8">
      <c r="B1053" t="s">
        <v>463</v>
      </c>
      <c r="C1053" t="s">
        <v>220</v>
      </c>
      <c r="D1053">
        <v>6041</v>
      </c>
      <c r="E1053">
        <v>6046</v>
      </c>
      <c r="F1053">
        <v>6040</v>
      </c>
      <c r="G1053">
        <v>6042</v>
      </c>
      <c r="H1053">
        <v>23800</v>
      </c>
    </row>
    <row r="1054" spans="2:8">
      <c r="B1054" t="s">
        <v>463</v>
      </c>
      <c r="C1054" t="s">
        <v>221</v>
      </c>
      <c r="D1054">
        <v>6043</v>
      </c>
      <c r="E1054">
        <v>6043</v>
      </c>
      <c r="F1054">
        <v>6036</v>
      </c>
      <c r="G1054">
        <v>6040</v>
      </c>
      <c r="H1054">
        <v>19600</v>
      </c>
    </row>
    <row r="1055" spans="2:8">
      <c r="B1055" t="s">
        <v>463</v>
      </c>
      <c r="C1055" t="s">
        <v>222</v>
      </c>
      <c r="D1055">
        <v>6039</v>
      </c>
      <c r="E1055">
        <v>6044</v>
      </c>
      <c r="F1055">
        <v>6036</v>
      </c>
      <c r="G1055">
        <v>6044</v>
      </c>
      <c r="H1055">
        <v>37900</v>
      </c>
    </row>
    <row r="1056" spans="2:8">
      <c r="B1056" t="s">
        <v>463</v>
      </c>
      <c r="C1056" t="s">
        <v>223</v>
      </c>
      <c r="D1056">
        <v>6044</v>
      </c>
      <c r="E1056">
        <v>6044</v>
      </c>
      <c r="F1056">
        <v>6040</v>
      </c>
      <c r="G1056">
        <v>6041</v>
      </c>
      <c r="H1056">
        <v>15200</v>
      </c>
    </row>
    <row r="1057" spans="2:8">
      <c r="B1057" t="s">
        <v>463</v>
      </c>
      <c r="C1057" t="s">
        <v>224</v>
      </c>
      <c r="D1057">
        <v>6041</v>
      </c>
      <c r="E1057">
        <v>6050</v>
      </c>
      <c r="F1057">
        <v>6037</v>
      </c>
      <c r="G1057">
        <v>6050</v>
      </c>
      <c r="H1057">
        <v>39000</v>
      </c>
    </row>
    <row r="1058" spans="2:8">
      <c r="B1058" t="s">
        <v>463</v>
      </c>
      <c r="C1058" t="s">
        <v>225</v>
      </c>
      <c r="D1058">
        <v>6050</v>
      </c>
      <c r="E1058">
        <v>6050</v>
      </c>
      <c r="F1058">
        <v>6046</v>
      </c>
      <c r="G1058">
        <v>6048</v>
      </c>
      <c r="H1058">
        <v>15100</v>
      </c>
    </row>
    <row r="1059" spans="2:8">
      <c r="B1059" t="s">
        <v>463</v>
      </c>
      <c r="C1059" t="s">
        <v>226</v>
      </c>
      <c r="D1059">
        <v>6049</v>
      </c>
      <c r="E1059">
        <v>6057</v>
      </c>
      <c r="F1059">
        <v>6049</v>
      </c>
      <c r="G1059">
        <v>6050</v>
      </c>
      <c r="H1059">
        <v>58100</v>
      </c>
    </row>
    <row r="1060" spans="2:8">
      <c r="B1060" t="s">
        <v>463</v>
      </c>
      <c r="C1060" t="s">
        <v>227</v>
      </c>
      <c r="D1060">
        <v>6050</v>
      </c>
      <c r="E1060">
        <v>6050</v>
      </c>
      <c r="F1060">
        <v>6043</v>
      </c>
      <c r="G1060">
        <v>6047</v>
      </c>
      <c r="H1060">
        <v>24900</v>
      </c>
    </row>
    <row r="1061" spans="2:8">
      <c r="B1061" t="s">
        <v>463</v>
      </c>
      <c r="C1061" t="s">
        <v>228</v>
      </c>
      <c r="D1061">
        <v>6047</v>
      </c>
      <c r="E1061">
        <v>6049</v>
      </c>
      <c r="F1061">
        <v>6045</v>
      </c>
      <c r="G1061">
        <v>6048</v>
      </c>
      <c r="H1061">
        <v>16900</v>
      </c>
    </row>
    <row r="1062" spans="2:8">
      <c r="B1062" t="s">
        <v>463</v>
      </c>
      <c r="C1062" t="s">
        <v>229</v>
      </c>
      <c r="D1062">
        <v>6048</v>
      </c>
      <c r="E1062">
        <v>6055</v>
      </c>
      <c r="F1062">
        <v>6041</v>
      </c>
      <c r="G1062">
        <v>6055</v>
      </c>
      <c r="H1062">
        <v>44200</v>
      </c>
    </row>
    <row r="1063" spans="2:8">
      <c r="B1063" t="s">
        <v>463</v>
      </c>
      <c r="C1063" t="s">
        <v>230</v>
      </c>
      <c r="D1063">
        <v>6055</v>
      </c>
      <c r="E1063">
        <v>6057</v>
      </c>
      <c r="F1063">
        <v>6050</v>
      </c>
      <c r="G1063">
        <v>6057</v>
      </c>
      <c r="H1063">
        <v>36400</v>
      </c>
    </row>
    <row r="1064" spans="2:8">
      <c r="B1064" t="s">
        <v>463</v>
      </c>
      <c r="C1064" t="s">
        <v>231</v>
      </c>
      <c r="D1064">
        <v>6057</v>
      </c>
      <c r="E1064">
        <v>6058</v>
      </c>
      <c r="F1064">
        <v>6050</v>
      </c>
      <c r="G1064">
        <v>6050</v>
      </c>
      <c r="H1064">
        <v>21300</v>
      </c>
    </row>
    <row r="1065" spans="2:8">
      <c r="B1065" t="s">
        <v>463</v>
      </c>
      <c r="C1065" t="s">
        <v>232</v>
      </c>
      <c r="D1065">
        <v>6051</v>
      </c>
      <c r="E1065">
        <v>6062</v>
      </c>
      <c r="F1065">
        <v>6051</v>
      </c>
      <c r="G1065">
        <v>6060</v>
      </c>
      <c r="H1065">
        <v>83500</v>
      </c>
    </row>
    <row r="1066" spans="2:8">
      <c r="B1066" t="s">
        <v>463</v>
      </c>
      <c r="C1066" t="s">
        <v>233</v>
      </c>
      <c r="D1066">
        <v>6060</v>
      </c>
      <c r="E1066">
        <v>6070</v>
      </c>
      <c r="F1066">
        <v>6059</v>
      </c>
      <c r="G1066">
        <v>6070</v>
      </c>
      <c r="H1066">
        <v>91900</v>
      </c>
    </row>
    <row r="1067" spans="2:8">
      <c r="B1067" t="s">
        <v>463</v>
      </c>
      <c r="C1067" t="s">
        <v>234</v>
      </c>
      <c r="D1067">
        <v>6071</v>
      </c>
      <c r="E1067">
        <v>6074</v>
      </c>
      <c r="F1067">
        <v>6066</v>
      </c>
      <c r="G1067">
        <v>6067</v>
      </c>
      <c r="H1067">
        <v>69900</v>
      </c>
    </row>
    <row r="1068" spans="2:8">
      <c r="B1068" t="s">
        <v>463</v>
      </c>
      <c r="C1068" t="s">
        <v>235</v>
      </c>
      <c r="D1068">
        <v>6068</v>
      </c>
      <c r="E1068">
        <v>6080</v>
      </c>
      <c r="F1068">
        <v>6067</v>
      </c>
      <c r="G1068">
        <v>6072</v>
      </c>
      <c r="H1068">
        <v>90200</v>
      </c>
    </row>
    <row r="1069" spans="2:8">
      <c r="B1069" t="s">
        <v>463</v>
      </c>
      <c r="C1069" t="s">
        <v>236</v>
      </c>
      <c r="D1069">
        <v>6072</v>
      </c>
      <c r="E1069">
        <v>6084</v>
      </c>
      <c r="F1069">
        <v>6069</v>
      </c>
      <c r="G1069">
        <v>6080</v>
      </c>
      <c r="H1069">
        <v>95900</v>
      </c>
    </row>
    <row r="1070" spans="2:8">
      <c r="B1070" t="s">
        <v>463</v>
      </c>
      <c r="C1070" t="s">
        <v>237</v>
      </c>
      <c r="D1070">
        <v>6081</v>
      </c>
      <c r="E1070">
        <v>6087</v>
      </c>
      <c r="F1070">
        <v>6076</v>
      </c>
      <c r="G1070">
        <v>6079</v>
      </c>
      <c r="H1070">
        <v>81100</v>
      </c>
    </row>
    <row r="1071" spans="2:8">
      <c r="B1071" t="s">
        <v>463</v>
      </c>
      <c r="C1071" t="s">
        <v>238</v>
      </c>
      <c r="D1071">
        <v>6079</v>
      </c>
      <c r="E1071">
        <v>6085</v>
      </c>
      <c r="F1071">
        <v>6075</v>
      </c>
      <c r="G1071">
        <v>6085</v>
      </c>
      <c r="H1071">
        <v>51100</v>
      </c>
    </row>
    <row r="1072" spans="2:8">
      <c r="B1072" t="s">
        <v>463</v>
      </c>
      <c r="C1072" t="s">
        <v>239</v>
      </c>
      <c r="D1072">
        <v>6085</v>
      </c>
      <c r="E1072">
        <v>6089</v>
      </c>
      <c r="F1072">
        <v>6080</v>
      </c>
      <c r="G1072">
        <v>6089</v>
      </c>
      <c r="H1072">
        <v>51200</v>
      </c>
    </row>
    <row r="1073" spans="2:8">
      <c r="B1073" t="s">
        <v>463</v>
      </c>
      <c r="C1073" t="s">
        <v>240</v>
      </c>
      <c r="D1073">
        <v>6089</v>
      </c>
      <c r="E1073">
        <v>6090</v>
      </c>
      <c r="F1073">
        <v>6083</v>
      </c>
      <c r="G1073">
        <v>6085</v>
      </c>
      <c r="H1073">
        <v>45700</v>
      </c>
    </row>
    <row r="1074" spans="2:8">
      <c r="B1074" t="s">
        <v>463</v>
      </c>
      <c r="C1074" t="s">
        <v>241</v>
      </c>
      <c r="D1074">
        <v>6084</v>
      </c>
      <c r="E1074">
        <v>6090</v>
      </c>
      <c r="F1074">
        <v>6082</v>
      </c>
      <c r="G1074">
        <v>6083</v>
      </c>
      <c r="H1074">
        <v>56700</v>
      </c>
    </row>
    <row r="1075" spans="2:8">
      <c r="B1075" t="s">
        <v>463</v>
      </c>
      <c r="C1075" t="s">
        <v>242</v>
      </c>
      <c r="D1075">
        <v>6082</v>
      </c>
      <c r="E1075">
        <v>6090</v>
      </c>
      <c r="F1075">
        <v>6077</v>
      </c>
      <c r="G1075">
        <v>6079</v>
      </c>
      <c r="H1075">
        <v>81700</v>
      </c>
    </row>
    <row r="1076" spans="2:8">
      <c r="B1076" t="s">
        <v>463</v>
      </c>
      <c r="C1076" t="s">
        <v>243</v>
      </c>
      <c r="D1076">
        <v>6079</v>
      </c>
      <c r="E1076">
        <v>6082</v>
      </c>
      <c r="F1076">
        <v>6073</v>
      </c>
      <c r="G1076">
        <v>6078</v>
      </c>
      <c r="H1076">
        <v>63900</v>
      </c>
    </row>
    <row r="1077" spans="2:8">
      <c r="B1077" t="s">
        <v>463</v>
      </c>
      <c r="C1077" t="s">
        <v>244</v>
      </c>
      <c r="D1077">
        <v>6078</v>
      </c>
      <c r="E1077">
        <v>6087</v>
      </c>
      <c r="F1077">
        <v>6077</v>
      </c>
      <c r="G1077">
        <v>6086</v>
      </c>
      <c r="H1077">
        <v>39900</v>
      </c>
    </row>
    <row r="1078" spans="2:8">
      <c r="B1078" t="s">
        <v>463</v>
      </c>
      <c r="C1078" t="s">
        <v>245</v>
      </c>
      <c r="D1078">
        <v>6087</v>
      </c>
      <c r="E1078">
        <v>6087</v>
      </c>
      <c r="F1078">
        <v>6082</v>
      </c>
      <c r="G1078">
        <v>6086</v>
      </c>
      <c r="H1078">
        <v>28100</v>
      </c>
    </row>
    <row r="1079" spans="2:8">
      <c r="B1079" t="s">
        <v>463</v>
      </c>
      <c r="C1079" t="s">
        <v>246</v>
      </c>
      <c r="D1079">
        <v>6086</v>
      </c>
      <c r="E1079">
        <v>6089</v>
      </c>
      <c r="F1079">
        <v>6080</v>
      </c>
      <c r="G1079">
        <v>6083</v>
      </c>
      <c r="H1079">
        <v>58800</v>
      </c>
    </row>
    <row r="1080" spans="2:8">
      <c r="B1080" t="s">
        <v>463</v>
      </c>
      <c r="C1080" t="s">
        <v>247</v>
      </c>
      <c r="D1080">
        <v>6083</v>
      </c>
      <c r="E1080">
        <v>6083</v>
      </c>
      <c r="F1080">
        <v>6078</v>
      </c>
      <c r="G1080">
        <v>6080</v>
      </c>
      <c r="H1080">
        <v>24200</v>
      </c>
    </row>
    <row r="1081" spans="2:8">
      <c r="B1081" t="s">
        <v>463</v>
      </c>
      <c r="C1081" t="s">
        <v>248</v>
      </c>
      <c r="D1081">
        <v>6081</v>
      </c>
      <c r="E1081">
        <v>6082</v>
      </c>
      <c r="F1081">
        <v>6078</v>
      </c>
      <c r="G1081">
        <v>6082</v>
      </c>
      <c r="H1081">
        <v>22900</v>
      </c>
    </row>
    <row r="1082" spans="2:8">
      <c r="B1082" t="s">
        <v>463</v>
      </c>
      <c r="C1082" t="s">
        <v>249</v>
      </c>
      <c r="D1082">
        <v>6082</v>
      </c>
      <c r="E1082">
        <v>6084</v>
      </c>
      <c r="F1082">
        <v>6081</v>
      </c>
      <c r="G1082">
        <v>6082</v>
      </c>
      <c r="H1082">
        <v>15800</v>
      </c>
    </row>
    <row r="1083" spans="2:8">
      <c r="B1083" t="s">
        <v>463</v>
      </c>
      <c r="C1083" t="s">
        <v>250</v>
      </c>
      <c r="D1083">
        <v>6082</v>
      </c>
      <c r="E1083">
        <v>6086</v>
      </c>
      <c r="F1083">
        <v>6081</v>
      </c>
      <c r="G1083">
        <v>6085</v>
      </c>
      <c r="H1083">
        <v>24700</v>
      </c>
    </row>
    <row r="1084" spans="2:8">
      <c r="B1084" t="s">
        <v>463</v>
      </c>
      <c r="C1084" t="s">
        <v>251</v>
      </c>
      <c r="D1084">
        <v>6085</v>
      </c>
      <c r="E1084">
        <v>6086</v>
      </c>
      <c r="F1084">
        <v>6082</v>
      </c>
      <c r="G1084">
        <v>6083</v>
      </c>
      <c r="H1084">
        <v>20900</v>
      </c>
    </row>
    <row r="1085" spans="2:8">
      <c r="B1085" t="s">
        <v>463</v>
      </c>
      <c r="C1085" t="s">
        <v>252</v>
      </c>
      <c r="D1085">
        <v>6083</v>
      </c>
      <c r="E1085">
        <v>6085</v>
      </c>
      <c r="F1085">
        <v>6074</v>
      </c>
      <c r="G1085">
        <v>6078</v>
      </c>
      <c r="H1085">
        <v>50200</v>
      </c>
    </row>
    <row r="1086" spans="2:8">
      <c r="B1086" t="s">
        <v>463</v>
      </c>
      <c r="C1086" t="s">
        <v>253</v>
      </c>
      <c r="D1086">
        <v>6078</v>
      </c>
      <c r="E1086">
        <v>6078</v>
      </c>
      <c r="F1086">
        <v>6060</v>
      </c>
      <c r="G1086">
        <v>6070</v>
      </c>
      <c r="H1086">
        <v>96300</v>
      </c>
    </row>
    <row r="1087" spans="2:8">
      <c r="B1087" t="s">
        <v>463</v>
      </c>
      <c r="C1087" t="s">
        <v>254</v>
      </c>
      <c r="D1087">
        <v>6070</v>
      </c>
      <c r="E1087">
        <v>6072</v>
      </c>
      <c r="F1087">
        <v>6062</v>
      </c>
      <c r="G1087">
        <v>6071</v>
      </c>
      <c r="H1087">
        <v>34800</v>
      </c>
    </row>
    <row r="1088" spans="2:8">
      <c r="B1088" t="s">
        <v>463</v>
      </c>
      <c r="C1088" t="s">
        <v>255</v>
      </c>
      <c r="D1088">
        <v>6071</v>
      </c>
      <c r="E1088">
        <v>6081</v>
      </c>
      <c r="F1088">
        <v>6071</v>
      </c>
      <c r="G1088">
        <v>6081</v>
      </c>
      <c r="H1088">
        <v>36200</v>
      </c>
    </row>
    <row r="1089" spans="2:8">
      <c r="B1089" t="s">
        <v>463</v>
      </c>
      <c r="C1089" t="s">
        <v>256</v>
      </c>
      <c r="D1089">
        <v>6081</v>
      </c>
      <c r="E1089">
        <v>6083</v>
      </c>
      <c r="F1089">
        <v>6077</v>
      </c>
      <c r="G1089">
        <v>6077</v>
      </c>
      <c r="H1089">
        <v>23900</v>
      </c>
    </row>
    <row r="1090" spans="2:8">
      <c r="B1090" t="s">
        <v>463</v>
      </c>
      <c r="C1090" t="s">
        <v>257</v>
      </c>
      <c r="D1090">
        <v>6077</v>
      </c>
      <c r="E1090">
        <v>6083</v>
      </c>
      <c r="F1090">
        <v>6073</v>
      </c>
      <c r="G1090">
        <v>6074</v>
      </c>
      <c r="H1090">
        <v>29800</v>
      </c>
    </row>
    <row r="1091" spans="2:8">
      <c r="B1091" t="s">
        <v>463</v>
      </c>
      <c r="C1091" t="s">
        <v>258</v>
      </c>
      <c r="D1091">
        <v>6074</v>
      </c>
      <c r="E1091">
        <v>6080</v>
      </c>
      <c r="F1091">
        <v>6071</v>
      </c>
      <c r="G1091">
        <v>6078</v>
      </c>
      <c r="H1091">
        <v>31000</v>
      </c>
    </row>
    <row r="1092" spans="2:8">
      <c r="B1092" t="s">
        <v>463</v>
      </c>
      <c r="C1092" t="s">
        <v>259</v>
      </c>
      <c r="D1092">
        <v>6078</v>
      </c>
      <c r="E1092">
        <v>6086</v>
      </c>
      <c r="F1092">
        <v>6078</v>
      </c>
      <c r="G1092">
        <v>6081</v>
      </c>
      <c r="H1092">
        <v>55200</v>
      </c>
    </row>
    <row r="1093" spans="2:8">
      <c r="B1093" t="s">
        <v>463</v>
      </c>
      <c r="C1093" t="s">
        <v>260</v>
      </c>
      <c r="D1093">
        <v>6082</v>
      </c>
      <c r="E1093">
        <v>6088</v>
      </c>
      <c r="F1093">
        <v>6080</v>
      </c>
      <c r="G1093">
        <v>6085</v>
      </c>
      <c r="H1093">
        <v>38100</v>
      </c>
    </row>
    <row r="1094" spans="2:8">
      <c r="B1094" t="s">
        <v>463</v>
      </c>
      <c r="C1094" t="s">
        <v>261</v>
      </c>
      <c r="D1094">
        <v>6085</v>
      </c>
      <c r="E1094">
        <v>6093</v>
      </c>
      <c r="F1094">
        <v>6083</v>
      </c>
      <c r="G1094">
        <v>6090</v>
      </c>
      <c r="H1094">
        <v>73700</v>
      </c>
    </row>
    <row r="1095" spans="2:8">
      <c r="B1095" t="s">
        <v>463</v>
      </c>
      <c r="C1095" t="s">
        <v>262</v>
      </c>
      <c r="D1095">
        <v>6090</v>
      </c>
      <c r="E1095">
        <v>6098</v>
      </c>
      <c r="F1095">
        <v>6088</v>
      </c>
      <c r="G1095">
        <v>6095</v>
      </c>
      <c r="H1095">
        <v>46000</v>
      </c>
    </row>
    <row r="1096" spans="2:8">
      <c r="B1096" t="s">
        <v>463</v>
      </c>
      <c r="C1096" t="s">
        <v>263</v>
      </c>
      <c r="D1096">
        <v>6096</v>
      </c>
      <c r="E1096">
        <v>6110</v>
      </c>
      <c r="F1096">
        <v>6094</v>
      </c>
      <c r="G1096">
        <v>6104</v>
      </c>
      <c r="H1096">
        <v>166400</v>
      </c>
    </row>
    <row r="1097" spans="2:8">
      <c r="B1097" t="s">
        <v>463</v>
      </c>
      <c r="C1097" t="s">
        <v>264</v>
      </c>
      <c r="D1097">
        <v>6106</v>
      </c>
      <c r="E1097">
        <v>6111</v>
      </c>
      <c r="F1097">
        <v>6103</v>
      </c>
      <c r="G1097">
        <v>6110</v>
      </c>
      <c r="H1097">
        <v>53100</v>
      </c>
    </row>
    <row r="1098" spans="2:8">
      <c r="B1098" t="s">
        <v>463</v>
      </c>
      <c r="C1098" t="s">
        <v>265</v>
      </c>
      <c r="D1098">
        <v>6110</v>
      </c>
      <c r="E1098">
        <v>6113</v>
      </c>
      <c r="F1098">
        <v>6108</v>
      </c>
      <c r="G1098">
        <v>6108</v>
      </c>
      <c r="H1098">
        <v>37500</v>
      </c>
    </row>
    <row r="1099" spans="2:8">
      <c r="B1099" t="s">
        <v>463</v>
      </c>
      <c r="C1099" t="s">
        <v>266</v>
      </c>
      <c r="D1099">
        <v>6108</v>
      </c>
      <c r="E1099">
        <v>6110</v>
      </c>
      <c r="F1099">
        <v>6104</v>
      </c>
      <c r="G1099">
        <v>6107</v>
      </c>
      <c r="H1099">
        <v>58800</v>
      </c>
    </row>
    <row r="1100" spans="2:8">
      <c r="B1100" t="s">
        <v>463</v>
      </c>
      <c r="C1100" t="s">
        <v>267</v>
      </c>
      <c r="D1100">
        <v>6108</v>
      </c>
      <c r="E1100">
        <v>6120</v>
      </c>
      <c r="F1100">
        <v>6108</v>
      </c>
      <c r="G1100">
        <v>6118</v>
      </c>
      <c r="H1100">
        <v>93400</v>
      </c>
    </row>
    <row r="1101" spans="2:8">
      <c r="B1101" t="s">
        <v>463</v>
      </c>
      <c r="C1101" t="s">
        <v>268</v>
      </c>
      <c r="D1101">
        <v>6118</v>
      </c>
      <c r="E1101">
        <v>6130</v>
      </c>
      <c r="F1101">
        <v>6117</v>
      </c>
      <c r="G1101">
        <v>6128</v>
      </c>
      <c r="H1101">
        <v>126000</v>
      </c>
    </row>
    <row r="1102" spans="2:8">
      <c r="B1102" t="s">
        <v>463</v>
      </c>
      <c r="C1102" t="s">
        <v>269</v>
      </c>
      <c r="D1102">
        <v>6128</v>
      </c>
      <c r="E1102">
        <v>6128</v>
      </c>
      <c r="F1102">
        <v>6120</v>
      </c>
      <c r="G1102">
        <v>6127</v>
      </c>
      <c r="H1102">
        <v>66700</v>
      </c>
    </row>
    <row r="1103" spans="2:8">
      <c r="B1103" t="s">
        <v>463</v>
      </c>
      <c r="C1103" t="s">
        <v>270</v>
      </c>
      <c r="D1103">
        <v>6127</v>
      </c>
      <c r="E1103">
        <v>6133</v>
      </c>
      <c r="F1103">
        <v>6123</v>
      </c>
      <c r="G1103">
        <v>6127</v>
      </c>
      <c r="H1103">
        <v>77000</v>
      </c>
    </row>
    <row r="1104" spans="2:8">
      <c r="B1104" t="s">
        <v>463</v>
      </c>
      <c r="C1104" t="s">
        <v>271</v>
      </c>
      <c r="D1104">
        <v>6126</v>
      </c>
      <c r="E1104">
        <v>6143</v>
      </c>
      <c r="F1104">
        <v>6122</v>
      </c>
      <c r="G1104">
        <v>6142</v>
      </c>
      <c r="H1104">
        <v>148000</v>
      </c>
    </row>
    <row r="1105" spans="2:8">
      <c r="B1105" t="s">
        <v>463</v>
      </c>
      <c r="C1105" t="s">
        <v>272</v>
      </c>
      <c r="D1105">
        <v>6142</v>
      </c>
      <c r="E1105">
        <v>6162</v>
      </c>
      <c r="F1105">
        <v>6141</v>
      </c>
      <c r="G1105">
        <v>6161</v>
      </c>
      <c r="H1105">
        <v>239600</v>
      </c>
    </row>
    <row r="1106" spans="2:8">
      <c r="B1106" t="s">
        <v>463</v>
      </c>
      <c r="C1106" t="s">
        <v>273</v>
      </c>
      <c r="D1106">
        <v>6161</v>
      </c>
      <c r="E1106">
        <v>6165</v>
      </c>
      <c r="F1106">
        <v>6158</v>
      </c>
      <c r="G1106">
        <v>6165</v>
      </c>
      <c r="H1106">
        <v>75100</v>
      </c>
    </row>
    <row r="1107" spans="2:8">
      <c r="B1107" t="s">
        <v>463</v>
      </c>
      <c r="C1107" t="s">
        <v>274</v>
      </c>
      <c r="D1107">
        <v>6164</v>
      </c>
      <c r="E1107">
        <v>6165</v>
      </c>
      <c r="F1107">
        <v>6154</v>
      </c>
      <c r="G1107">
        <v>6162</v>
      </c>
      <c r="H1107">
        <v>140800</v>
      </c>
    </row>
    <row r="1108" spans="2:8">
      <c r="B1108" t="s">
        <v>463</v>
      </c>
      <c r="C1108" t="s">
        <v>275</v>
      </c>
      <c r="D1108">
        <v>6161</v>
      </c>
      <c r="E1108">
        <v>6174</v>
      </c>
      <c r="F1108">
        <v>6160</v>
      </c>
      <c r="G1108">
        <v>6162</v>
      </c>
      <c r="H1108">
        <v>148000</v>
      </c>
    </row>
    <row r="1109" spans="2:8">
      <c r="B1109" t="s">
        <v>463</v>
      </c>
      <c r="C1109" t="s">
        <v>276</v>
      </c>
      <c r="D1109">
        <v>6160</v>
      </c>
      <c r="E1109">
        <v>6178</v>
      </c>
      <c r="F1109">
        <v>6160</v>
      </c>
      <c r="G1109">
        <v>6177</v>
      </c>
      <c r="H1109">
        <v>73800</v>
      </c>
    </row>
    <row r="1110" spans="2:8">
      <c r="B1110" t="s">
        <v>463</v>
      </c>
      <c r="C1110" t="s">
        <v>277</v>
      </c>
      <c r="D1110">
        <v>6177</v>
      </c>
      <c r="E1110">
        <v>6187</v>
      </c>
      <c r="F1110">
        <v>6176</v>
      </c>
      <c r="G1110">
        <v>6187</v>
      </c>
      <c r="H1110">
        <v>128100</v>
      </c>
    </row>
    <row r="1111" spans="2:8">
      <c r="B1111" t="s">
        <v>463</v>
      </c>
      <c r="C1111" t="s">
        <v>278</v>
      </c>
      <c r="D1111">
        <v>6186</v>
      </c>
      <c r="E1111">
        <v>6194</v>
      </c>
      <c r="F1111">
        <v>6181</v>
      </c>
      <c r="G1111">
        <v>6192</v>
      </c>
      <c r="H1111">
        <v>102500</v>
      </c>
    </row>
    <row r="1112" spans="2:8">
      <c r="B1112" t="s">
        <v>463</v>
      </c>
      <c r="C1112" t="s">
        <v>279</v>
      </c>
      <c r="D1112">
        <v>6192</v>
      </c>
      <c r="E1112">
        <v>6207</v>
      </c>
      <c r="F1112">
        <v>6187</v>
      </c>
      <c r="G1112">
        <v>6198</v>
      </c>
      <c r="H1112">
        <v>310300</v>
      </c>
    </row>
    <row r="1113" spans="2:8">
      <c r="B1113" t="s">
        <v>463</v>
      </c>
      <c r="C1113" t="s">
        <v>280</v>
      </c>
      <c r="D1113">
        <v>6198</v>
      </c>
      <c r="E1113">
        <v>6209</v>
      </c>
      <c r="F1113">
        <v>6197</v>
      </c>
      <c r="G1113">
        <v>6209</v>
      </c>
      <c r="H1113">
        <v>80800</v>
      </c>
    </row>
    <row r="1114" spans="2:8">
      <c r="B1114" t="s">
        <v>463</v>
      </c>
      <c r="C1114" t="s">
        <v>281</v>
      </c>
      <c r="D1114">
        <v>6209</v>
      </c>
      <c r="E1114">
        <v>6212</v>
      </c>
      <c r="F1114">
        <v>6202</v>
      </c>
      <c r="G1114">
        <v>6210</v>
      </c>
      <c r="H1114">
        <v>84600</v>
      </c>
    </row>
    <row r="1115" spans="2:8">
      <c r="B1115" t="s">
        <v>463</v>
      </c>
      <c r="C1115" t="s">
        <v>282</v>
      </c>
      <c r="D1115">
        <v>6210</v>
      </c>
      <c r="E1115">
        <v>6218</v>
      </c>
      <c r="F1115">
        <v>6210</v>
      </c>
      <c r="G1115">
        <v>6215</v>
      </c>
      <c r="H1115">
        <v>82500</v>
      </c>
    </row>
    <row r="1116" spans="2:8">
      <c r="B1116" t="s">
        <v>463</v>
      </c>
      <c r="C1116" t="s">
        <v>283</v>
      </c>
      <c r="D1116">
        <v>6214</v>
      </c>
      <c r="E1116">
        <v>6224</v>
      </c>
      <c r="F1116">
        <v>6207</v>
      </c>
      <c r="G1116">
        <v>6222</v>
      </c>
      <c r="H1116">
        <v>189200</v>
      </c>
    </row>
    <row r="1117" spans="2:8">
      <c r="B1117" t="s">
        <v>463</v>
      </c>
      <c r="C1117" t="s">
        <v>284</v>
      </c>
      <c r="D1117">
        <v>6222</v>
      </c>
      <c r="E1117">
        <v>6225</v>
      </c>
      <c r="F1117">
        <v>6216</v>
      </c>
      <c r="G1117">
        <v>6223</v>
      </c>
      <c r="H1117">
        <v>92800</v>
      </c>
    </row>
    <row r="1118" spans="2:8">
      <c r="B1118" t="s">
        <v>463</v>
      </c>
      <c r="C1118" t="s">
        <v>285</v>
      </c>
      <c r="D1118">
        <v>6222</v>
      </c>
      <c r="E1118">
        <v>6235</v>
      </c>
      <c r="F1118">
        <v>6214</v>
      </c>
      <c r="G1118">
        <v>6218</v>
      </c>
      <c r="H1118">
        <v>223800</v>
      </c>
    </row>
    <row r="1119" spans="2:8">
      <c r="B1119" t="s">
        <v>463</v>
      </c>
      <c r="C1119" t="s">
        <v>286</v>
      </c>
      <c r="D1119">
        <v>6218</v>
      </c>
      <c r="E1119">
        <v>6218</v>
      </c>
      <c r="F1119">
        <v>6201</v>
      </c>
      <c r="G1119">
        <v>6214</v>
      </c>
      <c r="H1119">
        <v>212100</v>
      </c>
    </row>
    <row r="1120" spans="2:8">
      <c r="B1120" t="s">
        <v>463</v>
      </c>
      <c r="C1120" t="s">
        <v>287</v>
      </c>
      <c r="D1120">
        <v>6214</v>
      </c>
      <c r="E1120">
        <v>6217</v>
      </c>
      <c r="F1120">
        <v>6207</v>
      </c>
      <c r="G1120">
        <v>6209</v>
      </c>
      <c r="H1120">
        <v>91100</v>
      </c>
    </row>
    <row r="1121" spans="2:8">
      <c r="B1121" t="s">
        <v>463</v>
      </c>
      <c r="C1121" t="s">
        <v>288</v>
      </c>
      <c r="D1121">
        <v>6210</v>
      </c>
      <c r="E1121">
        <v>6228</v>
      </c>
      <c r="F1121">
        <v>6208</v>
      </c>
      <c r="G1121">
        <v>6224</v>
      </c>
      <c r="H1121">
        <v>158500</v>
      </c>
    </row>
    <row r="1122" spans="2:8">
      <c r="B1122" t="s">
        <v>463</v>
      </c>
      <c r="C1122" t="s">
        <v>289</v>
      </c>
      <c r="D1122">
        <v>6223</v>
      </c>
      <c r="E1122">
        <v>6225</v>
      </c>
      <c r="F1122">
        <v>6186</v>
      </c>
      <c r="G1122">
        <v>6193</v>
      </c>
      <c r="H1122">
        <v>181400</v>
      </c>
    </row>
    <row r="1123" spans="2:8">
      <c r="B1123" t="s">
        <v>463</v>
      </c>
      <c r="C1123" t="s">
        <v>290</v>
      </c>
      <c r="D1123">
        <v>6193</v>
      </c>
      <c r="E1123">
        <v>6200</v>
      </c>
      <c r="F1123">
        <v>6191</v>
      </c>
      <c r="G1123">
        <v>6197</v>
      </c>
      <c r="H1123">
        <v>70100</v>
      </c>
    </row>
    <row r="1124" spans="2:8">
      <c r="B1124" t="s">
        <v>463</v>
      </c>
      <c r="C1124" t="s">
        <v>291</v>
      </c>
      <c r="D1124">
        <v>6197</v>
      </c>
      <c r="E1124">
        <v>6202</v>
      </c>
      <c r="F1124">
        <v>6194</v>
      </c>
      <c r="G1124">
        <v>6200</v>
      </c>
      <c r="H1124">
        <v>52300</v>
      </c>
    </row>
    <row r="1125" spans="2:8">
      <c r="B1125" t="s">
        <v>463</v>
      </c>
      <c r="C1125" t="s">
        <v>292</v>
      </c>
      <c r="D1125">
        <v>6201</v>
      </c>
      <c r="E1125">
        <v>6205</v>
      </c>
      <c r="F1125">
        <v>6175</v>
      </c>
      <c r="G1125">
        <v>6178</v>
      </c>
      <c r="H1125">
        <v>183100</v>
      </c>
    </row>
    <row r="1126" spans="2:8">
      <c r="B1126" t="s">
        <v>463</v>
      </c>
      <c r="C1126" t="s">
        <v>293</v>
      </c>
      <c r="D1126">
        <v>6177</v>
      </c>
      <c r="E1126">
        <v>6182</v>
      </c>
      <c r="F1126">
        <v>6166</v>
      </c>
      <c r="G1126">
        <v>6171</v>
      </c>
      <c r="H1126">
        <v>151900</v>
      </c>
    </row>
    <row r="1127" spans="2:8">
      <c r="B1127" t="s">
        <v>463</v>
      </c>
      <c r="C1127" t="s">
        <v>294</v>
      </c>
      <c r="D1127">
        <v>6172</v>
      </c>
      <c r="E1127">
        <v>6175</v>
      </c>
      <c r="F1127">
        <v>6166</v>
      </c>
      <c r="G1127">
        <v>6170</v>
      </c>
      <c r="H1127">
        <v>60300</v>
      </c>
    </row>
    <row r="1128" spans="2:8">
      <c r="B1128" t="s">
        <v>463</v>
      </c>
      <c r="C1128" t="s">
        <v>295</v>
      </c>
      <c r="D1128">
        <v>6170</v>
      </c>
      <c r="E1128">
        <v>6175</v>
      </c>
      <c r="F1128">
        <v>6160</v>
      </c>
      <c r="G1128">
        <v>6172</v>
      </c>
      <c r="H1128">
        <v>82700</v>
      </c>
    </row>
    <row r="1129" spans="2:8">
      <c r="B1129" t="s">
        <v>463</v>
      </c>
      <c r="C1129" t="s">
        <v>296</v>
      </c>
      <c r="D1129">
        <v>6172</v>
      </c>
      <c r="E1129">
        <v>6172</v>
      </c>
      <c r="F1129">
        <v>6154</v>
      </c>
      <c r="G1129">
        <v>6159</v>
      </c>
      <c r="H1129">
        <v>93500</v>
      </c>
    </row>
    <row r="1130" spans="2:8">
      <c r="B1130" t="s">
        <v>463</v>
      </c>
      <c r="C1130" t="s">
        <v>297</v>
      </c>
      <c r="D1130">
        <v>6159</v>
      </c>
      <c r="E1130">
        <v>6159</v>
      </c>
      <c r="F1130">
        <v>6147</v>
      </c>
      <c r="G1130">
        <v>6157</v>
      </c>
      <c r="H1130">
        <v>138600</v>
      </c>
    </row>
    <row r="1131" spans="2:8">
      <c r="B1131" t="s">
        <v>463</v>
      </c>
      <c r="C1131" t="s">
        <v>298</v>
      </c>
      <c r="D1131">
        <v>6158</v>
      </c>
      <c r="E1131">
        <v>6160</v>
      </c>
      <c r="F1131">
        <v>6156</v>
      </c>
      <c r="G1131">
        <v>6157</v>
      </c>
      <c r="H1131">
        <v>41000</v>
      </c>
    </row>
    <row r="1132" spans="2:8">
      <c r="B1132" t="s">
        <v>463</v>
      </c>
      <c r="C1132" t="s">
        <v>299</v>
      </c>
      <c r="D1132">
        <v>6158</v>
      </c>
      <c r="E1132">
        <v>6158</v>
      </c>
      <c r="F1132">
        <v>6146</v>
      </c>
      <c r="G1132">
        <v>6147</v>
      </c>
      <c r="H1132">
        <v>70300</v>
      </c>
    </row>
    <row r="1133" spans="2:8">
      <c r="B1133" t="s">
        <v>463</v>
      </c>
      <c r="C1133" t="s">
        <v>300</v>
      </c>
      <c r="D1133">
        <v>6147</v>
      </c>
      <c r="E1133">
        <v>6173</v>
      </c>
      <c r="F1133">
        <v>6147</v>
      </c>
      <c r="G1133">
        <v>6168</v>
      </c>
      <c r="H1133">
        <v>127700</v>
      </c>
    </row>
    <row r="1134" spans="2:8">
      <c r="B1134" t="s">
        <v>463</v>
      </c>
      <c r="C1134" t="s">
        <v>301</v>
      </c>
      <c r="D1134">
        <v>6169</v>
      </c>
      <c r="E1134">
        <v>6171</v>
      </c>
      <c r="F1134">
        <v>6162</v>
      </c>
      <c r="G1134">
        <v>6170</v>
      </c>
      <c r="H1134">
        <v>70200</v>
      </c>
    </row>
    <row r="1135" spans="2:8">
      <c r="B1135" t="s">
        <v>463</v>
      </c>
      <c r="C1135" t="s">
        <v>302</v>
      </c>
      <c r="D1135">
        <v>6171</v>
      </c>
      <c r="E1135">
        <v>6174</v>
      </c>
      <c r="F1135">
        <v>6166</v>
      </c>
      <c r="G1135">
        <v>6168</v>
      </c>
      <c r="H1135">
        <v>105900</v>
      </c>
    </row>
    <row r="1136" spans="2:8">
      <c r="B1136" t="s">
        <v>463</v>
      </c>
      <c r="C1136" t="s">
        <v>303</v>
      </c>
      <c r="D1136">
        <v>6168</v>
      </c>
      <c r="E1136">
        <v>6170</v>
      </c>
      <c r="F1136">
        <v>6152</v>
      </c>
      <c r="G1136">
        <v>6159</v>
      </c>
      <c r="H1136">
        <v>67900</v>
      </c>
    </row>
    <row r="1137" spans="2:8">
      <c r="B1137" t="s">
        <v>463</v>
      </c>
      <c r="C1137" t="s">
        <v>304</v>
      </c>
      <c r="D1137">
        <v>6160</v>
      </c>
      <c r="E1137">
        <v>6165</v>
      </c>
      <c r="F1137">
        <v>6152</v>
      </c>
      <c r="G1137">
        <v>6157</v>
      </c>
      <c r="H1137">
        <v>42100</v>
      </c>
    </row>
    <row r="1138" spans="2:8">
      <c r="B1138" t="s">
        <v>463</v>
      </c>
      <c r="C1138" t="s">
        <v>305</v>
      </c>
      <c r="D1138">
        <v>6157</v>
      </c>
      <c r="E1138">
        <v>6160</v>
      </c>
      <c r="F1138">
        <v>6151</v>
      </c>
      <c r="G1138">
        <v>6154</v>
      </c>
      <c r="H1138">
        <v>25400</v>
      </c>
    </row>
    <row r="1139" spans="2:8">
      <c r="B1139" t="s">
        <v>463</v>
      </c>
      <c r="C1139" t="s">
        <v>306</v>
      </c>
      <c r="D1139">
        <v>6155</v>
      </c>
      <c r="E1139">
        <v>6166</v>
      </c>
      <c r="F1139">
        <v>6147</v>
      </c>
      <c r="G1139">
        <v>6164</v>
      </c>
      <c r="H1139">
        <v>62400</v>
      </c>
    </row>
    <row r="1140" spans="2:8">
      <c r="B1140" t="s">
        <v>463</v>
      </c>
      <c r="C1140" t="s">
        <v>307</v>
      </c>
      <c r="D1140">
        <v>6163</v>
      </c>
      <c r="E1140">
        <v>6166</v>
      </c>
      <c r="F1140">
        <v>6155</v>
      </c>
      <c r="G1140">
        <v>6157</v>
      </c>
      <c r="H1140">
        <v>25400</v>
      </c>
    </row>
    <row r="1141" spans="2:8">
      <c r="B1141" t="s">
        <v>463</v>
      </c>
      <c r="C1141" t="s">
        <v>308</v>
      </c>
      <c r="D1141">
        <v>6157</v>
      </c>
      <c r="E1141">
        <v>6159</v>
      </c>
      <c r="F1141">
        <v>6151</v>
      </c>
      <c r="G1141">
        <v>6152</v>
      </c>
      <c r="H1141">
        <v>29500</v>
      </c>
    </row>
    <row r="1142" spans="2:8">
      <c r="B1142" t="s">
        <v>463</v>
      </c>
      <c r="C1142" t="s">
        <v>309</v>
      </c>
      <c r="D1142">
        <v>6152</v>
      </c>
      <c r="E1142">
        <v>6157</v>
      </c>
      <c r="F1142">
        <v>6147</v>
      </c>
      <c r="G1142">
        <v>6152</v>
      </c>
      <c r="H1142">
        <v>50900</v>
      </c>
    </row>
    <row r="1143" spans="2:8">
      <c r="B1143" t="s">
        <v>463</v>
      </c>
      <c r="C1143" t="s">
        <v>310</v>
      </c>
      <c r="D1143">
        <v>6152</v>
      </c>
      <c r="E1143">
        <v>6164</v>
      </c>
      <c r="F1143">
        <v>6152</v>
      </c>
      <c r="G1143">
        <v>6163</v>
      </c>
      <c r="H1143">
        <v>37800</v>
      </c>
    </row>
    <row r="1144" spans="2:8">
      <c r="B1144" t="s">
        <v>463</v>
      </c>
      <c r="C1144" t="s">
        <v>311</v>
      </c>
      <c r="D1144">
        <v>6163</v>
      </c>
      <c r="E1144">
        <v>6163</v>
      </c>
      <c r="F1144">
        <v>6156</v>
      </c>
      <c r="G1144">
        <v>6157</v>
      </c>
      <c r="H1144">
        <v>22000</v>
      </c>
    </row>
    <row r="1145" spans="2:8">
      <c r="B1145" t="s">
        <v>463</v>
      </c>
      <c r="C1145" t="s">
        <v>312</v>
      </c>
      <c r="D1145">
        <v>6157</v>
      </c>
      <c r="E1145">
        <v>6158</v>
      </c>
      <c r="F1145">
        <v>6146</v>
      </c>
      <c r="G1145">
        <v>6148</v>
      </c>
      <c r="H1145">
        <v>46800</v>
      </c>
    </row>
    <row r="1146" spans="2:8">
      <c r="B1146" t="s">
        <v>463</v>
      </c>
      <c r="C1146" t="s">
        <v>313</v>
      </c>
      <c r="D1146">
        <v>6148</v>
      </c>
      <c r="E1146">
        <v>6154</v>
      </c>
      <c r="F1146">
        <v>6128</v>
      </c>
      <c r="G1146">
        <v>6130</v>
      </c>
      <c r="H1146">
        <v>82300</v>
      </c>
    </row>
    <row r="1147" spans="2:8">
      <c r="B1147" t="s">
        <v>463</v>
      </c>
      <c r="C1147" t="s">
        <v>314</v>
      </c>
      <c r="D1147">
        <v>6130</v>
      </c>
      <c r="E1147">
        <v>6140</v>
      </c>
      <c r="F1147">
        <v>6129</v>
      </c>
      <c r="G1147">
        <v>6138</v>
      </c>
      <c r="H1147">
        <v>41000</v>
      </c>
    </row>
    <row r="1148" spans="2:8">
      <c r="B1148" t="s">
        <v>463</v>
      </c>
      <c r="C1148" t="s">
        <v>315</v>
      </c>
      <c r="D1148">
        <v>6138</v>
      </c>
      <c r="E1148">
        <v>6142</v>
      </c>
      <c r="F1148">
        <v>6131</v>
      </c>
      <c r="G1148">
        <v>6135</v>
      </c>
      <c r="H1148">
        <v>54100</v>
      </c>
    </row>
    <row r="1149" spans="2:8">
      <c r="B1149" t="s">
        <v>463</v>
      </c>
      <c r="C1149" t="s">
        <v>316</v>
      </c>
      <c r="D1149">
        <v>6137</v>
      </c>
      <c r="E1149">
        <v>6137</v>
      </c>
      <c r="F1149">
        <v>6137</v>
      </c>
      <c r="G1149">
        <v>6137</v>
      </c>
      <c r="H1149">
        <v>16800</v>
      </c>
    </row>
    <row r="1150" spans="2:8">
      <c r="B1150" t="s">
        <v>463</v>
      </c>
      <c r="C1150" t="s">
        <v>317</v>
      </c>
      <c r="D1150">
        <v>6149</v>
      </c>
      <c r="E1150">
        <v>6151</v>
      </c>
      <c r="F1150">
        <v>6123</v>
      </c>
      <c r="G1150">
        <v>6129</v>
      </c>
      <c r="H1150">
        <v>162800</v>
      </c>
    </row>
    <row r="1151" spans="2:8">
      <c r="B1151" t="s">
        <v>463</v>
      </c>
      <c r="C1151" t="s">
        <v>318</v>
      </c>
      <c r="D1151">
        <v>6129</v>
      </c>
      <c r="E1151">
        <v>6138</v>
      </c>
      <c r="F1151">
        <v>6128</v>
      </c>
      <c r="G1151">
        <v>6135</v>
      </c>
      <c r="H1151">
        <v>37500</v>
      </c>
    </row>
    <row r="1152" spans="2:8">
      <c r="B1152" t="s">
        <v>463</v>
      </c>
      <c r="C1152" t="s">
        <v>319</v>
      </c>
      <c r="D1152">
        <v>6135</v>
      </c>
      <c r="E1152">
        <v>6138</v>
      </c>
      <c r="F1152">
        <v>6130</v>
      </c>
      <c r="G1152">
        <v>6131</v>
      </c>
      <c r="H1152">
        <v>36100</v>
      </c>
    </row>
    <row r="1153" spans="2:8">
      <c r="B1153" t="s">
        <v>463</v>
      </c>
      <c r="C1153" t="s">
        <v>320</v>
      </c>
      <c r="D1153">
        <v>6131</v>
      </c>
      <c r="E1153">
        <v>6142</v>
      </c>
      <c r="F1153">
        <v>6131</v>
      </c>
      <c r="G1153">
        <v>6141</v>
      </c>
      <c r="H1153">
        <v>48200</v>
      </c>
    </row>
    <row r="1154" spans="2:8">
      <c r="B1154" t="s">
        <v>463</v>
      </c>
      <c r="C1154" t="s">
        <v>321</v>
      </c>
      <c r="D1154">
        <v>6142</v>
      </c>
      <c r="E1154">
        <v>6148</v>
      </c>
      <c r="F1154">
        <v>6136</v>
      </c>
      <c r="G1154">
        <v>6146</v>
      </c>
      <c r="H1154">
        <v>63500</v>
      </c>
    </row>
    <row r="1155" spans="2:8">
      <c r="B1155" t="s">
        <v>463</v>
      </c>
      <c r="C1155" t="s">
        <v>322</v>
      </c>
      <c r="D1155">
        <v>6146</v>
      </c>
      <c r="E1155">
        <v>6159</v>
      </c>
      <c r="F1155">
        <v>6146</v>
      </c>
      <c r="G1155">
        <v>6159</v>
      </c>
      <c r="H1155">
        <v>81800</v>
      </c>
    </row>
    <row r="1156" spans="2:8">
      <c r="B1156" t="s">
        <v>463</v>
      </c>
      <c r="C1156" t="s">
        <v>323</v>
      </c>
      <c r="D1156">
        <v>6158</v>
      </c>
      <c r="E1156">
        <v>6159</v>
      </c>
      <c r="F1156">
        <v>6141</v>
      </c>
      <c r="G1156">
        <v>6144</v>
      </c>
      <c r="H1156">
        <v>90300</v>
      </c>
    </row>
    <row r="1157" spans="2:8">
      <c r="B1157" t="s">
        <v>463</v>
      </c>
      <c r="C1157" t="s">
        <v>324</v>
      </c>
      <c r="D1157">
        <v>6144</v>
      </c>
      <c r="E1157">
        <v>6151</v>
      </c>
      <c r="F1157">
        <v>6144</v>
      </c>
      <c r="G1157">
        <v>6148</v>
      </c>
      <c r="H1157">
        <v>24200</v>
      </c>
    </row>
    <row r="1158" spans="2:8">
      <c r="B1158" t="s">
        <v>463</v>
      </c>
      <c r="C1158" t="s">
        <v>325</v>
      </c>
      <c r="D1158">
        <v>6148</v>
      </c>
      <c r="E1158">
        <v>6170</v>
      </c>
      <c r="F1158">
        <v>6148</v>
      </c>
      <c r="G1158">
        <v>6170</v>
      </c>
      <c r="H1158">
        <v>87300</v>
      </c>
    </row>
    <row r="1159" spans="2:8">
      <c r="B1159" t="s">
        <v>463</v>
      </c>
      <c r="C1159" t="s">
        <v>326</v>
      </c>
      <c r="D1159">
        <v>6169</v>
      </c>
      <c r="E1159">
        <v>6174</v>
      </c>
      <c r="F1159">
        <v>6165</v>
      </c>
      <c r="G1159">
        <v>6172</v>
      </c>
      <c r="H1159">
        <v>73800</v>
      </c>
    </row>
    <row r="1160" spans="2:8">
      <c r="B1160" t="s">
        <v>463</v>
      </c>
      <c r="C1160" t="s">
        <v>327</v>
      </c>
      <c r="D1160">
        <v>6172</v>
      </c>
      <c r="E1160">
        <v>6196</v>
      </c>
      <c r="F1160">
        <v>6172</v>
      </c>
      <c r="G1160">
        <v>6192</v>
      </c>
      <c r="H1160">
        <v>166000</v>
      </c>
    </row>
    <row r="1161" spans="2:8">
      <c r="B1161" t="s">
        <v>463</v>
      </c>
      <c r="C1161" t="s">
        <v>328</v>
      </c>
      <c r="D1161">
        <v>6193</v>
      </c>
      <c r="E1161">
        <v>6195</v>
      </c>
      <c r="F1161">
        <v>6187</v>
      </c>
      <c r="G1161">
        <v>6193</v>
      </c>
      <c r="H1161">
        <v>112500</v>
      </c>
    </row>
    <row r="1162" spans="2:8">
      <c r="B1162" t="s">
        <v>463</v>
      </c>
      <c r="C1162" t="s">
        <v>329</v>
      </c>
      <c r="D1162">
        <v>6193</v>
      </c>
      <c r="E1162">
        <v>6194</v>
      </c>
      <c r="F1162">
        <v>6182</v>
      </c>
      <c r="G1162">
        <v>6188</v>
      </c>
      <c r="H1162">
        <v>87200</v>
      </c>
    </row>
    <row r="1163" spans="2:8">
      <c r="B1163" t="s">
        <v>463</v>
      </c>
      <c r="C1163" t="s">
        <v>330</v>
      </c>
      <c r="D1163">
        <v>6188</v>
      </c>
      <c r="E1163">
        <v>6197</v>
      </c>
      <c r="F1163">
        <v>6177</v>
      </c>
      <c r="G1163">
        <v>6178</v>
      </c>
      <c r="H1163">
        <v>103300</v>
      </c>
    </row>
    <row r="1164" spans="2:8">
      <c r="B1164" t="s">
        <v>463</v>
      </c>
      <c r="C1164" t="s">
        <v>331</v>
      </c>
      <c r="D1164">
        <v>6178</v>
      </c>
      <c r="E1164">
        <v>6184</v>
      </c>
      <c r="F1164">
        <v>6175</v>
      </c>
      <c r="G1164">
        <v>6175</v>
      </c>
      <c r="H1164">
        <v>56300</v>
      </c>
    </row>
    <row r="1165" spans="2:8">
      <c r="B1165" t="s">
        <v>463</v>
      </c>
      <c r="C1165" t="s">
        <v>332</v>
      </c>
      <c r="D1165">
        <v>6175</v>
      </c>
      <c r="E1165">
        <v>6180</v>
      </c>
      <c r="F1165">
        <v>6165</v>
      </c>
      <c r="G1165">
        <v>6179</v>
      </c>
      <c r="H1165">
        <v>69700</v>
      </c>
    </row>
    <row r="1166" spans="2:8">
      <c r="B1166" t="s">
        <v>463</v>
      </c>
      <c r="C1166" t="s">
        <v>333</v>
      </c>
      <c r="D1166">
        <v>6179</v>
      </c>
      <c r="E1166">
        <v>6188</v>
      </c>
      <c r="F1166">
        <v>6178</v>
      </c>
      <c r="G1166">
        <v>6188</v>
      </c>
      <c r="H1166">
        <v>64000</v>
      </c>
    </row>
    <row r="1167" spans="2:8">
      <c r="B1167" t="s">
        <v>463</v>
      </c>
      <c r="C1167" t="s">
        <v>334</v>
      </c>
      <c r="D1167">
        <v>6187</v>
      </c>
      <c r="E1167">
        <v>6190</v>
      </c>
      <c r="F1167">
        <v>6182</v>
      </c>
      <c r="G1167">
        <v>6183</v>
      </c>
      <c r="H1167">
        <v>53600</v>
      </c>
    </row>
    <row r="1168" spans="2:8">
      <c r="B1168" t="s">
        <v>463</v>
      </c>
      <c r="C1168" t="s">
        <v>335</v>
      </c>
      <c r="D1168">
        <v>6184</v>
      </c>
      <c r="E1168">
        <v>6189</v>
      </c>
      <c r="F1168">
        <v>6180</v>
      </c>
      <c r="G1168">
        <v>6185</v>
      </c>
      <c r="H1168">
        <v>62800</v>
      </c>
    </row>
    <row r="1169" spans="2:8">
      <c r="B1169" t="s">
        <v>463</v>
      </c>
      <c r="C1169" t="s">
        <v>336</v>
      </c>
      <c r="D1169">
        <v>6184</v>
      </c>
      <c r="E1169">
        <v>6186</v>
      </c>
      <c r="F1169">
        <v>6175</v>
      </c>
      <c r="G1169">
        <v>6175</v>
      </c>
      <c r="H1169">
        <v>35800</v>
      </c>
    </row>
    <row r="1170" spans="2:8">
      <c r="B1170" t="s">
        <v>463</v>
      </c>
      <c r="C1170" t="s">
        <v>337</v>
      </c>
      <c r="D1170">
        <v>6175</v>
      </c>
      <c r="E1170">
        <v>6180</v>
      </c>
      <c r="F1170">
        <v>6174</v>
      </c>
      <c r="G1170">
        <v>6177</v>
      </c>
      <c r="H1170">
        <v>33400</v>
      </c>
    </row>
    <row r="1171" spans="2:8">
      <c r="B1171" t="s">
        <v>463</v>
      </c>
      <c r="C1171" t="s">
        <v>338</v>
      </c>
      <c r="D1171">
        <v>6178</v>
      </c>
      <c r="E1171">
        <v>6184</v>
      </c>
      <c r="F1171">
        <v>6172</v>
      </c>
      <c r="G1171">
        <v>6180</v>
      </c>
      <c r="H1171">
        <v>87100</v>
      </c>
    </row>
    <row r="1172" spans="2:8">
      <c r="B1172" t="s">
        <v>463</v>
      </c>
      <c r="C1172" t="s">
        <v>339</v>
      </c>
      <c r="D1172">
        <v>6181</v>
      </c>
      <c r="E1172">
        <v>6185</v>
      </c>
      <c r="F1172">
        <v>6180</v>
      </c>
      <c r="G1172">
        <v>6182</v>
      </c>
      <c r="H1172">
        <v>20100</v>
      </c>
    </row>
    <row r="1173" spans="2:8">
      <c r="B1173" t="s">
        <v>463</v>
      </c>
      <c r="C1173" t="s">
        <v>340</v>
      </c>
      <c r="D1173">
        <v>6183</v>
      </c>
      <c r="E1173">
        <v>6183</v>
      </c>
      <c r="F1173">
        <v>6178</v>
      </c>
      <c r="G1173">
        <v>6179</v>
      </c>
      <c r="H1173">
        <v>23500</v>
      </c>
    </row>
    <row r="1174" spans="2:8">
      <c r="B1174" t="s">
        <v>463</v>
      </c>
      <c r="C1174" t="s">
        <v>341</v>
      </c>
      <c r="D1174">
        <v>6179</v>
      </c>
      <c r="E1174">
        <v>6184</v>
      </c>
      <c r="F1174">
        <v>6177</v>
      </c>
      <c r="G1174">
        <v>6182</v>
      </c>
      <c r="H1174">
        <v>25400</v>
      </c>
    </row>
    <row r="1175" spans="2:8">
      <c r="B1175" t="s">
        <v>463</v>
      </c>
      <c r="C1175" t="s">
        <v>342</v>
      </c>
      <c r="D1175">
        <v>6181</v>
      </c>
      <c r="E1175">
        <v>6192</v>
      </c>
      <c r="F1175">
        <v>6181</v>
      </c>
      <c r="G1175">
        <v>6191</v>
      </c>
      <c r="H1175">
        <v>62200</v>
      </c>
    </row>
    <row r="1176" spans="2:8">
      <c r="B1176" t="s">
        <v>463</v>
      </c>
      <c r="C1176" t="s">
        <v>343</v>
      </c>
      <c r="D1176">
        <v>6191</v>
      </c>
      <c r="E1176">
        <v>6191</v>
      </c>
      <c r="F1176">
        <v>6186</v>
      </c>
      <c r="G1176">
        <v>6189</v>
      </c>
      <c r="H1176">
        <v>22000</v>
      </c>
    </row>
    <row r="1177" spans="2:8">
      <c r="B1177" t="s">
        <v>463</v>
      </c>
      <c r="C1177" t="s">
        <v>344</v>
      </c>
      <c r="D1177">
        <v>6189</v>
      </c>
      <c r="E1177">
        <v>6195</v>
      </c>
      <c r="F1177">
        <v>6189</v>
      </c>
      <c r="G1177">
        <v>6191</v>
      </c>
      <c r="H1177">
        <v>37100</v>
      </c>
    </row>
    <row r="1178" spans="2:8">
      <c r="B1178" t="s">
        <v>463</v>
      </c>
      <c r="C1178" t="s">
        <v>345</v>
      </c>
      <c r="D1178">
        <v>6191</v>
      </c>
      <c r="E1178">
        <v>6192</v>
      </c>
      <c r="F1178">
        <v>6182</v>
      </c>
      <c r="G1178">
        <v>6188</v>
      </c>
      <c r="H1178">
        <v>81600</v>
      </c>
    </row>
    <row r="1179" spans="2:8">
      <c r="B1179" t="s">
        <v>463</v>
      </c>
      <c r="C1179" t="s">
        <v>346</v>
      </c>
      <c r="D1179">
        <v>6188</v>
      </c>
      <c r="E1179">
        <v>6190</v>
      </c>
      <c r="F1179">
        <v>6186</v>
      </c>
      <c r="G1179">
        <v>6188</v>
      </c>
      <c r="H1179">
        <v>20100</v>
      </c>
    </row>
    <row r="1180" spans="2:8">
      <c r="B1180" t="s">
        <v>463</v>
      </c>
      <c r="C1180" t="s">
        <v>347</v>
      </c>
      <c r="D1180">
        <v>6187</v>
      </c>
      <c r="E1180">
        <v>6190</v>
      </c>
      <c r="F1180">
        <v>6181</v>
      </c>
      <c r="G1180">
        <v>6186</v>
      </c>
      <c r="H1180">
        <v>58700</v>
      </c>
    </row>
    <row r="1181" spans="2:8">
      <c r="B1181" t="s">
        <v>463</v>
      </c>
      <c r="C1181" t="s">
        <v>348</v>
      </c>
      <c r="D1181">
        <v>6186</v>
      </c>
      <c r="E1181">
        <v>6194</v>
      </c>
      <c r="F1181">
        <v>6186</v>
      </c>
      <c r="G1181">
        <v>6189</v>
      </c>
      <c r="H1181">
        <v>31000</v>
      </c>
    </row>
    <row r="1182" spans="2:8">
      <c r="B1182" t="s">
        <v>463</v>
      </c>
      <c r="C1182" t="s">
        <v>349</v>
      </c>
      <c r="D1182">
        <v>6188</v>
      </c>
      <c r="E1182">
        <v>6191</v>
      </c>
      <c r="F1182">
        <v>6187</v>
      </c>
      <c r="G1182">
        <v>6188</v>
      </c>
      <c r="H1182">
        <v>17100</v>
      </c>
    </row>
    <row r="1183" spans="2:8">
      <c r="B1183" t="s">
        <v>463</v>
      </c>
      <c r="C1183" t="s">
        <v>350</v>
      </c>
      <c r="D1183">
        <v>6187</v>
      </c>
      <c r="E1183">
        <v>6187</v>
      </c>
      <c r="F1183">
        <v>6182</v>
      </c>
      <c r="G1183">
        <v>6183</v>
      </c>
      <c r="H1183">
        <v>26500</v>
      </c>
    </row>
    <row r="1184" spans="2:8">
      <c r="B1184" t="s">
        <v>463</v>
      </c>
      <c r="C1184" t="s">
        <v>351</v>
      </c>
      <c r="D1184">
        <v>6183</v>
      </c>
      <c r="E1184">
        <v>6185</v>
      </c>
      <c r="F1184">
        <v>6175</v>
      </c>
      <c r="G1184">
        <v>6185</v>
      </c>
      <c r="H1184">
        <v>52400</v>
      </c>
    </row>
    <row r="1185" spans="2:8">
      <c r="B1185" t="s">
        <v>463</v>
      </c>
      <c r="C1185" t="s">
        <v>352</v>
      </c>
      <c r="D1185">
        <v>6185</v>
      </c>
      <c r="E1185">
        <v>6186</v>
      </c>
      <c r="F1185">
        <v>6176</v>
      </c>
      <c r="G1185">
        <v>6178</v>
      </c>
      <c r="H1185">
        <v>26700</v>
      </c>
    </row>
    <row r="1186" spans="2:8">
      <c r="B1186" t="s">
        <v>463</v>
      </c>
      <c r="C1186" t="s">
        <v>353</v>
      </c>
      <c r="D1186">
        <v>6179</v>
      </c>
      <c r="E1186">
        <v>6184</v>
      </c>
      <c r="F1186">
        <v>6176</v>
      </c>
      <c r="G1186">
        <v>6184</v>
      </c>
      <c r="H1186">
        <v>31600</v>
      </c>
    </row>
    <row r="1187" spans="2:8">
      <c r="B1187" t="s">
        <v>463</v>
      </c>
      <c r="C1187" t="s">
        <v>354</v>
      </c>
      <c r="D1187">
        <v>6184</v>
      </c>
      <c r="E1187">
        <v>6185</v>
      </c>
      <c r="F1187">
        <v>6180</v>
      </c>
      <c r="G1187">
        <v>6182</v>
      </c>
      <c r="H1187">
        <v>15200</v>
      </c>
    </row>
    <row r="1188" spans="2:8">
      <c r="B1188" t="s">
        <v>463</v>
      </c>
      <c r="C1188" t="s">
        <v>355</v>
      </c>
      <c r="D1188">
        <v>6182</v>
      </c>
      <c r="E1188">
        <v>6184</v>
      </c>
      <c r="F1188">
        <v>6178</v>
      </c>
      <c r="G1188">
        <v>6180</v>
      </c>
      <c r="H1188">
        <v>14000</v>
      </c>
    </row>
    <row r="1189" spans="2:8">
      <c r="B1189" t="s">
        <v>463</v>
      </c>
      <c r="C1189" t="s">
        <v>356</v>
      </c>
      <c r="D1189">
        <v>6180</v>
      </c>
      <c r="E1189">
        <v>6180</v>
      </c>
      <c r="F1189">
        <v>6172</v>
      </c>
      <c r="G1189">
        <v>6172</v>
      </c>
      <c r="H1189">
        <v>37800</v>
      </c>
    </row>
    <row r="1190" spans="2:8">
      <c r="B1190" t="s">
        <v>463</v>
      </c>
      <c r="C1190" t="s">
        <v>357</v>
      </c>
      <c r="D1190">
        <v>6172</v>
      </c>
      <c r="E1190">
        <v>6174</v>
      </c>
      <c r="F1190">
        <v>6159</v>
      </c>
      <c r="G1190">
        <v>6165</v>
      </c>
      <c r="H1190">
        <v>98200</v>
      </c>
    </row>
    <row r="1191" spans="2:8">
      <c r="B1191" t="s">
        <v>463</v>
      </c>
      <c r="C1191" t="s">
        <v>358</v>
      </c>
      <c r="D1191">
        <v>6166</v>
      </c>
      <c r="E1191">
        <v>6168</v>
      </c>
      <c r="F1191">
        <v>6157</v>
      </c>
      <c r="G1191">
        <v>6168</v>
      </c>
      <c r="H1191">
        <v>52500</v>
      </c>
    </row>
    <row r="1192" spans="2:8">
      <c r="B1192" t="s">
        <v>463</v>
      </c>
      <c r="C1192" t="s">
        <v>359</v>
      </c>
      <c r="D1192">
        <v>6168</v>
      </c>
      <c r="E1192">
        <v>6174</v>
      </c>
      <c r="F1192">
        <v>6166</v>
      </c>
      <c r="G1192">
        <v>6172</v>
      </c>
      <c r="H1192">
        <v>45900</v>
      </c>
    </row>
    <row r="1193" spans="2:8">
      <c r="B1193" t="s">
        <v>463</v>
      </c>
      <c r="C1193" t="s">
        <v>360</v>
      </c>
      <c r="D1193">
        <v>6172</v>
      </c>
      <c r="E1193">
        <v>6180</v>
      </c>
      <c r="F1193">
        <v>6171</v>
      </c>
      <c r="G1193">
        <v>6180</v>
      </c>
      <c r="H1193">
        <v>35400</v>
      </c>
    </row>
    <row r="1194" spans="2:8">
      <c r="B1194" t="s">
        <v>463</v>
      </c>
      <c r="C1194" t="s">
        <v>361</v>
      </c>
      <c r="D1194">
        <v>6180</v>
      </c>
      <c r="E1194">
        <v>6181</v>
      </c>
      <c r="F1194">
        <v>6175</v>
      </c>
      <c r="G1194">
        <v>6179</v>
      </c>
      <c r="H1194">
        <v>25500</v>
      </c>
    </row>
    <row r="1195" spans="2:8">
      <c r="B1195" t="s">
        <v>463</v>
      </c>
      <c r="C1195" t="s">
        <v>362</v>
      </c>
      <c r="D1195">
        <v>6179</v>
      </c>
      <c r="E1195">
        <v>6189</v>
      </c>
      <c r="F1195">
        <v>6178</v>
      </c>
      <c r="G1195">
        <v>6187</v>
      </c>
      <c r="H1195">
        <v>45900</v>
      </c>
    </row>
    <row r="1196" spans="2:8">
      <c r="B1196" t="s">
        <v>463</v>
      </c>
      <c r="C1196" t="s">
        <v>363</v>
      </c>
      <c r="D1196">
        <v>6187</v>
      </c>
      <c r="E1196">
        <v>6189</v>
      </c>
      <c r="F1196">
        <v>6185</v>
      </c>
      <c r="G1196">
        <v>6187</v>
      </c>
      <c r="H1196">
        <v>28900</v>
      </c>
    </row>
    <row r="1197" spans="2:8">
      <c r="B1197" t="s">
        <v>463</v>
      </c>
      <c r="C1197" t="s">
        <v>364</v>
      </c>
      <c r="D1197">
        <v>6188</v>
      </c>
      <c r="E1197">
        <v>6190</v>
      </c>
      <c r="F1197">
        <v>6183</v>
      </c>
      <c r="G1197">
        <v>6185</v>
      </c>
      <c r="H1197">
        <v>53900</v>
      </c>
    </row>
    <row r="1198" spans="2:8">
      <c r="B1198" t="s">
        <v>463</v>
      </c>
      <c r="C1198" t="s">
        <v>365</v>
      </c>
      <c r="D1198">
        <v>6186</v>
      </c>
      <c r="E1198">
        <v>6187</v>
      </c>
      <c r="F1198">
        <v>6182</v>
      </c>
      <c r="G1198">
        <v>6183</v>
      </c>
      <c r="H1198">
        <v>28100</v>
      </c>
    </row>
    <row r="1199" spans="2:8">
      <c r="B1199" t="s">
        <v>463</v>
      </c>
      <c r="C1199" t="s">
        <v>366</v>
      </c>
      <c r="D1199">
        <v>6182</v>
      </c>
      <c r="E1199">
        <v>6190</v>
      </c>
      <c r="F1199">
        <v>6181</v>
      </c>
      <c r="G1199">
        <v>6186</v>
      </c>
      <c r="H1199">
        <v>42200</v>
      </c>
    </row>
    <row r="1200" spans="2:8">
      <c r="B1200" t="s">
        <v>463</v>
      </c>
      <c r="C1200" t="s">
        <v>367</v>
      </c>
      <c r="D1200">
        <v>6187</v>
      </c>
      <c r="E1200">
        <v>6188</v>
      </c>
      <c r="F1200">
        <v>6185</v>
      </c>
      <c r="G1200">
        <v>6186</v>
      </c>
      <c r="H1200">
        <v>12200</v>
      </c>
    </row>
    <row r="1201" spans="2:8">
      <c r="B1201" t="s">
        <v>463</v>
      </c>
      <c r="C1201" t="s">
        <v>368</v>
      </c>
      <c r="D1201">
        <v>6186</v>
      </c>
      <c r="E1201">
        <v>6188</v>
      </c>
      <c r="F1201">
        <v>6183</v>
      </c>
      <c r="G1201">
        <v>6184</v>
      </c>
      <c r="H1201">
        <v>20700</v>
      </c>
    </row>
    <row r="1202" spans="2:8">
      <c r="B1202" t="s">
        <v>463</v>
      </c>
      <c r="C1202" t="s">
        <v>369</v>
      </c>
      <c r="D1202">
        <v>6183</v>
      </c>
      <c r="E1202">
        <v>6183</v>
      </c>
      <c r="F1202">
        <v>6166</v>
      </c>
      <c r="G1202">
        <v>6170</v>
      </c>
      <c r="H1202">
        <v>77900</v>
      </c>
    </row>
    <row r="1203" spans="2:8">
      <c r="B1203" t="s">
        <v>463</v>
      </c>
      <c r="C1203" t="s">
        <v>370</v>
      </c>
      <c r="D1203">
        <v>6170</v>
      </c>
      <c r="E1203">
        <v>6177</v>
      </c>
      <c r="F1203">
        <v>6167</v>
      </c>
      <c r="G1203">
        <v>6176</v>
      </c>
      <c r="H1203">
        <v>39500</v>
      </c>
    </row>
    <row r="1204" spans="2:8">
      <c r="B1204" t="s">
        <v>463</v>
      </c>
      <c r="C1204" t="s">
        <v>371</v>
      </c>
      <c r="D1204">
        <v>6177</v>
      </c>
      <c r="E1204">
        <v>6179</v>
      </c>
      <c r="F1204">
        <v>6175</v>
      </c>
      <c r="G1204">
        <v>6175</v>
      </c>
      <c r="H1204">
        <v>19300</v>
      </c>
    </row>
    <row r="1205" spans="2:8">
      <c r="B1205" t="s">
        <v>463</v>
      </c>
      <c r="C1205" t="s">
        <v>372</v>
      </c>
      <c r="D1205">
        <v>6176</v>
      </c>
      <c r="E1205">
        <v>6176</v>
      </c>
      <c r="F1205">
        <v>6172</v>
      </c>
      <c r="G1205">
        <v>6173</v>
      </c>
      <c r="H1205">
        <v>24000</v>
      </c>
    </row>
    <row r="1206" spans="2:8">
      <c r="B1206" t="s">
        <v>463</v>
      </c>
      <c r="C1206" t="s">
        <v>373</v>
      </c>
      <c r="D1206">
        <v>6173</v>
      </c>
      <c r="E1206">
        <v>6176</v>
      </c>
      <c r="F1206">
        <v>6161</v>
      </c>
      <c r="G1206">
        <v>6176</v>
      </c>
      <c r="H1206">
        <v>71800</v>
      </c>
    </row>
    <row r="1207" spans="2:8">
      <c r="B1207" t="s">
        <v>463</v>
      </c>
      <c r="C1207" t="s">
        <v>374</v>
      </c>
      <c r="D1207">
        <v>6175</v>
      </c>
      <c r="E1207">
        <v>6178</v>
      </c>
      <c r="F1207">
        <v>6174</v>
      </c>
      <c r="G1207">
        <v>6175</v>
      </c>
      <c r="H1207">
        <v>22600</v>
      </c>
    </row>
    <row r="1208" spans="2:8">
      <c r="B1208" t="s">
        <v>463</v>
      </c>
      <c r="C1208" t="s">
        <v>375</v>
      </c>
      <c r="D1208">
        <v>6175</v>
      </c>
      <c r="E1208">
        <v>6178</v>
      </c>
      <c r="F1208">
        <v>6173</v>
      </c>
      <c r="G1208">
        <v>6178</v>
      </c>
      <c r="H1208">
        <v>21400</v>
      </c>
    </row>
    <row r="1209" spans="2:8">
      <c r="B1209" t="s">
        <v>463</v>
      </c>
      <c r="C1209" t="s">
        <v>376</v>
      </c>
      <c r="D1209">
        <v>6177</v>
      </c>
      <c r="E1209">
        <v>6183</v>
      </c>
      <c r="F1209">
        <v>6175</v>
      </c>
      <c r="G1209">
        <v>6182</v>
      </c>
      <c r="H1209">
        <v>34800</v>
      </c>
    </row>
    <row r="1210" spans="2:8">
      <c r="B1210" t="s">
        <v>463</v>
      </c>
      <c r="C1210" t="s">
        <v>377</v>
      </c>
      <c r="D1210">
        <v>6182</v>
      </c>
      <c r="E1210">
        <v>6184</v>
      </c>
      <c r="F1210">
        <v>6175</v>
      </c>
      <c r="G1210">
        <v>6175</v>
      </c>
      <c r="H1210">
        <v>33800</v>
      </c>
    </row>
    <row r="1211" spans="2:8">
      <c r="B1211" t="s">
        <v>463</v>
      </c>
      <c r="C1211" t="s">
        <v>378</v>
      </c>
      <c r="D1211">
        <v>6175</v>
      </c>
      <c r="E1211">
        <v>6178</v>
      </c>
      <c r="F1211">
        <v>6170</v>
      </c>
      <c r="G1211">
        <v>6178</v>
      </c>
      <c r="H1211">
        <v>20400</v>
      </c>
    </row>
    <row r="1212" spans="2:8">
      <c r="B1212" t="s">
        <v>463</v>
      </c>
      <c r="C1212" t="s">
        <v>379</v>
      </c>
      <c r="D1212">
        <v>6177</v>
      </c>
      <c r="E1212">
        <v>6177</v>
      </c>
      <c r="F1212">
        <v>6171</v>
      </c>
      <c r="G1212">
        <v>6175</v>
      </c>
      <c r="H1212">
        <v>23800</v>
      </c>
    </row>
    <row r="1213" spans="2:8">
      <c r="B1213" t="s">
        <v>463</v>
      </c>
      <c r="C1213" t="s">
        <v>380</v>
      </c>
      <c r="D1213">
        <v>6175</v>
      </c>
      <c r="E1213">
        <v>6178</v>
      </c>
      <c r="F1213">
        <v>6173</v>
      </c>
      <c r="G1213">
        <v>6175</v>
      </c>
      <c r="H1213">
        <v>15300</v>
      </c>
    </row>
    <row r="1214" spans="2:8">
      <c r="B1214" t="s">
        <v>463</v>
      </c>
      <c r="C1214" t="s">
        <v>381</v>
      </c>
      <c r="D1214">
        <v>6175</v>
      </c>
      <c r="E1214">
        <v>6178</v>
      </c>
      <c r="F1214">
        <v>6173</v>
      </c>
      <c r="G1214">
        <v>6173</v>
      </c>
      <c r="H1214">
        <v>14300</v>
      </c>
    </row>
    <row r="1215" spans="2:8">
      <c r="B1215" t="s">
        <v>463</v>
      </c>
      <c r="C1215" t="s">
        <v>382</v>
      </c>
      <c r="D1215">
        <v>6172</v>
      </c>
      <c r="E1215">
        <v>6177</v>
      </c>
      <c r="F1215">
        <v>6168</v>
      </c>
      <c r="G1215">
        <v>6174</v>
      </c>
      <c r="H1215">
        <v>30500</v>
      </c>
    </row>
    <row r="1216" spans="2:8">
      <c r="B1216" t="s">
        <v>463</v>
      </c>
      <c r="C1216" t="s">
        <v>383</v>
      </c>
      <c r="D1216">
        <v>6173</v>
      </c>
      <c r="E1216">
        <v>6173</v>
      </c>
      <c r="F1216">
        <v>6161</v>
      </c>
      <c r="G1216">
        <v>6171</v>
      </c>
      <c r="H1216">
        <v>63200</v>
      </c>
    </row>
    <row r="1217" spans="2:8">
      <c r="B1217" t="s">
        <v>463</v>
      </c>
      <c r="C1217" t="s">
        <v>384</v>
      </c>
      <c r="D1217">
        <v>6170</v>
      </c>
      <c r="E1217">
        <v>6172</v>
      </c>
      <c r="F1217">
        <v>6167</v>
      </c>
      <c r="G1217">
        <v>6170</v>
      </c>
      <c r="H1217">
        <v>18400</v>
      </c>
    </row>
    <row r="1218" spans="2:8">
      <c r="B1218" t="s">
        <v>463</v>
      </c>
      <c r="C1218" t="s">
        <v>385</v>
      </c>
      <c r="D1218">
        <v>6170</v>
      </c>
      <c r="E1218">
        <v>6170</v>
      </c>
      <c r="F1218">
        <v>6163</v>
      </c>
      <c r="G1218">
        <v>6168</v>
      </c>
      <c r="H1218">
        <v>25400</v>
      </c>
    </row>
    <row r="1219" spans="2:8">
      <c r="B1219" t="s">
        <v>463</v>
      </c>
      <c r="C1219" t="s">
        <v>386</v>
      </c>
      <c r="D1219">
        <v>6168</v>
      </c>
      <c r="E1219">
        <v>6168</v>
      </c>
      <c r="F1219">
        <v>6165</v>
      </c>
      <c r="G1219">
        <v>6167</v>
      </c>
      <c r="H1219">
        <v>9900</v>
      </c>
    </row>
    <row r="1220" spans="2:8">
      <c r="B1220" t="s">
        <v>463</v>
      </c>
      <c r="C1220" t="s">
        <v>387</v>
      </c>
      <c r="D1220">
        <v>6167</v>
      </c>
      <c r="E1220">
        <v>6167</v>
      </c>
      <c r="F1220">
        <v>6162</v>
      </c>
      <c r="G1220">
        <v>6163</v>
      </c>
      <c r="H1220">
        <v>20900</v>
      </c>
    </row>
    <row r="1221" spans="2:8">
      <c r="B1221" t="s">
        <v>463</v>
      </c>
      <c r="C1221" t="s">
        <v>388</v>
      </c>
      <c r="D1221">
        <v>6162</v>
      </c>
      <c r="E1221">
        <v>6167</v>
      </c>
      <c r="F1221">
        <v>6158</v>
      </c>
      <c r="G1221">
        <v>6166</v>
      </c>
      <c r="H1221">
        <v>40400</v>
      </c>
    </row>
    <row r="1222" spans="2:8">
      <c r="B1222" t="s">
        <v>463</v>
      </c>
      <c r="C1222" t="s">
        <v>389</v>
      </c>
      <c r="D1222">
        <v>6166</v>
      </c>
      <c r="E1222">
        <v>6169</v>
      </c>
      <c r="F1222">
        <v>6163</v>
      </c>
      <c r="G1222">
        <v>6164</v>
      </c>
      <c r="H1222">
        <v>26700</v>
      </c>
    </row>
    <row r="1223" spans="2:8">
      <c r="B1223" t="s">
        <v>463</v>
      </c>
      <c r="C1223" t="s">
        <v>390</v>
      </c>
      <c r="D1223">
        <v>6165</v>
      </c>
      <c r="E1223">
        <v>6167</v>
      </c>
      <c r="F1223">
        <v>6164</v>
      </c>
      <c r="G1223">
        <v>6166</v>
      </c>
      <c r="H1223">
        <v>20600</v>
      </c>
    </row>
    <row r="1224" spans="2:8">
      <c r="B1224" t="s">
        <v>463</v>
      </c>
      <c r="C1224" t="s">
        <v>391</v>
      </c>
      <c r="D1224">
        <v>6166</v>
      </c>
      <c r="E1224">
        <v>6172</v>
      </c>
      <c r="F1224">
        <v>6166</v>
      </c>
      <c r="G1224">
        <v>6168</v>
      </c>
      <c r="H1224">
        <v>21700</v>
      </c>
    </row>
    <row r="1225" spans="2:8">
      <c r="B1225" t="s">
        <v>463</v>
      </c>
      <c r="C1225" t="s">
        <v>392</v>
      </c>
      <c r="D1225">
        <v>6169</v>
      </c>
      <c r="E1225">
        <v>6172</v>
      </c>
      <c r="F1225">
        <v>6167</v>
      </c>
      <c r="G1225">
        <v>6170</v>
      </c>
      <c r="H1225">
        <v>16400</v>
      </c>
    </row>
    <row r="1226" spans="2:8">
      <c r="B1226" t="s">
        <v>463</v>
      </c>
      <c r="C1226" t="s">
        <v>393</v>
      </c>
      <c r="D1226">
        <v>6171</v>
      </c>
      <c r="E1226">
        <v>6175</v>
      </c>
      <c r="F1226">
        <v>6171</v>
      </c>
      <c r="G1226">
        <v>6173</v>
      </c>
      <c r="H1226">
        <v>24400</v>
      </c>
    </row>
    <row r="1227" spans="2:8">
      <c r="B1227" t="s">
        <v>463</v>
      </c>
      <c r="C1227" t="s">
        <v>394</v>
      </c>
      <c r="D1227">
        <v>6173</v>
      </c>
      <c r="E1227">
        <v>6175</v>
      </c>
      <c r="F1227">
        <v>6172</v>
      </c>
      <c r="G1227">
        <v>6175</v>
      </c>
      <c r="H1227">
        <v>9700</v>
      </c>
    </row>
    <row r="1228" spans="2:8">
      <c r="B1228" t="s">
        <v>463</v>
      </c>
      <c r="C1228" t="s">
        <v>395</v>
      </c>
      <c r="D1228">
        <v>6175</v>
      </c>
      <c r="E1228">
        <v>6176</v>
      </c>
      <c r="F1228">
        <v>6171</v>
      </c>
      <c r="G1228">
        <v>6173</v>
      </c>
      <c r="H1228">
        <v>14000</v>
      </c>
    </row>
    <row r="1229" spans="2:8">
      <c r="B1229" t="s">
        <v>463</v>
      </c>
      <c r="C1229" t="s">
        <v>396</v>
      </c>
      <c r="D1229">
        <v>6174</v>
      </c>
      <c r="E1229">
        <v>6177</v>
      </c>
      <c r="F1229">
        <v>6174</v>
      </c>
      <c r="G1229">
        <v>6177</v>
      </c>
      <c r="H1229">
        <v>13900</v>
      </c>
    </row>
    <row r="1230" spans="2:8">
      <c r="B1230" t="s">
        <v>463</v>
      </c>
      <c r="C1230" t="s">
        <v>397</v>
      </c>
      <c r="D1230">
        <v>6177</v>
      </c>
      <c r="E1230">
        <v>6182</v>
      </c>
      <c r="F1230">
        <v>6177</v>
      </c>
      <c r="G1230">
        <v>6182</v>
      </c>
      <c r="H1230">
        <v>29000</v>
      </c>
    </row>
    <row r="1231" spans="2:8">
      <c r="B1231" t="s">
        <v>463</v>
      </c>
      <c r="C1231" t="s">
        <v>398</v>
      </c>
      <c r="D1231">
        <v>6181</v>
      </c>
      <c r="E1231">
        <v>6183</v>
      </c>
      <c r="F1231">
        <v>6178</v>
      </c>
      <c r="G1231">
        <v>6179</v>
      </c>
      <c r="H1231">
        <v>19500</v>
      </c>
    </row>
    <row r="1232" spans="2:8">
      <c r="B1232" t="s">
        <v>463</v>
      </c>
      <c r="C1232" t="s">
        <v>399</v>
      </c>
      <c r="D1232">
        <v>6179</v>
      </c>
      <c r="E1232">
        <v>6179</v>
      </c>
      <c r="F1232">
        <v>6171</v>
      </c>
      <c r="G1232">
        <v>6178</v>
      </c>
      <c r="H1232">
        <v>45400</v>
      </c>
    </row>
    <row r="1233" spans="2:8">
      <c r="B1233" t="s">
        <v>463</v>
      </c>
      <c r="C1233" t="s">
        <v>400</v>
      </c>
      <c r="D1233">
        <v>6179</v>
      </c>
      <c r="E1233">
        <v>6182</v>
      </c>
      <c r="F1233">
        <v>6179</v>
      </c>
      <c r="G1233">
        <v>6179</v>
      </c>
      <c r="H1233">
        <v>14200</v>
      </c>
    </row>
    <row r="1234" spans="2:8">
      <c r="B1234" t="s">
        <v>463</v>
      </c>
      <c r="C1234" t="s">
        <v>401</v>
      </c>
      <c r="D1234">
        <v>6180</v>
      </c>
      <c r="E1234">
        <v>6189</v>
      </c>
      <c r="F1234">
        <v>6180</v>
      </c>
      <c r="G1234">
        <v>6189</v>
      </c>
      <c r="H1234">
        <v>50000</v>
      </c>
    </row>
    <row r="1235" spans="2:8">
      <c r="B1235" t="s">
        <v>463</v>
      </c>
      <c r="C1235" t="s">
        <v>402</v>
      </c>
      <c r="D1235">
        <v>6189</v>
      </c>
      <c r="E1235">
        <v>6203</v>
      </c>
      <c r="F1235">
        <v>6189</v>
      </c>
      <c r="G1235">
        <v>6202</v>
      </c>
      <c r="H1235">
        <v>197200</v>
      </c>
    </row>
    <row r="1236" spans="2:8">
      <c r="B1236" t="s">
        <v>463</v>
      </c>
      <c r="C1236" t="s">
        <v>403</v>
      </c>
      <c r="D1236">
        <v>6202</v>
      </c>
      <c r="E1236">
        <v>6207</v>
      </c>
      <c r="F1236">
        <v>6200</v>
      </c>
      <c r="G1236">
        <v>6204</v>
      </c>
      <c r="H1236">
        <v>74300</v>
      </c>
    </row>
    <row r="1237" spans="2:8">
      <c r="B1237" t="s">
        <v>463</v>
      </c>
      <c r="C1237" t="s">
        <v>404</v>
      </c>
      <c r="D1237">
        <v>6203</v>
      </c>
      <c r="E1237">
        <v>6209</v>
      </c>
      <c r="F1237">
        <v>6203</v>
      </c>
      <c r="G1237">
        <v>6208</v>
      </c>
      <c r="H1237">
        <v>29800</v>
      </c>
    </row>
    <row r="1238" spans="2:8">
      <c r="B1238" t="s">
        <v>463</v>
      </c>
      <c r="C1238" t="s">
        <v>405</v>
      </c>
      <c r="D1238">
        <v>6209</v>
      </c>
      <c r="E1238">
        <v>6212</v>
      </c>
      <c r="F1238">
        <v>6208</v>
      </c>
      <c r="G1238">
        <v>6209</v>
      </c>
      <c r="H1238">
        <v>73000</v>
      </c>
    </row>
    <row r="1239" spans="2:8">
      <c r="B1239" t="s">
        <v>463</v>
      </c>
      <c r="C1239" t="s">
        <v>406</v>
      </c>
      <c r="D1239">
        <v>6209</v>
      </c>
      <c r="E1239">
        <v>6213</v>
      </c>
      <c r="F1239">
        <v>6202</v>
      </c>
      <c r="G1239">
        <v>6211</v>
      </c>
      <c r="H1239">
        <v>70700</v>
      </c>
    </row>
    <row r="1240" spans="2:8">
      <c r="B1240" t="s">
        <v>463</v>
      </c>
      <c r="C1240" t="s">
        <v>407</v>
      </c>
      <c r="D1240">
        <v>6212</v>
      </c>
      <c r="E1240">
        <v>6212</v>
      </c>
      <c r="F1240">
        <v>6208</v>
      </c>
      <c r="G1240">
        <v>6211</v>
      </c>
      <c r="H1240">
        <v>37700</v>
      </c>
    </row>
    <row r="1241" spans="2:8">
      <c r="B1241" t="s">
        <v>463</v>
      </c>
      <c r="C1241" t="s">
        <v>408</v>
      </c>
      <c r="D1241">
        <v>6212</v>
      </c>
      <c r="E1241">
        <v>6214</v>
      </c>
      <c r="F1241">
        <v>6204</v>
      </c>
      <c r="G1241">
        <v>6206</v>
      </c>
      <c r="H1241">
        <v>85000</v>
      </c>
    </row>
    <row r="1242" spans="2:8">
      <c r="B1242" t="s">
        <v>463</v>
      </c>
      <c r="C1242" t="s">
        <v>409</v>
      </c>
      <c r="D1242">
        <v>6205</v>
      </c>
      <c r="E1242">
        <v>6206</v>
      </c>
      <c r="F1242">
        <v>6162</v>
      </c>
      <c r="G1242">
        <v>6193</v>
      </c>
      <c r="H1242">
        <v>204000</v>
      </c>
    </row>
    <row r="1243" spans="2:8">
      <c r="B1243" t="s">
        <v>463</v>
      </c>
      <c r="C1243" t="s">
        <v>410</v>
      </c>
      <c r="D1243">
        <v>6194</v>
      </c>
      <c r="E1243">
        <v>6202</v>
      </c>
      <c r="F1243">
        <v>6188</v>
      </c>
      <c r="G1243">
        <v>6197</v>
      </c>
      <c r="H1243">
        <v>67300</v>
      </c>
    </row>
    <row r="1244" spans="2:8">
      <c r="B1244" t="s">
        <v>463</v>
      </c>
      <c r="C1244" t="s">
        <v>411</v>
      </c>
      <c r="D1244">
        <v>6197</v>
      </c>
      <c r="E1244">
        <v>6198</v>
      </c>
      <c r="F1244">
        <v>6190</v>
      </c>
      <c r="G1244">
        <v>6197</v>
      </c>
      <c r="H1244">
        <v>39500</v>
      </c>
    </row>
    <row r="1245" spans="2:8">
      <c r="B1245" t="s">
        <v>463</v>
      </c>
      <c r="C1245" t="s">
        <v>412</v>
      </c>
      <c r="D1245">
        <v>6198</v>
      </c>
      <c r="E1245">
        <v>6203</v>
      </c>
      <c r="F1245">
        <v>6196</v>
      </c>
      <c r="G1245">
        <v>6203</v>
      </c>
      <c r="H1245">
        <v>24000</v>
      </c>
    </row>
    <row r="1246" spans="2:8">
      <c r="B1246" t="s">
        <v>463</v>
      </c>
      <c r="C1246" t="s">
        <v>413</v>
      </c>
      <c r="D1246">
        <v>6202</v>
      </c>
      <c r="E1246">
        <v>6208</v>
      </c>
      <c r="F1246">
        <v>6199</v>
      </c>
      <c r="G1246">
        <v>6200</v>
      </c>
      <c r="H1246">
        <v>49100</v>
      </c>
    </row>
    <row r="1247" spans="2:8">
      <c r="B1247" t="s">
        <v>463</v>
      </c>
      <c r="C1247" t="s">
        <v>414</v>
      </c>
      <c r="D1247">
        <v>6200</v>
      </c>
      <c r="E1247">
        <v>6200</v>
      </c>
      <c r="F1247">
        <v>6189</v>
      </c>
      <c r="G1247">
        <v>6191</v>
      </c>
      <c r="H1247">
        <v>75000</v>
      </c>
    </row>
    <row r="1248" spans="2:8">
      <c r="B1248" t="s">
        <v>463</v>
      </c>
      <c r="C1248" t="s">
        <v>415</v>
      </c>
      <c r="D1248">
        <v>6192</v>
      </c>
      <c r="E1248">
        <v>6192</v>
      </c>
      <c r="F1248">
        <v>6181</v>
      </c>
      <c r="G1248">
        <v>6185</v>
      </c>
      <c r="H1248">
        <v>58800</v>
      </c>
    </row>
    <row r="1249" spans="2:8">
      <c r="B1249" t="s">
        <v>463</v>
      </c>
      <c r="C1249" t="s">
        <v>416</v>
      </c>
      <c r="D1249">
        <v>6185</v>
      </c>
      <c r="E1249">
        <v>6188</v>
      </c>
      <c r="F1249">
        <v>6182</v>
      </c>
      <c r="G1249">
        <v>6184</v>
      </c>
      <c r="H1249">
        <v>30900</v>
      </c>
    </row>
    <row r="1250" spans="2:8">
      <c r="B1250" t="s">
        <v>463</v>
      </c>
      <c r="C1250" t="s">
        <v>417</v>
      </c>
      <c r="D1250">
        <v>6184</v>
      </c>
      <c r="E1250">
        <v>6194</v>
      </c>
      <c r="F1250">
        <v>6178</v>
      </c>
      <c r="G1250">
        <v>6182</v>
      </c>
      <c r="H1250">
        <v>68600</v>
      </c>
    </row>
    <row r="1251" spans="2:8">
      <c r="B1251" t="s">
        <v>463</v>
      </c>
      <c r="C1251" t="s">
        <v>418</v>
      </c>
      <c r="D1251">
        <v>6181</v>
      </c>
      <c r="E1251">
        <v>6184</v>
      </c>
      <c r="F1251">
        <v>6178</v>
      </c>
      <c r="G1251">
        <v>6183</v>
      </c>
      <c r="H1251">
        <v>26200</v>
      </c>
    </row>
    <row r="1252" spans="2:8">
      <c r="B1252" t="s">
        <v>463</v>
      </c>
      <c r="C1252" t="s">
        <v>419</v>
      </c>
      <c r="D1252">
        <v>6183</v>
      </c>
      <c r="E1252">
        <v>6185</v>
      </c>
      <c r="F1252">
        <v>6182</v>
      </c>
      <c r="G1252">
        <v>6184</v>
      </c>
      <c r="H1252">
        <v>18500</v>
      </c>
    </row>
    <row r="1253" spans="2:8">
      <c r="B1253" t="s">
        <v>463</v>
      </c>
      <c r="C1253" t="s">
        <v>420</v>
      </c>
      <c r="D1253">
        <v>6182</v>
      </c>
      <c r="E1253">
        <v>6195</v>
      </c>
      <c r="F1253">
        <v>6182</v>
      </c>
      <c r="G1253">
        <v>6194</v>
      </c>
      <c r="H1253">
        <v>30500</v>
      </c>
    </row>
    <row r="1254" spans="2:8">
      <c r="B1254" t="s">
        <v>463</v>
      </c>
      <c r="C1254" t="s">
        <v>421</v>
      </c>
      <c r="D1254">
        <v>6194</v>
      </c>
      <c r="E1254">
        <v>6196</v>
      </c>
      <c r="F1254">
        <v>6180</v>
      </c>
      <c r="G1254">
        <v>6186</v>
      </c>
      <c r="H1254">
        <v>71400</v>
      </c>
    </row>
    <row r="1255" spans="2:8">
      <c r="B1255" t="s">
        <v>463</v>
      </c>
      <c r="C1255" t="s">
        <v>422</v>
      </c>
      <c r="D1255">
        <v>6187</v>
      </c>
      <c r="E1255">
        <v>6194</v>
      </c>
      <c r="F1255">
        <v>6186</v>
      </c>
      <c r="G1255">
        <v>6193</v>
      </c>
      <c r="H1255">
        <v>21700</v>
      </c>
    </row>
    <row r="1256" spans="2:8">
      <c r="B1256" t="s">
        <v>463</v>
      </c>
      <c r="C1256" t="s">
        <v>423</v>
      </c>
      <c r="D1256">
        <v>6193</v>
      </c>
      <c r="E1256">
        <v>6199</v>
      </c>
      <c r="F1256">
        <v>6192</v>
      </c>
      <c r="G1256">
        <v>6197</v>
      </c>
      <c r="H1256">
        <v>30900</v>
      </c>
    </row>
    <row r="1257" spans="2:8">
      <c r="B1257" t="s">
        <v>463</v>
      </c>
      <c r="C1257" t="s">
        <v>424</v>
      </c>
      <c r="D1257">
        <v>6198</v>
      </c>
      <c r="E1257">
        <v>6203</v>
      </c>
      <c r="F1257">
        <v>6193</v>
      </c>
      <c r="G1257">
        <v>6194</v>
      </c>
      <c r="H1257">
        <v>79600</v>
      </c>
    </row>
    <row r="1258" spans="2:8">
      <c r="B1258" t="s">
        <v>463</v>
      </c>
      <c r="C1258" t="s">
        <v>425</v>
      </c>
      <c r="D1258">
        <v>6195</v>
      </c>
      <c r="E1258">
        <v>6196</v>
      </c>
      <c r="F1258">
        <v>6182</v>
      </c>
      <c r="G1258">
        <v>6186</v>
      </c>
      <c r="H1258">
        <v>55100</v>
      </c>
    </row>
    <row r="1259" spans="2:8">
      <c r="B1259" t="s">
        <v>463</v>
      </c>
      <c r="C1259" t="s">
        <v>426</v>
      </c>
      <c r="D1259">
        <v>6186</v>
      </c>
      <c r="E1259">
        <v>6190</v>
      </c>
      <c r="F1259">
        <v>6186</v>
      </c>
      <c r="G1259">
        <v>6190</v>
      </c>
      <c r="H1259">
        <v>19000</v>
      </c>
    </row>
    <row r="1260" spans="2:8">
      <c r="B1260" t="s">
        <v>463</v>
      </c>
      <c r="C1260" t="s">
        <v>427</v>
      </c>
      <c r="D1260">
        <v>6190</v>
      </c>
      <c r="E1260">
        <v>6193</v>
      </c>
      <c r="F1260">
        <v>6189</v>
      </c>
      <c r="G1260">
        <v>6192</v>
      </c>
      <c r="H1260">
        <v>15100</v>
      </c>
    </row>
    <row r="1261" spans="2:8">
      <c r="B1261" t="s">
        <v>463</v>
      </c>
      <c r="C1261" t="s">
        <v>428</v>
      </c>
      <c r="D1261">
        <v>6192</v>
      </c>
      <c r="E1261">
        <v>6194</v>
      </c>
      <c r="F1261">
        <v>6190</v>
      </c>
      <c r="G1261">
        <v>6192</v>
      </c>
      <c r="H1261">
        <v>16000</v>
      </c>
    </row>
    <row r="1262" spans="2:8">
      <c r="B1262" t="s">
        <v>463</v>
      </c>
      <c r="C1262" t="s">
        <v>429</v>
      </c>
      <c r="D1262">
        <v>6193</v>
      </c>
      <c r="E1262">
        <v>6196</v>
      </c>
      <c r="F1262">
        <v>6192</v>
      </c>
      <c r="G1262">
        <v>6193</v>
      </c>
      <c r="H1262">
        <v>25000</v>
      </c>
    </row>
    <row r="1263" spans="2:8">
      <c r="B1263" t="s">
        <v>463</v>
      </c>
      <c r="C1263" t="s">
        <v>430</v>
      </c>
      <c r="D1263">
        <v>6193</v>
      </c>
      <c r="E1263">
        <v>6194</v>
      </c>
      <c r="F1263">
        <v>6192</v>
      </c>
      <c r="G1263">
        <v>6193</v>
      </c>
      <c r="H1263">
        <v>9100</v>
      </c>
    </row>
    <row r="1264" spans="2:8">
      <c r="B1264" t="s">
        <v>463</v>
      </c>
      <c r="C1264" t="s">
        <v>431</v>
      </c>
      <c r="D1264">
        <v>6193</v>
      </c>
      <c r="E1264">
        <v>6201</v>
      </c>
      <c r="F1264">
        <v>6193</v>
      </c>
      <c r="G1264">
        <v>6200</v>
      </c>
      <c r="H1264">
        <v>45100</v>
      </c>
    </row>
    <row r="1265" spans="2:8">
      <c r="B1265" t="s">
        <v>463</v>
      </c>
      <c r="C1265" t="s">
        <v>9</v>
      </c>
      <c r="D1265">
        <v>6201</v>
      </c>
      <c r="E1265">
        <v>6201</v>
      </c>
      <c r="F1265">
        <v>6197</v>
      </c>
      <c r="G1265">
        <v>6199</v>
      </c>
      <c r="H1265">
        <v>33900</v>
      </c>
    </row>
    <row r="1266" spans="2:8">
      <c r="B1266" t="s">
        <v>463</v>
      </c>
      <c r="C1266" t="s">
        <v>10</v>
      </c>
      <c r="D1266">
        <v>6199</v>
      </c>
      <c r="E1266">
        <v>6206</v>
      </c>
      <c r="F1266">
        <v>6185</v>
      </c>
      <c r="G1266">
        <v>6188</v>
      </c>
      <c r="H1266">
        <v>85800</v>
      </c>
    </row>
    <row r="1267" spans="2:8">
      <c r="B1267" t="s">
        <v>463</v>
      </c>
      <c r="C1267" t="s">
        <v>11</v>
      </c>
      <c r="D1267">
        <v>6187</v>
      </c>
      <c r="E1267">
        <v>6188</v>
      </c>
      <c r="F1267">
        <v>6186</v>
      </c>
      <c r="G1267">
        <v>6187</v>
      </c>
      <c r="H1267">
        <v>16600</v>
      </c>
    </row>
    <row r="1268" spans="2:8">
      <c r="B1268" t="s">
        <v>463</v>
      </c>
      <c r="C1268" t="s">
        <v>12</v>
      </c>
      <c r="D1268">
        <v>6188</v>
      </c>
      <c r="E1268">
        <v>6190</v>
      </c>
      <c r="F1268">
        <v>6184</v>
      </c>
      <c r="G1268">
        <v>6186</v>
      </c>
      <c r="H1268">
        <v>22900</v>
      </c>
    </row>
    <row r="1269" spans="2:8">
      <c r="B1269" t="s">
        <v>463</v>
      </c>
      <c r="C1269" t="s">
        <v>13</v>
      </c>
      <c r="D1269">
        <v>6185</v>
      </c>
      <c r="E1269">
        <v>6187</v>
      </c>
      <c r="F1269">
        <v>6185</v>
      </c>
      <c r="G1269">
        <v>6186</v>
      </c>
      <c r="H1269">
        <v>8700</v>
      </c>
    </row>
    <row r="1270" spans="2:8">
      <c r="B1270" t="s">
        <v>463</v>
      </c>
      <c r="C1270" t="s">
        <v>14</v>
      </c>
      <c r="D1270">
        <v>6187</v>
      </c>
      <c r="E1270">
        <v>6195</v>
      </c>
      <c r="F1270">
        <v>6187</v>
      </c>
      <c r="G1270">
        <v>6193</v>
      </c>
      <c r="H1270">
        <v>26000</v>
      </c>
    </row>
    <row r="1271" spans="2:8">
      <c r="B1271" t="s">
        <v>463</v>
      </c>
      <c r="C1271" t="s">
        <v>15</v>
      </c>
      <c r="D1271">
        <v>6194</v>
      </c>
      <c r="E1271">
        <v>6195</v>
      </c>
      <c r="F1271">
        <v>6192</v>
      </c>
      <c r="G1271">
        <v>6194</v>
      </c>
      <c r="H1271">
        <v>15500</v>
      </c>
    </row>
    <row r="1272" spans="2:8">
      <c r="B1272" t="s">
        <v>463</v>
      </c>
      <c r="C1272" t="s">
        <v>16</v>
      </c>
      <c r="D1272">
        <v>6194</v>
      </c>
      <c r="E1272">
        <v>6194</v>
      </c>
      <c r="F1272">
        <v>6192</v>
      </c>
      <c r="G1272">
        <v>6194</v>
      </c>
      <c r="H1272">
        <v>12000</v>
      </c>
    </row>
    <row r="1273" spans="2:8">
      <c r="B1273" t="s">
        <v>463</v>
      </c>
      <c r="C1273" t="s">
        <v>17</v>
      </c>
      <c r="D1273">
        <v>6194</v>
      </c>
      <c r="E1273">
        <v>6197</v>
      </c>
      <c r="F1273">
        <v>6192</v>
      </c>
      <c r="G1273">
        <v>6197</v>
      </c>
      <c r="H1273">
        <v>17000</v>
      </c>
    </row>
    <row r="1274" spans="2:8">
      <c r="B1274" t="s">
        <v>463</v>
      </c>
      <c r="C1274" t="s">
        <v>18</v>
      </c>
      <c r="D1274">
        <v>6197</v>
      </c>
      <c r="E1274">
        <v>6197</v>
      </c>
      <c r="F1274">
        <v>6193</v>
      </c>
      <c r="G1274">
        <v>6193</v>
      </c>
      <c r="H1274">
        <v>10600</v>
      </c>
    </row>
    <row r="1275" spans="2:8">
      <c r="B1275" t="s">
        <v>463</v>
      </c>
      <c r="C1275" t="s">
        <v>19</v>
      </c>
      <c r="D1275">
        <v>6193</v>
      </c>
      <c r="E1275">
        <v>6196</v>
      </c>
      <c r="F1275">
        <v>6192</v>
      </c>
      <c r="G1275">
        <v>6192</v>
      </c>
      <c r="H1275">
        <v>21000</v>
      </c>
    </row>
    <row r="1276" spans="2:8">
      <c r="B1276" t="s">
        <v>463</v>
      </c>
      <c r="C1276" t="s">
        <v>20</v>
      </c>
      <c r="D1276">
        <v>6193</v>
      </c>
      <c r="E1276">
        <v>6196</v>
      </c>
      <c r="F1276">
        <v>6192</v>
      </c>
      <c r="G1276">
        <v>6195</v>
      </c>
      <c r="H1276">
        <v>6700</v>
      </c>
    </row>
    <row r="1277" spans="2:8">
      <c r="B1277" t="s">
        <v>463</v>
      </c>
      <c r="C1277" t="s">
        <v>21</v>
      </c>
      <c r="D1277">
        <v>6195</v>
      </c>
      <c r="E1277">
        <v>6195</v>
      </c>
      <c r="F1277">
        <v>6194</v>
      </c>
      <c r="G1277">
        <v>6194</v>
      </c>
      <c r="H1277">
        <v>6400</v>
      </c>
    </row>
    <row r="1278" spans="2:8">
      <c r="B1278" t="s">
        <v>463</v>
      </c>
      <c r="C1278" t="s">
        <v>22</v>
      </c>
      <c r="D1278">
        <v>6194</v>
      </c>
      <c r="E1278">
        <v>6199</v>
      </c>
      <c r="F1278">
        <v>6194</v>
      </c>
      <c r="G1278">
        <v>6195</v>
      </c>
      <c r="H1278">
        <v>37400</v>
      </c>
    </row>
    <row r="1279" spans="2:8">
      <c r="B1279" t="s">
        <v>463</v>
      </c>
      <c r="C1279" t="s">
        <v>23</v>
      </c>
      <c r="D1279">
        <v>6195</v>
      </c>
      <c r="E1279">
        <v>6203</v>
      </c>
      <c r="F1279">
        <v>6195</v>
      </c>
      <c r="G1279">
        <v>6202</v>
      </c>
      <c r="H1279">
        <v>72200</v>
      </c>
    </row>
    <row r="1280" spans="2:8">
      <c r="B1280" t="s">
        <v>463</v>
      </c>
      <c r="C1280" t="s">
        <v>24</v>
      </c>
      <c r="D1280">
        <v>6201</v>
      </c>
      <c r="E1280">
        <v>6210</v>
      </c>
      <c r="F1280">
        <v>6198</v>
      </c>
      <c r="G1280">
        <v>6210</v>
      </c>
      <c r="H1280">
        <v>106500</v>
      </c>
    </row>
    <row r="1281" spans="2:8">
      <c r="B1281" t="s">
        <v>463</v>
      </c>
      <c r="C1281" t="s">
        <v>25</v>
      </c>
      <c r="D1281">
        <v>6209</v>
      </c>
      <c r="E1281">
        <v>6218</v>
      </c>
      <c r="F1281">
        <v>6209</v>
      </c>
      <c r="G1281">
        <v>6216</v>
      </c>
      <c r="H1281">
        <v>66400</v>
      </c>
    </row>
    <row r="1282" spans="2:8">
      <c r="B1282" t="s">
        <v>463</v>
      </c>
      <c r="C1282" t="s">
        <v>26</v>
      </c>
      <c r="D1282">
        <v>6215</v>
      </c>
      <c r="E1282">
        <v>6219</v>
      </c>
      <c r="F1282">
        <v>6214</v>
      </c>
      <c r="G1282">
        <v>6217</v>
      </c>
      <c r="H1282">
        <v>39600</v>
      </c>
    </row>
    <row r="1283" spans="2:8">
      <c r="B1283" t="s">
        <v>463</v>
      </c>
      <c r="C1283" t="s">
        <v>27</v>
      </c>
      <c r="D1283">
        <v>6217</v>
      </c>
      <c r="E1283">
        <v>6220</v>
      </c>
      <c r="F1283">
        <v>6216</v>
      </c>
      <c r="G1283">
        <v>6219</v>
      </c>
      <c r="H1283">
        <v>24700</v>
      </c>
    </row>
    <row r="1284" spans="2:8">
      <c r="B1284" t="s">
        <v>463</v>
      </c>
      <c r="C1284" t="s">
        <v>28</v>
      </c>
      <c r="D1284">
        <v>6220</v>
      </c>
      <c r="E1284">
        <v>6220</v>
      </c>
      <c r="F1284">
        <v>6216</v>
      </c>
      <c r="G1284">
        <v>6216</v>
      </c>
      <c r="H1284">
        <v>25700</v>
      </c>
    </row>
    <row r="1285" spans="2:8">
      <c r="B1285" t="s">
        <v>463</v>
      </c>
      <c r="C1285" t="s">
        <v>29</v>
      </c>
      <c r="D1285">
        <v>6216</v>
      </c>
      <c r="E1285">
        <v>6222</v>
      </c>
      <c r="F1285">
        <v>6216</v>
      </c>
      <c r="G1285">
        <v>6220</v>
      </c>
      <c r="H1285">
        <v>68100</v>
      </c>
    </row>
    <row r="1286" spans="2:8">
      <c r="B1286" t="s">
        <v>463</v>
      </c>
      <c r="C1286" t="s">
        <v>30</v>
      </c>
      <c r="D1286">
        <v>6220</v>
      </c>
      <c r="E1286">
        <v>6223</v>
      </c>
      <c r="F1286">
        <v>6218</v>
      </c>
      <c r="G1286">
        <v>6220</v>
      </c>
      <c r="H1286">
        <v>35700</v>
      </c>
    </row>
    <row r="1287" spans="2:8">
      <c r="B1287" t="s">
        <v>463</v>
      </c>
      <c r="C1287" t="s">
        <v>31</v>
      </c>
      <c r="D1287">
        <v>6220</v>
      </c>
      <c r="E1287">
        <v>6221</v>
      </c>
      <c r="F1287">
        <v>6217</v>
      </c>
      <c r="G1287">
        <v>6220</v>
      </c>
      <c r="H1287">
        <v>27100</v>
      </c>
    </row>
    <row r="1288" spans="2:8">
      <c r="B1288" t="s">
        <v>463</v>
      </c>
      <c r="C1288" t="s">
        <v>32</v>
      </c>
      <c r="D1288">
        <v>6219</v>
      </c>
      <c r="E1288">
        <v>6222</v>
      </c>
      <c r="F1288">
        <v>6219</v>
      </c>
      <c r="G1288">
        <v>6221</v>
      </c>
      <c r="H1288">
        <v>19400</v>
      </c>
    </row>
    <row r="1289" spans="2:8">
      <c r="B1289" t="s">
        <v>463</v>
      </c>
      <c r="C1289" t="s">
        <v>33</v>
      </c>
      <c r="D1289">
        <v>6220</v>
      </c>
      <c r="E1289">
        <v>6225</v>
      </c>
      <c r="F1289">
        <v>6218</v>
      </c>
      <c r="G1289">
        <v>6222</v>
      </c>
      <c r="H1289">
        <v>46900</v>
      </c>
    </row>
    <row r="1290" spans="2:8">
      <c r="B1290" t="s">
        <v>463</v>
      </c>
      <c r="C1290" t="s">
        <v>34</v>
      </c>
      <c r="D1290">
        <v>6221</v>
      </c>
      <c r="E1290">
        <v>6223</v>
      </c>
      <c r="F1290">
        <v>6219</v>
      </c>
      <c r="G1290">
        <v>6220</v>
      </c>
      <c r="H1290">
        <v>17300</v>
      </c>
    </row>
    <row r="1291" spans="2:8">
      <c r="B1291" t="s">
        <v>463</v>
      </c>
      <c r="C1291" t="s">
        <v>35</v>
      </c>
      <c r="D1291">
        <v>6220</v>
      </c>
      <c r="E1291">
        <v>6220</v>
      </c>
      <c r="F1291">
        <v>6215</v>
      </c>
      <c r="G1291">
        <v>6215</v>
      </c>
      <c r="H1291">
        <v>38000</v>
      </c>
    </row>
    <row r="1292" spans="2:8">
      <c r="B1292" t="s">
        <v>463</v>
      </c>
      <c r="C1292" t="s">
        <v>36</v>
      </c>
      <c r="D1292">
        <v>6216</v>
      </c>
      <c r="E1292">
        <v>6220</v>
      </c>
      <c r="F1292">
        <v>6203</v>
      </c>
      <c r="G1292">
        <v>6210</v>
      </c>
      <c r="H1292">
        <v>60300</v>
      </c>
    </row>
    <row r="1293" spans="2:8">
      <c r="B1293" t="s">
        <v>463</v>
      </c>
      <c r="C1293" t="s">
        <v>37</v>
      </c>
      <c r="D1293">
        <v>6210</v>
      </c>
      <c r="E1293">
        <v>6211</v>
      </c>
      <c r="F1293">
        <v>6195</v>
      </c>
      <c r="G1293">
        <v>6199</v>
      </c>
      <c r="H1293">
        <v>71000</v>
      </c>
    </row>
    <row r="1294" spans="2:8">
      <c r="B1294" t="s">
        <v>463</v>
      </c>
      <c r="C1294" t="s">
        <v>38</v>
      </c>
      <c r="D1294">
        <v>6199</v>
      </c>
      <c r="E1294">
        <v>6200</v>
      </c>
      <c r="F1294">
        <v>6197</v>
      </c>
      <c r="G1294">
        <v>6200</v>
      </c>
      <c r="H1294">
        <v>58500</v>
      </c>
    </row>
    <row r="1295" spans="2:8">
      <c r="B1295" t="s">
        <v>463</v>
      </c>
      <c r="C1295" t="s">
        <v>39</v>
      </c>
      <c r="D1295">
        <v>6200</v>
      </c>
      <c r="E1295">
        <v>6203</v>
      </c>
      <c r="F1295">
        <v>6195</v>
      </c>
      <c r="G1295">
        <v>6198</v>
      </c>
      <c r="H1295">
        <v>21900</v>
      </c>
    </row>
    <row r="1296" spans="2:8">
      <c r="B1296" t="s">
        <v>463</v>
      </c>
      <c r="C1296" t="s">
        <v>40</v>
      </c>
      <c r="D1296">
        <v>6198</v>
      </c>
      <c r="E1296">
        <v>6202</v>
      </c>
      <c r="F1296">
        <v>6198</v>
      </c>
      <c r="G1296">
        <v>6202</v>
      </c>
      <c r="H1296">
        <v>15100</v>
      </c>
    </row>
    <row r="1297" spans="2:8">
      <c r="B1297" t="s">
        <v>463</v>
      </c>
      <c r="C1297" t="s">
        <v>41</v>
      </c>
      <c r="D1297">
        <v>6203</v>
      </c>
      <c r="E1297">
        <v>6205</v>
      </c>
      <c r="F1297">
        <v>6192</v>
      </c>
      <c r="G1297">
        <v>6196</v>
      </c>
      <c r="H1297">
        <v>45600</v>
      </c>
    </row>
    <row r="1298" spans="2:8">
      <c r="B1298" t="s">
        <v>463</v>
      </c>
      <c r="C1298" t="s">
        <v>42</v>
      </c>
      <c r="D1298">
        <v>6195</v>
      </c>
      <c r="E1298">
        <v>6199</v>
      </c>
      <c r="F1298">
        <v>6193</v>
      </c>
      <c r="G1298">
        <v>6197</v>
      </c>
      <c r="H1298">
        <v>12600</v>
      </c>
    </row>
    <row r="1299" spans="2:8">
      <c r="B1299" t="s">
        <v>463</v>
      </c>
      <c r="C1299" t="s">
        <v>43</v>
      </c>
      <c r="D1299">
        <v>6196</v>
      </c>
      <c r="E1299">
        <v>6199</v>
      </c>
      <c r="F1299">
        <v>6196</v>
      </c>
      <c r="G1299">
        <v>6196</v>
      </c>
      <c r="H1299">
        <v>10700</v>
      </c>
    </row>
    <row r="1300" spans="2:8">
      <c r="B1300" t="s">
        <v>463</v>
      </c>
      <c r="C1300" t="s">
        <v>44</v>
      </c>
      <c r="D1300">
        <v>6195</v>
      </c>
      <c r="E1300">
        <v>6198</v>
      </c>
      <c r="F1300">
        <v>6195</v>
      </c>
      <c r="G1300">
        <v>6198</v>
      </c>
      <c r="H1300">
        <v>11600</v>
      </c>
    </row>
    <row r="1301" spans="2:8">
      <c r="B1301" t="s">
        <v>463</v>
      </c>
      <c r="C1301" t="s">
        <v>45</v>
      </c>
      <c r="D1301">
        <v>6197</v>
      </c>
      <c r="E1301">
        <v>6203</v>
      </c>
      <c r="F1301">
        <v>6197</v>
      </c>
      <c r="G1301">
        <v>6199</v>
      </c>
      <c r="H1301">
        <v>36700</v>
      </c>
    </row>
    <row r="1302" spans="2:8">
      <c r="B1302" t="s">
        <v>463</v>
      </c>
      <c r="C1302" t="s">
        <v>46</v>
      </c>
      <c r="D1302">
        <v>6199</v>
      </c>
      <c r="E1302">
        <v>6201</v>
      </c>
      <c r="F1302">
        <v>6196</v>
      </c>
      <c r="G1302">
        <v>6200</v>
      </c>
      <c r="H1302">
        <v>22800</v>
      </c>
    </row>
    <row r="1303" spans="2:8">
      <c r="B1303" t="s">
        <v>463</v>
      </c>
      <c r="C1303" t="s">
        <v>47</v>
      </c>
      <c r="D1303">
        <v>6201</v>
      </c>
      <c r="E1303">
        <v>6203</v>
      </c>
      <c r="F1303">
        <v>6201</v>
      </c>
      <c r="G1303">
        <v>6202</v>
      </c>
      <c r="H1303">
        <v>10400</v>
      </c>
    </row>
    <row r="1304" spans="2:8">
      <c r="B1304" t="s">
        <v>463</v>
      </c>
      <c r="C1304" t="s">
        <v>48</v>
      </c>
      <c r="D1304">
        <v>6202</v>
      </c>
      <c r="E1304">
        <v>6206</v>
      </c>
      <c r="F1304">
        <v>6202</v>
      </c>
      <c r="G1304">
        <v>6203</v>
      </c>
      <c r="H1304">
        <v>25700</v>
      </c>
    </row>
    <row r="1305" spans="2:8">
      <c r="B1305" t="s">
        <v>463</v>
      </c>
      <c r="C1305" t="s">
        <v>49</v>
      </c>
      <c r="D1305">
        <v>6204</v>
      </c>
      <c r="E1305">
        <v>6205</v>
      </c>
      <c r="F1305">
        <v>6200</v>
      </c>
      <c r="G1305">
        <v>6201</v>
      </c>
      <c r="H1305">
        <v>22800</v>
      </c>
    </row>
    <row r="1306" spans="2:8">
      <c r="B1306" t="s">
        <v>463</v>
      </c>
      <c r="C1306" t="s">
        <v>50</v>
      </c>
      <c r="D1306">
        <v>6201</v>
      </c>
      <c r="E1306">
        <v>6205</v>
      </c>
      <c r="F1306">
        <v>6201</v>
      </c>
      <c r="G1306">
        <v>6203</v>
      </c>
      <c r="H1306">
        <v>20400</v>
      </c>
    </row>
    <row r="1307" spans="2:8">
      <c r="B1307" t="s">
        <v>463</v>
      </c>
      <c r="C1307" t="s">
        <v>51</v>
      </c>
      <c r="D1307">
        <v>6203</v>
      </c>
      <c r="E1307">
        <v>6207</v>
      </c>
      <c r="F1307">
        <v>6203</v>
      </c>
      <c r="G1307">
        <v>6207</v>
      </c>
      <c r="H1307">
        <v>12800</v>
      </c>
    </row>
    <row r="1308" spans="2:8">
      <c r="B1308" t="s">
        <v>463</v>
      </c>
      <c r="C1308" t="s">
        <v>52</v>
      </c>
      <c r="D1308">
        <v>6207</v>
      </c>
      <c r="E1308">
        <v>6207</v>
      </c>
      <c r="F1308">
        <v>6202</v>
      </c>
      <c r="G1308">
        <v>6205</v>
      </c>
      <c r="H1308">
        <v>18900</v>
      </c>
    </row>
    <row r="1309" spans="2:8">
      <c r="B1309" t="s">
        <v>463</v>
      </c>
      <c r="C1309" t="s">
        <v>53</v>
      </c>
      <c r="D1309">
        <v>6205</v>
      </c>
      <c r="E1309">
        <v>6207</v>
      </c>
      <c r="F1309">
        <v>6201</v>
      </c>
      <c r="G1309">
        <v>6204</v>
      </c>
      <c r="H1309">
        <v>14000</v>
      </c>
    </row>
    <row r="1310" spans="2:8">
      <c r="B1310" t="s">
        <v>463</v>
      </c>
      <c r="C1310" t="s">
        <v>54</v>
      </c>
      <c r="D1310">
        <v>6205</v>
      </c>
      <c r="E1310">
        <v>6205</v>
      </c>
      <c r="F1310">
        <v>6192</v>
      </c>
      <c r="G1310">
        <v>6193</v>
      </c>
      <c r="H1310">
        <v>47800</v>
      </c>
    </row>
    <row r="1311" spans="2:8">
      <c r="B1311" t="s">
        <v>463</v>
      </c>
      <c r="C1311" t="s">
        <v>55</v>
      </c>
      <c r="D1311">
        <v>6193</v>
      </c>
      <c r="E1311">
        <v>6200</v>
      </c>
      <c r="F1311">
        <v>6193</v>
      </c>
      <c r="G1311">
        <v>6197</v>
      </c>
      <c r="H1311">
        <v>19300</v>
      </c>
    </row>
    <row r="1312" spans="2:8">
      <c r="B1312" t="s">
        <v>463</v>
      </c>
      <c r="C1312" t="s">
        <v>56</v>
      </c>
      <c r="D1312">
        <v>6198</v>
      </c>
      <c r="E1312">
        <v>6198</v>
      </c>
      <c r="F1312">
        <v>6195</v>
      </c>
      <c r="G1312">
        <v>6197</v>
      </c>
      <c r="H1312">
        <v>16200</v>
      </c>
    </row>
    <row r="1313" spans="2:8">
      <c r="B1313" t="s">
        <v>463</v>
      </c>
      <c r="C1313" t="s">
        <v>57</v>
      </c>
      <c r="D1313">
        <v>6197</v>
      </c>
      <c r="E1313">
        <v>6210</v>
      </c>
      <c r="F1313">
        <v>6197</v>
      </c>
      <c r="G1313">
        <v>6206</v>
      </c>
      <c r="H1313">
        <v>58500</v>
      </c>
    </row>
    <row r="1314" spans="2:8">
      <c r="B1314" t="s">
        <v>463</v>
      </c>
      <c r="C1314" t="s">
        <v>58</v>
      </c>
      <c r="D1314">
        <v>6206</v>
      </c>
      <c r="E1314">
        <v>6206</v>
      </c>
      <c r="F1314">
        <v>6203</v>
      </c>
      <c r="G1314">
        <v>6204</v>
      </c>
      <c r="H1314">
        <v>9100</v>
      </c>
    </row>
    <row r="1315" spans="2:8">
      <c r="B1315" t="s">
        <v>463</v>
      </c>
      <c r="C1315" t="s">
        <v>59</v>
      </c>
      <c r="D1315">
        <v>6204</v>
      </c>
      <c r="E1315">
        <v>6205</v>
      </c>
      <c r="F1315">
        <v>6200</v>
      </c>
      <c r="G1315">
        <v>6201</v>
      </c>
      <c r="H1315">
        <v>19700</v>
      </c>
    </row>
    <row r="1316" spans="2:8">
      <c r="B1316" t="s">
        <v>463</v>
      </c>
      <c r="C1316" t="s">
        <v>60</v>
      </c>
      <c r="D1316">
        <v>6200</v>
      </c>
      <c r="E1316">
        <v>6202</v>
      </c>
      <c r="F1316">
        <v>6196</v>
      </c>
      <c r="G1316">
        <v>6199</v>
      </c>
      <c r="H1316">
        <v>17300</v>
      </c>
    </row>
    <row r="1317" spans="2:8">
      <c r="B1317" t="s">
        <v>463</v>
      </c>
      <c r="C1317" t="s">
        <v>61</v>
      </c>
      <c r="D1317">
        <v>6200</v>
      </c>
      <c r="E1317">
        <v>6200</v>
      </c>
      <c r="F1317">
        <v>6195</v>
      </c>
      <c r="G1317">
        <v>6195</v>
      </c>
      <c r="H1317">
        <v>19800</v>
      </c>
    </row>
    <row r="1318" spans="2:8">
      <c r="B1318" t="s">
        <v>463</v>
      </c>
      <c r="C1318" t="s">
        <v>62</v>
      </c>
      <c r="D1318">
        <v>6195</v>
      </c>
      <c r="E1318">
        <v>6200</v>
      </c>
      <c r="F1318">
        <v>6194</v>
      </c>
      <c r="G1318">
        <v>6200</v>
      </c>
      <c r="H1318">
        <v>18600</v>
      </c>
    </row>
    <row r="1319" spans="2:8">
      <c r="B1319" t="s">
        <v>463</v>
      </c>
      <c r="C1319" t="s">
        <v>63</v>
      </c>
      <c r="D1319">
        <v>6200</v>
      </c>
      <c r="E1319">
        <v>6202</v>
      </c>
      <c r="F1319">
        <v>6198</v>
      </c>
      <c r="G1319">
        <v>6199</v>
      </c>
      <c r="H1319">
        <v>13500</v>
      </c>
    </row>
    <row r="1320" spans="2:8">
      <c r="B1320" t="s">
        <v>463</v>
      </c>
      <c r="C1320" t="s">
        <v>64</v>
      </c>
      <c r="D1320">
        <v>6198</v>
      </c>
      <c r="E1320">
        <v>6200</v>
      </c>
      <c r="F1320">
        <v>6197</v>
      </c>
      <c r="G1320">
        <v>6200</v>
      </c>
      <c r="H1320">
        <v>14000</v>
      </c>
    </row>
    <row r="1321" spans="2:8">
      <c r="B1321" t="s">
        <v>463</v>
      </c>
      <c r="C1321" t="s">
        <v>65</v>
      </c>
      <c r="D1321">
        <v>6199</v>
      </c>
      <c r="E1321">
        <v>6204</v>
      </c>
      <c r="F1321">
        <v>6198</v>
      </c>
      <c r="G1321">
        <v>6200</v>
      </c>
      <c r="H1321">
        <v>23600</v>
      </c>
    </row>
    <row r="1322" spans="2:8">
      <c r="B1322" t="s">
        <v>463</v>
      </c>
      <c r="C1322" t="s">
        <v>66</v>
      </c>
      <c r="D1322">
        <v>6200</v>
      </c>
      <c r="E1322">
        <v>6208</v>
      </c>
      <c r="F1322">
        <v>6200</v>
      </c>
      <c r="G1322">
        <v>6207</v>
      </c>
      <c r="H1322">
        <v>29700</v>
      </c>
    </row>
    <row r="1323" spans="2:8">
      <c r="B1323" t="s">
        <v>463</v>
      </c>
      <c r="C1323" t="s">
        <v>164</v>
      </c>
      <c r="D1323">
        <v>6207</v>
      </c>
      <c r="E1323">
        <v>6214</v>
      </c>
      <c r="F1323">
        <v>6205</v>
      </c>
      <c r="G1323">
        <v>6214</v>
      </c>
      <c r="H1323">
        <v>43900</v>
      </c>
    </row>
    <row r="1324" spans="2:8">
      <c r="B1324" t="s">
        <v>463</v>
      </c>
      <c r="C1324" t="s">
        <v>165</v>
      </c>
      <c r="D1324">
        <v>6214</v>
      </c>
      <c r="E1324">
        <v>6221</v>
      </c>
      <c r="F1324">
        <v>6213</v>
      </c>
      <c r="G1324">
        <v>6218</v>
      </c>
      <c r="H1324">
        <v>58200</v>
      </c>
    </row>
    <row r="1325" spans="2:8">
      <c r="B1325" t="s">
        <v>463</v>
      </c>
      <c r="C1325" t="s">
        <v>67</v>
      </c>
      <c r="D1325" t="s">
        <v>8</v>
      </c>
      <c r="E1325" t="s">
        <v>8</v>
      </c>
      <c r="F1325" t="s">
        <v>8</v>
      </c>
      <c r="G1325" t="s">
        <v>8</v>
      </c>
      <c r="H1325">
        <v>0</v>
      </c>
    </row>
    <row r="1326" spans="2:8">
      <c r="B1326" t="s">
        <v>463</v>
      </c>
      <c r="C1326" t="s">
        <v>68</v>
      </c>
      <c r="D1326" t="s">
        <v>8</v>
      </c>
      <c r="E1326" t="s">
        <v>8</v>
      </c>
      <c r="F1326" t="s">
        <v>8</v>
      </c>
      <c r="G1326" t="s">
        <v>8</v>
      </c>
      <c r="H1326">
        <v>0</v>
      </c>
    </row>
    <row r="1327" spans="2:8">
      <c r="B1327" t="s">
        <v>463</v>
      </c>
      <c r="C1327" t="s">
        <v>69</v>
      </c>
      <c r="D1327" t="s">
        <v>8</v>
      </c>
      <c r="E1327" t="s">
        <v>8</v>
      </c>
      <c r="F1327" t="s">
        <v>8</v>
      </c>
      <c r="G1327" t="s">
        <v>8</v>
      </c>
      <c r="H1327">
        <v>0</v>
      </c>
    </row>
    <row r="1328" spans="2:8">
      <c r="B1328" t="s">
        <v>463</v>
      </c>
      <c r="C1328" t="s">
        <v>70</v>
      </c>
      <c r="D1328" t="s">
        <v>8</v>
      </c>
      <c r="E1328" t="s">
        <v>8</v>
      </c>
      <c r="F1328" t="s">
        <v>8</v>
      </c>
      <c r="G1328" t="s">
        <v>8</v>
      </c>
      <c r="H1328">
        <v>0</v>
      </c>
    </row>
    <row r="1329" spans="2:8">
      <c r="B1329" t="s">
        <v>463</v>
      </c>
      <c r="C1329" t="s">
        <v>71</v>
      </c>
      <c r="D1329" t="s">
        <v>8</v>
      </c>
      <c r="E1329" t="s">
        <v>8</v>
      </c>
      <c r="F1329" t="s">
        <v>8</v>
      </c>
      <c r="G1329" t="s">
        <v>8</v>
      </c>
      <c r="H1329">
        <v>0</v>
      </c>
    </row>
    <row r="1330" spans="2:8">
      <c r="B1330" t="s">
        <v>463</v>
      </c>
      <c r="C1330" t="s">
        <v>72</v>
      </c>
      <c r="D1330">
        <v>6223</v>
      </c>
      <c r="E1330">
        <v>6223</v>
      </c>
      <c r="F1330">
        <v>6223</v>
      </c>
      <c r="G1330">
        <v>6223</v>
      </c>
      <c r="H1330">
        <v>567700</v>
      </c>
    </row>
    <row r="1331" spans="2:8">
      <c r="B1331" t="s">
        <v>587</v>
      </c>
      <c r="C1331" t="s">
        <v>166</v>
      </c>
      <c r="D1331">
        <v>6179</v>
      </c>
      <c r="E1331">
        <v>6255</v>
      </c>
      <c r="F1331">
        <v>6172</v>
      </c>
      <c r="G1331">
        <v>6255</v>
      </c>
      <c r="H1331">
        <v>379900</v>
      </c>
    </row>
    <row r="1332" spans="2:8">
      <c r="B1332" t="s">
        <v>587</v>
      </c>
      <c r="C1332" t="s">
        <v>167</v>
      </c>
      <c r="D1332">
        <v>6254</v>
      </c>
      <c r="E1332">
        <v>6272</v>
      </c>
      <c r="F1332">
        <v>6240</v>
      </c>
      <c r="G1332">
        <v>6253</v>
      </c>
      <c r="H1332">
        <v>185300</v>
      </c>
    </row>
    <row r="1333" spans="2:8">
      <c r="B1333" t="s">
        <v>587</v>
      </c>
      <c r="C1333" t="s">
        <v>168</v>
      </c>
      <c r="D1333">
        <v>6251</v>
      </c>
      <c r="E1333">
        <v>6269</v>
      </c>
      <c r="F1333">
        <v>6243</v>
      </c>
      <c r="G1333">
        <v>6254</v>
      </c>
      <c r="H1333">
        <v>122700</v>
      </c>
    </row>
    <row r="1334" spans="2:8">
      <c r="B1334" t="s">
        <v>587</v>
      </c>
      <c r="C1334" t="s">
        <v>169</v>
      </c>
      <c r="D1334">
        <v>6254</v>
      </c>
      <c r="E1334">
        <v>6267</v>
      </c>
      <c r="F1334">
        <v>6237</v>
      </c>
      <c r="G1334">
        <v>6265</v>
      </c>
      <c r="H1334">
        <v>142700</v>
      </c>
    </row>
    <row r="1335" spans="2:8">
      <c r="B1335" t="s">
        <v>587</v>
      </c>
      <c r="C1335" t="s">
        <v>170</v>
      </c>
      <c r="D1335">
        <v>6266</v>
      </c>
      <c r="E1335">
        <v>6270</v>
      </c>
      <c r="F1335">
        <v>6242</v>
      </c>
      <c r="G1335">
        <v>6255</v>
      </c>
      <c r="H1335">
        <v>120100</v>
      </c>
    </row>
    <row r="1336" spans="2:8">
      <c r="B1336" t="s">
        <v>587</v>
      </c>
      <c r="C1336" t="s">
        <v>171</v>
      </c>
      <c r="D1336">
        <v>6255</v>
      </c>
      <c r="E1336">
        <v>6264</v>
      </c>
      <c r="F1336">
        <v>6244</v>
      </c>
      <c r="G1336">
        <v>6247</v>
      </c>
      <c r="H1336">
        <v>118700</v>
      </c>
    </row>
    <row r="1337" spans="2:8">
      <c r="B1337" t="s">
        <v>587</v>
      </c>
      <c r="C1337" t="s">
        <v>172</v>
      </c>
      <c r="D1337">
        <v>6248</v>
      </c>
      <c r="E1337">
        <v>6259</v>
      </c>
      <c r="F1337">
        <v>6247</v>
      </c>
      <c r="G1337">
        <v>6251</v>
      </c>
      <c r="H1337">
        <v>48800</v>
      </c>
    </row>
    <row r="1338" spans="2:8">
      <c r="B1338" t="s">
        <v>587</v>
      </c>
      <c r="C1338" t="s">
        <v>173</v>
      </c>
      <c r="D1338">
        <v>6251</v>
      </c>
      <c r="E1338">
        <v>6251</v>
      </c>
      <c r="F1338">
        <v>6233</v>
      </c>
      <c r="G1338">
        <v>6238</v>
      </c>
      <c r="H1338">
        <v>79900</v>
      </c>
    </row>
    <row r="1339" spans="2:8">
      <c r="B1339" t="s">
        <v>587</v>
      </c>
      <c r="C1339" t="s">
        <v>174</v>
      </c>
      <c r="D1339">
        <v>6238</v>
      </c>
      <c r="E1339">
        <v>6259</v>
      </c>
      <c r="F1339">
        <v>6230</v>
      </c>
      <c r="G1339">
        <v>6259</v>
      </c>
      <c r="H1339">
        <v>124300</v>
      </c>
    </row>
    <row r="1340" spans="2:8">
      <c r="B1340" t="s">
        <v>587</v>
      </c>
      <c r="C1340" t="s">
        <v>175</v>
      </c>
      <c r="D1340">
        <v>6258</v>
      </c>
      <c r="E1340">
        <v>6263</v>
      </c>
      <c r="F1340">
        <v>6250</v>
      </c>
      <c r="G1340">
        <v>6258</v>
      </c>
      <c r="H1340">
        <v>74000</v>
      </c>
    </row>
    <row r="1341" spans="2:8">
      <c r="B1341" t="s">
        <v>587</v>
      </c>
      <c r="C1341" t="s">
        <v>176</v>
      </c>
      <c r="D1341">
        <v>6258</v>
      </c>
      <c r="E1341">
        <v>6265</v>
      </c>
      <c r="F1341">
        <v>6246</v>
      </c>
      <c r="G1341">
        <v>6252</v>
      </c>
      <c r="H1341">
        <v>84000</v>
      </c>
    </row>
    <row r="1342" spans="2:8">
      <c r="B1342" t="s">
        <v>587</v>
      </c>
      <c r="C1342" t="s">
        <v>177</v>
      </c>
      <c r="D1342">
        <v>6253</v>
      </c>
      <c r="E1342">
        <v>6260</v>
      </c>
      <c r="F1342">
        <v>6236</v>
      </c>
      <c r="G1342">
        <v>6242</v>
      </c>
      <c r="H1342">
        <v>84000</v>
      </c>
    </row>
    <row r="1343" spans="2:8">
      <c r="B1343" t="s">
        <v>587</v>
      </c>
      <c r="C1343" t="s">
        <v>178</v>
      </c>
      <c r="D1343">
        <v>6242</v>
      </c>
      <c r="E1343">
        <v>6250</v>
      </c>
      <c r="F1343">
        <v>6237</v>
      </c>
      <c r="G1343">
        <v>6246</v>
      </c>
      <c r="H1343">
        <v>44800</v>
      </c>
    </row>
    <row r="1344" spans="2:8">
      <c r="B1344" t="s">
        <v>587</v>
      </c>
      <c r="C1344" t="s">
        <v>179</v>
      </c>
      <c r="D1344">
        <v>6245</v>
      </c>
      <c r="E1344">
        <v>6248</v>
      </c>
      <c r="F1344">
        <v>6238</v>
      </c>
      <c r="G1344">
        <v>6246</v>
      </c>
      <c r="H1344">
        <v>38300</v>
      </c>
    </row>
    <row r="1345" spans="2:8">
      <c r="B1345" t="s">
        <v>587</v>
      </c>
      <c r="C1345" t="s">
        <v>180</v>
      </c>
      <c r="D1345">
        <v>6247</v>
      </c>
      <c r="E1345">
        <v>6256</v>
      </c>
      <c r="F1345">
        <v>6246</v>
      </c>
      <c r="G1345">
        <v>6252</v>
      </c>
      <c r="H1345">
        <v>41000</v>
      </c>
    </row>
    <row r="1346" spans="2:8">
      <c r="B1346" t="s">
        <v>587</v>
      </c>
      <c r="C1346" t="s">
        <v>181</v>
      </c>
      <c r="D1346">
        <v>6253</v>
      </c>
      <c r="E1346">
        <v>6255</v>
      </c>
      <c r="F1346">
        <v>6238</v>
      </c>
      <c r="G1346">
        <v>6243</v>
      </c>
      <c r="H1346">
        <v>42200</v>
      </c>
    </row>
    <row r="1347" spans="2:8">
      <c r="B1347" t="s">
        <v>587</v>
      </c>
      <c r="C1347" t="s">
        <v>182</v>
      </c>
      <c r="D1347">
        <v>6242</v>
      </c>
      <c r="E1347">
        <v>6248</v>
      </c>
      <c r="F1347">
        <v>6233</v>
      </c>
      <c r="G1347">
        <v>6241</v>
      </c>
      <c r="H1347">
        <v>64200</v>
      </c>
    </row>
    <row r="1348" spans="2:8">
      <c r="B1348" t="s">
        <v>587</v>
      </c>
      <c r="C1348" t="s">
        <v>183</v>
      </c>
      <c r="D1348">
        <v>6239</v>
      </c>
      <c r="E1348">
        <v>6244</v>
      </c>
      <c r="F1348">
        <v>6229</v>
      </c>
      <c r="G1348">
        <v>6242</v>
      </c>
      <c r="H1348">
        <v>61000</v>
      </c>
    </row>
    <row r="1349" spans="2:8">
      <c r="B1349" t="s">
        <v>587</v>
      </c>
      <c r="C1349" t="s">
        <v>184</v>
      </c>
      <c r="D1349">
        <v>6240</v>
      </c>
      <c r="E1349">
        <v>6252</v>
      </c>
      <c r="F1349">
        <v>6240</v>
      </c>
      <c r="G1349">
        <v>6250</v>
      </c>
      <c r="H1349">
        <v>48700</v>
      </c>
    </row>
    <row r="1350" spans="2:8">
      <c r="B1350" t="s">
        <v>587</v>
      </c>
      <c r="C1350" t="s">
        <v>185</v>
      </c>
      <c r="D1350">
        <v>6250</v>
      </c>
      <c r="E1350">
        <v>6259</v>
      </c>
      <c r="F1350">
        <v>6249</v>
      </c>
      <c r="G1350">
        <v>6250</v>
      </c>
      <c r="H1350">
        <v>53400</v>
      </c>
    </row>
    <row r="1351" spans="2:8">
      <c r="B1351" t="s">
        <v>587</v>
      </c>
      <c r="C1351" t="s">
        <v>186</v>
      </c>
      <c r="D1351">
        <v>6251</v>
      </c>
      <c r="E1351">
        <v>6254</v>
      </c>
      <c r="F1351">
        <v>6245</v>
      </c>
      <c r="G1351">
        <v>6246</v>
      </c>
      <c r="H1351">
        <v>28800</v>
      </c>
    </row>
    <row r="1352" spans="2:8">
      <c r="B1352" t="s">
        <v>587</v>
      </c>
      <c r="C1352" t="s">
        <v>187</v>
      </c>
      <c r="D1352">
        <v>6245</v>
      </c>
      <c r="E1352">
        <v>6247</v>
      </c>
      <c r="F1352">
        <v>6225</v>
      </c>
      <c r="G1352">
        <v>6231</v>
      </c>
      <c r="H1352">
        <v>85700</v>
      </c>
    </row>
    <row r="1353" spans="2:8">
      <c r="B1353" t="s">
        <v>587</v>
      </c>
      <c r="C1353" t="s">
        <v>188</v>
      </c>
      <c r="D1353">
        <v>6232</v>
      </c>
      <c r="E1353">
        <v>6236</v>
      </c>
      <c r="F1353">
        <v>6228</v>
      </c>
      <c r="G1353">
        <v>6233</v>
      </c>
      <c r="H1353">
        <v>41300</v>
      </c>
    </row>
    <row r="1354" spans="2:8">
      <c r="B1354" t="s">
        <v>587</v>
      </c>
      <c r="C1354" t="s">
        <v>189</v>
      </c>
      <c r="D1354">
        <v>6233</v>
      </c>
      <c r="E1354">
        <v>6246</v>
      </c>
      <c r="F1354">
        <v>6231</v>
      </c>
      <c r="G1354">
        <v>6242</v>
      </c>
      <c r="H1354">
        <v>70400</v>
      </c>
    </row>
    <row r="1355" spans="2:8">
      <c r="B1355" t="s">
        <v>587</v>
      </c>
      <c r="C1355" t="s">
        <v>190</v>
      </c>
      <c r="D1355">
        <v>6242</v>
      </c>
      <c r="E1355">
        <v>6245</v>
      </c>
      <c r="F1355">
        <v>6234</v>
      </c>
      <c r="G1355">
        <v>6235</v>
      </c>
      <c r="H1355">
        <v>28300</v>
      </c>
    </row>
    <row r="1356" spans="2:8">
      <c r="B1356" t="s">
        <v>587</v>
      </c>
      <c r="C1356" t="s">
        <v>191</v>
      </c>
      <c r="D1356">
        <v>6235</v>
      </c>
      <c r="E1356">
        <v>6239</v>
      </c>
      <c r="F1356">
        <v>6235</v>
      </c>
      <c r="G1356">
        <v>6238</v>
      </c>
      <c r="H1356">
        <v>16900</v>
      </c>
    </row>
    <row r="1357" spans="2:8">
      <c r="B1357" t="s">
        <v>587</v>
      </c>
      <c r="C1357" t="s">
        <v>192</v>
      </c>
      <c r="D1357">
        <v>6238</v>
      </c>
      <c r="E1357">
        <v>6253</v>
      </c>
      <c r="F1357">
        <v>6234</v>
      </c>
      <c r="G1357">
        <v>6251</v>
      </c>
      <c r="H1357">
        <v>79000</v>
      </c>
    </row>
    <row r="1358" spans="2:8">
      <c r="B1358" t="s">
        <v>587</v>
      </c>
      <c r="C1358" t="s">
        <v>193</v>
      </c>
      <c r="D1358">
        <v>6251</v>
      </c>
      <c r="E1358">
        <v>6264</v>
      </c>
      <c r="F1358">
        <v>6250</v>
      </c>
      <c r="G1358">
        <v>6262</v>
      </c>
      <c r="H1358">
        <v>118600</v>
      </c>
    </row>
    <row r="1359" spans="2:8">
      <c r="B1359" t="s">
        <v>587</v>
      </c>
      <c r="C1359" t="s">
        <v>194</v>
      </c>
      <c r="D1359">
        <v>6262</v>
      </c>
      <c r="E1359">
        <v>6285</v>
      </c>
      <c r="F1359">
        <v>6258</v>
      </c>
      <c r="G1359">
        <v>6284</v>
      </c>
      <c r="H1359">
        <v>184400</v>
      </c>
    </row>
    <row r="1360" spans="2:8">
      <c r="B1360" t="s">
        <v>587</v>
      </c>
      <c r="C1360" t="s">
        <v>195</v>
      </c>
      <c r="D1360">
        <v>6282</v>
      </c>
      <c r="E1360">
        <v>6289</v>
      </c>
      <c r="F1360">
        <v>6281</v>
      </c>
      <c r="G1360">
        <v>6284</v>
      </c>
      <c r="H1360">
        <v>86800</v>
      </c>
    </row>
    <row r="1361" spans="2:8">
      <c r="B1361" t="s">
        <v>587</v>
      </c>
      <c r="C1361" t="s">
        <v>196</v>
      </c>
      <c r="D1361">
        <v>6285</v>
      </c>
      <c r="E1361">
        <v>6287</v>
      </c>
      <c r="F1361">
        <v>6276</v>
      </c>
      <c r="G1361">
        <v>6283</v>
      </c>
      <c r="H1361">
        <v>76500</v>
      </c>
    </row>
    <row r="1362" spans="2:8">
      <c r="B1362" t="s">
        <v>587</v>
      </c>
      <c r="C1362" t="s">
        <v>197</v>
      </c>
      <c r="D1362">
        <v>6284</v>
      </c>
      <c r="E1362">
        <v>6287</v>
      </c>
      <c r="F1362">
        <v>6256</v>
      </c>
      <c r="G1362">
        <v>6265</v>
      </c>
      <c r="H1362">
        <v>171800</v>
      </c>
    </row>
    <row r="1363" spans="2:8">
      <c r="B1363" t="s">
        <v>587</v>
      </c>
      <c r="C1363" t="s">
        <v>198</v>
      </c>
      <c r="D1363">
        <v>6265</v>
      </c>
      <c r="E1363">
        <v>6270</v>
      </c>
      <c r="F1363">
        <v>6256</v>
      </c>
      <c r="G1363">
        <v>6261</v>
      </c>
      <c r="H1363">
        <v>68400</v>
      </c>
    </row>
    <row r="1364" spans="2:8">
      <c r="B1364" t="s">
        <v>587</v>
      </c>
      <c r="C1364" t="s">
        <v>199</v>
      </c>
      <c r="D1364">
        <v>6263</v>
      </c>
      <c r="E1364">
        <v>6273</v>
      </c>
      <c r="F1364">
        <v>6263</v>
      </c>
      <c r="G1364">
        <v>6272</v>
      </c>
      <c r="H1364">
        <v>43900</v>
      </c>
    </row>
    <row r="1365" spans="2:8">
      <c r="B1365" t="s">
        <v>587</v>
      </c>
      <c r="C1365" t="s">
        <v>200</v>
      </c>
      <c r="D1365">
        <v>6272</v>
      </c>
      <c r="E1365">
        <v>6273</v>
      </c>
      <c r="F1365">
        <v>6250</v>
      </c>
      <c r="G1365">
        <v>6258</v>
      </c>
      <c r="H1365">
        <v>85100</v>
      </c>
    </row>
    <row r="1366" spans="2:8">
      <c r="B1366" t="s">
        <v>587</v>
      </c>
      <c r="C1366" t="s">
        <v>201</v>
      </c>
      <c r="D1366">
        <v>6257</v>
      </c>
      <c r="E1366">
        <v>6262</v>
      </c>
      <c r="F1366">
        <v>6252</v>
      </c>
      <c r="G1366">
        <v>6258</v>
      </c>
      <c r="H1366">
        <v>40900</v>
      </c>
    </row>
    <row r="1367" spans="2:8">
      <c r="B1367" t="s">
        <v>587</v>
      </c>
      <c r="C1367" t="s">
        <v>202</v>
      </c>
      <c r="D1367">
        <v>6258</v>
      </c>
      <c r="E1367">
        <v>6265</v>
      </c>
      <c r="F1367">
        <v>6254</v>
      </c>
      <c r="G1367">
        <v>6263</v>
      </c>
      <c r="H1367">
        <v>28400</v>
      </c>
    </row>
    <row r="1368" spans="2:8">
      <c r="B1368" t="s">
        <v>587</v>
      </c>
      <c r="C1368" t="s">
        <v>203</v>
      </c>
      <c r="D1368">
        <v>6263</v>
      </c>
      <c r="E1368">
        <v>6269</v>
      </c>
      <c r="F1368">
        <v>6257</v>
      </c>
      <c r="G1368">
        <v>6260</v>
      </c>
      <c r="H1368">
        <v>45700</v>
      </c>
    </row>
    <row r="1369" spans="2:8">
      <c r="B1369" t="s">
        <v>587</v>
      </c>
      <c r="C1369" t="s">
        <v>204</v>
      </c>
      <c r="D1369">
        <v>6260</v>
      </c>
      <c r="E1369">
        <v>6262</v>
      </c>
      <c r="F1369">
        <v>6252</v>
      </c>
      <c r="G1369">
        <v>6256</v>
      </c>
      <c r="H1369">
        <v>43200</v>
      </c>
    </row>
    <row r="1370" spans="2:8">
      <c r="B1370" t="s">
        <v>587</v>
      </c>
      <c r="C1370" t="s">
        <v>205</v>
      </c>
      <c r="D1370">
        <v>6257</v>
      </c>
      <c r="E1370">
        <v>6257</v>
      </c>
      <c r="F1370">
        <v>6235</v>
      </c>
      <c r="G1370">
        <v>6249</v>
      </c>
      <c r="H1370">
        <v>96300</v>
      </c>
    </row>
    <row r="1371" spans="2:8">
      <c r="B1371" t="s">
        <v>587</v>
      </c>
      <c r="C1371" t="s">
        <v>206</v>
      </c>
      <c r="D1371">
        <v>6250</v>
      </c>
      <c r="E1371">
        <v>6257</v>
      </c>
      <c r="F1371">
        <v>6247</v>
      </c>
      <c r="G1371">
        <v>6255</v>
      </c>
      <c r="H1371">
        <v>37800</v>
      </c>
    </row>
    <row r="1372" spans="2:8">
      <c r="B1372" t="s">
        <v>587</v>
      </c>
      <c r="C1372" t="s">
        <v>207</v>
      </c>
      <c r="D1372">
        <v>6255</v>
      </c>
      <c r="E1372">
        <v>6255</v>
      </c>
      <c r="F1372">
        <v>6240</v>
      </c>
      <c r="G1372">
        <v>6247</v>
      </c>
      <c r="H1372">
        <v>38700</v>
      </c>
    </row>
    <row r="1373" spans="2:8">
      <c r="B1373" t="s">
        <v>587</v>
      </c>
      <c r="C1373" t="s">
        <v>208</v>
      </c>
      <c r="D1373">
        <v>6248</v>
      </c>
      <c r="E1373">
        <v>6248</v>
      </c>
      <c r="F1373">
        <v>6240</v>
      </c>
      <c r="G1373">
        <v>6242</v>
      </c>
      <c r="H1373">
        <v>21800</v>
      </c>
    </row>
    <row r="1374" spans="2:8">
      <c r="B1374" t="s">
        <v>587</v>
      </c>
      <c r="C1374" t="s">
        <v>209</v>
      </c>
      <c r="D1374">
        <v>6242</v>
      </c>
      <c r="E1374">
        <v>6255</v>
      </c>
      <c r="F1374">
        <v>6240</v>
      </c>
      <c r="G1374">
        <v>6252</v>
      </c>
      <c r="H1374">
        <v>31900</v>
      </c>
    </row>
    <row r="1375" spans="2:8">
      <c r="B1375" t="s">
        <v>587</v>
      </c>
      <c r="C1375" t="s">
        <v>210</v>
      </c>
      <c r="D1375">
        <v>6252</v>
      </c>
      <c r="E1375">
        <v>6255</v>
      </c>
      <c r="F1375">
        <v>6246</v>
      </c>
      <c r="G1375">
        <v>6254</v>
      </c>
      <c r="H1375">
        <v>36200</v>
      </c>
    </row>
    <row r="1376" spans="2:8">
      <c r="B1376" t="s">
        <v>587</v>
      </c>
      <c r="C1376" t="s">
        <v>211</v>
      </c>
      <c r="D1376">
        <v>6254</v>
      </c>
      <c r="E1376">
        <v>6265</v>
      </c>
      <c r="F1376">
        <v>6254</v>
      </c>
      <c r="G1376">
        <v>6263</v>
      </c>
      <c r="H1376">
        <v>62000</v>
      </c>
    </row>
    <row r="1377" spans="2:8">
      <c r="B1377" t="s">
        <v>587</v>
      </c>
      <c r="C1377" t="s">
        <v>212</v>
      </c>
      <c r="D1377">
        <v>6264</v>
      </c>
      <c r="E1377">
        <v>6264</v>
      </c>
      <c r="F1377">
        <v>6252</v>
      </c>
      <c r="G1377">
        <v>6255</v>
      </c>
      <c r="H1377">
        <v>35900</v>
      </c>
    </row>
    <row r="1378" spans="2:8">
      <c r="B1378" t="s">
        <v>587</v>
      </c>
      <c r="C1378" t="s">
        <v>213</v>
      </c>
      <c r="D1378">
        <v>6255</v>
      </c>
      <c r="E1378">
        <v>6259</v>
      </c>
      <c r="F1378">
        <v>6254</v>
      </c>
      <c r="G1378">
        <v>6256</v>
      </c>
      <c r="H1378">
        <v>18000</v>
      </c>
    </row>
    <row r="1379" spans="2:8">
      <c r="B1379" t="s">
        <v>587</v>
      </c>
      <c r="C1379" t="s">
        <v>214</v>
      </c>
      <c r="D1379">
        <v>6256</v>
      </c>
      <c r="E1379">
        <v>6263</v>
      </c>
      <c r="F1379">
        <v>6253</v>
      </c>
      <c r="G1379">
        <v>6258</v>
      </c>
      <c r="H1379">
        <v>31300</v>
      </c>
    </row>
    <row r="1380" spans="2:8">
      <c r="B1380" t="s">
        <v>587</v>
      </c>
      <c r="C1380" t="s">
        <v>215</v>
      </c>
      <c r="D1380">
        <v>6256</v>
      </c>
      <c r="E1380">
        <v>6257</v>
      </c>
      <c r="F1380">
        <v>6249</v>
      </c>
      <c r="G1380">
        <v>6255</v>
      </c>
      <c r="H1380">
        <v>46600</v>
      </c>
    </row>
    <row r="1381" spans="2:8">
      <c r="B1381" t="s">
        <v>587</v>
      </c>
      <c r="C1381" t="s">
        <v>216</v>
      </c>
      <c r="D1381">
        <v>6256</v>
      </c>
      <c r="E1381">
        <v>6258</v>
      </c>
      <c r="F1381">
        <v>6250</v>
      </c>
      <c r="G1381">
        <v>6254</v>
      </c>
      <c r="H1381">
        <v>33600</v>
      </c>
    </row>
    <row r="1382" spans="2:8">
      <c r="B1382" t="s">
        <v>587</v>
      </c>
      <c r="C1382" t="s">
        <v>217</v>
      </c>
      <c r="D1382">
        <v>6253</v>
      </c>
      <c r="E1382">
        <v>6256</v>
      </c>
      <c r="F1382">
        <v>6253</v>
      </c>
      <c r="G1382">
        <v>6253</v>
      </c>
      <c r="H1382">
        <v>16100</v>
      </c>
    </row>
    <row r="1383" spans="2:8">
      <c r="B1383" t="s">
        <v>587</v>
      </c>
      <c r="C1383" t="s">
        <v>218</v>
      </c>
      <c r="D1383">
        <v>6254</v>
      </c>
      <c r="E1383">
        <v>6255</v>
      </c>
      <c r="F1383">
        <v>6236</v>
      </c>
      <c r="G1383">
        <v>6244</v>
      </c>
      <c r="H1383">
        <v>80200</v>
      </c>
    </row>
    <row r="1384" spans="2:8">
      <c r="B1384" t="s">
        <v>587</v>
      </c>
      <c r="C1384" t="s">
        <v>219</v>
      </c>
      <c r="D1384">
        <v>6243</v>
      </c>
      <c r="E1384">
        <v>6248</v>
      </c>
      <c r="F1384">
        <v>6240</v>
      </c>
      <c r="G1384">
        <v>6245</v>
      </c>
      <c r="H1384">
        <v>31500</v>
      </c>
    </row>
    <row r="1385" spans="2:8">
      <c r="B1385" t="s">
        <v>587</v>
      </c>
      <c r="C1385" t="s">
        <v>220</v>
      </c>
      <c r="D1385">
        <v>6246</v>
      </c>
      <c r="E1385">
        <v>6254</v>
      </c>
      <c r="F1385">
        <v>6241</v>
      </c>
      <c r="G1385">
        <v>6250</v>
      </c>
      <c r="H1385">
        <v>30200</v>
      </c>
    </row>
    <row r="1386" spans="2:8">
      <c r="B1386" t="s">
        <v>587</v>
      </c>
      <c r="C1386" t="s">
        <v>221</v>
      </c>
      <c r="D1386">
        <v>6251</v>
      </c>
      <c r="E1386">
        <v>6263</v>
      </c>
      <c r="F1386">
        <v>6251</v>
      </c>
      <c r="G1386">
        <v>6254</v>
      </c>
      <c r="H1386">
        <v>71200</v>
      </c>
    </row>
    <row r="1387" spans="2:8">
      <c r="B1387" t="s">
        <v>587</v>
      </c>
      <c r="C1387" t="s">
        <v>222</v>
      </c>
      <c r="D1387">
        <v>6255</v>
      </c>
      <c r="E1387">
        <v>6258</v>
      </c>
      <c r="F1387">
        <v>6251</v>
      </c>
      <c r="G1387">
        <v>6257</v>
      </c>
      <c r="H1387">
        <v>15800</v>
      </c>
    </row>
    <row r="1388" spans="2:8">
      <c r="B1388" t="s">
        <v>587</v>
      </c>
      <c r="C1388" t="s">
        <v>223</v>
      </c>
      <c r="D1388">
        <v>6257</v>
      </c>
      <c r="E1388">
        <v>6263</v>
      </c>
      <c r="F1388">
        <v>6254</v>
      </c>
      <c r="G1388">
        <v>6261</v>
      </c>
      <c r="H1388">
        <v>27600</v>
      </c>
    </row>
    <row r="1389" spans="2:8">
      <c r="B1389" t="s">
        <v>587</v>
      </c>
      <c r="C1389" t="s">
        <v>224</v>
      </c>
      <c r="D1389">
        <v>6261</v>
      </c>
      <c r="E1389">
        <v>6270</v>
      </c>
      <c r="F1389">
        <v>6259</v>
      </c>
      <c r="G1389">
        <v>6268</v>
      </c>
      <c r="H1389">
        <v>55100</v>
      </c>
    </row>
    <row r="1390" spans="2:8">
      <c r="B1390" t="s">
        <v>587</v>
      </c>
      <c r="C1390" t="s">
        <v>225</v>
      </c>
      <c r="D1390">
        <v>6269</v>
      </c>
      <c r="E1390">
        <v>6272</v>
      </c>
      <c r="F1390">
        <v>6251</v>
      </c>
      <c r="G1390">
        <v>6256</v>
      </c>
      <c r="H1390">
        <v>97800</v>
      </c>
    </row>
    <row r="1391" spans="2:8">
      <c r="B1391" t="s">
        <v>587</v>
      </c>
      <c r="C1391" t="s">
        <v>226</v>
      </c>
      <c r="D1391">
        <v>6255</v>
      </c>
      <c r="E1391">
        <v>6255</v>
      </c>
      <c r="F1391">
        <v>6248</v>
      </c>
      <c r="G1391">
        <v>6249</v>
      </c>
      <c r="H1391">
        <v>44400</v>
      </c>
    </row>
    <row r="1392" spans="2:8">
      <c r="B1392" t="s">
        <v>587</v>
      </c>
      <c r="C1392" t="s">
        <v>227</v>
      </c>
      <c r="D1392">
        <v>6250</v>
      </c>
      <c r="E1392">
        <v>6259</v>
      </c>
      <c r="F1392">
        <v>6244</v>
      </c>
      <c r="G1392">
        <v>6248</v>
      </c>
      <c r="H1392">
        <v>74400</v>
      </c>
    </row>
    <row r="1393" spans="2:8">
      <c r="B1393" t="s">
        <v>587</v>
      </c>
      <c r="C1393" t="s">
        <v>228</v>
      </c>
      <c r="D1393">
        <v>6248</v>
      </c>
      <c r="E1393">
        <v>6254</v>
      </c>
      <c r="F1393">
        <v>6242</v>
      </c>
      <c r="G1393">
        <v>6251</v>
      </c>
      <c r="H1393">
        <v>46000</v>
      </c>
    </row>
    <row r="1394" spans="2:8">
      <c r="B1394" t="s">
        <v>587</v>
      </c>
      <c r="C1394" t="s">
        <v>229</v>
      </c>
      <c r="D1394">
        <v>6251</v>
      </c>
      <c r="E1394">
        <v>6255</v>
      </c>
      <c r="F1394">
        <v>6249</v>
      </c>
      <c r="G1394">
        <v>6249</v>
      </c>
      <c r="H1394">
        <v>18700</v>
      </c>
    </row>
    <row r="1395" spans="2:8">
      <c r="B1395" t="s">
        <v>587</v>
      </c>
      <c r="C1395" t="s">
        <v>230</v>
      </c>
      <c r="D1395">
        <v>6249</v>
      </c>
      <c r="E1395">
        <v>6250</v>
      </c>
      <c r="F1395">
        <v>6235</v>
      </c>
      <c r="G1395">
        <v>6243</v>
      </c>
      <c r="H1395">
        <v>69000</v>
      </c>
    </row>
    <row r="1396" spans="2:8">
      <c r="B1396" t="s">
        <v>587</v>
      </c>
      <c r="C1396" t="s">
        <v>231</v>
      </c>
      <c r="D1396">
        <v>6241</v>
      </c>
      <c r="E1396">
        <v>6242</v>
      </c>
      <c r="F1396">
        <v>6235</v>
      </c>
      <c r="G1396">
        <v>6240</v>
      </c>
      <c r="H1396">
        <v>46400</v>
      </c>
    </row>
    <row r="1397" spans="2:8">
      <c r="B1397" t="s">
        <v>587</v>
      </c>
      <c r="C1397" t="s">
        <v>232</v>
      </c>
      <c r="D1397">
        <v>6240</v>
      </c>
      <c r="E1397">
        <v>6246</v>
      </c>
      <c r="F1397">
        <v>6239</v>
      </c>
      <c r="G1397">
        <v>6244</v>
      </c>
      <c r="H1397">
        <v>29900</v>
      </c>
    </row>
    <row r="1398" spans="2:8">
      <c r="B1398" t="s">
        <v>587</v>
      </c>
      <c r="C1398" t="s">
        <v>233</v>
      </c>
      <c r="D1398">
        <v>6245</v>
      </c>
      <c r="E1398">
        <v>6248</v>
      </c>
      <c r="F1398">
        <v>6236</v>
      </c>
      <c r="G1398">
        <v>6244</v>
      </c>
      <c r="H1398">
        <v>47200</v>
      </c>
    </row>
    <row r="1399" spans="2:8">
      <c r="B1399" t="s">
        <v>587</v>
      </c>
      <c r="C1399" t="s">
        <v>234</v>
      </c>
      <c r="D1399">
        <v>6244</v>
      </c>
      <c r="E1399">
        <v>6252</v>
      </c>
      <c r="F1399">
        <v>6238</v>
      </c>
      <c r="G1399">
        <v>6252</v>
      </c>
      <c r="H1399">
        <v>39600</v>
      </c>
    </row>
    <row r="1400" spans="2:8">
      <c r="B1400" t="s">
        <v>587</v>
      </c>
      <c r="C1400" t="s">
        <v>235</v>
      </c>
      <c r="D1400">
        <v>6251</v>
      </c>
      <c r="E1400">
        <v>6254</v>
      </c>
      <c r="F1400">
        <v>6237</v>
      </c>
      <c r="G1400">
        <v>6239</v>
      </c>
      <c r="H1400">
        <v>42300</v>
      </c>
    </row>
    <row r="1401" spans="2:8">
      <c r="B1401" t="s">
        <v>587</v>
      </c>
      <c r="C1401" t="s">
        <v>236</v>
      </c>
      <c r="D1401">
        <v>6239</v>
      </c>
      <c r="E1401">
        <v>6239</v>
      </c>
      <c r="F1401">
        <v>6213</v>
      </c>
      <c r="G1401">
        <v>6219</v>
      </c>
      <c r="H1401">
        <v>143400</v>
      </c>
    </row>
    <row r="1402" spans="2:8">
      <c r="B1402" t="s">
        <v>587</v>
      </c>
      <c r="C1402" t="s">
        <v>237</v>
      </c>
      <c r="D1402">
        <v>6219</v>
      </c>
      <c r="E1402">
        <v>6229</v>
      </c>
      <c r="F1402">
        <v>6217</v>
      </c>
      <c r="G1402">
        <v>6225</v>
      </c>
      <c r="H1402">
        <v>37900</v>
      </c>
    </row>
    <row r="1403" spans="2:8">
      <c r="B1403" t="s">
        <v>587</v>
      </c>
      <c r="C1403" t="s">
        <v>238</v>
      </c>
      <c r="D1403">
        <v>6225</v>
      </c>
      <c r="E1403">
        <v>6227</v>
      </c>
      <c r="F1403">
        <v>6210</v>
      </c>
      <c r="G1403">
        <v>6212</v>
      </c>
      <c r="H1403">
        <v>63000</v>
      </c>
    </row>
    <row r="1404" spans="2:8">
      <c r="B1404" t="s">
        <v>587</v>
      </c>
      <c r="C1404" t="s">
        <v>239</v>
      </c>
      <c r="D1404">
        <v>6210</v>
      </c>
      <c r="E1404">
        <v>6214</v>
      </c>
      <c r="F1404">
        <v>6191</v>
      </c>
      <c r="G1404">
        <v>6196</v>
      </c>
      <c r="H1404">
        <v>163100</v>
      </c>
    </row>
    <row r="1405" spans="2:8">
      <c r="B1405" t="s">
        <v>587</v>
      </c>
      <c r="C1405" t="s">
        <v>240</v>
      </c>
      <c r="D1405">
        <v>6195</v>
      </c>
      <c r="E1405">
        <v>6220</v>
      </c>
      <c r="F1405">
        <v>6194</v>
      </c>
      <c r="G1405">
        <v>6218</v>
      </c>
      <c r="H1405">
        <v>79200</v>
      </c>
    </row>
    <row r="1406" spans="2:8">
      <c r="B1406" t="s">
        <v>587</v>
      </c>
      <c r="C1406" t="s">
        <v>241</v>
      </c>
      <c r="D1406">
        <v>6219</v>
      </c>
      <c r="E1406">
        <v>6223</v>
      </c>
      <c r="F1406">
        <v>6212</v>
      </c>
      <c r="G1406">
        <v>6214</v>
      </c>
      <c r="H1406">
        <v>49300</v>
      </c>
    </row>
    <row r="1407" spans="2:8">
      <c r="B1407" t="s">
        <v>587</v>
      </c>
      <c r="C1407" t="s">
        <v>242</v>
      </c>
      <c r="D1407">
        <v>6215</v>
      </c>
      <c r="E1407">
        <v>6216</v>
      </c>
      <c r="F1407">
        <v>6205</v>
      </c>
      <c r="G1407">
        <v>6209</v>
      </c>
      <c r="H1407">
        <v>55600</v>
      </c>
    </row>
    <row r="1408" spans="2:8">
      <c r="B1408" t="s">
        <v>587</v>
      </c>
      <c r="C1408" t="s">
        <v>243</v>
      </c>
      <c r="D1408">
        <v>6209</v>
      </c>
      <c r="E1408">
        <v>6226</v>
      </c>
      <c r="F1408">
        <v>6208</v>
      </c>
      <c r="G1408">
        <v>6225</v>
      </c>
      <c r="H1408">
        <v>52600</v>
      </c>
    </row>
    <row r="1409" spans="2:8">
      <c r="B1409" t="s">
        <v>587</v>
      </c>
      <c r="C1409" t="s">
        <v>244</v>
      </c>
      <c r="D1409">
        <v>6225</v>
      </c>
      <c r="E1409">
        <v>6239</v>
      </c>
      <c r="F1409">
        <v>6225</v>
      </c>
      <c r="G1409">
        <v>6232</v>
      </c>
      <c r="H1409">
        <v>77500</v>
      </c>
    </row>
    <row r="1410" spans="2:8">
      <c r="B1410" t="s">
        <v>587</v>
      </c>
      <c r="C1410" t="s">
        <v>245</v>
      </c>
      <c r="D1410">
        <v>6233</v>
      </c>
      <c r="E1410">
        <v>6235</v>
      </c>
      <c r="F1410">
        <v>6221</v>
      </c>
      <c r="G1410">
        <v>6226</v>
      </c>
      <c r="H1410">
        <v>47200</v>
      </c>
    </row>
    <row r="1411" spans="2:8">
      <c r="B1411" t="s">
        <v>587</v>
      </c>
      <c r="C1411" t="s">
        <v>246</v>
      </c>
      <c r="D1411">
        <v>6227</v>
      </c>
      <c r="E1411">
        <v>6230</v>
      </c>
      <c r="F1411">
        <v>6213</v>
      </c>
      <c r="G1411">
        <v>6216</v>
      </c>
      <c r="H1411">
        <v>54000</v>
      </c>
    </row>
    <row r="1412" spans="2:8">
      <c r="B1412" t="s">
        <v>587</v>
      </c>
      <c r="C1412" t="s">
        <v>247</v>
      </c>
      <c r="D1412">
        <v>6214</v>
      </c>
      <c r="E1412">
        <v>6220</v>
      </c>
      <c r="F1412">
        <v>6206</v>
      </c>
      <c r="G1412">
        <v>6219</v>
      </c>
      <c r="H1412">
        <v>52000</v>
      </c>
    </row>
    <row r="1413" spans="2:8">
      <c r="B1413" t="s">
        <v>587</v>
      </c>
      <c r="C1413" t="s">
        <v>248</v>
      </c>
      <c r="D1413">
        <v>6218</v>
      </c>
      <c r="E1413">
        <v>6220</v>
      </c>
      <c r="F1413">
        <v>6210</v>
      </c>
      <c r="G1413">
        <v>6210</v>
      </c>
      <c r="H1413">
        <v>23800</v>
      </c>
    </row>
    <row r="1414" spans="2:8">
      <c r="B1414" t="s">
        <v>587</v>
      </c>
      <c r="C1414" t="s">
        <v>249</v>
      </c>
      <c r="D1414">
        <v>6210</v>
      </c>
      <c r="E1414">
        <v>6210</v>
      </c>
      <c r="F1414">
        <v>6202</v>
      </c>
      <c r="G1414">
        <v>6207</v>
      </c>
      <c r="H1414">
        <v>47300</v>
      </c>
    </row>
    <row r="1415" spans="2:8">
      <c r="B1415" t="s">
        <v>587</v>
      </c>
      <c r="C1415" t="s">
        <v>250</v>
      </c>
      <c r="D1415">
        <v>6207</v>
      </c>
      <c r="E1415">
        <v>6216</v>
      </c>
      <c r="F1415">
        <v>6207</v>
      </c>
      <c r="G1415">
        <v>6211</v>
      </c>
      <c r="H1415">
        <v>25000</v>
      </c>
    </row>
    <row r="1416" spans="2:8">
      <c r="B1416" t="s">
        <v>587</v>
      </c>
      <c r="C1416" t="s">
        <v>251</v>
      </c>
      <c r="D1416">
        <v>6212</v>
      </c>
      <c r="E1416">
        <v>6224</v>
      </c>
      <c r="F1416">
        <v>6210</v>
      </c>
      <c r="G1416">
        <v>6224</v>
      </c>
      <c r="H1416">
        <v>28300</v>
      </c>
    </row>
    <row r="1417" spans="2:8">
      <c r="B1417" t="s">
        <v>587</v>
      </c>
      <c r="C1417" t="s">
        <v>252</v>
      </c>
      <c r="D1417">
        <v>6225</v>
      </c>
      <c r="E1417">
        <v>6230</v>
      </c>
      <c r="F1417">
        <v>6224</v>
      </c>
      <c r="G1417">
        <v>6229</v>
      </c>
      <c r="H1417">
        <v>38500</v>
      </c>
    </row>
    <row r="1418" spans="2:8">
      <c r="B1418" t="s">
        <v>587</v>
      </c>
      <c r="C1418" t="s">
        <v>253</v>
      </c>
      <c r="D1418">
        <v>6228</v>
      </c>
      <c r="E1418">
        <v>6235</v>
      </c>
      <c r="F1418">
        <v>6221</v>
      </c>
      <c r="G1418">
        <v>6232</v>
      </c>
      <c r="H1418">
        <v>48300</v>
      </c>
    </row>
    <row r="1419" spans="2:8">
      <c r="B1419" t="s">
        <v>587</v>
      </c>
      <c r="C1419" t="s">
        <v>254</v>
      </c>
      <c r="D1419">
        <v>6233</v>
      </c>
      <c r="E1419">
        <v>6235</v>
      </c>
      <c r="F1419">
        <v>6228</v>
      </c>
      <c r="G1419">
        <v>6232</v>
      </c>
      <c r="H1419">
        <v>30700</v>
      </c>
    </row>
    <row r="1420" spans="2:8">
      <c r="B1420" t="s">
        <v>587</v>
      </c>
      <c r="C1420" t="s">
        <v>255</v>
      </c>
      <c r="D1420">
        <v>6232</v>
      </c>
      <c r="E1420">
        <v>6238</v>
      </c>
      <c r="F1420">
        <v>6231</v>
      </c>
      <c r="G1420">
        <v>6235</v>
      </c>
      <c r="H1420">
        <v>24400</v>
      </c>
    </row>
    <row r="1421" spans="2:8">
      <c r="B1421" t="s">
        <v>587</v>
      </c>
      <c r="C1421" t="s">
        <v>256</v>
      </c>
      <c r="D1421">
        <v>6234</v>
      </c>
      <c r="E1421">
        <v>6238</v>
      </c>
      <c r="F1421">
        <v>6223</v>
      </c>
      <c r="G1421">
        <v>6223</v>
      </c>
      <c r="H1421">
        <v>33200</v>
      </c>
    </row>
    <row r="1422" spans="2:8">
      <c r="B1422" t="s">
        <v>587</v>
      </c>
      <c r="C1422" t="s">
        <v>257</v>
      </c>
      <c r="D1422">
        <v>6223</v>
      </c>
      <c r="E1422">
        <v>6224</v>
      </c>
      <c r="F1422">
        <v>6212</v>
      </c>
      <c r="G1422">
        <v>6222</v>
      </c>
      <c r="H1422">
        <v>42800</v>
      </c>
    </row>
    <row r="1423" spans="2:8">
      <c r="B1423" t="s">
        <v>587</v>
      </c>
      <c r="C1423" t="s">
        <v>258</v>
      </c>
      <c r="D1423">
        <v>6221</v>
      </c>
      <c r="E1423">
        <v>6222</v>
      </c>
      <c r="F1423">
        <v>6213</v>
      </c>
      <c r="G1423">
        <v>6217</v>
      </c>
      <c r="H1423">
        <v>32200</v>
      </c>
    </row>
    <row r="1424" spans="2:8">
      <c r="B1424" t="s">
        <v>587</v>
      </c>
      <c r="C1424" t="s">
        <v>259</v>
      </c>
      <c r="D1424">
        <v>6216</v>
      </c>
      <c r="E1424">
        <v>6229</v>
      </c>
      <c r="F1424">
        <v>6216</v>
      </c>
      <c r="G1424">
        <v>6221</v>
      </c>
      <c r="H1424">
        <v>45800</v>
      </c>
    </row>
    <row r="1425" spans="2:8">
      <c r="B1425" t="s">
        <v>587</v>
      </c>
      <c r="C1425" t="s">
        <v>260</v>
      </c>
      <c r="D1425">
        <v>6223</v>
      </c>
      <c r="E1425">
        <v>6223</v>
      </c>
      <c r="F1425">
        <v>6220</v>
      </c>
      <c r="G1425">
        <v>6222</v>
      </c>
      <c r="H1425">
        <v>9800</v>
      </c>
    </row>
    <row r="1426" spans="2:8">
      <c r="B1426" t="s">
        <v>587</v>
      </c>
      <c r="C1426" t="s">
        <v>261</v>
      </c>
      <c r="D1426">
        <v>6222</v>
      </c>
      <c r="E1426">
        <v>6222</v>
      </c>
      <c r="F1426">
        <v>6211</v>
      </c>
      <c r="G1426">
        <v>6214</v>
      </c>
      <c r="H1426">
        <v>31000</v>
      </c>
    </row>
    <row r="1427" spans="2:8">
      <c r="B1427" t="s">
        <v>587</v>
      </c>
      <c r="C1427" t="s">
        <v>262</v>
      </c>
      <c r="D1427">
        <v>6214</v>
      </c>
      <c r="E1427">
        <v>6215</v>
      </c>
      <c r="F1427">
        <v>6210</v>
      </c>
      <c r="G1427">
        <v>6211</v>
      </c>
      <c r="H1427">
        <v>23300</v>
      </c>
    </row>
    <row r="1428" spans="2:8">
      <c r="B1428" t="s">
        <v>587</v>
      </c>
      <c r="C1428" t="s">
        <v>263</v>
      </c>
      <c r="D1428">
        <v>6211</v>
      </c>
      <c r="E1428">
        <v>6220</v>
      </c>
      <c r="F1428">
        <v>6211</v>
      </c>
      <c r="G1428">
        <v>6217</v>
      </c>
      <c r="H1428">
        <v>23300</v>
      </c>
    </row>
    <row r="1429" spans="2:8">
      <c r="B1429" t="s">
        <v>587</v>
      </c>
      <c r="C1429" t="s">
        <v>264</v>
      </c>
      <c r="D1429">
        <v>6216</v>
      </c>
      <c r="E1429">
        <v>6217</v>
      </c>
      <c r="F1429">
        <v>6210</v>
      </c>
      <c r="G1429">
        <v>6210</v>
      </c>
      <c r="H1429">
        <v>14400</v>
      </c>
    </row>
    <row r="1430" spans="2:8">
      <c r="B1430" t="s">
        <v>587</v>
      </c>
      <c r="C1430" t="s">
        <v>265</v>
      </c>
      <c r="D1430">
        <v>6210</v>
      </c>
      <c r="E1430">
        <v>6220</v>
      </c>
      <c r="F1430">
        <v>6210</v>
      </c>
      <c r="G1430">
        <v>6218</v>
      </c>
      <c r="H1430">
        <v>17900</v>
      </c>
    </row>
    <row r="1431" spans="2:8">
      <c r="B1431" t="s">
        <v>587</v>
      </c>
      <c r="C1431" t="s">
        <v>266</v>
      </c>
      <c r="D1431">
        <v>6219</v>
      </c>
      <c r="E1431">
        <v>6222</v>
      </c>
      <c r="F1431">
        <v>6214</v>
      </c>
      <c r="G1431">
        <v>6218</v>
      </c>
      <c r="H1431">
        <v>17800</v>
      </c>
    </row>
    <row r="1432" spans="2:8">
      <c r="B1432" t="s">
        <v>587</v>
      </c>
      <c r="C1432" t="s">
        <v>267</v>
      </c>
      <c r="D1432">
        <v>6217</v>
      </c>
      <c r="E1432">
        <v>6226</v>
      </c>
      <c r="F1432">
        <v>6216</v>
      </c>
      <c r="G1432">
        <v>6225</v>
      </c>
      <c r="H1432">
        <v>18100</v>
      </c>
    </row>
    <row r="1433" spans="2:8">
      <c r="B1433" t="s">
        <v>587</v>
      </c>
      <c r="C1433" t="s">
        <v>268</v>
      </c>
      <c r="D1433">
        <v>6225</v>
      </c>
      <c r="E1433">
        <v>6237</v>
      </c>
      <c r="F1433">
        <v>6225</v>
      </c>
      <c r="G1433">
        <v>6234</v>
      </c>
      <c r="H1433">
        <v>42000</v>
      </c>
    </row>
    <row r="1434" spans="2:8">
      <c r="B1434" t="s">
        <v>587</v>
      </c>
      <c r="C1434" t="s">
        <v>269</v>
      </c>
      <c r="D1434">
        <v>6236</v>
      </c>
      <c r="E1434">
        <v>6237</v>
      </c>
      <c r="F1434">
        <v>6230</v>
      </c>
      <c r="G1434">
        <v>6235</v>
      </c>
      <c r="H1434">
        <v>17200</v>
      </c>
    </row>
    <row r="1435" spans="2:8">
      <c r="B1435" t="s">
        <v>587</v>
      </c>
      <c r="C1435" t="s">
        <v>270</v>
      </c>
      <c r="D1435">
        <v>6235</v>
      </c>
      <c r="E1435">
        <v>6235</v>
      </c>
      <c r="F1435">
        <v>6227</v>
      </c>
      <c r="G1435">
        <v>6233</v>
      </c>
      <c r="H1435">
        <v>33600</v>
      </c>
    </row>
    <row r="1436" spans="2:8">
      <c r="B1436" t="s">
        <v>587</v>
      </c>
      <c r="C1436" t="s">
        <v>271</v>
      </c>
      <c r="D1436">
        <v>6233</v>
      </c>
      <c r="E1436">
        <v>6233</v>
      </c>
      <c r="F1436">
        <v>6226</v>
      </c>
      <c r="G1436">
        <v>6231</v>
      </c>
      <c r="H1436">
        <v>16700</v>
      </c>
    </row>
    <row r="1437" spans="2:8">
      <c r="B1437" t="s">
        <v>587</v>
      </c>
      <c r="C1437" t="s">
        <v>272</v>
      </c>
      <c r="D1437">
        <v>6231</v>
      </c>
      <c r="E1437">
        <v>6238</v>
      </c>
      <c r="F1437">
        <v>6228</v>
      </c>
      <c r="G1437">
        <v>6238</v>
      </c>
      <c r="H1437">
        <v>30300</v>
      </c>
    </row>
    <row r="1438" spans="2:8">
      <c r="B1438" t="s">
        <v>587</v>
      </c>
      <c r="C1438" t="s">
        <v>273</v>
      </c>
      <c r="D1438">
        <v>6238</v>
      </c>
      <c r="E1438">
        <v>6240</v>
      </c>
      <c r="F1438">
        <v>6233</v>
      </c>
      <c r="G1438">
        <v>6235</v>
      </c>
      <c r="H1438">
        <v>32000</v>
      </c>
    </row>
    <row r="1439" spans="2:8">
      <c r="B1439" t="s">
        <v>587</v>
      </c>
      <c r="C1439" t="s">
        <v>274</v>
      </c>
      <c r="D1439">
        <v>6235</v>
      </c>
      <c r="E1439">
        <v>6246</v>
      </c>
      <c r="F1439">
        <v>6235</v>
      </c>
      <c r="G1439">
        <v>6244</v>
      </c>
      <c r="H1439">
        <v>35300</v>
      </c>
    </row>
    <row r="1440" spans="2:8">
      <c r="B1440" t="s">
        <v>587</v>
      </c>
      <c r="C1440" t="s">
        <v>275</v>
      </c>
      <c r="D1440">
        <v>6243</v>
      </c>
      <c r="E1440">
        <v>6246</v>
      </c>
      <c r="F1440">
        <v>6240</v>
      </c>
      <c r="G1440">
        <v>6242</v>
      </c>
      <c r="H1440">
        <v>40400</v>
      </c>
    </row>
    <row r="1441" spans="2:8">
      <c r="B1441" t="s">
        <v>587</v>
      </c>
      <c r="C1441" t="s">
        <v>276</v>
      </c>
      <c r="D1441">
        <v>6243</v>
      </c>
      <c r="E1441">
        <v>6245</v>
      </c>
      <c r="F1441">
        <v>6237</v>
      </c>
      <c r="G1441">
        <v>6237</v>
      </c>
      <c r="H1441">
        <v>32500</v>
      </c>
    </row>
    <row r="1442" spans="2:8">
      <c r="B1442" t="s">
        <v>587</v>
      </c>
      <c r="C1442" t="s">
        <v>277</v>
      </c>
      <c r="D1442">
        <v>6238</v>
      </c>
      <c r="E1442">
        <v>6242</v>
      </c>
      <c r="F1442">
        <v>6237</v>
      </c>
      <c r="G1442">
        <v>6239</v>
      </c>
      <c r="H1442">
        <v>13500</v>
      </c>
    </row>
    <row r="1443" spans="2:8">
      <c r="B1443" t="s">
        <v>587</v>
      </c>
      <c r="C1443" t="s">
        <v>278</v>
      </c>
      <c r="D1443">
        <v>6240</v>
      </c>
      <c r="E1443">
        <v>6243</v>
      </c>
      <c r="F1443">
        <v>6231</v>
      </c>
      <c r="G1443">
        <v>6236</v>
      </c>
      <c r="H1443">
        <v>26600</v>
      </c>
    </row>
    <row r="1444" spans="2:8">
      <c r="B1444" t="s">
        <v>587</v>
      </c>
      <c r="C1444" t="s">
        <v>279</v>
      </c>
      <c r="D1444">
        <v>6237</v>
      </c>
      <c r="E1444">
        <v>6239</v>
      </c>
      <c r="F1444">
        <v>6235</v>
      </c>
      <c r="G1444">
        <v>6238</v>
      </c>
      <c r="H1444">
        <v>16500</v>
      </c>
    </row>
    <row r="1445" spans="2:8">
      <c r="B1445" t="s">
        <v>587</v>
      </c>
      <c r="C1445" t="s">
        <v>280</v>
      </c>
      <c r="D1445">
        <v>6237</v>
      </c>
      <c r="E1445">
        <v>6238</v>
      </c>
      <c r="F1445">
        <v>6232</v>
      </c>
      <c r="G1445">
        <v>6234</v>
      </c>
      <c r="H1445">
        <v>15300</v>
      </c>
    </row>
    <row r="1446" spans="2:8">
      <c r="B1446" t="s">
        <v>587</v>
      </c>
      <c r="C1446" t="s">
        <v>281</v>
      </c>
      <c r="D1446">
        <v>6235</v>
      </c>
      <c r="E1446">
        <v>6235</v>
      </c>
      <c r="F1446">
        <v>6225</v>
      </c>
      <c r="G1446">
        <v>6228</v>
      </c>
      <c r="H1446">
        <v>31000</v>
      </c>
    </row>
    <row r="1447" spans="2:8">
      <c r="B1447" t="s">
        <v>587</v>
      </c>
      <c r="C1447" t="s">
        <v>282</v>
      </c>
      <c r="D1447">
        <v>6227</v>
      </c>
      <c r="E1447">
        <v>6228</v>
      </c>
      <c r="F1447">
        <v>6223</v>
      </c>
      <c r="G1447">
        <v>6225</v>
      </c>
      <c r="H1447">
        <v>17100</v>
      </c>
    </row>
    <row r="1448" spans="2:8">
      <c r="B1448" t="s">
        <v>587</v>
      </c>
      <c r="C1448" t="s">
        <v>283</v>
      </c>
      <c r="D1448">
        <v>6224</v>
      </c>
      <c r="E1448">
        <v>6244</v>
      </c>
      <c r="F1448">
        <v>6221</v>
      </c>
      <c r="G1448">
        <v>6244</v>
      </c>
      <c r="H1448">
        <v>56300</v>
      </c>
    </row>
    <row r="1449" spans="2:8">
      <c r="B1449" t="s">
        <v>587</v>
      </c>
      <c r="C1449" t="s">
        <v>284</v>
      </c>
      <c r="D1449">
        <v>6244</v>
      </c>
      <c r="E1449">
        <v>6245</v>
      </c>
      <c r="F1449">
        <v>6237</v>
      </c>
      <c r="G1449">
        <v>6238</v>
      </c>
      <c r="H1449">
        <v>39600</v>
      </c>
    </row>
    <row r="1450" spans="2:8">
      <c r="B1450" t="s">
        <v>587</v>
      </c>
      <c r="C1450" t="s">
        <v>285</v>
      </c>
      <c r="D1450">
        <v>6238</v>
      </c>
      <c r="E1450">
        <v>6244</v>
      </c>
      <c r="F1450">
        <v>6234</v>
      </c>
      <c r="G1450">
        <v>6235</v>
      </c>
      <c r="H1450">
        <v>39000</v>
      </c>
    </row>
    <row r="1451" spans="2:8">
      <c r="B1451" t="s">
        <v>587</v>
      </c>
      <c r="C1451" t="s">
        <v>286</v>
      </c>
      <c r="D1451">
        <v>6236</v>
      </c>
      <c r="E1451">
        <v>6239</v>
      </c>
      <c r="F1451">
        <v>6225</v>
      </c>
      <c r="G1451">
        <v>6236</v>
      </c>
      <c r="H1451">
        <v>66300</v>
      </c>
    </row>
    <row r="1452" spans="2:8">
      <c r="B1452" t="s">
        <v>587</v>
      </c>
      <c r="C1452" t="s">
        <v>287</v>
      </c>
      <c r="D1452">
        <v>6237</v>
      </c>
      <c r="E1452">
        <v>6239</v>
      </c>
      <c r="F1452">
        <v>6233</v>
      </c>
      <c r="G1452">
        <v>6233</v>
      </c>
      <c r="H1452">
        <v>11000</v>
      </c>
    </row>
    <row r="1453" spans="2:8">
      <c r="B1453" t="s">
        <v>587</v>
      </c>
      <c r="C1453" t="s">
        <v>288</v>
      </c>
      <c r="D1453">
        <v>6234</v>
      </c>
      <c r="E1453">
        <v>6252</v>
      </c>
      <c r="F1453">
        <v>6233</v>
      </c>
      <c r="G1453">
        <v>6238</v>
      </c>
      <c r="H1453">
        <v>125800</v>
      </c>
    </row>
    <row r="1454" spans="2:8">
      <c r="B1454" t="s">
        <v>587</v>
      </c>
      <c r="C1454" t="s">
        <v>289</v>
      </c>
      <c r="D1454">
        <v>6236</v>
      </c>
      <c r="E1454">
        <v>6238</v>
      </c>
      <c r="F1454">
        <v>6225</v>
      </c>
      <c r="G1454">
        <v>6238</v>
      </c>
      <c r="H1454">
        <v>60800</v>
      </c>
    </row>
    <row r="1455" spans="2:8">
      <c r="B1455" t="s">
        <v>587</v>
      </c>
      <c r="C1455" t="s">
        <v>290</v>
      </c>
      <c r="D1455">
        <v>6237</v>
      </c>
      <c r="E1455">
        <v>6238</v>
      </c>
      <c r="F1455">
        <v>6232</v>
      </c>
      <c r="G1455">
        <v>6233</v>
      </c>
      <c r="H1455">
        <v>25300</v>
      </c>
    </row>
    <row r="1456" spans="2:8">
      <c r="B1456" t="s">
        <v>587</v>
      </c>
      <c r="C1456" t="s">
        <v>291</v>
      </c>
      <c r="D1456">
        <v>6234</v>
      </c>
      <c r="E1456">
        <v>6237</v>
      </c>
      <c r="F1456">
        <v>6227</v>
      </c>
      <c r="G1456">
        <v>6237</v>
      </c>
      <c r="H1456">
        <v>22000</v>
      </c>
    </row>
    <row r="1457" spans="2:8">
      <c r="B1457" t="s">
        <v>587</v>
      </c>
      <c r="C1457" t="s">
        <v>292</v>
      </c>
      <c r="D1457">
        <v>6237</v>
      </c>
      <c r="E1457">
        <v>6239</v>
      </c>
      <c r="F1457">
        <v>6234</v>
      </c>
      <c r="G1457">
        <v>6237</v>
      </c>
      <c r="H1457">
        <v>15400</v>
      </c>
    </row>
    <row r="1458" spans="2:8">
      <c r="B1458" t="s">
        <v>587</v>
      </c>
      <c r="C1458" t="s">
        <v>293</v>
      </c>
      <c r="D1458">
        <v>6237</v>
      </c>
      <c r="E1458">
        <v>6243</v>
      </c>
      <c r="F1458">
        <v>6234</v>
      </c>
      <c r="G1458">
        <v>6241</v>
      </c>
      <c r="H1458">
        <v>18300</v>
      </c>
    </row>
    <row r="1459" spans="2:8">
      <c r="B1459" t="s">
        <v>587</v>
      </c>
      <c r="C1459" t="s">
        <v>294</v>
      </c>
      <c r="D1459">
        <v>6241</v>
      </c>
      <c r="E1459">
        <v>6241</v>
      </c>
      <c r="F1459">
        <v>6230</v>
      </c>
      <c r="G1459">
        <v>6230</v>
      </c>
      <c r="H1459">
        <v>21600</v>
      </c>
    </row>
    <row r="1460" spans="2:8">
      <c r="B1460" t="s">
        <v>587</v>
      </c>
      <c r="C1460" t="s">
        <v>295</v>
      </c>
      <c r="D1460">
        <v>6231</v>
      </c>
      <c r="E1460">
        <v>6234</v>
      </c>
      <c r="F1460">
        <v>6220</v>
      </c>
      <c r="G1460">
        <v>6221</v>
      </c>
      <c r="H1460">
        <v>53000</v>
      </c>
    </row>
    <row r="1461" spans="2:8">
      <c r="B1461" t="s">
        <v>587</v>
      </c>
      <c r="C1461" t="s">
        <v>296</v>
      </c>
      <c r="D1461">
        <v>6222</v>
      </c>
      <c r="E1461">
        <v>6223</v>
      </c>
      <c r="F1461">
        <v>6210</v>
      </c>
      <c r="G1461">
        <v>6216</v>
      </c>
      <c r="H1461">
        <v>63500</v>
      </c>
    </row>
    <row r="1462" spans="2:8">
      <c r="B1462" t="s">
        <v>587</v>
      </c>
      <c r="C1462" t="s">
        <v>297</v>
      </c>
      <c r="D1462">
        <v>6216</v>
      </c>
      <c r="E1462">
        <v>6219</v>
      </c>
      <c r="F1462">
        <v>6214</v>
      </c>
      <c r="G1462">
        <v>6216</v>
      </c>
      <c r="H1462">
        <v>28600</v>
      </c>
    </row>
    <row r="1463" spans="2:8">
      <c r="B1463" t="s">
        <v>587</v>
      </c>
      <c r="C1463" t="s">
        <v>298</v>
      </c>
      <c r="D1463">
        <v>6216</v>
      </c>
      <c r="E1463">
        <v>6221</v>
      </c>
      <c r="F1463">
        <v>6212</v>
      </c>
      <c r="G1463">
        <v>6213</v>
      </c>
      <c r="H1463">
        <v>35100</v>
      </c>
    </row>
    <row r="1464" spans="2:8">
      <c r="B1464" t="s">
        <v>587</v>
      </c>
      <c r="C1464" t="s">
        <v>299</v>
      </c>
      <c r="D1464">
        <v>6213</v>
      </c>
      <c r="E1464">
        <v>6216</v>
      </c>
      <c r="F1464">
        <v>6213</v>
      </c>
      <c r="G1464">
        <v>6214</v>
      </c>
      <c r="H1464">
        <v>8400</v>
      </c>
    </row>
    <row r="1465" spans="2:8">
      <c r="B1465" t="s">
        <v>587</v>
      </c>
      <c r="C1465" t="s">
        <v>300</v>
      </c>
      <c r="D1465">
        <v>6214</v>
      </c>
      <c r="E1465">
        <v>6215</v>
      </c>
      <c r="F1465">
        <v>6213</v>
      </c>
      <c r="G1465">
        <v>6213</v>
      </c>
      <c r="H1465">
        <v>7100</v>
      </c>
    </row>
    <row r="1466" spans="2:8">
      <c r="B1466" t="s">
        <v>587</v>
      </c>
      <c r="C1466" t="s">
        <v>301</v>
      </c>
      <c r="D1466">
        <v>6214</v>
      </c>
      <c r="E1466">
        <v>6222</v>
      </c>
      <c r="F1466">
        <v>6208</v>
      </c>
      <c r="G1466">
        <v>6219</v>
      </c>
      <c r="H1466">
        <v>53200</v>
      </c>
    </row>
    <row r="1467" spans="2:8">
      <c r="B1467" t="s">
        <v>587</v>
      </c>
      <c r="C1467" t="s">
        <v>302</v>
      </c>
      <c r="D1467">
        <v>6220</v>
      </c>
      <c r="E1467">
        <v>6220</v>
      </c>
      <c r="F1467">
        <v>6212</v>
      </c>
      <c r="G1467">
        <v>6214</v>
      </c>
      <c r="H1467">
        <v>12300</v>
      </c>
    </row>
    <row r="1468" spans="2:8">
      <c r="B1468" t="s">
        <v>587</v>
      </c>
      <c r="C1468" t="s">
        <v>303</v>
      </c>
      <c r="D1468">
        <v>6214</v>
      </c>
      <c r="E1468">
        <v>6214</v>
      </c>
      <c r="F1468">
        <v>6208</v>
      </c>
      <c r="G1468">
        <v>6210</v>
      </c>
      <c r="H1468">
        <v>14600</v>
      </c>
    </row>
    <row r="1469" spans="2:8">
      <c r="B1469" t="s">
        <v>587</v>
      </c>
      <c r="C1469" t="s">
        <v>304</v>
      </c>
      <c r="D1469">
        <v>6211</v>
      </c>
      <c r="E1469">
        <v>6213</v>
      </c>
      <c r="F1469">
        <v>6209</v>
      </c>
      <c r="G1469">
        <v>6212</v>
      </c>
      <c r="H1469">
        <v>9300</v>
      </c>
    </row>
    <row r="1470" spans="2:8">
      <c r="B1470" t="s">
        <v>587</v>
      </c>
      <c r="C1470" t="s">
        <v>305</v>
      </c>
      <c r="D1470">
        <v>6213</v>
      </c>
      <c r="E1470">
        <v>6220</v>
      </c>
      <c r="F1470">
        <v>6212</v>
      </c>
      <c r="G1470">
        <v>6217</v>
      </c>
      <c r="H1470">
        <v>26600</v>
      </c>
    </row>
    <row r="1471" spans="2:8">
      <c r="B1471" t="s">
        <v>587</v>
      </c>
      <c r="C1471" t="s">
        <v>306</v>
      </c>
      <c r="D1471">
        <v>6218</v>
      </c>
      <c r="E1471">
        <v>6218</v>
      </c>
      <c r="F1471">
        <v>6214</v>
      </c>
      <c r="G1471">
        <v>6217</v>
      </c>
      <c r="H1471">
        <v>10900</v>
      </c>
    </row>
    <row r="1472" spans="2:8">
      <c r="B1472" t="s">
        <v>587</v>
      </c>
      <c r="C1472" t="s">
        <v>307</v>
      </c>
      <c r="D1472">
        <v>6216</v>
      </c>
      <c r="E1472">
        <v>6220</v>
      </c>
      <c r="F1472">
        <v>6215</v>
      </c>
      <c r="G1472">
        <v>6218</v>
      </c>
      <c r="H1472">
        <v>10400</v>
      </c>
    </row>
    <row r="1473" spans="2:8">
      <c r="B1473" t="s">
        <v>587</v>
      </c>
      <c r="C1473" t="s">
        <v>308</v>
      </c>
      <c r="D1473">
        <v>6217</v>
      </c>
      <c r="E1473">
        <v>6219</v>
      </c>
      <c r="F1473">
        <v>6216</v>
      </c>
      <c r="G1473">
        <v>6219</v>
      </c>
      <c r="H1473">
        <v>14100</v>
      </c>
    </row>
    <row r="1474" spans="2:8">
      <c r="B1474" t="s">
        <v>587</v>
      </c>
      <c r="C1474" t="s">
        <v>309</v>
      </c>
      <c r="D1474">
        <v>6216</v>
      </c>
      <c r="E1474">
        <v>6216</v>
      </c>
      <c r="F1474">
        <v>6191</v>
      </c>
      <c r="G1474">
        <v>6197</v>
      </c>
      <c r="H1474">
        <v>114500</v>
      </c>
    </row>
    <row r="1475" spans="2:8">
      <c r="B1475" t="s">
        <v>587</v>
      </c>
      <c r="C1475" t="s">
        <v>310</v>
      </c>
      <c r="D1475">
        <v>6197</v>
      </c>
      <c r="E1475">
        <v>6200</v>
      </c>
      <c r="F1475">
        <v>6195</v>
      </c>
      <c r="G1475">
        <v>6198</v>
      </c>
      <c r="H1475">
        <v>29200</v>
      </c>
    </row>
    <row r="1476" spans="2:8">
      <c r="B1476" t="s">
        <v>587</v>
      </c>
      <c r="C1476" t="s">
        <v>311</v>
      </c>
      <c r="D1476">
        <v>6197</v>
      </c>
      <c r="E1476">
        <v>6200</v>
      </c>
      <c r="F1476">
        <v>6196</v>
      </c>
      <c r="G1476">
        <v>6197</v>
      </c>
      <c r="H1476">
        <v>15600</v>
      </c>
    </row>
    <row r="1477" spans="2:8">
      <c r="B1477" t="s">
        <v>587</v>
      </c>
      <c r="C1477" t="s">
        <v>312</v>
      </c>
      <c r="D1477">
        <v>6196</v>
      </c>
      <c r="E1477">
        <v>6212</v>
      </c>
      <c r="F1477">
        <v>6193</v>
      </c>
      <c r="G1477">
        <v>6212</v>
      </c>
      <c r="H1477">
        <v>96800</v>
      </c>
    </row>
    <row r="1478" spans="2:8">
      <c r="B1478" t="s">
        <v>587</v>
      </c>
      <c r="C1478" t="s">
        <v>313</v>
      </c>
      <c r="D1478">
        <v>6212</v>
      </c>
      <c r="E1478">
        <v>6212</v>
      </c>
      <c r="F1478">
        <v>6205</v>
      </c>
      <c r="G1478">
        <v>6210</v>
      </c>
      <c r="H1478">
        <v>18400</v>
      </c>
    </row>
    <row r="1479" spans="2:8">
      <c r="B1479" t="s">
        <v>587</v>
      </c>
      <c r="C1479" t="s">
        <v>314</v>
      </c>
      <c r="D1479">
        <v>6209</v>
      </c>
      <c r="E1479">
        <v>6210</v>
      </c>
      <c r="F1479">
        <v>6206</v>
      </c>
      <c r="G1479">
        <v>6207</v>
      </c>
      <c r="H1479">
        <v>11500</v>
      </c>
    </row>
    <row r="1480" spans="2:8">
      <c r="B1480" t="s">
        <v>587</v>
      </c>
      <c r="C1480" t="s">
        <v>315</v>
      </c>
      <c r="D1480">
        <v>6207</v>
      </c>
      <c r="E1480">
        <v>6211</v>
      </c>
      <c r="F1480">
        <v>6204</v>
      </c>
      <c r="G1480">
        <v>6207</v>
      </c>
      <c r="H1480">
        <v>19300</v>
      </c>
    </row>
    <row r="1481" spans="2:8">
      <c r="B1481" t="s">
        <v>587</v>
      </c>
      <c r="C1481" t="s">
        <v>316</v>
      </c>
      <c r="D1481">
        <v>6206</v>
      </c>
      <c r="E1481">
        <v>6206</v>
      </c>
      <c r="F1481">
        <v>6206</v>
      </c>
      <c r="G1481">
        <v>6206</v>
      </c>
      <c r="H1481">
        <v>8900</v>
      </c>
    </row>
    <row r="1482" spans="2:8">
      <c r="B1482" t="s">
        <v>587</v>
      </c>
      <c r="C1482" t="s">
        <v>317</v>
      </c>
      <c r="D1482">
        <v>6209</v>
      </c>
      <c r="E1482">
        <v>6222</v>
      </c>
      <c r="F1482">
        <v>6209</v>
      </c>
      <c r="G1482">
        <v>6213</v>
      </c>
      <c r="H1482">
        <v>67800</v>
      </c>
    </row>
    <row r="1483" spans="2:8">
      <c r="B1483" t="s">
        <v>587</v>
      </c>
      <c r="C1483" t="s">
        <v>318</v>
      </c>
      <c r="D1483">
        <v>6212</v>
      </c>
      <c r="E1483">
        <v>6217</v>
      </c>
      <c r="F1483">
        <v>6211</v>
      </c>
      <c r="G1483">
        <v>6211</v>
      </c>
      <c r="H1483">
        <v>19300</v>
      </c>
    </row>
    <row r="1484" spans="2:8">
      <c r="B1484" t="s">
        <v>587</v>
      </c>
      <c r="C1484" t="s">
        <v>319</v>
      </c>
      <c r="D1484">
        <v>6210</v>
      </c>
      <c r="E1484">
        <v>6210</v>
      </c>
      <c r="F1484">
        <v>6201</v>
      </c>
      <c r="G1484">
        <v>6201</v>
      </c>
      <c r="H1484">
        <v>38100</v>
      </c>
    </row>
    <row r="1485" spans="2:8">
      <c r="B1485" t="s">
        <v>587</v>
      </c>
      <c r="C1485" t="s">
        <v>320</v>
      </c>
      <c r="D1485">
        <v>6202</v>
      </c>
      <c r="E1485">
        <v>6209</v>
      </c>
      <c r="F1485">
        <v>6202</v>
      </c>
      <c r="G1485">
        <v>6205</v>
      </c>
      <c r="H1485">
        <v>22400</v>
      </c>
    </row>
    <row r="1486" spans="2:8">
      <c r="B1486" t="s">
        <v>587</v>
      </c>
      <c r="C1486" t="s">
        <v>321</v>
      </c>
      <c r="D1486">
        <v>6205</v>
      </c>
      <c r="E1486">
        <v>6205</v>
      </c>
      <c r="F1486">
        <v>6200</v>
      </c>
      <c r="G1486">
        <v>6201</v>
      </c>
      <c r="H1486">
        <v>22000</v>
      </c>
    </row>
    <row r="1487" spans="2:8">
      <c r="B1487" t="s">
        <v>587</v>
      </c>
      <c r="C1487" t="s">
        <v>322</v>
      </c>
      <c r="D1487">
        <v>6201</v>
      </c>
      <c r="E1487">
        <v>6201</v>
      </c>
      <c r="F1487">
        <v>6192</v>
      </c>
      <c r="G1487">
        <v>6192</v>
      </c>
      <c r="H1487">
        <v>56700</v>
      </c>
    </row>
    <row r="1488" spans="2:8">
      <c r="B1488" t="s">
        <v>587</v>
      </c>
      <c r="C1488" t="s">
        <v>323</v>
      </c>
      <c r="D1488">
        <v>6192</v>
      </c>
      <c r="E1488">
        <v>6194</v>
      </c>
      <c r="F1488">
        <v>6183</v>
      </c>
      <c r="G1488">
        <v>6184</v>
      </c>
      <c r="H1488">
        <v>87200</v>
      </c>
    </row>
    <row r="1489" spans="2:8">
      <c r="B1489" t="s">
        <v>587</v>
      </c>
      <c r="C1489" t="s">
        <v>324</v>
      </c>
      <c r="D1489">
        <v>6183</v>
      </c>
      <c r="E1489">
        <v>6192</v>
      </c>
      <c r="F1489">
        <v>6183</v>
      </c>
      <c r="G1489">
        <v>6191</v>
      </c>
      <c r="H1489">
        <v>35600</v>
      </c>
    </row>
    <row r="1490" spans="2:8">
      <c r="B1490" t="s">
        <v>587</v>
      </c>
      <c r="C1490" t="s">
        <v>325</v>
      </c>
      <c r="D1490">
        <v>6191</v>
      </c>
      <c r="E1490">
        <v>6201</v>
      </c>
      <c r="F1490">
        <v>6190</v>
      </c>
      <c r="G1490">
        <v>6200</v>
      </c>
      <c r="H1490">
        <v>42300</v>
      </c>
    </row>
    <row r="1491" spans="2:8">
      <c r="B1491" t="s">
        <v>587</v>
      </c>
      <c r="C1491" t="s">
        <v>326</v>
      </c>
      <c r="D1491">
        <v>6201</v>
      </c>
      <c r="E1491">
        <v>6201</v>
      </c>
      <c r="F1491">
        <v>6196</v>
      </c>
      <c r="G1491">
        <v>6198</v>
      </c>
      <c r="H1491">
        <v>39600</v>
      </c>
    </row>
    <row r="1492" spans="2:8">
      <c r="B1492" t="s">
        <v>587</v>
      </c>
      <c r="C1492" t="s">
        <v>327</v>
      </c>
      <c r="D1492">
        <v>6198</v>
      </c>
      <c r="E1492">
        <v>6205</v>
      </c>
      <c r="F1492">
        <v>6198</v>
      </c>
      <c r="G1492">
        <v>6203</v>
      </c>
      <c r="H1492">
        <v>24800</v>
      </c>
    </row>
    <row r="1493" spans="2:8">
      <c r="B1493" t="s">
        <v>587</v>
      </c>
      <c r="C1493" t="s">
        <v>328</v>
      </c>
      <c r="D1493">
        <v>6203</v>
      </c>
      <c r="E1493">
        <v>6205</v>
      </c>
      <c r="F1493">
        <v>6200</v>
      </c>
      <c r="G1493">
        <v>6204</v>
      </c>
      <c r="H1493">
        <v>24300</v>
      </c>
    </row>
    <row r="1494" spans="2:8">
      <c r="B1494" t="s">
        <v>587</v>
      </c>
      <c r="C1494" t="s">
        <v>329</v>
      </c>
      <c r="D1494">
        <v>6204</v>
      </c>
      <c r="E1494">
        <v>6213</v>
      </c>
      <c r="F1494">
        <v>6203</v>
      </c>
      <c r="G1494">
        <v>6211</v>
      </c>
      <c r="H1494">
        <v>32700</v>
      </c>
    </row>
    <row r="1495" spans="2:8">
      <c r="B1495" t="s">
        <v>587</v>
      </c>
      <c r="C1495" t="s">
        <v>330</v>
      </c>
      <c r="D1495">
        <v>6211</v>
      </c>
      <c r="E1495">
        <v>6211</v>
      </c>
      <c r="F1495">
        <v>6199</v>
      </c>
      <c r="G1495">
        <v>6200</v>
      </c>
      <c r="H1495">
        <v>27000</v>
      </c>
    </row>
    <row r="1496" spans="2:8">
      <c r="B1496" t="s">
        <v>587</v>
      </c>
      <c r="C1496" t="s">
        <v>331</v>
      </c>
      <c r="D1496">
        <v>6200</v>
      </c>
      <c r="E1496">
        <v>6201</v>
      </c>
      <c r="F1496">
        <v>6199</v>
      </c>
      <c r="G1496">
        <v>6201</v>
      </c>
      <c r="H1496">
        <v>8700</v>
      </c>
    </row>
    <row r="1497" spans="2:8">
      <c r="B1497" t="s">
        <v>587</v>
      </c>
      <c r="C1497" t="s">
        <v>332</v>
      </c>
      <c r="D1497">
        <v>6201</v>
      </c>
      <c r="E1497">
        <v>6201</v>
      </c>
      <c r="F1497">
        <v>6195</v>
      </c>
      <c r="G1497">
        <v>6198</v>
      </c>
      <c r="H1497">
        <v>22500</v>
      </c>
    </row>
    <row r="1498" spans="2:8">
      <c r="B1498" t="s">
        <v>587</v>
      </c>
      <c r="C1498" t="s">
        <v>333</v>
      </c>
      <c r="D1498">
        <v>6198</v>
      </c>
      <c r="E1498">
        <v>6200</v>
      </c>
      <c r="F1498">
        <v>6196</v>
      </c>
      <c r="G1498">
        <v>6197</v>
      </c>
      <c r="H1498">
        <v>10100</v>
      </c>
    </row>
    <row r="1499" spans="2:8">
      <c r="B1499" t="s">
        <v>587</v>
      </c>
      <c r="C1499" t="s">
        <v>334</v>
      </c>
      <c r="D1499">
        <v>6198</v>
      </c>
      <c r="E1499">
        <v>6199</v>
      </c>
      <c r="F1499">
        <v>6196</v>
      </c>
      <c r="G1499">
        <v>6197</v>
      </c>
      <c r="H1499">
        <v>8200</v>
      </c>
    </row>
    <row r="1500" spans="2:8">
      <c r="B1500" t="s">
        <v>587</v>
      </c>
      <c r="C1500" t="s">
        <v>335</v>
      </c>
      <c r="D1500">
        <v>6197</v>
      </c>
      <c r="E1500">
        <v>6200</v>
      </c>
      <c r="F1500">
        <v>6192</v>
      </c>
      <c r="G1500">
        <v>6195</v>
      </c>
      <c r="H1500">
        <v>27300</v>
      </c>
    </row>
    <row r="1501" spans="2:8">
      <c r="B1501" t="s">
        <v>587</v>
      </c>
      <c r="C1501" t="s">
        <v>336</v>
      </c>
      <c r="D1501">
        <v>6195</v>
      </c>
      <c r="E1501">
        <v>6197</v>
      </c>
      <c r="F1501">
        <v>6194</v>
      </c>
      <c r="G1501">
        <v>6197</v>
      </c>
      <c r="H1501">
        <v>12900</v>
      </c>
    </row>
    <row r="1502" spans="2:8">
      <c r="B1502" t="s">
        <v>587</v>
      </c>
      <c r="C1502" t="s">
        <v>337</v>
      </c>
      <c r="D1502">
        <v>6196</v>
      </c>
      <c r="E1502">
        <v>6196</v>
      </c>
      <c r="F1502">
        <v>6190</v>
      </c>
      <c r="G1502">
        <v>6194</v>
      </c>
      <c r="H1502">
        <v>14900</v>
      </c>
    </row>
    <row r="1503" spans="2:8">
      <c r="B1503" t="s">
        <v>587</v>
      </c>
      <c r="C1503" t="s">
        <v>338</v>
      </c>
      <c r="D1503">
        <v>6194</v>
      </c>
      <c r="E1503">
        <v>6198</v>
      </c>
      <c r="F1503">
        <v>6192</v>
      </c>
      <c r="G1503">
        <v>6198</v>
      </c>
      <c r="H1503">
        <v>25500</v>
      </c>
    </row>
    <row r="1504" spans="2:8">
      <c r="B1504" t="s">
        <v>587</v>
      </c>
      <c r="C1504" t="s">
        <v>339</v>
      </c>
      <c r="D1504">
        <v>6197</v>
      </c>
      <c r="E1504">
        <v>6202</v>
      </c>
      <c r="F1504">
        <v>6197</v>
      </c>
      <c r="G1504">
        <v>6202</v>
      </c>
      <c r="H1504">
        <v>25300</v>
      </c>
    </row>
    <row r="1505" spans="2:8">
      <c r="B1505" t="s">
        <v>587</v>
      </c>
      <c r="C1505" t="s">
        <v>340</v>
      </c>
      <c r="D1505">
        <v>6201</v>
      </c>
      <c r="E1505">
        <v>6206</v>
      </c>
      <c r="F1505">
        <v>6198</v>
      </c>
      <c r="G1505">
        <v>6205</v>
      </c>
      <c r="H1505">
        <v>19800</v>
      </c>
    </row>
    <row r="1506" spans="2:8">
      <c r="B1506" t="s">
        <v>587</v>
      </c>
      <c r="C1506" t="s">
        <v>341</v>
      </c>
      <c r="D1506">
        <v>6205</v>
      </c>
      <c r="E1506">
        <v>6206</v>
      </c>
      <c r="F1506">
        <v>6202</v>
      </c>
      <c r="G1506">
        <v>6204</v>
      </c>
      <c r="H1506">
        <v>10800</v>
      </c>
    </row>
    <row r="1507" spans="2:8">
      <c r="B1507" t="s">
        <v>587</v>
      </c>
      <c r="C1507" t="s">
        <v>342</v>
      </c>
      <c r="D1507">
        <v>6204</v>
      </c>
      <c r="E1507">
        <v>6205</v>
      </c>
      <c r="F1507">
        <v>6203</v>
      </c>
      <c r="G1507">
        <v>6204</v>
      </c>
      <c r="H1507">
        <v>7400</v>
      </c>
    </row>
    <row r="1508" spans="2:8">
      <c r="B1508" t="s">
        <v>587</v>
      </c>
      <c r="C1508" t="s">
        <v>343</v>
      </c>
      <c r="D1508">
        <v>6204</v>
      </c>
      <c r="E1508">
        <v>6209</v>
      </c>
      <c r="F1508">
        <v>6203</v>
      </c>
      <c r="G1508">
        <v>6207</v>
      </c>
      <c r="H1508">
        <v>23600</v>
      </c>
    </row>
    <row r="1509" spans="2:8">
      <c r="B1509" t="s">
        <v>587</v>
      </c>
      <c r="C1509" t="s">
        <v>344</v>
      </c>
      <c r="D1509">
        <v>6206</v>
      </c>
      <c r="E1509">
        <v>6209</v>
      </c>
      <c r="F1509">
        <v>6204</v>
      </c>
      <c r="G1509">
        <v>6208</v>
      </c>
      <c r="H1509">
        <v>14500</v>
      </c>
    </row>
    <row r="1510" spans="2:8">
      <c r="B1510" t="s">
        <v>587</v>
      </c>
      <c r="C1510" t="s">
        <v>345</v>
      </c>
      <c r="D1510">
        <v>6208</v>
      </c>
      <c r="E1510">
        <v>6211</v>
      </c>
      <c r="F1510">
        <v>6206</v>
      </c>
      <c r="G1510">
        <v>6211</v>
      </c>
      <c r="H1510">
        <v>19800</v>
      </c>
    </row>
    <row r="1511" spans="2:8">
      <c r="B1511" t="s">
        <v>587</v>
      </c>
      <c r="C1511" t="s">
        <v>346</v>
      </c>
      <c r="D1511">
        <v>6211</v>
      </c>
      <c r="E1511">
        <v>6212</v>
      </c>
      <c r="F1511">
        <v>6207</v>
      </c>
      <c r="G1511">
        <v>6209</v>
      </c>
      <c r="H1511">
        <v>16600</v>
      </c>
    </row>
    <row r="1512" spans="2:8">
      <c r="B1512" t="s">
        <v>587</v>
      </c>
      <c r="C1512" t="s">
        <v>347</v>
      </c>
      <c r="D1512">
        <v>6209</v>
      </c>
      <c r="E1512">
        <v>6213</v>
      </c>
      <c r="F1512">
        <v>6206</v>
      </c>
      <c r="G1512">
        <v>6208</v>
      </c>
      <c r="H1512">
        <v>30400</v>
      </c>
    </row>
    <row r="1513" spans="2:8">
      <c r="B1513" t="s">
        <v>587</v>
      </c>
      <c r="C1513" t="s">
        <v>348</v>
      </c>
      <c r="D1513">
        <v>6208</v>
      </c>
      <c r="E1513">
        <v>6213</v>
      </c>
      <c r="F1513">
        <v>6208</v>
      </c>
      <c r="G1513">
        <v>6210</v>
      </c>
      <c r="H1513">
        <v>15000</v>
      </c>
    </row>
    <row r="1514" spans="2:8">
      <c r="B1514" t="s">
        <v>587</v>
      </c>
      <c r="C1514" t="s">
        <v>349</v>
      </c>
      <c r="D1514">
        <v>6210</v>
      </c>
      <c r="E1514">
        <v>6213</v>
      </c>
      <c r="F1514">
        <v>6209</v>
      </c>
      <c r="G1514">
        <v>6213</v>
      </c>
      <c r="H1514">
        <v>15200</v>
      </c>
    </row>
    <row r="1515" spans="2:8">
      <c r="B1515" t="s">
        <v>587</v>
      </c>
      <c r="C1515" t="s">
        <v>350</v>
      </c>
      <c r="D1515">
        <v>6213</v>
      </c>
      <c r="E1515">
        <v>6216</v>
      </c>
      <c r="F1515">
        <v>6213</v>
      </c>
      <c r="G1515">
        <v>6214</v>
      </c>
      <c r="H1515">
        <v>20500</v>
      </c>
    </row>
    <row r="1516" spans="2:8">
      <c r="B1516" t="s">
        <v>587</v>
      </c>
      <c r="C1516" t="s">
        <v>351</v>
      </c>
      <c r="D1516">
        <v>6214</v>
      </c>
      <c r="E1516">
        <v>6215</v>
      </c>
      <c r="F1516">
        <v>6205</v>
      </c>
      <c r="G1516">
        <v>6209</v>
      </c>
      <c r="H1516">
        <v>24900</v>
      </c>
    </row>
    <row r="1517" spans="2:8">
      <c r="B1517" t="s">
        <v>587</v>
      </c>
      <c r="C1517" t="s">
        <v>352</v>
      </c>
      <c r="D1517">
        <v>6209</v>
      </c>
      <c r="E1517">
        <v>6209</v>
      </c>
      <c r="F1517">
        <v>6206</v>
      </c>
      <c r="G1517">
        <v>6208</v>
      </c>
      <c r="H1517">
        <v>11100</v>
      </c>
    </row>
    <row r="1518" spans="2:8">
      <c r="B1518" t="s">
        <v>587</v>
      </c>
      <c r="C1518" t="s">
        <v>353</v>
      </c>
      <c r="D1518">
        <v>6208</v>
      </c>
      <c r="E1518">
        <v>6208</v>
      </c>
      <c r="F1518">
        <v>6202</v>
      </c>
      <c r="G1518">
        <v>6206</v>
      </c>
      <c r="H1518">
        <v>15200</v>
      </c>
    </row>
    <row r="1519" spans="2:8">
      <c r="B1519" t="s">
        <v>587</v>
      </c>
      <c r="C1519" t="s">
        <v>354</v>
      </c>
      <c r="D1519">
        <v>6206</v>
      </c>
      <c r="E1519">
        <v>6207</v>
      </c>
      <c r="F1519">
        <v>6203</v>
      </c>
      <c r="G1519">
        <v>6204</v>
      </c>
      <c r="H1519">
        <v>7200</v>
      </c>
    </row>
    <row r="1520" spans="2:8">
      <c r="B1520" t="s">
        <v>587</v>
      </c>
      <c r="C1520" t="s">
        <v>355</v>
      </c>
      <c r="D1520">
        <v>6205</v>
      </c>
      <c r="E1520">
        <v>6206</v>
      </c>
      <c r="F1520">
        <v>6203</v>
      </c>
      <c r="G1520">
        <v>6204</v>
      </c>
      <c r="H1520">
        <v>7600</v>
      </c>
    </row>
    <row r="1521" spans="2:8">
      <c r="B1521" t="s">
        <v>587</v>
      </c>
      <c r="C1521" t="s">
        <v>356</v>
      </c>
      <c r="D1521">
        <v>6204</v>
      </c>
      <c r="E1521">
        <v>6204</v>
      </c>
      <c r="F1521">
        <v>6192</v>
      </c>
      <c r="G1521">
        <v>6202</v>
      </c>
      <c r="H1521">
        <v>60200</v>
      </c>
    </row>
    <row r="1522" spans="2:8">
      <c r="B1522" t="s">
        <v>587</v>
      </c>
      <c r="C1522" t="s">
        <v>357</v>
      </c>
      <c r="D1522">
        <v>6201</v>
      </c>
      <c r="E1522">
        <v>6202</v>
      </c>
      <c r="F1522">
        <v>6196</v>
      </c>
      <c r="G1522">
        <v>6201</v>
      </c>
      <c r="H1522">
        <v>29000</v>
      </c>
    </row>
    <row r="1523" spans="2:8">
      <c r="B1523" t="s">
        <v>587</v>
      </c>
      <c r="C1523" t="s">
        <v>358</v>
      </c>
      <c r="D1523">
        <v>6202</v>
      </c>
      <c r="E1523">
        <v>6206</v>
      </c>
      <c r="F1523">
        <v>6201</v>
      </c>
      <c r="G1523">
        <v>6206</v>
      </c>
      <c r="H1523">
        <v>14700</v>
      </c>
    </row>
    <row r="1524" spans="2:8">
      <c r="B1524" t="s">
        <v>587</v>
      </c>
      <c r="C1524" t="s">
        <v>359</v>
      </c>
      <c r="D1524">
        <v>6207</v>
      </c>
      <c r="E1524">
        <v>6207</v>
      </c>
      <c r="F1524">
        <v>6204</v>
      </c>
      <c r="G1524">
        <v>6207</v>
      </c>
      <c r="H1524">
        <v>10900</v>
      </c>
    </row>
    <row r="1525" spans="2:8">
      <c r="B1525" t="s">
        <v>587</v>
      </c>
      <c r="C1525" t="s">
        <v>360</v>
      </c>
      <c r="D1525">
        <v>6206</v>
      </c>
      <c r="E1525">
        <v>6207</v>
      </c>
      <c r="F1525">
        <v>6201</v>
      </c>
      <c r="G1525">
        <v>6205</v>
      </c>
      <c r="H1525">
        <v>20900</v>
      </c>
    </row>
    <row r="1526" spans="2:8">
      <c r="B1526" t="s">
        <v>587</v>
      </c>
      <c r="C1526" t="s">
        <v>361</v>
      </c>
      <c r="D1526">
        <v>6205</v>
      </c>
      <c r="E1526">
        <v>6205</v>
      </c>
      <c r="F1526">
        <v>6198</v>
      </c>
      <c r="G1526">
        <v>6199</v>
      </c>
      <c r="H1526">
        <v>18400</v>
      </c>
    </row>
    <row r="1527" spans="2:8">
      <c r="B1527" t="s">
        <v>587</v>
      </c>
      <c r="C1527" t="s">
        <v>362</v>
      </c>
      <c r="D1527">
        <v>6199</v>
      </c>
      <c r="E1527">
        <v>6202</v>
      </c>
      <c r="F1527">
        <v>6199</v>
      </c>
      <c r="G1527">
        <v>6201</v>
      </c>
      <c r="H1527">
        <v>7400</v>
      </c>
    </row>
    <row r="1528" spans="2:8">
      <c r="B1528" t="s">
        <v>587</v>
      </c>
      <c r="C1528" t="s">
        <v>363</v>
      </c>
      <c r="D1528">
        <v>6200</v>
      </c>
      <c r="E1528">
        <v>6202</v>
      </c>
      <c r="F1528">
        <v>6200</v>
      </c>
      <c r="G1528">
        <v>6202</v>
      </c>
      <c r="H1528">
        <v>6800</v>
      </c>
    </row>
    <row r="1529" spans="2:8">
      <c r="B1529" t="s">
        <v>587</v>
      </c>
      <c r="C1529" t="s">
        <v>364</v>
      </c>
      <c r="D1529">
        <v>6202</v>
      </c>
      <c r="E1529">
        <v>6202</v>
      </c>
      <c r="F1529">
        <v>6200</v>
      </c>
      <c r="G1529">
        <v>6202</v>
      </c>
      <c r="H1529">
        <v>9000</v>
      </c>
    </row>
    <row r="1530" spans="2:8">
      <c r="B1530" t="s">
        <v>587</v>
      </c>
      <c r="C1530" t="s">
        <v>365</v>
      </c>
      <c r="D1530">
        <v>6201</v>
      </c>
      <c r="E1530">
        <v>6212</v>
      </c>
      <c r="F1530">
        <v>6201</v>
      </c>
      <c r="G1530">
        <v>6210</v>
      </c>
      <c r="H1530">
        <v>49600</v>
      </c>
    </row>
    <row r="1531" spans="2:8">
      <c r="B1531" t="s">
        <v>587</v>
      </c>
      <c r="C1531" t="s">
        <v>366</v>
      </c>
      <c r="D1531">
        <v>6210</v>
      </c>
      <c r="E1531">
        <v>6214</v>
      </c>
      <c r="F1531">
        <v>6208</v>
      </c>
      <c r="G1531">
        <v>6213</v>
      </c>
      <c r="H1531">
        <v>20200</v>
      </c>
    </row>
    <row r="1532" spans="2:8">
      <c r="B1532" t="s">
        <v>587</v>
      </c>
      <c r="C1532" t="s">
        <v>367</v>
      </c>
      <c r="D1532">
        <v>6213</v>
      </c>
      <c r="E1532">
        <v>6214</v>
      </c>
      <c r="F1532">
        <v>6210</v>
      </c>
      <c r="G1532">
        <v>6211</v>
      </c>
      <c r="H1532">
        <v>13300</v>
      </c>
    </row>
    <row r="1533" spans="2:8">
      <c r="B1533" t="s">
        <v>587</v>
      </c>
      <c r="C1533" t="s">
        <v>368</v>
      </c>
      <c r="D1533">
        <v>6211</v>
      </c>
      <c r="E1533">
        <v>6212</v>
      </c>
      <c r="F1533">
        <v>6208</v>
      </c>
      <c r="G1533">
        <v>6211</v>
      </c>
      <c r="H1533">
        <v>17700</v>
      </c>
    </row>
    <row r="1534" spans="2:8">
      <c r="B1534" t="s">
        <v>587</v>
      </c>
      <c r="C1534" t="s">
        <v>369</v>
      </c>
      <c r="D1534">
        <v>6211</v>
      </c>
      <c r="E1534">
        <v>6213</v>
      </c>
      <c r="F1534">
        <v>6208</v>
      </c>
      <c r="G1534">
        <v>6212</v>
      </c>
      <c r="H1534">
        <v>19000</v>
      </c>
    </row>
    <row r="1535" spans="2:8">
      <c r="B1535" t="s">
        <v>587</v>
      </c>
      <c r="C1535" t="s">
        <v>370</v>
      </c>
      <c r="D1535">
        <v>6211</v>
      </c>
      <c r="E1535">
        <v>6211</v>
      </c>
      <c r="F1535">
        <v>6208</v>
      </c>
      <c r="G1535">
        <v>6209</v>
      </c>
      <c r="H1535">
        <v>4300</v>
      </c>
    </row>
    <row r="1536" spans="2:8">
      <c r="B1536" t="s">
        <v>587</v>
      </c>
      <c r="C1536" t="s">
        <v>371</v>
      </c>
      <c r="D1536">
        <v>6210</v>
      </c>
      <c r="E1536">
        <v>6212</v>
      </c>
      <c r="F1536">
        <v>6209</v>
      </c>
      <c r="G1536">
        <v>6212</v>
      </c>
      <c r="H1536">
        <v>6800</v>
      </c>
    </row>
    <row r="1537" spans="2:8">
      <c r="B1537" t="s">
        <v>587</v>
      </c>
      <c r="C1537" t="s">
        <v>372</v>
      </c>
      <c r="D1537">
        <v>6212</v>
      </c>
      <c r="E1537">
        <v>6213</v>
      </c>
      <c r="F1537">
        <v>6210</v>
      </c>
      <c r="G1537">
        <v>6212</v>
      </c>
      <c r="H1537">
        <v>19700</v>
      </c>
    </row>
    <row r="1538" spans="2:8">
      <c r="B1538" t="s">
        <v>587</v>
      </c>
      <c r="C1538" t="s">
        <v>373</v>
      </c>
      <c r="D1538">
        <v>6212</v>
      </c>
      <c r="E1538">
        <v>6213</v>
      </c>
      <c r="F1538">
        <v>6210</v>
      </c>
      <c r="G1538">
        <v>6213</v>
      </c>
      <c r="H1538">
        <v>12800</v>
      </c>
    </row>
    <row r="1539" spans="2:8">
      <c r="B1539" t="s">
        <v>587</v>
      </c>
      <c r="C1539" t="s">
        <v>374</v>
      </c>
      <c r="D1539">
        <v>6213</v>
      </c>
      <c r="E1539">
        <v>6213</v>
      </c>
      <c r="F1539">
        <v>6208</v>
      </c>
      <c r="G1539">
        <v>6212</v>
      </c>
      <c r="H1539">
        <v>9600</v>
      </c>
    </row>
    <row r="1540" spans="2:8">
      <c r="B1540" t="s">
        <v>587</v>
      </c>
      <c r="C1540" t="s">
        <v>375</v>
      </c>
      <c r="D1540">
        <v>6212</v>
      </c>
      <c r="E1540">
        <v>6215</v>
      </c>
      <c r="F1540">
        <v>6208</v>
      </c>
      <c r="G1540">
        <v>6208</v>
      </c>
      <c r="H1540">
        <v>28100</v>
      </c>
    </row>
    <row r="1541" spans="2:8">
      <c r="B1541" t="s">
        <v>587</v>
      </c>
      <c r="C1541" t="s">
        <v>376</v>
      </c>
      <c r="D1541">
        <v>6208</v>
      </c>
      <c r="E1541">
        <v>6210</v>
      </c>
      <c r="F1541">
        <v>6207</v>
      </c>
      <c r="G1541">
        <v>6209</v>
      </c>
      <c r="H1541">
        <v>31100</v>
      </c>
    </row>
    <row r="1542" spans="2:8">
      <c r="B1542" t="s">
        <v>587</v>
      </c>
      <c r="C1542" t="s">
        <v>377</v>
      </c>
      <c r="D1542">
        <v>6210</v>
      </c>
      <c r="E1542">
        <v>6211</v>
      </c>
      <c r="F1542">
        <v>6202</v>
      </c>
      <c r="G1542">
        <v>6203</v>
      </c>
      <c r="H1542">
        <v>23300</v>
      </c>
    </row>
    <row r="1543" spans="2:8">
      <c r="B1543" t="s">
        <v>587</v>
      </c>
      <c r="C1543" t="s">
        <v>378</v>
      </c>
      <c r="D1543">
        <v>6203</v>
      </c>
      <c r="E1543">
        <v>6203</v>
      </c>
      <c r="F1543">
        <v>6198</v>
      </c>
      <c r="G1543">
        <v>6200</v>
      </c>
      <c r="H1543">
        <v>21700</v>
      </c>
    </row>
    <row r="1544" spans="2:8">
      <c r="B1544" t="s">
        <v>587</v>
      </c>
      <c r="C1544" t="s">
        <v>379</v>
      </c>
      <c r="D1544">
        <v>6199</v>
      </c>
      <c r="E1544">
        <v>6201</v>
      </c>
      <c r="F1544">
        <v>6199</v>
      </c>
      <c r="G1544">
        <v>6199</v>
      </c>
      <c r="H1544">
        <v>9900</v>
      </c>
    </row>
    <row r="1545" spans="2:8">
      <c r="B1545" t="s">
        <v>587</v>
      </c>
      <c r="C1545" t="s">
        <v>380</v>
      </c>
      <c r="D1545">
        <v>6199</v>
      </c>
      <c r="E1545">
        <v>6202</v>
      </c>
      <c r="F1545">
        <v>6196</v>
      </c>
      <c r="G1545">
        <v>6197</v>
      </c>
      <c r="H1545">
        <v>11600</v>
      </c>
    </row>
    <row r="1546" spans="2:8">
      <c r="B1546" t="s">
        <v>587</v>
      </c>
      <c r="C1546" t="s">
        <v>381</v>
      </c>
      <c r="D1546">
        <v>6196</v>
      </c>
      <c r="E1546">
        <v>6201</v>
      </c>
      <c r="F1546">
        <v>6196</v>
      </c>
      <c r="G1546">
        <v>6199</v>
      </c>
      <c r="H1546">
        <v>15900</v>
      </c>
    </row>
    <row r="1547" spans="2:8">
      <c r="B1547" t="s">
        <v>587</v>
      </c>
      <c r="C1547" t="s">
        <v>382</v>
      </c>
      <c r="D1547">
        <v>6200</v>
      </c>
      <c r="E1547">
        <v>6203</v>
      </c>
      <c r="F1547">
        <v>6196</v>
      </c>
      <c r="G1547">
        <v>6199</v>
      </c>
      <c r="H1547">
        <v>20600</v>
      </c>
    </row>
    <row r="1548" spans="2:8">
      <c r="B1548" t="s">
        <v>587</v>
      </c>
      <c r="C1548" t="s">
        <v>383</v>
      </c>
      <c r="D1548">
        <v>6200</v>
      </c>
      <c r="E1548">
        <v>6202</v>
      </c>
      <c r="F1548">
        <v>6200</v>
      </c>
      <c r="G1548">
        <v>6202</v>
      </c>
      <c r="H1548">
        <v>10800</v>
      </c>
    </row>
    <row r="1549" spans="2:8">
      <c r="B1549" t="s">
        <v>587</v>
      </c>
      <c r="C1549" t="s">
        <v>384</v>
      </c>
      <c r="D1549">
        <v>6203</v>
      </c>
      <c r="E1549">
        <v>6203</v>
      </c>
      <c r="F1549">
        <v>6201</v>
      </c>
      <c r="G1549">
        <v>6201</v>
      </c>
      <c r="H1549">
        <v>4100</v>
      </c>
    </row>
    <row r="1550" spans="2:8">
      <c r="B1550" t="s">
        <v>587</v>
      </c>
      <c r="C1550" t="s">
        <v>385</v>
      </c>
      <c r="D1550">
        <v>6201</v>
      </c>
      <c r="E1550">
        <v>6202</v>
      </c>
      <c r="F1550">
        <v>6199</v>
      </c>
      <c r="G1550">
        <v>6200</v>
      </c>
      <c r="H1550">
        <v>9800</v>
      </c>
    </row>
    <row r="1551" spans="2:8">
      <c r="B1551" t="s">
        <v>587</v>
      </c>
      <c r="C1551" t="s">
        <v>386</v>
      </c>
      <c r="D1551">
        <v>6200</v>
      </c>
      <c r="E1551">
        <v>6201</v>
      </c>
      <c r="F1551">
        <v>6199</v>
      </c>
      <c r="G1551">
        <v>6201</v>
      </c>
      <c r="H1551">
        <v>2900</v>
      </c>
    </row>
    <row r="1552" spans="2:8">
      <c r="B1552" t="s">
        <v>587</v>
      </c>
      <c r="C1552" t="s">
        <v>387</v>
      </c>
      <c r="D1552">
        <v>6200</v>
      </c>
      <c r="E1552">
        <v>6202</v>
      </c>
      <c r="F1552">
        <v>6199</v>
      </c>
      <c r="G1552">
        <v>6199</v>
      </c>
      <c r="H1552">
        <v>9300</v>
      </c>
    </row>
    <row r="1553" spans="2:8">
      <c r="B1553" t="s">
        <v>587</v>
      </c>
      <c r="C1553" t="s">
        <v>388</v>
      </c>
      <c r="D1553">
        <v>6199</v>
      </c>
      <c r="E1553">
        <v>6200</v>
      </c>
      <c r="F1553">
        <v>6198</v>
      </c>
      <c r="G1553">
        <v>6199</v>
      </c>
      <c r="H1553">
        <v>19400</v>
      </c>
    </row>
    <row r="1554" spans="2:8">
      <c r="B1554" t="s">
        <v>587</v>
      </c>
      <c r="C1554" t="s">
        <v>389</v>
      </c>
      <c r="D1554">
        <v>6199</v>
      </c>
      <c r="E1554">
        <v>6201</v>
      </c>
      <c r="F1554">
        <v>6199</v>
      </c>
      <c r="G1554">
        <v>6201</v>
      </c>
      <c r="H1554">
        <v>6700</v>
      </c>
    </row>
    <row r="1555" spans="2:8">
      <c r="B1555" t="s">
        <v>587</v>
      </c>
      <c r="C1555" t="s">
        <v>390</v>
      </c>
      <c r="D1555">
        <v>6201</v>
      </c>
      <c r="E1555">
        <v>6201</v>
      </c>
      <c r="F1555">
        <v>6200</v>
      </c>
      <c r="G1555">
        <v>6201</v>
      </c>
      <c r="H1555">
        <v>1700</v>
      </c>
    </row>
    <row r="1556" spans="2:8">
      <c r="B1556" t="s">
        <v>587</v>
      </c>
      <c r="C1556" t="s">
        <v>391</v>
      </c>
      <c r="D1556">
        <v>6200</v>
      </c>
      <c r="E1556">
        <v>6202</v>
      </c>
      <c r="F1556">
        <v>6200</v>
      </c>
      <c r="G1556">
        <v>6201</v>
      </c>
      <c r="H1556">
        <v>9700</v>
      </c>
    </row>
    <row r="1557" spans="2:8">
      <c r="B1557" t="s">
        <v>587</v>
      </c>
      <c r="C1557" t="s">
        <v>392</v>
      </c>
      <c r="D1557">
        <v>6201</v>
      </c>
      <c r="E1557">
        <v>6210</v>
      </c>
      <c r="F1557">
        <v>6201</v>
      </c>
      <c r="G1557">
        <v>6209</v>
      </c>
      <c r="H1557">
        <v>19600</v>
      </c>
    </row>
    <row r="1558" spans="2:8">
      <c r="B1558" t="s">
        <v>587</v>
      </c>
      <c r="C1558" t="s">
        <v>393</v>
      </c>
      <c r="D1558">
        <v>6210</v>
      </c>
      <c r="E1558">
        <v>6210</v>
      </c>
      <c r="F1558">
        <v>6205</v>
      </c>
      <c r="G1558">
        <v>6206</v>
      </c>
      <c r="H1558">
        <v>14400</v>
      </c>
    </row>
    <row r="1559" spans="2:8">
      <c r="B1559" t="s">
        <v>587</v>
      </c>
      <c r="C1559" t="s">
        <v>394</v>
      </c>
      <c r="D1559">
        <v>6206</v>
      </c>
      <c r="E1559">
        <v>6209</v>
      </c>
      <c r="F1559">
        <v>6206</v>
      </c>
      <c r="G1559">
        <v>6208</v>
      </c>
      <c r="H1559">
        <v>5500</v>
      </c>
    </row>
    <row r="1560" spans="2:8">
      <c r="B1560" t="s">
        <v>587</v>
      </c>
      <c r="C1560" t="s">
        <v>395</v>
      </c>
      <c r="D1560">
        <v>6207</v>
      </c>
      <c r="E1560">
        <v>6208</v>
      </c>
      <c r="F1560">
        <v>6207</v>
      </c>
      <c r="G1560">
        <v>6208</v>
      </c>
      <c r="H1560">
        <v>8900</v>
      </c>
    </row>
    <row r="1561" spans="2:8">
      <c r="B1561" t="s">
        <v>587</v>
      </c>
      <c r="C1561" t="s">
        <v>396</v>
      </c>
      <c r="D1561">
        <v>6207</v>
      </c>
      <c r="E1561">
        <v>6207</v>
      </c>
      <c r="F1561">
        <v>6206</v>
      </c>
      <c r="G1561">
        <v>6206</v>
      </c>
      <c r="H1561">
        <v>1700</v>
      </c>
    </row>
    <row r="1562" spans="2:8">
      <c r="B1562" t="s">
        <v>587</v>
      </c>
      <c r="C1562" t="s">
        <v>397</v>
      </c>
      <c r="D1562">
        <v>6207</v>
      </c>
      <c r="E1562">
        <v>6207</v>
      </c>
      <c r="F1562">
        <v>6206</v>
      </c>
      <c r="G1562">
        <v>6207</v>
      </c>
      <c r="H1562">
        <v>3400</v>
      </c>
    </row>
    <row r="1563" spans="2:8">
      <c r="B1563" t="s">
        <v>587</v>
      </c>
      <c r="C1563" t="s">
        <v>398</v>
      </c>
      <c r="D1563">
        <v>6208</v>
      </c>
      <c r="E1563">
        <v>6208</v>
      </c>
      <c r="F1563">
        <v>6201</v>
      </c>
      <c r="G1563">
        <v>6202</v>
      </c>
      <c r="H1563">
        <v>12200</v>
      </c>
    </row>
    <row r="1564" spans="2:8">
      <c r="B1564" t="s">
        <v>587</v>
      </c>
      <c r="C1564" t="s">
        <v>399</v>
      </c>
      <c r="D1564">
        <v>6203</v>
      </c>
      <c r="E1564">
        <v>6203</v>
      </c>
      <c r="F1564">
        <v>6200</v>
      </c>
      <c r="G1564">
        <v>6201</v>
      </c>
      <c r="H1564">
        <v>8000</v>
      </c>
    </row>
    <row r="1565" spans="2:8">
      <c r="B1565" t="s">
        <v>587</v>
      </c>
      <c r="C1565" t="s">
        <v>400</v>
      </c>
      <c r="D1565">
        <v>6202</v>
      </c>
      <c r="E1565">
        <v>6204</v>
      </c>
      <c r="F1565">
        <v>6201</v>
      </c>
      <c r="G1565">
        <v>6202</v>
      </c>
      <c r="H1565">
        <v>7300</v>
      </c>
    </row>
    <row r="1566" spans="2:8">
      <c r="B1566" t="s">
        <v>587</v>
      </c>
      <c r="C1566" t="s">
        <v>401</v>
      </c>
      <c r="D1566">
        <v>6202</v>
      </c>
      <c r="E1566">
        <v>6204</v>
      </c>
      <c r="F1566">
        <v>6200</v>
      </c>
      <c r="G1566">
        <v>6203</v>
      </c>
      <c r="H1566">
        <v>5900</v>
      </c>
    </row>
    <row r="1567" spans="2:8">
      <c r="B1567" t="s">
        <v>587</v>
      </c>
      <c r="C1567" t="s">
        <v>402</v>
      </c>
      <c r="D1567">
        <v>6204</v>
      </c>
      <c r="E1567">
        <v>6204</v>
      </c>
      <c r="F1567">
        <v>6201</v>
      </c>
      <c r="G1567">
        <v>6201</v>
      </c>
      <c r="H1567">
        <v>4400</v>
      </c>
    </row>
    <row r="1568" spans="2:8">
      <c r="B1568" t="s">
        <v>587</v>
      </c>
      <c r="C1568" t="s">
        <v>403</v>
      </c>
      <c r="D1568">
        <v>6202</v>
      </c>
      <c r="E1568">
        <v>6204</v>
      </c>
      <c r="F1568">
        <v>6185</v>
      </c>
      <c r="G1568">
        <v>6192</v>
      </c>
      <c r="H1568">
        <v>110700</v>
      </c>
    </row>
    <row r="1569" spans="2:8">
      <c r="B1569" t="s">
        <v>587</v>
      </c>
      <c r="C1569" t="s">
        <v>404</v>
      </c>
      <c r="D1569">
        <v>6191</v>
      </c>
      <c r="E1569">
        <v>6192</v>
      </c>
      <c r="F1569">
        <v>6188</v>
      </c>
      <c r="G1569">
        <v>6192</v>
      </c>
      <c r="H1569">
        <v>20400</v>
      </c>
    </row>
    <row r="1570" spans="2:8">
      <c r="B1570" t="s">
        <v>587</v>
      </c>
      <c r="C1570" t="s">
        <v>405</v>
      </c>
      <c r="D1570">
        <v>6192</v>
      </c>
      <c r="E1570">
        <v>6192</v>
      </c>
      <c r="F1570">
        <v>6188</v>
      </c>
      <c r="G1570">
        <v>6188</v>
      </c>
      <c r="H1570">
        <v>12400</v>
      </c>
    </row>
    <row r="1571" spans="2:8">
      <c r="B1571" t="s">
        <v>587</v>
      </c>
      <c r="C1571" t="s">
        <v>406</v>
      </c>
      <c r="D1571">
        <v>6189</v>
      </c>
      <c r="E1571">
        <v>6190</v>
      </c>
      <c r="F1571">
        <v>6188</v>
      </c>
      <c r="G1571">
        <v>6190</v>
      </c>
      <c r="H1571">
        <v>8000</v>
      </c>
    </row>
    <row r="1572" spans="2:8">
      <c r="B1572" t="s">
        <v>587</v>
      </c>
      <c r="C1572" t="s">
        <v>407</v>
      </c>
      <c r="D1572">
        <v>6189</v>
      </c>
      <c r="E1572">
        <v>6191</v>
      </c>
      <c r="F1572">
        <v>6188</v>
      </c>
      <c r="G1572">
        <v>6188</v>
      </c>
      <c r="H1572">
        <v>13100</v>
      </c>
    </row>
    <row r="1573" spans="2:8">
      <c r="B1573" t="s">
        <v>587</v>
      </c>
      <c r="C1573" t="s">
        <v>408</v>
      </c>
      <c r="D1573">
        <v>6190</v>
      </c>
      <c r="E1573">
        <v>6192</v>
      </c>
      <c r="F1573">
        <v>6187</v>
      </c>
      <c r="G1573">
        <v>6187</v>
      </c>
      <c r="H1573">
        <v>12500</v>
      </c>
    </row>
    <row r="1574" spans="2:8">
      <c r="B1574" t="s">
        <v>587</v>
      </c>
      <c r="C1574" t="s">
        <v>409</v>
      </c>
      <c r="D1574">
        <v>6187</v>
      </c>
      <c r="E1574">
        <v>6187</v>
      </c>
      <c r="F1574">
        <v>6181</v>
      </c>
      <c r="G1574">
        <v>6184</v>
      </c>
      <c r="H1574">
        <v>42100</v>
      </c>
    </row>
    <row r="1575" spans="2:8">
      <c r="B1575" t="s">
        <v>587</v>
      </c>
      <c r="C1575" t="s">
        <v>410</v>
      </c>
      <c r="D1575">
        <v>6184</v>
      </c>
      <c r="E1575">
        <v>6187</v>
      </c>
      <c r="F1575">
        <v>6183</v>
      </c>
      <c r="G1575">
        <v>6184</v>
      </c>
      <c r="H1575">
        <v>9000</v>
      </c>
    </row>
    <row r="1576" spans="2:8">
      <c r="B1576" t="s">
        <v>587</v>
      </c>
      <c r="C1576" t="s">
        <v>411</v>
      </c>
      <c r="D1576">
        <v>6184</v>
      </c>
      <c r="E1576">
        <v>6184</v>
      </c>
      <c r="F1576">
        <v>6174</v>
      </c>
      <c r="G1576">
        <v>6178</v>
      </c>
      <c r="H1576">
        <v>55600</v>
      </c>
    </row>
    <row r="1577" spans="2:8">
      <c r="B1577" t="s">
        <v>587</v>
      </c>
      <c r="C1577" t="s">
        <v>412</v>
      </c>
      <c r="D1577">
        <v>6177</v>
      </c>
      <c r="E1577">
        <v>6179</v>
      </c>
      <c r="F1577">
        <v>6174</v>
      </c>
      <c r="G1577">
        <v>6178</v>
      </c>
      <c r="H1577">
        <v>37400</v>
      </c>
    </row>
    <row r="1578" spans="2:8">
      <c r="B1578" t="s">
        <v>587</v>
      </c>
      <c r="C1578" t="s">
        <v>413</v>
      </c>
      <c r="D1578">
        <v>6177</v>
      </c>
      <c r="E1578">
        <v>6188</v>
      </c>
      <c r="F1578">
        <v>6176</v>
      </c>
      <c r="G1578">
        <v>6183</v>
      </c>
      <c r="H1578">
        <v>49200</v>
      </c>
    </row>
    <row r="1579" spans="2:8">
      <c r="B1579" t="s">
        <v>587</v>
      </c>
      <c r="C1579" t="s">
        <v>414</v>
      </c>
      <c r="D1579">
        <v>6185</v>
      </c>
      <c r="E1579">
        <v>6187</v>
      </c>
      <c r="F1579">
        <v>6183</v>
      </c>
      <c r="G1579">
        <v>6185</v>
      </c>
      <c r="H1579">
        <v>9800</v>
      </c>
    </row>
    <row r="1580" spans="2:8">
      <c r="B1580" t="s">
        <v>587</v>
      </c>
      <c r="C1580" t="s">
        <v>415</v>
      </c>
      <c r="D1580">
        <v>6185</v>
      </c>
      <c r="E1580">
        <v>6190</v>
      </c>
      <c r="F1580">
        <v>6184</v>
      </c>
      <c r="G1580">
        <v>6188</v>
      </c>
      <c r="H1580">
        <v>19100</v>
      </c>
    </row>
    <row r="1581" spans="2:8">
      <c r="B1581" t="s">
        <v>587</v>
      </c>
      <c r="C1581" t="s">
        <v>416</v>
      </c>
      <c r="D1581">
        <v>6187</v>
      </c>
      <c r="E1581">
        <v>6192</v>
      </c>
      <c r="F1581">
        <v>6186</v>
      </c>
      <c r="G1581">
        <v>6186</v>
      </c>
      <c r="H1581">
        <v>34400</v>
      </c>
    </row>
    <row r="1582" spans="2:8">
      <c r="B1582" t="s">
        <v>587</v>
      </c>
      <c r="C1582" t="s">
        <v>417</v>
      </c>
      <c r="D1582">
        <v>6186</v>
      </c>
      <c r="E1582">
        <v>6190</v>
      </c>
      <c r="F1582">
        <v>6186</v>
      </c>
      <c r="G1582">
        <v>6188</v>
      </c>
      <c r="H1582">
        <v>7000</v>
      </c>
    </row>
    <row r="1583" spans="2:8">
      <c r="B1583" t="s">
        <v>587</v>
      </c>
      <c r="C1583" t="s">
        <v>418</v>
      </c>
      <c r="D1583">
        <v>6188</v>
      </c>
      <c r="E1583">
        <v>6188</v>
      </c>
      <c r="F1583">
        <v>6182</v>
      </c>
      <c r="G1583">
        <v>6185</v>
      </c>
      <c r="H1583">
        <v>29700</v>
      </c>
    </row>
    <row r="1584" spans="2:8">
      <c r="B1584" t="s">
        <v>587</v>
      </c>
      <c r="C1584" t="s">
        <v>419</v>
      </c>
      <c r="D1584">
        <v>6185</v>
      </c>
      <c r="E1584">
        <v>6185</v>
      </c>
      <c r="F1584">
        <v>6181</v>
      </c>
      <c r="G1584">
        <v>6182</v>
      </c>
      <c r="H1584">
        <v>12800</v>
      </c>
    </row>
    <row r="1585" spans="2:8">
      <c r="B1585" t="s">
        <v>587</v>
      </c>
      <c r="C1585" t="s">
        <v>420</v>
      </c>
      <c r="D1585">
        <v>6183</v>
      </c>
      <c r="E1585">
        <v>6184</v>
      </c>
      <c r="F1585">
        <v>6182</v>
      </c>
      <c r="G1585">
        <v>6183</v>
      </c>
      <c r="H1585">
        <v>5600</v>
      </c>
    </row>
    <row r="1586" spans="2:8">
      <c r="B1586" t="s">
        <v>587</v>
      </c>
      <c r="C1586" t="s">
        <v>421</v>
      </c>
      <c r="D1586">
        <v>6183</v>
      </c>
      <c r="E1586">
        <v>6183</v>
      </c>
      <c r="F1586">
        <v>6170</v>
      </c>
      <c r="G1586">
        <v>6171</v>
      </c>
      <c r="H1586">
        <v>55400</v>
      </c>
    </row>
    <row r="1587" spans="2:8">
      <c r="B1587" t="s">
        <v>587</v>
      </c>
      <c r="C1587" t="s">
        <v>422</v>
      </c>
      <c r="D1587">
        <v>6172</v>
      </c>
      <c r="E1587">
        <v>6173</v>
      </c>
      <c r="F1587">
        <v>6167</v>
      </c>
      <c r="G1587">
        <v>6171</v>
      </c>
      <c r="H1587">
        <v>25100</v>
      </c>
    </row>
    <row r="1588" spans="2:8">
      <c r="B1588" t="s">
        <v>587</v>
      </c>
      <c r="C1588" t="s">
        <v>423</v>
      </c>
      <c r="D1588">
        <v>6171</v>
      </c>
      <c r="E1588">
        <v>6177</v>
      </c>
      <c r="F1588">
        <v>6171</v>
      </c>
      <c r="G1588">
        <v>6175</v>
      </c>
      <c r="H1588">
        <v>14200</v>
      </c>
    </row>
    <row r="1589" spans="2:8">
      <c r="B1589" t="s">
        <v>587</v>
      </c>
      <c r="C1589" t="s">
        <v>424</v>
      </c>
      <c r="D1589">
        <v>6175</v>
      </c>
      <c r="E1589">
        <v>6176</v>
      </c>
      <c r="F1589">
        <v>6175</v>
      </c>
      <c r="G1589">
        <v>6176</v>
      </c>
      <c r="H1589">
        <v>3400</v>
      </c>
    </row>
    <row r="1590" spans="2:8">
      <c r="B1590" t="s">
        <v>587</v>
      </c>
      <c r="C1590" t="s">
        <v>425</v>
      </c>
      <c r="D1590">
        <v>6177</v>
      </c>
      <c r="E1590">
        <v>6181</v>
      </c>
      <c r="F1590">
        <v>6176</v>
      </c>
      <c r="G1590">
        <v>6176</v>
      </c>
      <c r="H1590">
        <v>22200</v>
      </c>
    </row>
    <row r="1591" spans="2:8">
      <c r="B1591" t="s">
        <v>587</v>
      </c>
      <c r="C1591" t="s">
        <v>426</v>
      </c>
      <c r="D1591">
        <v>6176</v>
      </c>
      <c r="E1591">
        <v>6178</v>
      </c>
      <c r="F1591">
        <v>6176</v>
      </c>
      <c r="G1591">
        <v>6177</v>
      </c>
      <c r="H1591">
        <v>5600</v>
      </c>
    </row>
    <row r="1592" spans="2:8">
      <c r="B1592" t="s">
        <v>587</v>
      </c>
      <c r="C1592" t="s">
        <v>427</v>
      </c>
      <c r="D1592">
        <v>6177</v>
      </c>
      <c r="E1592">
        <v>6183</v>
      </c>
      <c r="F1592">
        <v>6177</v>
      </c>
      <c r="G1592">
        <v>6179</v>
      </c>
      <c r="H1592">
        <v>16300</v>
      </c>
    </row>
    <row r="1593" spans="2:8">
      <c r="B1593" t="s">
        <v>587</v>
      </c>
      <c r="C1593" t="s">
        <v>428</v>
      </c>
      <c r="D1593">
        <v>6179</v>
      </c>
      <c r="E1593">
        <v>6184</v>
      </c>
      <c r="F1593">
        <v>6179</v>
      </c>
      <c r="G1593">
        <v>6184</v>
      </c>
      <c r="H1593">
        <v>12500</v>
      </c>
    </row>
    <row r="1594" spans="2:8">
      <c r="B1594" t="s">
        <v>587</v>
      </c>
      <c r="C1594" t="s">
        <v>429</v>
      </c>
      <c r="D1594">
        <v>6184</v>
      </c>
      <c r="E1594">
        <v>6187</v>
      </c>
      <c r="F1594">
        <v>6184</v>
      </c>
      <c r="G1594">
        <v>6186</v>
      </c>
      <c r="H1594">
        <v>11200</v>
      </c>
    </row>
    <row r="1595" spans="2:8">
      <c r="B1595" t="s">
        <v>587</v>
      </c>
      <c r="C1595" t="s">
        <v>430</v>
      </c>
      <c r="D1595">
        <v>6186</v>
      </c>
      <c r="E1595">
        <v>6189</v>
      </c>
      <c r="F1595">
        <v>6184</v>
      </c>
      <c r="G1595">
        <v>6188</v>
      </c>
      <c r="H1595">
        <v>14800</v>
      </c>
    </row>
    <row r="1596" spans="2:8">
      <c r="B1596" t="s">
        <v>587</v>
      </c>
      <c r="C1596" t="s">
        <v>431</v>
      </c>
      <c r="D1596">
        <v>6188</v>
      </c>
      <c r="E1596">
        <v>6188</v>
      </c>
      <c r="F1596">
        <v>6186</v>
      </c>
      <c r="G1596">
        <v>6186</v>
      </c>
      <c r="H1596">
        <v>6200</v>
      </c>
    </row>
    <row r="1597" spans="2:8">
      <c r="B1597" t="s">
        <v>587</v>
      </c>
      <c r="C1597" t="s">
        <v>9</v>
      </c>
      <c r="D1597">
        <v>6186</v>
      </c>
      <c r="E1597">
        <v>6188</v>
      </c>
      <c r="F1597">
        <v>6184</v>
      </c>
      <c r="G1597">
        <v>6187</v>
      </c>
      <c r="H1597">
        <v>10600</v>
      </c>
    </row>
    <row r="1598" spans="2:8">
      <c r="B1598" t="s">
        <v>587</v>
      </c>
      <c r="C1598" t="s">
        <v>10</v>
      </c>
      <c r="D1598">
        <v>6188</v>
      </c>
      <c r="E1598">
        <v>6193</v>
      </c>
      <c r="F1598">
        <v>6187</v>
      </c>
      <c r="G1598">
        <v>6189</v>
      </c>
      <c r="H1598">
        <v>24600</v>
      </c>
    </row>
    <row r="1599" spans="2:8">
      <c r="B1599" t="s">
        <v>587</v>
      </c>
      <c r="C1599" t="s">
        <v>11</v>
      </c>
      <c r="D1599">
        <v>6190</v>
      </c>
      <c r="E1599">
        <v>6190</v>
      </c>
      <c r="F1599">
        <v>6186</v>
      </c>
      <c r="G1599">
        <v>6187</v>
      </c>
      <c r="H1599">
        <v>11600</v>
      </c>
    </row>
    <row r="1600" spans="2:8">
      <c r="B1600" t="s">
        <v>587</v>
      </c>
      <c r="C1600" t="s">
        <v>12</v>
      </c>
      <c r="D1600">
        <v>6187</v>
      </c>
      <c r="E1600">
        <v>6195</v>
      </c>
      <c r="F1600">
        <v>6186</v>
      </c>
      <c r="G1600">
        <v>6194</v>
      </c>
      <c r="H1600">
        <v>14400</v>
      </c>
    </row>
    <row r="1601" spans="2:8">
      <c r="B1601" t="s">
        <v>587</v>
      </c>
      <c r="C1601" t="s">
        <v>13</v>
      </c>
      <c r="D1601">
        <v>6195</v>
      </c>
      <c r="E1601">
        <v>6208</v>
      </c>
      <c r="F1601">
        <v>6192</v>
      </c>
      <c r="G1601">
        <v>6202</v>
      </c>
      <c r="H1601">
        <v>82200</v>
      </c>
    </row>
    <row r="1602" spans="2:8">
      <c r="B1602" t="s">
        <v>587</v>
      </c>
      <c r="C1602" t="s">
        <v>14</v>
      </c>
      <c r="D1602">
        <v>6204</v>
      </c>
      <c r="E1602">
        <v>6205</v>
      </c>
      <c r="F1602">
        <v>6200</v>
      </c>
      <c r="G1602">
        <v>6200</v>
      </c>
      <c r="H1602">
        <v>24200</v>
      </c>
    </row>
    <row r="1603" spans="2:8">
      <c r="B1603" t="s">
        <v>587</v>
      </c>
      <c r="C1603" t="s">
        <v>15</v>
      </c>
      <c r="D1603">
        <v>6200</v>
      </c>
      <c r="E1603">
        <v>6203</v>
      </c>
      <c r="F1603">
        <v>6195</v>
      </c>
      <c r="G1603">
        <v>6203</v>
      </c>
      <c r="H1603">
        <v>24800</v>
      </c>
    </row>
    <row r="1604" spans="2:8">
      <c r="B1604" t="s">
        <v>587</v>
      </c>
      <c r="C1604" t="s">
        <v>16</v>
      </c>
      <c r="D1604">
        <v>6203</v>
      </c>
      <c r="E1604">
        <v>6209</v>
      </c>
      <c r="F1604">
        <v>6201</v>
      </c>
      <c r="G1604">
        <v>6208</v>
      </c>
      <c r="H1604">
        <v>23600</v>
      </c>
    </row>
    <row r="1605" spans="2:8">
      <c r="B1605" t="s">
        <v>587</v>
      </c>
      <c r="C1605" t="s">
        <v>17</v>
      </c>
      <c r="D1605">
        <v>6208</v>
      </c>
      <c r="E1605">
        <v>6209</v>
      </c>
      <c r="F1605">
        <v>6205</v>
      </c>
      <c r="G1605">
        <v>6206</v>
      </c>
      <c r="H1605">
        <v>15400</v>
      </c>
    </row>
    <row r="1606" spans="2:8">
      <c r="B1606" t="s">
        <v>587</v>
      </c>
      <c r="C1606" t="s">
        <v>18</v>
      </c>
      <c r="D1606">
        <v>6205</v>
      </c>
      <c r="E1606">
        <v>6205</v>
      </c>
      <c r="F1606">
        <v>6200</v>
      </c>
      <c r="G1606">
        <v>6203</v>
      </c>
      <c r="H1606">
        <v>14700</v>
      </c>
    </row>
    <row r="1607" spans="2:8">
      <c r="B1607" t="s">
        <v>587</v>
      </c>
      <c r="C1607" t="s">
        <v>19</v>
      </c>
      <c r="D1607">
        <v>6203</v>
      </c>
      <c r="E1607">
        <v>6215</v>
      </c>
      <c r="F1607">
        <v>6203</v>
      </c>
      <c r="G1607">
        <v>6215</v>
      </c>
      <c r="H1607">
        <v>49600</v>
      </c>
    </row>
    <row r="1608" spans="2:8">
      <c r="B1608" t="s">
        <v>587</v>
      </c>
      <c r="C1608" t="s">
        <v>20</v>
      </c>
      <c r="D1608">
        <v>6215</v>
      </c>
      <c r="E1608">
        <v>6225</v>
      </c>
      <c r="F1608">
        <v>6214</v>
      </c>
      <c r="G1608">
        <v>6223</v>
      </c>
      <c r="H1608">
        <v>60400</v>
      </c>
    </row>
    <row r="1609" spans="2:8">
      <c r="B1609" t="s">
        <v>587</v>
      </c>
      <c r="C1609" t="s">
        <v>21</v>
      </c>
      <c r="D1609">
        <v>6223</v>
      </c>
      <c r="E1609">
        <v>6229</v>
      </c>
      <c r="F1609">
        <v>6219</v>
      </c>
      <c r="G1609">
        <v>6222</v>
      </c>
      <c r="H1609">
        <v>52200</v>
      </c>
    </row>
    <row r="1610" spans="2:8">
      <c r="B1610" t="s">
        <v>587</v>
      </c>
      <c r="C1610" t="s">
        <v>22</v>
      </c>
      <c r="D1610">
        <v>6222</v>
      </c>
      <c r="E1610">
        <v>6224</v>
      </c>
      <c r="F1610">
        <v>6221</v>
      </c>
      <c r="G1610">
        <v>6223</v>
      </c>
      <c r="H1610">
        <v>16800</v>
      </c>
    </row>
    <row r="1611" spans="2:8">
      <c r="B1611" t="s">
        <v>587</v>
      </c>
      <c r="C1611" t="s">
        <v>23</v>
      </c>
      <c r="D1611">
        <v>6222</v>
      </c>
      <c r="E1611">
        <v>6225</v>
      </c>
      <c r="F1611">
        <v>6219</v>
      </c>
      <c r="G1611">
        <v>6220</v>
      </c>
      <c r="H1611">
        <v>21000</v>
      </c>
    </row>
    <row r="1612" spans="2:8">
      <c r="B1612" t="s">
        <v>587</v>
      </c>
      <c r="C1612" t="s">
        <v>24</v>
      </c>
      <c r="D1612">
        <v>6220</v>
      </c>
      <c r="E1612">
        <v>6225</v>
      </c>
      <c r="F1612">
        <v>6215</v>
      </c>
      <c r="G1612">
        <v>6218</v>
      </c>
      <c r="H1612">
        <v>64000</v>
      </c>
    </row>
    <row r="1613" spans="2:8">
      <c r="B1613" t="s">
        <v>587</v>
      </c>
      <c r="C1613" t="s">
        <v>25</v>
      </c>
      <c r="D1613">
        <v>6217</v>
      </c>
      <c r="E1613">
        <v>6222</v>
      </c>
      <c r="F1613">
        <v>6215</v>
      </c>
      <c r="G1613">
        <v>6222</v>
      </c>
      <c r="H1613">
        <v>25500</v>
      </c>
    </row>
    <row r="1614" spans="2:8">
      <c r="B1614" t="s">
        <v>587</v>
      </c>
      <c r="C1614" t="s">
        <v>26</v>
      </c>
      <c r="D1614">
        <v>6223</v>
      </c>
      <c r="E1614">
        <v>6224</v>
      </c>
      <c r="F1614">
        <v>6219</v>
      </c>
      <c r="G1614">
        <v>6220</v>
      </c>
      <c r="H1614">
        <v>20900</v>
      </c>
    </row>
    <row r="1615" spans="2:8">
      <c r="B1615" t="s">
        <v>587</v>
      </c>
      <c r="C1615" t="s">
        <v>27</v>
      </c>
      <c r="D1615">
        <v>6220</v>
      </c>
      <c r="E1615">
        <v>6222</v>
      </c>
      <c r="F1615">
        <v>6218</v>
      </c>
      <c r="G1615">
        <v>6220</v>
      </c>
      <c r="H1615">
        <v>14600</v>
      </c>
    </row>
    <row r="1616" spans="2:8">
      <c r="B1616" t="s">
        <v>587</v>
      </c>
      <c r="C1616" t="s">
        <v>28</v>
      </c>
      <c r="D1616">
        <v>6220</v>
      </c>
      <c r="E1616">
        <v>6225</v>
      </c>
      <c r="F1616">
        <v>6218</v>
      </c>
      <c r="G1616">
        <v>6222</v>
      </c>
      <c r="H1616">
        <v>29800</v>
      </c>
    </row>
    <row r="1617" spans="2:8">
      <c r="B1617" t="s">
        <v>587</v>
      </c>
      <c r="C1617" t="s">
        <v>29</v>
      </c>
      <c r="D1617">
        <v>6223</v>
      </c>
      <c r="E1617">
        <v>6225</v>
      </c>
      <c r="F1617">
        <v>6221</v>
      </c>
      <c r="G1617">
        <v>6223</v>
      </c>
      <c r="H1617">
        <v>28900</v>
      </c>
    </row>
    <row r="1618" spans="2:8">
      <c r="B1618" t="s">
        <v>587</v>
      </c>
      <c r="C1618" t="s">
        <v>30</v>
      </c>
      <c r="D1618">
        <v>6223</v>
      </c>
      <c r="E1618">
        <v>6224</v>
      </c>
      <c r="F1618">
        <v>6220</v>
      </c>
      <c r="G1618">
        <v>6221</v>
      </c>
      <c r="H1618">
        <v>16000</v>
      </c>
    </row>
    <row r="1619" spans="2:8">
      <c r="B1619" t="s">
        <v>587</v>
      </c>
      <c r="C1619" t="s">
        <v>31</v>
      </c>
      <c r="D1619">
        <v>6220</v>
      </c>
      <c r="E1619">
        <v>6226</v>
      </c>
      <c r="F1619">
        <v>6220</v>
      </c>
      <c r="G1619">
        <v>6224</v>
      </c>
      <c r="H1619">
        <v>23500</v>
      </c>
    </row>
    <row r="1620" spans="2:8">
      <c r="B1620" t="s">
        <v>587</v>
      </c>
      <c r="C1620" t="s">
        <v>32</v>
      </c>
      <c r="D1620">
        <v>6222</v>
      </c>
      <c r="E1620">
        <v>6223</v>
      </c>
      <c r="F1620">
        <v>6219</v>
      </c>
      <c r="G1620">
        <v>6220</v>
      </c>
      <c r="H1620">
        <v>13000</v>
      </c>
    </row>
    <row r="1621" spans="2:8">
      <c r="B1621" t="s">
        <v>587</v>
      </c>
      <c r="C1621" t="s">
        <v>33</v>
      </c>
      <c r="D1621">
        <v>6220</v>
      </c>
      <c r="E1621">
        <v>6221</v>
      </c>
      <c r="F1621">
        <v>6217</v>
      </c>
      <c r="G1621">
        <v>6221</v>
      </c>
      <c r="H1621">
        <v>12900</v>
      </c>
    </row>
    <row r="1622" spans="2:8">
      <c r="B1622" t="s">
        <v>587</v>
      </c>
      <c r="C1622" t="s">
        <v>34</v>
      </c>
      <c r="D1622">
        <v>6222</v>
      </c>
      <c r="E1622">
        <v>6226</v>
      </c>
      <c r="F1622">
        <v>6221</v>
      </c>
      <c r="G1622">
        <v>6226</v>
      </c>
      <c r="H1622">
        <v>24800</v>
      </c>
    </row>
    <row r="1623" spans="2:8">
      <c r="B1623" t="s">
        <v>587</v>
      </c>
      <c r="C1623" t="s">
        <v>35</v>
      </c>
      <c r="D1623">
        <v>6225</v>
      </c>
      <c r="E1623">
        <v>6225</v>
      </c>
      <c r="F1623">
        <v>6218</v>
      </c>
      <c r="G1623">
        <v>6218</v>
      </c>
      <c r="H1623">
        <v>26700</v>
      </c>
    </row>
    <row r="1624" spans="2:8">
      <c r="B1624" t="s">
        <v>587</v>
      </c>
      <c r="C1624" t="s">
        <v>36</v>
      </c>
      <c r="D1624">
        <v>6218</v>
      </c>
      <c r="E1624">
        <v>6219</v>
      </c>
      <c r="F1624">
        <v>6211</v>
      </c>
      <c r="G1624">
        <v>6219</v>
      </c>
      <c r="H1624">
        <v>32500</v>
      </c>
    </row>
    <row r="1625" spans="2:8">
      <c r="B1625" t="s">
        <v>587</v>
      </c>
      <c r="C1625" t="s">
        <v>37</v>
      </c>
      <c r="D1625">
        <v>6218</v>
      </c>
      <c r="E1625">
        <v>6220</v>
      </c>
      <c r="F1625">
        <v>6217</v>
      </c>
      <c r="G1625">
        <v>6218</v>
      </c>
      <c r="H1625">
        <v>8000</v>
      </c>
    </row>
    <row r="1626" spans="2:8">
      <c r="B1626" t="s">
        <v>587</v>
      </c>
      <c r="C1626" t="s">
        <v>38</v>
      </c>
      <c r="D1626">
        <v>6219</v>
      </c>
      <c r="E1626">
        <v>6222</v>
      </c>
      <c r="F1626">
        <v>6219</v>
      </c>
      <c r="G1626">
        <v>6220</v>
      </c>
      <c r="H1626">
        <v>14500</v>
      </c>
    </row>
    <row r="1627" spans="2:8">
      <c r="B1627" t="s">
        <v>587</v>
      </c>
      <c r="C1627" t="s">
        <v>39</v>
      </c>
      <c r="D1627">
        <v>6220</v>
      </c>
      <c r="E1627">
        <v>6224</v>
      </c>
      <c r="F1627">
        <v>6219</v>
      </c>
      <c r="G1627">
        <v>6223</v>
      </c>
      <c r="H1627">
        <v>18000</v>
      </c>
    </row>
    <row r="1628" spans="2:8">
      <c r="B1628" t="s">
        <v>587</v>
      </c>
      <c r="C1628" t="s">
        <v>40</v>
      </c>
      <c r="D1628">
        <v>6223</v>
      </c>
      <c r="E1628">
        <v>6223</v>
      </c>
      <c r="F1628">
        <v>6215</v>
      </c>
      <c r="G1628">
        <v>6218</v>
      </c>
      <c r="H1628">
        <v>15800</v>
      </c>
    </row>
    <row r="1629" spans="2:8">
      <c r="B1629" t="s">
        <v>587</v>
      </c>
      <c r="C1629" t="s">
        <v>41</v>
      </c>
      <c r="D1629">
        <v>6218</v>
      </c>
      <c r="E1629">
        <v>6221</v>
      </c>
      <c r="F1629">
        <v>6218</v>
      </c>
      <c r="G1629">
        <v>6220</v>
      </c>
      <c r="H1629">
        <v>9300</v>
      </c>
    </row>
    <row r="1630" spans="2:8">
      <c r="B1630" t="s">
        <v>587</v>
      </c>
      <c r="C1630" t="s">
        <v>42</v>
      </c>
      <c r="D1630">
        <v>6220</v>
      </c>
      <c r="E1630">
        <v>6221</v>
      </c>
      <c r="F1630">
        <v>6218</v>
      </c>
      <c r="G1630">
        <v>6220</v>
      </c>
      <c r="H1630">
        <v>12600</v>
      </c>
    </row>
    <row r="1631" spans="2:8">
      <c r="B1631" t="s">
        <v>587</v>
      </c>
      <c r="C1631" t="s">
        <v>43</v>
      </c>
      <c r="D1631">
        <v>6219</v>
      </c>
      <c r="E1631">
        <v>6230</v>
      </c>
      <c r="F1631">
        <v>6218</v>
      </c>
      <c r="G1631">
        <v>6228</v>
      </c>
      <c r="H1631">
        <v>42700</v>
      </c>
    </row>
    <row r="1632" spans="2:8">
      <c r="B1632" t="s">
        <v>587</v>
      </c>
      <c r="C1632" t="s">
        <v>44</v>
      </c>
      <c r="D1632">
        <v>6230</v>
      </c>
      <c r="E1632">
        <v>6231</v>
      </c>
      <c r="F1632">
        <v>6227</v>
      </c>
      <c r="G1632">
        <v>6228</v>
      </c>
      <c r="H1632">
        <v>42200</v>
      </c>
    </row>
    <row r="1633" spans="2:8">
      <c r="B1633" t="s">
        <v>587</v>
      </c>
      <c r="C1633" t="s">
        <v>45</v>
      </c>
      <c r="D1633">
        <v>6229</v>
      </c>
      <c r="E1633">
        <v>6230</v>
      </c>
      <c r="F1633">
        <v>6222</v>
      </c>
      <c r="G1633">
        <v>6223</v>
      </c>
      <c r="H1633">
        <v>12300</v>
      </c>
    </row>
    <row r="1634" spans="2:8">
      <c r="B1634" t="s">
        <v>587</v>
      </c>
      <c r="C1634" t="s">
        <v>46</v>
      </c>
      <c r="D1634">
        <v>6223</v>
      </c>
      <c r="E1634">
        <v>6223</v>
      </c>
      <c r="F1634">
        <v>6215</v>
      </c>
      <c r="G1634">
        <v>6215</v>
      </c>
      <c r="H1634">
        <v>24500</v>
      </c>
    </row>
    <row r="1635" spans="2:8">
      <c r="B1635" t="s">
        <v>587</v>
      </c>
      <c r="C1635" t="s">
        <v>47</v>
      </c>
      <c r="D1635">
        <v>6216</v>
      </c>
      <c r="E1635">
        <v>6223</v>
      </c>
      <c r="F1635">
        <v>6216</v>
      </c>
      <c r="G1635">
        <v>6220</v>
      </c>
      <c r="H1635">
        <v>14300</v>
      </c>
    </row>
    <row r="1636" spans="2:8">
      <c r="B1636" t="s">
        <v>587</v>
      </c>
      <c r="C1636" t="s">
        <v>48</v>
      </c>
      <c r="D1636">
        <v>6221</v>
      </c>
      <c r="E1636">
        <v>6227</v>
      </c>
      <c r="F1636">
        <v>6221</v>
      </c>
      <c r="G1636">
        <v>6227</v>
      </c>
      <c r="H1636">
        <v>15300</v>
      </c>
    </row>
    <row r="1637" spans="2:8">
      <c r="B1637" t="s">
        <v>587</v>
      </c>
      <c r="C1637" t="s">
        <v>49</v>
      </c>
      <c r="D1637">
        <v>6226</v>
      </c>
      <c r="E1637">
        <v>6228</v>
      </c>
      <c r="F1637">
        <v>6224</v>
      </c>
      <c r="G1637">
        <v>6225</v>
      </c>
      <c r="H1637">
        <v>8600</v>
      </c>
    </row>
    <row r="1638" spans="2:8">
      <c r="B1638" t="s">
        <v>587</v>
      </c>
      <c r="C1638" t="s">
        <v>50</v>
      </c>
      <c r="D1638">
        <v>6224</v>
      </c>
      <c r="E1638">
        <v>6229</v>
      </c>
      <c r="F1638">
        <v>6224</v>
      </c>
      <c r="G1638">
        <v>6228</v>
      </c>
      <c r="H1638">
        <v>22100</v>
      </c>
    </row>
    <row r="1639" spans="2:8">
      <c r="B1639" t="s">
        <v>587</v>
      </c>
      <c r="C1639" t="s">
        <v>51</v>
      </c>
      <c r="D1639">
        <v>6228</v>
      </c>
      <c r="E1639">
        <v>6239</v>
      </c>
      <c r="F1639">
        <v>6227</v>
      </c>
      <c r="G1639">
        <v>6239</v>
      </c>
      <c r="H1639">
        <v>54800</v>
      </c>
    </row>
    <row r="1640" spans="2:8">
      <c r="B1640" t="s">
        <v>587</v>
      </c>
      <c r="C1640" t="s">
        <v>52</v>
      </c>
      <c r="D1640">
        <v>6239</v>
      </c>
      <c r="E1640">
        <v>6245</v>
      </c>
      <c r="F1640">
        <v>6237</v>
      </c>
      <c r="G1640">
        <v>6244</v>
      </c>
      <c r="H1640">
        <v>39700</v>
      </c>
    </row>
    <row r="1641" spans="2:8">
      <c r="B1641" t="s">
        <v>587</v>
      </c>
      <c r="C1641" t="s">
        <v>53</v>
      </c>
      <c r="D1641">
        <v>6244</v>
      </c>
      <c r="E1641">
        <v>6254</v>
      </c>
      <c r="F1641">
        <v>6244</v>
      </c>
      <c r="G1641">
        <v>6248</v>
      </c>
      <c r="H1641">
        <v>97200</v>
      </c>
    </row>
    <row r="1642" spans="2:8">
      <c r="B1642" t="s">
        <v>587</v>
      </c>
      <c r="C1642" t="s">
        <v>54</v>
      </c>
      <c r="D1642">
        <v>6248</v>
      </c>
      <c r="E1642">
        <v>6263</v>
      </c>
      <c r="F1642">
        <v>6247</v>
      </c>
      <c r="G1642">
        <v>6261</v>
      </c>
      <c r="H1642">
        <v>68500</v>
      </c>
    </row>
    <row r="1643" spans="2:8">
      <c r="B1643" t="s">
        <v>587</v>
      </c>
      <c r="C1643" t="s">
        <v>55</v>
      </c>
      <c r="D1643">
        <v>6259</v>
      </c>
      <c r="E1643">
        <v>6262</v>
      </c>
      <c r="F1643">
        <v>6257</v>
      </c>
      <c r="G1643">
        <v>6262</v>
      </c>
      <c r="H1643">
        <v>30100</v>
      </c>
    </row>
    <row r="1644" spans="2:8">
      <c r="B1644" t="s">
        <v>587</v>
      </c>
      <c r="C1644" t="s">
        <v>56</v>
      </c>
      <c r="D1644">
        <v>6261</v>
      </c>
      <c r="E1644">
        <v>6262</v>
      </c>
      <c r="F1644">
        <v>6256</v>
      </c>
      <c r="G1644">
        <v>6259</v>
      </c>
      <c r="H1644">
        <v>42900</v>
      </c>
    </row>
    <row r="1645" spans="2:8">
      <c r="B1645" t="s">
        <v>587</v>
      </c>
      <c r="C1645" t="s">
        <v>57</v>
      </c>
      <c r="D1645">
        <v>6260</v>
      </c>
      <c r="E1645">
        <v>6271</v>
      </c>
      <c r="F1645">
        <v>6255</v>
      </c>
      <c r="G1645">
        <v>6271</v>
      </c>
      <c r="H1645">
        <v>89200</v>
      </c>
    </row>
    <row r="1646" spans="2:8">
      <c r="B1646" t="s">
        <v>587</v>
      </c>
      <c r="C1646" t="s">
        <v>58</v>
      </c>
      <c r="D1646">
        <v>6271</v>
      </c>
      <c r="E1646">
        <v>6275</v>
      </c>
      <c r="F1646">
        <v>6265</v>
      </c>
      <c r="G1646">
        <v>6275</v>
      </c>
      <c r="H1646">
        <v>63000</v>
      </c>
    </row>
    <row r="1647" spans="2:8">
      <c r="B1647" t="s">
        <v>587</v>
      </c>
      <c r="C1647" t="s">
        <v>59</v>
      </c>
      <c r="D1647">
        <v>6275</v>
      </c>
      <c r="E1647">
        <v>6275</v>
      </c>
      <c r="F1647">
        <v>6261</v>
      </c>
      <c r="G1647">
        <v>6263</v>
      </c>
      <c r="H1647">
        <v>71100</v>
      </c>
    </row>
    <row r="1648" spans="2:8">
      <c r="B1648" t="s">
        <v>587</v>
      </c>
      <c r="C1648" t="s">
        <v>60</v>
      </c>
      <c r="D1648">
        <v>6264</v>
      </c>
      <c r="E1648">
        <v>6271</v>
      </c>
      <c r="F1648">
        <v>6262</v>
      </c>
      <c r="G1648">
        <v>6266</v>
      </c>
      <c r="H1648">
        <v>36000</v>
      </c>
    </row>
    <row r="1649" spans="1:8">
      <c r="B1649" t="s">
        <v>587</v>
      </c>
      <c r="C1649" t="s">
        <v>61</v>
      </c>
      <c r="D1649">
        <v>6265</v>
      </c>
      <c r="E1649">
        <v>6267</v>
      </c>
      <c r="F1649">
        <v>6259</v>
      </c>
      <c r="G1649">
        <v>6267</v>
      </c>
      <c r="H1649">
        <v>49200</v>
      </c>
    </row>
    <row r="1650" spans="1:8">
      <c r="B1650" t="s">
        <v>587</v>
      </c>
      <c r="C1650" t="s">
        <v>62</v>
      </c>
      <c r="D1650">
        <v>6266</v>
      </c>
      <c r="E1650">
        <v>6270</v>
      </c>
      <c r="F1650">
        <v>6264</v>
      </c>
      <c r="G1650">
        <v>6267</v>
      </c>
      <c r="H1650">
        <v>24200</v>
      </c>
    </row>
    <row r="1651" spans="1:8">
      <c r="B1651" t="s">
        <v>587</v>
      </c>
      <c r="C1651" t="s">
        <v>63</v>
      </c>
      <c r="D1651">
        <v>6267</v>
      </c>
      <c r="E1651">
        <v>6284</v>
      </c>
      <c r="F1651">
        <v>6265</v>
      </c>
      <c r="G1651">
        <v>6282</v>
      </c>
      <c r="H1651">
        <v>99900</v>
      </c>
    </row>
    <row r="1652" spans="1:8">
      <c r="B1652" t="s">
        <v>587</v>
      </c>
      <c r="C1652" t="s">
        <v>64</v>
      </c>
      <c r="D1652">
        <v>6282</v>
      </c>
      <c r="E1652">
        <v>6285</v>
      </c>
      <c r="F1652">
        <v>6280</v>
      </c>
      <c r="G1652">
        <v>6285</v>
      </c>
      <c r="H1652">
        <v>66600</v>
      </c>
    </row>
    <row r="1653" spans="1:8">
      <c r="B1653" t="s">
        <v>587</v>
      </c>
      <c r="C1653" t="s">
        <v>65</v>
      </c>
      <c r="D1653">
        <v>6285</v>
      </c>
      <c r="E1653">
        <v>6302</v>
      </c>
      <c r="F1653">
        <v>6285</v>
      </c>
      <c r="G1653">
        <v>6288</v>
      </c>
      <c r="H1653">
        <v>235600</v>
      </c>
    </row>
    <row r="1654" spans="1:8">
      <c r="B1654" t="s">
        <v>587</v>
      </c>
      <c r="C1654" t="s">
        <v>66</v>
      </c>
      <c r="D1654">
        <v>6289</v>
      </c>
      <c r="E1654">
        <v>6290</v>
      </c>
      <c r="F1654">
        <v>6283</v>
      </c>
      <c r="G1654">
        <v>6289</v>
      </c>
      <c r="H1654">
        <v>44400</v>
      </c>
    </row>
    <row r="1655" spans="1:8">
      <c r="B1655" t="s">
        <v>587</v>
      </c>
      <c r="C1655" t="s">
        <v>164</v>
      </c>
      <c r="D1655">
        <v>6289</v>
      </c>
      <c r="E1655">
        <v>6302</v>
      </c>
      <c r="F1655">
        <v>6285</v>
      </c>
      <c r="G1655">
        <v>6297</v>
      </c>
      <c r="H1655">
        <v>116100</v>
      </c>
    </row>
    <row r="1656" spans="1:8">
      <c r="B1656" t="s">
        <v>587</v>
      </c>
      <c r="C1656" t="s">
        <v>165</v>
      </c>
      <c r="D1656">
        <v>6296</v>
      </c>
      <c r="E1656">
        <v>6302</v>
      </c>
      <c r="F1656">
        <v>6270</v>
      </c>
      <c r="G1656">
        <v>6282</v>
      </c>
      <c r="H1656">
        <v>136000</v>
      </c>
    </row>
    <row r="1657" spans="1:8">
      <c r="B1657" t="s">
        <v>587</v>
      </c>
      <c r="C1657" t="s">
        <v>67</v>
      </c>
      <c r="D1657" t="s">
        <v>8</v>
      </c>
      <c r="E1657" t="s">
        <v>8</v>
      </c>
      <c r="F1657" t="s">
        <v>8</v>
      </c>
      <c r="G1657" t="s">
        <v>8</v>
      </c>
      <c r="H1657">
        <v>0</v>
      </c>
    </row>
    <row r="1658" spans="1:8">
      <c r="B1658" t="s">
        <v>587</v>
      </c>
      <c r="C1658" t="s">
        <v>68</v>
      </c>
      <c r="D1658" t="s">
        <v>8</v>
      </c>
      <c r="E1658" t="s">
        <v>8</v>
      </c>
      <c r="F1658" t="s">
        <v>8</v>
      </c>
      <c r="G1658" t="s">
        <v>8</v>
      </c>
      <c r="H1658">
        <v>0</v>
      </c>
    </row>
    <row r="1659" spans="1:8">
      <c r="B1659" t="s">
        <v>587</v>
      </c>
      <c r="C1659" t="s">
        <v>69</v>
      </c>
      <c r="D1659" t="s">
        <v>8</v>
      </c>
      <c r="E1659" t="s">
        <v>8</v>
      </c>
      <c r="F1659" t="s">
        <v>8</v>
      </c>
      <c r="G1659" t="s">
        <v>8</v>
      </c>
      <c r="H1659">
        <v>0</v>
      </c>
    </row>
    <row r="1660" spans="1:8">
      <c r="B1660" t="s">
        <v>587</v>
      </c>
      <c r="C1660" t="s">
        <v>70</v>
      </c>
      <c r="D1660" t="s">
        <v>8</v>
      </c>
      <c r="E1660" t="s">
        <v>8</v>
      </c>
      <c r="F1660" t="s">
        <v>8</v>
      </c>
      <c r="G1660" t="s">
        <v>8</v>
      </c>
      <c r="H1660">
        <v>0</v>
      </c>
    </row>
    <row r="1661" spans="1:8">
      <c r="B1661" t="s">
        <v>587</v>
      </c>
      <c r="C1661" t="s">
        <v>71</v>
      </c>
      <c r="D1661" t="s">
        <v>8</v>
      </c>
      <c r="E1661" t="s">
        <v>8</v>
      </c>
      <c r="F1661" t="s">
        <v>8</v>
      </c>
      <c r="G1661" t="s">
        <v>8</v>
      </c>
      <c r="H1661">
        <v>0</v>
      </c>
    </row>
    <row r="1662" spans="1:8">
      <c r="B1662" t="s">
        <v>587</v>
      </c>
      <c r="C1662" t="s">
        <v>72</v>
      </c>
      <c r="D1662">
        <v>6288</v>
      </c>
      <c r="E1662">
        <v>6288</v>
      </c>
      <c r="F1662">
        <v>6288</v>
      </c>
      <c r="G1662">
        <v>6288</v>
      </c>
      <c r="H1662">
        <v>303800</v>
      </c>
    </row>
    <row r="1663" spans="1:8">
      <c r="A1663" s="1" t="s">
        <v>588</v>
      </c>
      <c r="B1663" s="1" t="s">
        <v>588</v>
      </c>
      <c r="C1663" s="1" t="s">
        <v>588</v>
      </c>
      <c r="D1663" s="1" t="s">
        <v>588</v>
      </c>
      <c r="E1663" s="1" t="s">
        <v>588</v>
      </c>
      <c r="F1663" s="1" t="s">
        <v>588</v>
      </c>
      <c r="G1663" s="1" t="s">
        <v>588</v>
      </c>
      <c r="H1663" s="1" t="s">
        <v>588</v>
      </c>
    </row>
    <row r="1664" spans="1:8">
      <c r="A1664" s="1"/>
      <c r="B1664" s="1" t="s">
        <v>586</v>
      </c>
      <c r="C1664" s="1" t="s">
        <v>444</v>
      </c>
      <c r="D1664" s="1">
        <v>6258</v>
      </c>
      <c r="E1664" s="1">
        <v>6263</v>
      </c>
      <c r="F1664" s="1">
        <v>6250</v>
      </c>
      <c r="G1664" s="1">
        <v>6258</v>
      </c>
      <c r="H1664" s="1">
        <v>74000</v>
      </c>
    </row>
    <row r="1665" spans="1:8">
      <c r="A1665" s="1"/>
      <c r="B1665" s="1" t="s">
        <v>586</v>
      </c>
      <c r="C1665" s="1" t="s">
        <v>445</v>
      </c>
      <c r="D1665" s="1">
        <v>6258</v>
      </c>
      <c r="E1665" s="1">
        <v>6265</v>
      </c>
      <c r="F1665" s="1">
        <v>6246</v>
      </c>
      <c r="G1665" s="1">
        <v>6252</v>
      </c>
      <c r="H1665" s="1">
        <v>84000</v>
      </c>
    </row>
    <row r="1666" spans="1:8">
      <c r="A1666" s="1"/>
      <c r="B1666" s="1" t="s">
        <v>586</v>
      </c>
      <c r="C1666" s="1" t="s">
        <v>446</v>
      </c>
      <c r="D1666" s="1">
        <v>6253</v>
      </c>
      <c r="E1666" s="1">
        <v>6260</v>
      </c>
      <c r="F1666" s="1">
        <v>6236</v>
      </c>
      <c r="G1666" s="1">
        <v>6242</v>
      </c>
      <c r="H1666" s="1">
        <v>84000</v>
      </c>
    </row>
    <row r="1667" spans="1:8">
      <c r="A1667" s="1"/>
      <c r="B1667" s="1" t="s">
        <v>586</v>
      </c>
      <c r="C1667" s="1" t="s">
        <v>447</v>
      </c>
      <c r="D1667" s="1">
        <v>6242</v>
      </c>
      <c r="E1667" s="1">
        <v>6250</v>
      </c>
      <c r="F1667" s="1">
        <v>6237</v>
      </c>
      <c r="G1667" s="1">
        <v>6246</v>
      </c>
      <c r="H1667" s="1">
        <v>44800</v>
      </c>
    </row>
    <row r="1668" spans="1:8">
      <c r="A1668" s="1"/>
      <c r="B1668" s="1" t="s">
        <v>586</v>
      </c>
      <c r="C1668" s="1" t="s">
        <v>448</v>
      </c>
      <c r="D1668" s="1">
        <v>6245</v>
      </c>
      <c r="E1668" s="1">
        <v>6248</v>
      </c>
      <c r="F1668" s="1">
        <v>6238</v>
      </c>
      <c r="G1668" s="1">
        <v>6246</v>
      </c>
      <c r="H1668" s="1">
        <v>38300</v>
      </c>
    </row>
    <row r="1669" spans="1:8">
      <c r="A1669" s="1"/>
      <c r="B1669" s="1" t="s">
        <v>586</v>
      </c>
      <c r="C1669" s="1" t="s">
        <v>449</v>
      </c>
      <c r="D1669" s="1">
        <v>6247</v>
      </c>
      <c r="E1669" s="1">
        <v>6256</v>
      </c>
      <c r="F1669" s="1">
        <v>6246</v>
      </c>
      <c r="G1669" s="1">
        <v>6252</v>
      </c>
      <c r="H1669" s="1">
        <v>41000</v>
      </c>
    </row>
    <row r="1670" spans="1:8">
      <c r="A1670" s="1"/>
      <c r="B1670" s="1" t="s">
        <v>586</v>
      </c>
      <c r="C1670" s="1" t="s">
        <v>450</v>
      </c>
      <c r="D1670" s="1">
        <v>6253</v>
      </c>
      <c r="E1670" s="1">
        <v>6255</v>
      </c>
      <c r="F1670" s="1">
        <v>6238</v>
      </c>
      <c r="G1670" s="1">
        <v>6243</v>
      </c>
      <c r="H1670" s="1">
        <v>42200</v>
      </c>
    </row>
    <row r="1671" spans="1:8">
      <c r="A1671" s="1"/>
      <c r="B1671" s="1" t="s">
        <v>586</v>
      </c>
      <c r="C1671" s="1" t="s">
        <v>451</v>
      </c>
      <c r="D1671" s="1">
        <v>6242</v>
      </c>
      <c r="E1671" s="1">
        <v>6248</v>
      </c>
      <c r="F1671" s="1">
        <v>6233</v>
      </c>
      <c r="G1671" s="1">
        <v>6241</v>
      </c>
      <c r="H1671" s="1">
        <v>64200</v>
      </c>
    </row>
    <row r="1672" spans="1:8">
      <c r="A1672" s="1"/>
      <c r="B1672" s="1" t="s">
        <v>586</v>
      </c>
      <c r="C1672" s="1" t="s">
        <v>452</v>
      </c>
      <c r="D1672" s="1">
        <v>6239</v>
      </c>
      <c r="E1672" s="1">
        <v>6244</v>
      </c>
      <c r="F1672" s="1">
        <v>6229</v>
      </c>
      <c r="G1672" s="1">
        <v>6242</v>
      </c>
      <c r="H1672" s="1">
        <v>61000</v>
      </c>
    </row>
    <row r="1673" spans="1:8">
      <c r="A1673" s="1"/>
      <c r="B1673" s="1" t="s">
        <v>586</v>
      </c>
      <c r="C1673" s="1" t="s">
        <v>453</v>
      </c>
      <c r="D1673" s="1">
        <v>6240</v>
      </c>
      <c r="E1673" s="1">
        <v>6252</v>
      </c>
      <c r="F1673" s="1">
        <v>6240</v>
      </c>
      <c r="G1673" s="1">
        <v>6250</v>
      </c>
      <c r="H1673" s="1">
        <v>48700</v>
      </c>
    </row>
    <row r="1674" spans="1:8">
      <c r="A1674" s="1"/>
      <c r="B1674" s="1" t="s">
        <v>586</v>
      </c>
      <c r="C1674" s="1" t="s">
        <v>454</v>
      </c>
      <c r="D1674" s="1">
        <v>6250</v>
      </c>
      <c r="E1674" s="1">
        <v>6259</v>
      </c>
      <c r="F1674" s="1">
        <v>6249</v>
      </c>
      <c r="G1674" s="1">
        <v>6250</v>
      </c>
      <c r="H1674" s="1">
        <v>53400</v>
      </c>
    </row>
    <row r="1675" spans="1:8">
      <c r="A1675" s="1"/>
      <c r="B1675" s="1" t="s">
        <v>586</v>
      </c>
      <c r="C1675" s="1" t="s">
        <v>455</v>
      </c>
      <c r="D1675" s="1">
        <v>6251</v>
      </c>
      <c r="E1675" s="1">
        <v>6254</v>
      </c>
      <c r="F1675" s="1">
        <v>6245</v>
      </c>
      <c r="G1675" s="1">
        <v>6246</v>
      </c>
      <c r="H1675" s="1">
        <v>28800</v>
      </c>
    </row>
    <row r="1676" spans="1:8">
      <c r="A1676" s="1"/>
      <c r="B1676" s="1" t="s">
        <v>586</v>
      </c>
      <c r="C1676" s="1" t="s">
        <v>456</v>
      </c>
      <c r="D1676" s="1">
        <v>6245</v>
      </c>
      <c r="E1676" s="1">
        <v>6247</v>
      </c>
      <c r="F1676" s="1">
        <v>6225</v>
      </c>
      <c r="G1676" s="1">
        <v>6231</v>
      </c>
      <c r="H1676" s="1">
        <v>85700</v>
      </c>
    </row>
    <row r="1677" spans="1:8">
      <c r="A1677" s="1"/>
      <c r="B1677" s="1" t="s">
        <v>586</v>
      </c>
      <c r="C1677" s="1" t="s">
        <v>457</v>
      </c>
      <c r="D1677" s="1">
        <v>6232</v>
      </c>
      <c r="E1677" s="1">
        <v>6236</v>
      </c>
      <c r="F1677" s="1">
        <v>6228</v>
      </c>
      <c r="G1677" s="1">
        <v>6233</v>
      </c>
      <c r="H1677" s="1">
        <v>41300</v>
      </c>
    </row>
    <row r="1678" spans="1:8">
      <c r="A1678" s="1"/>
      <c r="B1678" s="1" t="s">
        <v>586</v>
      </c>
      <c r="C1678" s="1" t="s">
        <v>458</v>
      </c>
      <c r="D1678" s="1">
        <v>6233</v>
      </c>
      <c r="E1678" s="1">
        <v>6246</v>
      </c>
      <c r="F1678" s="1">
        <v>6231</v>
      </c>
      <c r="G1678" s="1">
        <v>6242</v>
      </c>
      <c r="H1678" s="1">
        <v>70400</v>
      </c>
    </row>
    <row r="1679" spans="1:8">
      <c r="A1679" s="1"/>
      <c r="B1679" s="1" t="s">
        <v>586</v>
      </c>
      <c r="C1679" s="1" t="s">
        <v>459</v>
      </c>
      <c r="D1679" s="1">
        <v>6242</v>
      </c>
      <c r="E1679" s="1">
        <v>6245</v>
      </c>
      <c r="F1679" s="1">
        <v>6234</v>
      </c>
      <c r="G1679" s="1">
        <v>6235</v>
      </c>
      <c r="H1679" s="1">
        <v>28300</v>
      </c>
    </row>
    <row r="1680" spans="1:8">
      <c r="A1680" s="1"/>
      <c r="B1680" s="1" t="s">
        <v>586</v>
      </c>
      <c r="C1680" s="1" t="s">
        <v>460</v>
      </c>
      <c r="D1680" s="1">
        <v>6235</v>
      </c>
      <c r="E1680" s="1">
        <v>6239</v>
      </c>
      <c r="F1680" s="1">
        <v>6235</v>
      </c>
      <c r="G1680" s="1">
        <v>6238</v>
      </c>
      <c r="H1680" s="1">
        <v>16900</v>
      </c>
    </row>
    <row r="1681" spans="1:8">
      <c r="A1681" s="1"/>
      <c r="B1681" s="1" t="s">
        <v>586</v>
      </c>
      <c r="C1681" s="1" t="s">
        <v>461</v>
      </c>
      <c r="D1681" s="1">
        <v>6238</v>
      </c>
      <c r="E1681" s="1">
        <v>6253</v>
      </c>
      <c r="F1681" s="1">
        <v>6234</v>
      </c>
      <c r="G1681" s="1">
        <v>6251</v>
      </c>
      <c r="H1681" s="1">
        <v>79000</v>
      </c>
    </row>
    <row r="1682" spans="1:8">
      <c r="A1682" s="1"/>
      <c r="B1682" s="1" t="s">
        <v>586</v>
      </c>
      <c r="C1682" s="1" t="s">
        <v>462</v>
      </c>
      <c r="D1682" s="1">
        <v>6251</v>
      </c>
      <c r="E1682" s="1">
        <v>6264</v>
      </c>
      <c r="F1682" s="1">
        <v>6250</v>
      </c>
      <c r="G1682" s="1">
        <v>6262</v>
      </c>
      <c r="H1682" s="1">
        <v>118600</v>
      </c>
    </row>
    <row r="1683" spans="1:8">
      <c r="A1683" s="1"/>
      <c r="B1683" s="1" t="s">
        <v>586</v>
      </c>
      <c r="C1683" s="1" t="s">
        <v>464</v>
      </c>
      <c r="D1683" s="1">
        <v>6262</v>
      </c>
      <c r="E1683" s="1">
        <v>6285</v>
      </c>
      <c r="F1683" s="1">
        <v>6258</v>
      </c>
      <c r="G1683" s="1">
        <v>6284</v>
      </c>
      <c r="H1683" s="1">
        <v>184400</v>
      </c>
    </row>
    <row r="1684" spans="1:8">
      <c r="A1684" s="1"/>
      <c r="B1684" s="1" t="s">
        <v>586</v>
      </c>
      <c r="C1684" s="1" t="s">
        <v>465</v>
      </c>
      <c r="D1684" s="1">
        <v>6282</v>
      </c>
      <c r="E1684" s="1">
        <v>6289</v>
      </c>
      <c r="F1684" s="1">
        <v>6281</v>
      </c>
      <c r="G1684" s="1">
        <v>6284</v>
      </c>
      <c r="H1684" s="1">
        <v>86800</v>
      </c>
    </row>
    <row r="1685" spans="1:8">
      <c r="A1685" s="1"/>
      <c r="B1685" s="1" t="s">
        <v>586</v>
      </c>
      <c r="C1685" s="1" t="s">
        <v>466</v>
      </c>
      <c r="D1685" s="1">
        <v>6285</v>
      </c>
      <c r="E1685" s="1">
        <v>6287</v>
      </c>
      <c r="F1685" s="1">
        <v>6276</v>
      </c>
      <c r="G1685" s="1">
        <v>6283</v>
      </c>
      <c r="H1685" s="1">
        <v>76500</v>
      </c>
    </row>
    <row r="1686" spans="1:8">
      <c r="A1686" s="1"/>
      <c r="B1686" s="1" t="s">
        <v>586</v>
      </c>
      <c r="C1686" s="1" t="s">
        <v>467</v>
      </c>
      <c r="D1686" s="1">
        <v>6284</v>
      </c>
      <c r="E1686" s="1">
        <v>6287</v>
      </c>
      <c r="F1686" s="1">
        <v>6256</v>
      </c>
      <c r="G1686" s="1">
        <v>6265</v>
      </c>
      <c r="H1686" s="1">
        <v>171800</v>
      </c>
    </row>
    <row r="1687" spans="1:8">
      <c r="A1687" s="1"/>
      <c r="B1687" s="1" t="s">
        <v>586</v>
      </c>
      <c r="C1687" s="1" t="s">
        <v>468</v>
      </c>
      <c r="D1687" s="1">
        <v>6265</v>
      </c>
      <c r="E1687" s="1">
        <v>6270</v>
      </c>
      <c r="F1687" s="1">
        <v>6256</v>
      </c>
      <c r="G1687" s="1">
        <v>6261</v>
      </c>
      <c r="H1687" s="1">
        <v>68400</v>
      </c>
    </row>
    <row r="1688" spans="1:8">
      <c r="A1688" s="1"/>
      <c r="B1688" s="1" t="s">
        <v>586</v>
      </c>
      <c r="C1688" s="1" t="s">
        <v>469</v>
      </c>
      <c r="D1688" s="1">
        <v>6263</v>
      </c>
      <c r="E1688" s="1">
        <v>6273</v>
      </c>
      <c r="F1688" s="1">
        <v>6263</v>
      </c>
      <c r="G1688" s="1">
        <v>6272</v>
      </c>
      <c r="H1688" s="1">
        <v>43900</v>
      </c>
    </row>
    <row r="1689" spans="1:8">
      <c r="A1689" s="1"/>
      <c r="B1689" s="1" t="s">
        <v>586</v>
      </c>
      <c r="C1689" s="1" t="s">
        <v>470</v>
      </c>
      <c r="D1689" s="1">
        <v>6272</v>
      </c>
      <c r="E1689" s="1">
        <v>6273</v>
      </c>
      <c r="F1689" s="1">
        <v>6250</v>
      </c>
      <c r="G1689" s="1">
        <v>6258</v>
      </c>
      <c r="H1689" s="1">
        <v>85100</v>
      </c>
    </row>
    <row r="1690" spans="1:8">
      <c r="A1690" s="1"/>
      <c r="B1690" s="1" t="s">
        <v>586</v>
      </c>
      <c r="C1690" s="1" t="s">
        <v>471</v>
      </c>
      <c r="D1690" s="1">
        <v>6257</v>
      </c>
      <c r="E1690" s="1">
        <v>6262</v>
      </c>
      <c r="F1690" s="1">
        <v>6252</v>
      </c>
      <c r="G1690" s="1">
        <v>6258</v>
      </c>
      <c r="H1690" s="1">
        <v>40900</v>
      </c>
    </row>
    <row r="1691" spans="1:8">
      <c r="A1691" s="1"/>
      <c r="B1691" s="1" t="s">
        <v>586</v>
      </c>
      <c r="C1691" s="1" t="s">
        <v>472</v>
      </c>
      <c r="D1691" s="1">
        <v>6258</v>
      </c>
      <c r="E1691" s="1">
        <v>6265</v>
      </c>
      <c r="F1691" s="1">
        <v>6254</v>
      </c>
      <c r="G1691" s="1">
        <v>6263</v>
      </c>
      <c r="H1691" s="1">
        <v>28400</v>
      </c>
    </row>
    <row r="1692" spans="1:8">
      <c r="A1692" s="1"/>
      <c r="B1692" s="1" t="s">
        <v>586</v>
      </c>
      <c r="C1692" s="1" t="s">
        <v>473</v>
      </c>
      <c r="D1692" s="1">
        <v>6263</v>
      </c>
      <c r="E1692" s="1">
        <v>6269</v>
      </c>
      <c r="F1692" s="1">
        <v>6257</v>
      </c>
      <c r="G1692" s="1">
        <v>6260</v>
      </c>
      <c r="H1692" s="1">
        <v>45700</v>
      </c>
    </row>
    <row r="1693" spans="1:8">
      <c r="A1693" s="1"/>
      <c r="B1693" s="1" t="s">
        <v>586</v>
      </c>
      <c r="C1693" s="1" t="s">
        <v>474</v>
      </c>
      <c r="D1693" s="1">
        <v>6260</v>
      </c>
      <c r="E1693" s="1">
        <v>6262</v>
      </c>
      <c r="F1693" s="1">
        <v>6252</v>
      </c>
      <c r="G1693" s="1">
        <v>6256</v>
      </c>
      <c r="H1693" s="1">
        <v>43200</v>
      </c>
    </row>
    <row r="1694" spans="1:8">
      <c r="A1694" s="1"/>
      <c r="B1694" s="1" t="s">
        <v>586</v>
      </c>
      <c r="C1694" s="1" t="s">
        <v>475</v>
      </c>
      <c r="D1694" s="1">
        <v>6257</v>
      </c>
      <c r="E1694" s="1">
        <v>6257</v>
      </c>
      <c r="F1694" s="1">
        <v>6235</v>
      </c>
      <c r="G1694" s="1">
        <v>6249</v>
      </c>
      <c r="H1694" s="1">
        <v>96300</v>
      </c>
    </row>
    <row r="1695" spans="1:8">
      <c r="A1695" s="1"/>
      <c r="B1695" s="1" t="s">
        <v>586</v>
      </c>
      <c r="C1695" s="1" t="s">
        <v>476</v>
      </c>
      <c r="D1695" s="1">
        <v>6250</v>
      </c>
      <c r="E1695" s="1">
        <v>6257</v>
      </c>
      <c r="F1695" s="1">
        <v>6247</v>
      </c>
      <c r="G1695" s="1">
        <v>6255</v>
      </c>
      <c r="H1695" s="1">
        <v>37800</v>
      </c>
    </row>
    <row r="1696" spans="1:8">
      <c r="A1696" s="1"/>
      <c r="B1696" s="1" t="s">
        <v>586</v>
      </c>
      <c r="C1696" s="1" t="s">
        <v>477</v>
      </c>
      <c r="D1696" s="1">
        <v>6255</v>
      </c>
      <c r="E1696" s="1">
        <v>6255</v>
      </c>
      <c r="F1696" s="1">
        <v>6240</v>
      </c>
      <c r="G1696" s="1">
        <v>6247</v>
      </c>
      <c r="H1696" s="1">
        <v>38700</v>
      </c>
    </row>
    <row r="1697" spans="1:8">
      <c r="A1697" s="1"/>
      <c r="B1697" s="1" t="s">
        <v>586</v>
      </c>
      <c r="C1697" s="1" t="s">
        <v>478</v>
      </c>
      <c r="D1697" s="1">
        <v>6248</v>
      </c>
      <c r="E1697" s="1">
        <v>6248</v>
      </c>
      <c r="F1697" s="1">
        <v>6240</v>
      </c>
      <c r="G1697" s="1">
        <v>6242</v>
      </c>
      <c r="H1697" s="1">
        <v>21800</v>
      </c>
    </row>
    <row r="1698" spans="1:8">
      <c r="A1698" s="1"/>
      <c r="B1698" s="1" t="s">
        <v>586</v>
      </c>
      <c r="C1698" s="1" t="s">
        <v>479</v>
      </c>
      <c r="D1698" s="1">
        <v>6242</v>
      </c>
      <c r="E1698" s="1">
        <v>6255</v>
      </c>
      <c r="F1698" s="1">
        <v>6240</v>
      </c>
      <c r="G1698" s="1">
        <v>6252</v>
      </c>
      <c r="H1698" s="1">
        <v>31900</v>
      </c>
    </row>
    <row r="1699" spans="1:8">
      <c r="A1699" s="1"/>
      <c r="B1699" s="1" t="s">
        <v>586</v>
      </c>
      <c r="C1699" s="1" t="s">
        <v>480</v>
      </c>
      <c r="D1699" s="1">
        <v>6252</v>
      </c>
      <c r="E1699" s="1">
        <v>6255</v>
      </c>
      <c r="F1699" s="1">
        <v>6246</v>
      </c>
      <c r="G1699" s="1">
        <v>6254</v>
      </c>
      <c r="H1699" s="1">
        <v>36200</v>
      </c>
    </row>
    <row r="1700" spans="1:8">
      <c r="A1700" s="1"/>
      <c r="B1700" s="1" t="s">
        <v>586</v>
      </c>
      <c r="C1700" s="1" t="s">
        <v>481</v>
      </c>
      <c r="D1700" s="1">
        <v>6254</v>
      </c>
      <c r="E1700" s="1">
        <v>6265</v>
      </c>
      <c r="F1700" s="1">
        <v>6254</v>
      </c>
      <c r="G1700" s="1">
        <v>6263</v>
      </c>
      <c r="H1700" s="1">
        <v>62000</v>
      </c>
    </row>
    <row r="1701" spans="1:8">
      <c r="A1701" s="1"/>
      <c r="B1701" s="1" t="s">
        <v>586</v>
      </c>
      <c r="C1701" s="1" t="s">
        <v>482</v>
      </c>
      <c r="D1701" s="1">
        <v>6264</v>
      </c>
      <c r="E1701" s="1">
        <v>6264</v>
      </c>
      <c r="F1701" s="1">
        <v>6252</v>
      </c>
      <c r="G1701" s="1">
        <v>6255</v>
      </c>
      <c r="H1701" s="1">
        <v>35900</v>
      </c>
    </row>
    <row r="1702" spans="1:8">
      <c r="A1702" s="1"/>
      <c r="B1702" s="1" t="s">
        <v>586</v>
      </c>
      <c r="C1702" s="1" t="s">
        <v>483</v>
      </c>
      <c r="D1702" s="1">
        <v>6255</v>
      </c>
      <c r="E1702" s="1">
        <v>6259</v>
      </c>
      <c r="F1702" s="1">
        <v>6254</v>
      </c>
      <c r="G1702" s="1">
        <v>6256</v>
      </c>
      <c r="H1702" s="1">
        <v>18000</v>
      </c>
    </row>
    <row r="1703" spans="1:8">
      <c r="A1703" s="1"/>
      <c r="B1703" s="1" t="s">
        <v>586</v>
      </c>
      <c r="C1703" s="1" t="s">
        <v>484</v>
      </c>
      <c r="D1703" s="1">
        <v>6256</v>
      </c>
      <c r="E1703" s="1">
        <v>6263</v>
      </c>
      <c r="F1703" s="1">
        <v>6253</v>
      </c>
      <c r="G1703" s="1">
        <v>6258</v>
      </c>
      <c r="H1703" s="1">
        <v>31300</v>
      </c>
    </row>
    <row r="1704" spans="1:8">
      <c r="A1704" s="1"/>
      <c r="B1704" s="1" t="s">
        <v>586</v>
      </c>
      <c r="C1704" s="1" t="s">
        <v>485</v>
      </c>
      <c r="D1704" s="1">
        <v>6256</v>
      </c>
      <c r="E1704" s="1">
        <v>6257</v>
      </c>
      <c r="F1704" s="1">
        <v>6249</v>
      </c>
      <c r="G1704" s="1">
        <v>6255</v>
      </c>
      <c r="H1704" s="1">
        <v>46600</v>
      </c>
    </row>
    <row r="1705" spans="1:8">
      <c r="A1705" s="1"/>
      <c r="B1705" s="1" t="s">
        <v>586</v>
      </c>
      <c r="C1705" s="1" t="s">
        <v>486</v>
      </c>
      <c r="D1705" s="1">
        <v>6256</v>
      </c>
      <c r="E1705" s="1">
        <v>6258</v>
      </c>
      <c r="F1705" s="1">
        <v>6250</v>
      </c>
      <c r="G1705" s="1">
        <v>6254</v>
      </c>
      <c r="H1705" s="1">
        <v>33600</v>
      </c>
    </row>
    <row r="1706" spans="1:8">
      <c r="A1706" s="1"/>
      <c r="B1706" s="1" t="s">
        <v>586</v>
      </c>
      <c r="C1706" s="1" t="s">
        <v>487</v>
      </c>
      <c r="D1706" s="1">
        <v>6253</v>
      </c>
      <c r="E1706" s="1">
        <v>6256</v>
      </c>
      <c r="F1706" s="1">
        <v>6253</v>
      </c>
      <c r="G1706" s="1">
        <v>6253</v>
      </c>
      <c r="H1706" s="1">
        <v>16100</v>
      </c>
    </row>
    <row r="1707" spans="1:8">
      <c r="A1707" s="1"/>
      <c r="B1707" s="1" t="s">
        <v>586</v>
      </c>
      <c r="C1707" s="1" t="s">
        <v>488</v>
      </c>
      <c r="D1707" s="1">
        <v>6254</v>
      </c>
      <c r="E1707" s="1">
        <v>6255</v>
      </c>
      <c r="F1707" s="1">
        <v>6236</v>
      </c>
      <c r="G1707" s="1">
        <v>6244</v>
      </c>
      <c r="H1707" s="1">
        <v>80200</v>
      </c>
    </row>
    <row r="1708" spans="1:8">
      <c r="A1708" s="1"/>
      <c r="B1708" s="1" t="s">
        <v>586</v>
      </c>
      <c r="C1708" s="1" t="s">
        <v>489</v>
      </c>
      <c r="D1708" s="1">
        <v>6243</v>
      </c>
      <c r="E1708" s="1">
        <v>6248</v>
      </c>
      <c r="F1708" s="1">
        <v>6240</v>
      </c>
      <c r="G1708" s="1">
        <v>6245</v>
      </c>
      <c r="H1708" s="1">
        <v>31500</v>
      </c>
    </row>
    <row r="1709" spans="1:8">
      <c r="A1709" s="1"/>
      <c r="B1709" s="1" t="s">
        <v>586</v>
      </c>
      <c r="C1709" s="1" t="s">
        <v>490</v>
      </c>
      <c r="D1709" s="1">
        <v>6246</v>
      </c>
      <c r="E1709" s="1">
        <v>6254</v>
      </c>
      <c r="F1709" s="1">
        <v>6241</v>
      </c>
      <c r="G1709" s="1">
        <v>6250</v>
      </c>
      <c r="H1709" s="1">
        <v>30200</v>
      </c>
    </row>
    <row r="1710" spans="1:8">
      <c r="A1710" s="1"/>
      <c r="B1710" s="1" t="s">
        <v>586</v>
      </c>
      <c r="C1710" s="1" t="s">
        <v>491</v>
      </c>
      <c r="D1710" s="1">
        <v>6251</v>
      </c>
      <c r="E1710" s="1">
        <v>6263</v>
      </c>
      <c r="F1710" s="1">
        <v>6251</v>
      </c>
      <c r="G1710" s="1">
        <v>6254</v>
      </c>
      <c r="H1710" s="1">
        <v>71200</v>
      </c>
    </row>
    <row r="1711" spans="1:8">
      <c r="A1711" s="1"/>
      <c r="B1711" s="1" t="s">
        <v>586</v>
      </c>
      <c r="C1711" s="1" t="s">
        <v>492</v>
      </c>
      <c r="D1711" s="1">
        <v>6255</v>
      </c>
      <c r="E1711" s="1">
        <v>6258</v>
      </c>
      <c r="F1711" s="1">
        <v>6251</v>
      </c>
      <c r="G1711" s="1">
        <v>6257</v>
      </c>
      <c r="H1711" s="1">
        <v>15800</v>
      </c>
    </row>
    <row r="1712" spans="1:8">
      <c r="A1712" s="1"/>
      <c r="B1712" s="1" t="s">
        <v>586</v>
      </c>
      <c r="C1712" s="1" t="s">
        <v>493</v>
      </c>
      <c r="D1712" s="1">
        <v>6257</v>
      </c>
      <c r="E1712" s="1">
        <v>6263</v>
      </c>
      <c r="F1712" s="1">
        <v>6254</v>
      </c>
      <c r="G1712" s="1">
        <v>6261</v>
      </c>
      <c r="H1712" s="1">
        <v>27600</v>
      </c>
    </row>
    <row r="1713" spans="1:8">
      <c r="A1713" s="1"/>
      <c r="B1713" s="1" t="s">
        <v>586</v>
      </c>
      <c r="C1713" s="1" t="s">
        <v>494</v>
      </c>
      <c r="D1713" s="1">
        <v>6261</v>
      </c>
      <c r="E1713" s="1">
        <v>6270</v>
      </c>
      <c r="F1713" s="1">
        <v>6259</v>
      </c>
      <c r="G1713" s="1">
        <v>6268</v>
      </c>
      <c r="H1713" s="1">
        <v>55100</v>
      </c>
    </row>
    <row r="1714" spans="1:8">
      <c r="A1714" s="1"/>
      <c r="B1714" s="1" t="s">
        <v>586</v>
      </c>
      <c r="C1714" s="1" t="s">
        <v>495</v>
      </c>
      <c r="D1714" s="1">
        <v>6269</v>
      </c>
      <c r="E1714" s="1">
        <v>6272</v>
      </c>
      <c r="F1714" s="1">
        <v>6251</v>
      </c>
      <c r="G1714" s="1">
        <v>6256</v>
      </c>
      <c r="H1714" s="1">
        <v>97800</v>
      </c>
    </row>
    <row r="1715" spans="1:8">
      <c r="A1715" s="1"/>
      <c r="B1715" s="1" t="s">
        <v>586</v>
      </c>
      <c r="C1715" s="1" t="s">
        <v>496</v>
      </c>
      <c r="D1715" s="1">
        <v>6255</v>
      </c>
      <c r="E1715" s="1">
        <v>6255</v>
      </c>
      <c r="F1715" s="1">
        <v>6248</v>
      </c>
      <c r="G1715" s="1">
        <v>6249</v>
      </c>
      <c r="H1715" s="1">
        <v>44400</v>
      </c>
    </row>
    <row r="1716" spans="1:8">
      <c r="A1716" s="1"/>
      <c r="B1716" s="1" t="s">
        <v>586</v>
      </c>
      <c r="C1716" s="1" t="s">
        <v>497</v>
      </c>
      <c r="D1716" s="1">
        <v>6250</v>
      </c>
      <c r="E1716" s="1">
        <v>6259</v>
      </c>
      <c r="F1716" s="1">
        <v>6244</v>
      </c>
      <c r="G1716" s="1">
        <v>6248</v>
      </c>
      <c r="H1716" s="1">
        <v>74400</v>
      </c>
    </row>
    <row r="1717" spans="1:8">
      <c r="A1717" s="1"/>
      <c r="B1717" s="1" t="s">
        <v>586</v>
      </c>
      <c r="C1717" s="1" t="s">
        <v>498</v>
      </c>
      <c r="D1717" s="1">
        <v>6248</v>
      </c>
      <c r="E1717" s="1">
        <v>6254</v>
      </c>
      <c r="F1717" s="1">
        <v>6242</v>
      </c>
      <c r="G1717" s="1">
        <v>6251</v>
      </c>
      <c r="H1717" s="1">
        <v>46000</v>
      </c>
    </row>
    <row r="1718" spans="1:8">
      <c r="A1718" s="1"/>
      <c r="B1718" s="1" t="s">
        <v>586</v>
      </c>
      <c r="C1718" s="1" t="s">
        <v>499</v>
      </c>
      <c r="D1718" s="1">
        <v>6251</v>
      </c>
      <c r="E1718" s="1">
        <v>6255</v>
      </c>
      <c r="F1718" s="1">
        <v>6249</v>
      </c>
      <c r="G1718" s="1">
        <v>6249</v>
      </c>
      <c r="H1718" s="1">
        <v>18700</v>
      </c>
    </row>
    <row r="1719" spans="1:8">
      <c r="A1719" s="1"/>
      <c r="B1719" s="1" t="s">
        <v>586</v>
      </c>
      <c r="C1719" s="1" t="s">
        <v>500</v>
      </c>
      <c r="D1719" s="1">
        <v>6249</v>
      </c>
      <c r="E1719" s="1">
        <v>6250</v>
      </c>
      <c r="F1719" s="1">
        <v>6235</v>
      </c>
      <c r="G1719" s="1">
        <v>6243</v>
      </c>
      <c r="H1719" s="1">
        <v>69000</v>
      </c>
    </row>
    <row r="1720" spans="1:8">
      <c r="A1720" s="1"/>
      <c r="B1720" s="1" t="s">
        <v>586</v>
      </c>
      <c r="C1720" s="1" t="s">
        <v>501</v>
      </c>
      <c r="D1720" s="1">
        <v>6241</v>
      </c>
      <c r="E1720" s="1">
        <v>6242</v>
      </c>
      <c r="F1720" s="1">
        <v>6235</v>
      </c>
      <c r="G1720" s="1">
        <v>6240</v>
      </c>
      <c r="H1720" s="1">
        <v>46400</v>
      </c>
    </row>
    <row r="1721" spans="1:8">
      <c r="A1721" s="1"/>
      <c r="B1721" s="1" t="s">
        <v>586</v>
      </c>
      <c r="C1721" s="1" t="s">
        <v>502</v>
      </c>
      <c r="D1721" s="1">
        <v>6240</v>
      </c>
      <c r="E1721" s="1">
        <v>6246</v>
      </c>
      <c r="F1721" s="1">
        <v>6239</v>
      </c>
      <c r="G1721" s="1">
        <v>6244</v>
      </c>
      <c r="H1721" s="1">
        <v>29900</v>
      </c>
    </row>
    <row r="1722" spans="1:8">
      <c r="A1722" s="1"/>
      <c r="B1722" s="1" t="s">
        <v>586</v>
      </c>
      <c r="C1722" s="1" t="s">
        <v>503</v>
      </c>
      <c r="D1722" s="1">
        <v>6245</v>
      </c>
      <c r="E1722" s="1">
        <v>6248</v>
      </c>
      <c r="F1722" s="1">
        <v>6236</v>
      </c>
      <c r="G1722" s="1">
        <v>6244</v>
      </c>
      <c r="H1722" s="1">
        <v>47200</v>
      </c>
    </row>
    <row r="1723" spans="1:8">
      <c r="A1723" s="1"/>
      <c r="B1723" s="1" t="s">
        <v>586</v>
      </c>
      <c r="C1723" s="1" t="s">
        <v>504</v>
      </c>
      <c r="D1723" s="1">
        <v>6244</v>
      </c>
      <c r="E1723" s="1">
        <v>6252</v>
      </c>
      <c r="F1723" s="1">
        <v>6238</v>
      </c>
      <c r="G1723" s="1">
        <v>6252</v>
      </c>
      <c r="H1723" s="1">
        <v>39600</v>
      </c>
    </row>
    <row r="1724" spans="1:8">
      <c r="A1724" s="1"/>
      <c r="B1724" s="1" t="s">
        <v>586</v>
      </c>
      <c r="C1724" s="1" t="s">
        <v>505</v>
      </c>
      <c r="D1724" s="1">
        <v>6251</v>
      </c>
      <c r="E1724" s="1">
        <v>6254</v>
      </c>
      <c r="F1724" s="1">
        <v>6237</v>
      </c>
      <c r="G1724" s="1">
        <v>6239</v>
      </c>
      <c r="H1724" s="1">
        <v>42300</v>
      </c>
    </row>
    <row r="1725" spans="1:8">
      <c r="A1725" s="1"/>
      <c r="B1725" s="1" t="s">
        <v>586</v>
      </c>
      <c r="C1725" s="1" t="s">
        <v>506</v>
      </c>
      <c r="D1725" s="1">
        <v>6239</v>
      </c>
      <c r="E1725" s="1">
        <v>6239</v>
      </c>
      <c r="F1725" s="1">
        <v>6213</v>
      </c>
      <c r="G1725" s="1">
        <v>6219</v>
      </c>
      <c r="H1725" s="1">
        <v>143400</v>
      </c>
    </row>
    <row r="1726" spans="1:8">
      <c r="A1726" s="1"/>
      <c r="B1726" s="1" t="s">
        <v>586</v>
      </c>
      <c r="C1726" s="1" t="s">
        <v>507</v>
      </c>
      <c r="D1726" s="1">
        <v>6219</v>
      </c>
      <c r="E1726" s="1">
        <v>6229</v>
      </c>
      <c r="F1726" s="1">
        <v>6217</v>
      </c>
      <c r="G1726" s="1">
        <v>6225</v>
      </c>
      <c r="H1726" s="1">
        <v>37900</v>
      </c>
    </row>
    <row r="1727" spans="1:8">
      <c r="A1727" s="1"/>
      <c r="B1727" s="1" t="s">
        <v>586</v>
      </c>
      <c r="C1727" s="1" t="s">
        <v>508</v>
      </c>
      <c r="D1727" s="1">
        <v>6225</v>
      </c>
      <c r="E1727" s="1">
        <v>6227</v>
      </c>
      <c r="F1727" s="1">
        <v>6210</v>
      </c>
      <c r="G1727" s="1">
        <v>6212</v>
      </c>
      <c r="H1727" s="1">
        <v>63000</v>
      </c>
    </row>
    <row r="1728" spans="1:8">
      <c r="A1728" s="1"/>
      <c r="B1728" s="1" t="s">
        <v>586</v>
      </c>
      <c r="C1728" s="1" t="s">
        <v>509</v>
      </c>
      <c r="D1728" s="1">
        <v>6210</v>
      </c>
      <c r="E1728" s="1">
        <v>6214</v>
      </c>
      <c r="F1728" s="1">
        <v>6191</v>
      </c>
      <c r="G1728" s="1">
        <v>6196</v>
      </c>
      <c r="H1728" s="1">
        <v>163100</v>
      </c>
    </row>
    <row r="1729" spans="1:8">
      <c r="A1729" s="1"/>
      <c r="B1729" s="1" t="s">
        <v>586</v>
      </c>
      <c r="C1729" s="1" t="s">
        <v>510</v>
      </c>
      <c r="D1729" s="1">
        <v>6195</v>
      </c>
      <c r="E1729" s="1">
        <v>6220</v>
      </c>
      <c r="F1729" s="1">
        <v>6194</v>
      </c>
      <c r="G1729" s="1">
        <v>6218</v>
      </c>
      <c r="H1729" s="1">
        <v>79200</v>
      </c>
    </row>
    <row r="1730" spans="1:8">
      <c r="A1730" s="1"/>
      <c r="B1730" s="1" t="s">
        <v>586</v>
      </c>
      <c r="C1730" s="1" t="s">
        <v>511</v>
      </c>
      <c r="D1730" s="1">
        <v>6219</v>
      </c>
      <c r="E1730" s="1">
        <v>6223</v>
      </c>
      <c r="F1730" s="1">
        <v>6212</v>
      </c>
      <c r="G1730" s="1">
        <v>6214</v>
      </c>
      <c r="H1730" s="1">
        <v>49300</v>
      </c>
    </row>
    <row r="1731" spans="1:8">
      <c r="A1731" s="1"/>
      <c r="B1731" s="1" t="s">
        <v>586</v>
      </c>
      <c r="C1731" s="1" t="s">
        <v>512</v>
      </c>
      <c r="D1731" s="1">
        <v>6215</v>
      </c>
      <c r="E1731" s="1">
        <v>6216</v>
      </c>
      <c r="F1731" s="1">
        <v>6205</v>
      </c>
      <c r="G1731" s="1">
        <v>6209</v>
      </c>
      <c r="H1731" s="1">
        <v>55600</v>
      </c>
    </row>
    <row r="1732" spans="1:8">
      <c r="A1732" s="1"/>
      <c r="B1732" s="1" t="s">
        <v>586</v>
      </c>
      <c r="C1732" s="1" t="s">
        <v>513</v>
      </c>
      <c r="D1732" s="1">
        <v>6209</v>
      </c>
      <c r="E1732" s="1">
        <v>6226</v>
      </c>
      <c r="F1732" s="1">
        <v>6208</v>
      </c>
      <c r="G1732" s="1">
        <v>6225</v>
      </c>
      <c r="H1732" s="1">
        <v>52600</v>
      </c>
    </row>
    <row r="1733" spans="1:8">
      <c r="A1733" s="1"/>
      <c r="B1733" s="1" t="s">
        <v>586</v>
      </c>
      <c r="C1733" s="1" t="s">
        <v>514</v>
      </c>
      <c r="D1733" s="1">
        <v>6225</v>
      </c>
      <c r="E1733" s="1">
        <v>6239</v>
      </c>
      <c r="F1733" s="1">
        <v>6225</v>
      </c>
      <c r="G1733" s="1">
        <v>6232</v>
      </c>
      <c r="H1733" s="1">
        <v>77500</v>
      </c>
    </row>
    <row r="1734" spans="1:8">
      <c r="A1734" s="1"/>
      <c r="B1734" s="1" t="s">
        <v>586</v>
      </c>
      <c r="C1734" s="1" t="s">
        <v>515</v>
      </c>
      <c r="D1734" s="1">
        <v>6233</v>
      </c>
      <c r="E1734" s="1">
        <v>6235</v>
      </c>
      <c r="F1734" s="1">
        <v>6221</v>
      </c>
      <c r="G1734" s="1">
        <v>6226</v>
      </c>
      <c r="H1734" s="1">
        <v>47200</v>
      </c>
    </row>
    <row r="1735" spans="1:8">
      <c r="A1735" s="1"/>
      <c r="B1735" s="1" t="s">
        <v>586</v>
      </c>
      <c r="C1735" s="1" t="s">
        <v>516</v>
      </c>
      <c r="D1735" s="1">
        <v>6227</v>
      </c>
      <c r="E1735" s="1">
        <v>6230</v>
      </c>
      <c r="F1735" s="1">
        <v>6213</v>
      </c>
      <c r="G1735" s="1">
        <v>6216</v>
      </c>
      <c r="H1735" s="1">
        <v>54000</v>
      </c>
    </row>
    <row r="1736" spans="1:8">
      <c r="A1736" s="1"/>
      <c r="B1736" s="1" t="s">
        <v>586</v>
      </c>
      <c r="C1736" s="1" t="s">
        <v>517</v>
      </c>
      <c r="D1736" s="1">
        <v>6214</v>
      </c>
      <c r="E1736" s="1">
        <v>6220</v>
      </c>
      <c r="F1736" s="1">
        <v>6206</v>
      </c>
      <c r="G1736" s="1">
        <v>6219</v>
      </c>
      <c r="H1736" s="1">
        <v>52000</v>
      </c>
    </row>
    <row r="1737" spans="1:8">
      <c r="A1737" s="1"/>
      <c r="B1737" s="1" t="s">
        <v>586</v>
      </c>
      <c r="C1737" s="1" t="s">
        <v>518</v>
      </c>
      <c r="D1737" s="1">
        <v>6218</v>
      </c>
      <c r="E1737" s="1">
        <v>6220</v>
      </c>
      <c r="F1737" s="1">
        <v>6210</v>
      </c>
      <c r="G1737" s="1">
        <v>6210</v>
      </c>
      <c r="H1737" s="1">
        <v>23800</v>
      </c>
    </row>
    <row r="1738" spans="1:8">
      <c r="A1738" s="1"/>
      <c r="B1738" s="1" t="s">
        <v>586</v>
      </c>
      <c r="C1738" s="1" t="s">
        <v>519</v>
      </c>
      <c r="D1738" s="1">
        <v>6210</v>
      </c>
      <c r="E1738" s="1">
        <v>6210</v>
      </c>
      <c r="F1738" s="1">
        <v>6202</v>
      </c>
      <c r="G1738" s="1">
        <v>6207</v>
      </c>
      <c r="H1738" s="1">
        <v>47300</v>
      </c>
    </row>
    <row r="1739" spans="1:8">
      <c r="A1739" s="1"/>
      <c r="B1739" s="1" t="s">
        <v>586</v>
      </c>
      <c r="C1739" s="1" t="s">
        <v>520</v>
      </c>
      <c r="D1739" s="1">
        <v>6207</v>
      </c>
      <c r="E1739" s="1">
        <v>6216</v>
      </c>
      <c r="F1739" s="1">
        <v>6207</v>
      </c>
      <c r="G1739" s="1">
        <v>6211</v>
      </c>
      <c r="H1739" s="1">
        <v>25000</v>
      </c>
    </row>
    <row r="1740" spans="1:8">
      <c r="A1740" s="1"/>
      <c r="B1740" s="1" t="s">
        <v>586</v>
      </c>
      <c r="C1740" s="1" t="s">
        <v>521</v>
      </c>
      <c r="D1740" s="1">
        <v>6212</v>
      </c>
      <c r="E1740" s="1">
        <v>6224</v>
      </c>
      <c r="F1740" s="1">
        <v>6210</v>
      </c>
      <c r="G1740" s="1">
        <v>6224</v>
      </c>
      <c r="H1740" s="1">
        <v>28300</v>
      </c>
    </row>
    <row r="1741" spans="1:8">
      <c r="A1741" s="1"/>
      <c r="B1741" s="1" t="s">
        <v>586</v>
      </c>
      <c r="C1741" s="1" t="s">
        <v>522</v>
      </c>
      <c r="D1741" s="1">
        <v>6225</v>
      </c>
      <c r="E1741" s="1">
        <v>6230</v>
      </c>
      <c r="F1741" s="1">
        <v>6224</v>
      </c>
      <c r="G1741" s="1">
        <v>6229</v>
      </c>
      <c r="H1741" s="1">
        <v>38500</v>
      </c>
    </row>
    <row r="1742" spans="1:8">
      <c r="A1742" s="1"/>
      <c r="B1742" s="1" t="s">
        <v>586</v>
      </c>
      <c r="C1742" s="1" t="s">
        <v>523</v>
      </c>
      <c r="D1742" s="1">
        <v>6228</v>
      </c>
      <c r="E1742" s="1">
        <v>6235</v>
      </c>
      <c r="F1742" s="1">
        <v>6221</v>
      </c>
      <c r="G1742" s="1">
        <v>6232</v>
      </c>
      <c r="H1742" s="1">
        <v>48300</v>
      </c>
    </row>
    <row r="1743" spans="1:8">
      <c r="A1743" s="1"/>
      <c r="B1743" s="1" t="s">
        <v>586</v>
      </c>
      <c r="C1743" s="1" t="s">
        <v>524</v>
      </c>
      <c r="D1743" s="1">
        <v>6233</v>
      </c>
      <c r="E1743" s="1">
        <v>6235</v>
      </c>
      <c r="F1743" s="1">
        <v>6228</v>
      </c>
      <c r="G1743" s="1">
        <v>6232</v>
      </c>
      <c r="H1743" s="1">
        <v>30700</v>
      </c>
    </row>
    <row r="1744" spans="1:8">
      <c r="A1744" s="1"/>
      <c r="B1744" s="1" t="s">
        <v>586</v>
      </c>
      <c r="C1744" s="1" t="s">
        <v>525</v>
      </c>
      <c r="D1744" s="1">
        <v>6232</v>
      </c>
      <c r="E1744" s="1">
        <v>6238</v>
      </c>
      <c r="F1744" s="1">
        <v>6231</v>
      </c>
      <c r="G1744" s="1">
        <v>6235</v>
      </c>
      <c r="H1744" s="1">
        <v>24400</v>
      </c>
    </row>
    <row r="1745" spans="1:8">
      <c r="A1745" s="1"/>
      <c r="B1745" s="1" t="s">
        <v>586</v>
      </c>
      <c r="C1745" s="1" t="s">
        <v>526</v>
      </c>
      <c r="D1745" s="1">
        <v>6234</v>
      </c>
      <c r="E1745" s="1">
        <v>6238</v>
      </c>
      <c r="F1745" s="1">
        <v>6223</v>
      </c>
      <c r="G1745" s="1">
        <v>6223</v>
      </c>
      <c r="H1745" s="1">
        <v>33200</v>
      </c>
    </row>
    <row r="1746" spans="1:8">
      <c r="A1746" s="1"/>
      <c r="B1746" s="1" t="s">
        <v>586</v>
      </c>
      <c r="C1746" s="1" t="s">
        <v>527</v>
      </c>
      <c r="D1746" s="1">
        <v>6223</v>
      </c>
      <c r="E1746" s="1">
        <v>6224</v>
      </c>
      <c r="F1746" s="1">
        <v>6212</v>
      </c>
      <c r="G1746" s="1">
        <v>6222</v>
      </c>
      <c r="H1746" s="1">
        <v>42800</v>
      </c>
    </row>
    <row r="1747" spans="1:8">
      <c r="A1747" s="1"/>
      <c r="B1747" s="1" t="s">
        <v>586</v>
      </c>
      <c r="C1747" s="1" t="s">
        <v>528</v>
      </c>
      <c r="D1747" s="1">
        <v>6221</v>
      </c>
      <c r="E1747" s="1">
        <v>6222</v>
      </c>
      <c r="F1747" s="1">
        <v>6213</v>
      </c>
      <c r="G1747" s="1">
        <v>6217</v>
      </c>
      <c r="H1747" s="1">
        <v>32200</v>
      </c>
    </row>
    <row r="1748" spans="1:8">
      <c r="A1748" s="1"/>
      <c r="B1748" s="1" t="s">
        <v>586</v>
      </c>
      <c r="C1748" s="1" t="s">
        <v>529</v>
      </c>
      <c r="D1748" s="1">
        <v>6216</v>
      </c>
      <c r="E1748" s="1">
        <v>6229</v>
      </c>
      <c r="F1748" s="1">
        <v>6216</v>
      </c>
      <c r="G1748" s="1">
        <v>6221</v>
      </c>
      <c r="H1748" s="1">
        <v>45800</v>
      </c>
    </row>
    <row r="1749" spans="1:8">
      <c r="A1749" s="1"/>
      <c r="B1749" s="1" t="s">
        <v>586</v>
      </c>
      <c r="C1749" s="1" t="s">
        <v>530</v>
      </c>
      <c r="D1749" s="1">
        <v>6223</v>
      </c>
      <c r="E1749" s="1">
        <v>6223</v>
      </c>
      <c r="F1749" s="1">
        <v>6220</v>
      </c>
      <c r="G1749" s="1">
        <v>6222</v>
      </c>
      <c r="H1749" s="1">
        <v>9800</v>
      </c>
    </row>
    <row r="1750" spans="1:8">
      <c r="A1750" s="1"/>
      <c r="B1750" s="1" t="s">
        <v>586</v>
      </c>
      <c r="C1750" s="1" t="s">
        <v>531</v>
      </c>
      <c r="D1750" s="1">
        <v>6222</v>
      </c>
      <c r="E1750" s="1">
        <v>6222</v>
      </c>
      <c r="F1750" s="1">
        <v>6211</v>
      </c>
      <c r="G1750" s="1">
        <v>6214</v>
      </c>
      <c r="H1750" s="1">
        <v>31000</v>
      </c>
    </row>
    <row r="1751" spans="1:8">
      <c r="A1751" s="1"/>
      <c r="B1751" s="1" t="s">
        <v>586</v>
      </c>
      <c r="C1751" s="1" t="s">
        <v>532</v>
      </c>
      <c r="D1751" s="1">
        <v>6214</v>
      </c>
      <c r="E1751" s="1">
        <v>6215</v>
      </c>
      <c r="F1751" s="1">
        <v>6210</v>
      </c>
      <c r="G1751" s="1">
        <v>6211</v>
      </c>
      <c r="H1751" s="1">
        <v>23300</v>
      </c>
    </row>
    <row r="1752" spans="1:8">
      <c r="A1752" s="1"/>
      <c r="B1752" s="1" t="s">
        <v>586</v>
      </c>
      <c r="C1752" s="1" t="s">
        <v>533</v>
      </c>
      <c r="D1752" s="1">
        <v>6211</v>
      </c>
      <c r="E1752" s="1">
        <v>6220</v>
      </c>
      <c r="F1752" s="1">
        <v>6211</v>
      </c>
      <c r="G1752" s="1">
        <v>6217</v>
      </c>
      <c r="H1752" s="1">
        <v>23300</v>
      </c>
    </row>
    <row r="1753" spans="1:8">
      <c r="A1753" s="1"/>
      <c r="B1753" s="1" t="s">
        <v>586</v>
      </c>
      <c r="C1753" s="1" t="s">
        <v>534</v>
      </c>
      <c r="D1753" s="1">
        <v>6216</v>
      </c>
      <c r="E1753" s="1">
        <v>6217</v>
      </c>
      <c r="F1753" s="1">
        <v>6210</v>
      </c>
      <c r="G1753" s="1">
        <v>6210</v>
      </c>
      <c r="H1753" s="1">
        <v>14400</v>
      </c>
    </row>
    <row r="1754" spans="1:8">
      <c r="A1754" s="1"/>
      <c r="B1754" s="1" t="s">
        <v>586</v>
      </c>
      <c r="C1754" s="1" t="s">
        <v>535</v>
      </c>
      <c r="D1754" s="1">
        <v>6210</v>
      </c>
      <c r="E1754" s="1">
        <v>6220</v>
      </c>
      <c r="F1754" s="1">
        <v>6210</v>
      </c>
      <c r="G1754" s="1">
        <v>6218</v>
      </c>
      <c r="H1754" s="1">
        <v>17900</v>
      </c>
    </row>
    <row r="1755" spans="1:8">
      <c r="A1755" s="1"/>
      <c r="B1755" s="1" t="s">
        <v>586</v>
      </c>
      <c r="C1755" s="1" t="s">
        <v>536</v>
      </c>
      <c r="D1755" s="1">
        <v>6219</v>
      </c>
      <c r="E1755" s="1">
        <v>6222</v>
      </c>
      <c r="F1755" s="1">
        <v>6214</v>
      </c>
      <c r="G1755" s="1">
        <v>6218</v>
      </c>
      <c r="H1755" s="1">
        <v>17800</v>
      </c>
    </row>
    <row r="1756" spans="1:8">
      <c r="A1756" s="1"/>
      <c r="B1756" s="1" t="s">
        <v>586</v>
      </c>
      <c r="C1756" s="1" t="s">
        <v>537</v>
      </c>
      <c r="D1756" s="1">
        <v>6217</v>
      </c>
      <c r="E1756" s="1">
        <v>6226</v>
      </c>
      <c r="F1756" s="1">
        <v>6216</v>
      </c>
      <c r="G1756" s="1">
        <v>6225</v>
      </c>
      <c r="H1756" s="1">
        <v>18100</v>
      </c>
    </row>
    <row r="1757" spans="1:8">
      <c r="A1757" s="1"/>
      <c r="B1757" s="1" t="s">
        <v>586</v>
      </c>
      <c r="C1757" s="1" t="s">
        <v>538</v>
      </c>
      <c r="D1757" s="1">
        <v>6225</v>
      </c>
      <c r="E1757" s="1">
        <v>6237</v>
      </c>
      <c r="F1757" s="1">
        <v>6225</v>
      </c>
      <c r="G1757" s="1">
        <v>6234</v>
      </c>
      <c r="H1757" s="1">
        <v>42000</v>
      </c>
    </row>
    <row r="1758" spans="1:8">
      <c r="A1758" s="1"/>
      <c r="B1758" s="1" t="s">
        <v>586</v>
      </c>
      <c r="C1758" s="1" t="s">
        <v>539</v>
      </c>
      <c r="D1758" s="1">
        <v>6236</v>
      </c>
      <c r="E1758" s="1">
        <v>6237</v>
      </c>
      <c r="F1758" s="1">
        <v>6230</v>
      </c>
      <c r="G1758" s="1">
        <v>6235</v>
      </c>
      <c r="H1758" s="1">
        <v>17200</v>
      </c>
    </row>
    <row r="1759" spans="1:8">
      <c r="A1759" s="1"/>
      <c r="B1759" s="1" t="s">
        <v>586</v>
      </c>
      <c r="C1759" s="1" t="s">
        <v>540</v>
      </c>
      <c r="D1759" s="1">
        <v>6235</v>
      </c>
      <c r="E1759" s="1">
        <v>6235</v>
      </c>
      <c r="F1759" s="1">
        <v>6227</v>
      </c>
      <c r="G1759" s="1">
        <v>6233</v>
      </c>
      <c r="H1759" s="1">
        <v>33600</v>
      </c>
    </row>
    <row r="1760" spans="1:8">
      <c r="A1760" s="1"/>
      <c r="B1760" s="1" t="s">
        <v>586</v>
      </c>
      <c r="C1760" s="1" t="s">
        <v>541</v>
      </c>
      <c r="D1760" s="1">
        <v>6233</v>
      </c>
      <c r="E1760" s="1">
        <v>6233</v>
      </c>
      <c r="F1760" s="1">
        <v>6226</v>
      </c>
      <c r="G1760" s="1">
        <v>6231</v>
      </c>
      <c r="H1760" s="1">
        <v>16700</v>
      </c>
    </row>
    <row r="1761" spans="1:8">
      <c r="A1761" s="1"/>
      <c r="B1761" s="1" t="s">
        <v>586</v>
      </c>
      <c r="C1761" s="1" t="s">
        <v>542</v>
      </c>
      <c r="D1761" s="1">
        <v>6231</v>
      </c>
      <c r="E1761" s="1">
        <v>6238</v>
      </c>
      <c r="F1761" s="1">
        <v>6228</v>
      </c>
      <c r="G1761" s="1">
        <v>6238</v>
      </c>
      <c r="H1761" s="1">
        <v>30300</v>
      </c>
    </row>
    <row r="1762" spans="1:8">
      <c r="A1762" s="1"/>
      <c r="B1762" s="1" t="s">
        <v>586</v>
      </c>
      <c r="C1762" s="1" t="s">
        <v>543</v>
      </c>
      <c r="D1762" s="1">
        <v>6238</v>
      </c>
      <c r="E1762" s="1">
        <v>6240</v>
      </c>
      <c r="F1762" s="1">
        <v>6233</v>
      </c>
      <c r="G1762" s="1">
        <v>6235</v>
      </c>
      <c r="H1762" s="1">
        <v>32000</v>
      </c>
    </row>
    <row r="1763" spans="1:8">
      <c r="A1763" s="1"/>
      <c r="B1763" s="1" t="s">
        <v>586</v>
      </c>
      <c r="C1763" s="1" t="s">
        <v>544</v>
      </c>
      <c r="D1763" s="1">
        <v>6235</v>
      </c>
      <c r="E1763" s="1">
        <v>6246</v>
      </c>
      <c r="F1763" s="1">
        <v>6235</v>
      </c>
      <c r="G1763" s="1">
        <v>6244</v>
      </c>
      <c r="H1763" s="1">
        <v>35300</v>
      </c>
    </row>
    <row r="1764" spans="1:8">
      <c r="A1764" s="1"/>
      <c r="B1764" s="1" t="s">
        <v>586</v>
      </c>
      <c r="C1764" s="1" t="s">
        <v>545</v>
      </c>
      <c r="D1764" s="1">
        <v>6243</v>
      </c>
      <c r="E1764" s="1">
        <v>6246</v>
      </c>
      <c r="F1764" s="1">
        <v>6240</v>
      </c>
      <c r="G1764" s="1">
        <v>6242</v>
      </c>
      <c r="H1764" s="1">
        <v>40400</v>
      </c>
    </row>
    <row r="1765" spans="1:8">
      <c r="A1765" s="1"/>
      <c r="B1765" s="1" t="s">
        <v>586</v>
      </c>
      <c r="C1765" s="1" t="s">
        <v>546</v>
      </c>
      <c r="D1765" s="1">
        <v>6243</v>
      </c>
      <c r="E1765" s="1">
        <v>6245</v>
      </c>
      <c r="F1765" s="1">
        <v>6237</v>
      </c>
      <c r="G1765" s="1">
        <v>6237</v>
      </c>
      <c r="H1765" s="1">
        <v>32500</v>
      </c>
    </row>
    <row r="1766" spans="1:8">
      <c r="A1766" s="1"/>
      <c r="B1766" s="1" t="s">
        <v>586</v>
      </c>
      <c r="C1766" s="1" t="s">
        <v>547</v>
      </c>
      <c r="D1766" s="1">
        <v>6238</v>
      </c>
      <c r="E1766" s="1">
        <v>6242</v>
      </c>
      <c r="F1766" s="1">
        <v>6237</v>
      </c>
      <c r="G1766" s="1">
        <v>6239</v>
      </c>
      <c r="H1766" s="1">
        <v>13500</v>
      </c>
    </row>
    <row r="1767" spans="1:8">
      <c r="A1767" s="1"/>
      <c r="B1767" s="1" t="s">
        <v>586</v>
      </c>
      <c r="C1767" s="1" t="s">
        <v>548</v>
      </c>
      <c r="D1767" s="1">
        <v>6240</v>
      </c>
      <c r="E1767" s="1">
        <v>6243</v>
      </c>
      <c r="F1767" s="1">
        <v>6231</v>
      </c>
      <c r="G1767" s="1">
        <v>6236</v>
      </c>
      <c r="H1767" s="1">
        <v>26600</v>
      </c>
    </row>
    <row r="1768" spans="1:8">
      <c r="A1768" s="1"/>
      <c r="B1768" s="1" t="s">
        <v>586</v>
      </c>
      <c r="C1768" s="1" t="s">
        <v>549</v>
      </c>
      <c r="D1768" s="1">
        <v>6237</v>
      </c>
      <c r="E1768" s="1">
        <v>6239</v>
      </c>
      <c r="F1768" s="1">
        <v>6235</v>
      </c>
      <c r="G1768" s="1">
        <v>6238</v>
      </c>
      <c r="H1768" s="1">
        <v>16500</v>
      </c>
    </row>
    <row r="1769" spans="1:8">
      <c r="A1769" s="1"/>
      <c r="B1769" s="1" t="s">
        <v>586</v>
      </c>
      <c r="C1769" s="1" t="s">
        <v>550</v>
      </c>
      <c r="D1769" s="1">
        <v>6237</v>
      </c>
      <c r="E1769" s="1">
        <v>6238</v>
      </c>
      <c r="F1769" s="1">
        <v>6232</v>
      </c>
      <c r="G1769" s="1">
        <v>6234</v>
      </c>
      <c r="H1769" s="1">
        <v>15300</v>
      </c>
    </row>
    <row r="1770" spans="1:8">
      <c r="A1770" s="1"/>
      <c r="B1770" s="1" t="s">
        <v>586</v>
      </c>
      <c r="C1770" s="1" t="s">
        <v>551</v>
      </c>
      <c r="D1770" s="1">
        <v>6235</v>
      </c>
      <c r="E1770" s="1">
        <v>6235</v>
      </c>
      <c r="F1770" s="1">
        <v>6225</v>
      </c>
      <c r="G1770" s="1">
        <v>6228</v>
      </c>
      <c r="H1770" s="1">
        <v>31000</v>
      </c>
    </row>
    <row r="1771" spans="1:8">
      <c r="A1771" s="1"/>
      <c r="B1771" s="1" t="s">
        <v>586</v>
      </c>
      <c r="C1771" s="1" t="s">
        <v>552</v>
      </c>
      <c r="D1771" s="1">
        <v>6227</v>
      </c>
      <c r="E1771" s="1">
        <v>6228</v>
      </c>
      <c r="F1771" s="1">
        <v>6223</v>
      </c>
      <c r="G1771" s="1">
        <v>6225</v>
      </c>
      <c r="H1771" s="1">
        <v>17100</v>
      </c>
    </row>
    <row r="1772" spans="1:8">
      <c r="A1772" s="1"/>
      <c r="B1772" s="1" t="s">
        <v>586</v>
      </c>
      <c r="C1772" s="1" t="s">
        <v>553</v>
      </c>
      <c r="D1772" s="1">
        <v>6224</v>
      </c>
      <c r="E1772" s="1">
        <v>6244</v>
      </c>
      <c r="F1772" s="1">
        <v>6221</v>
      </c>
      <c r="G1772" s="1">
        <v>6244</v>
      </c>
      <c r="H1772" s="1">
        <v>56300</v>
      </c>
    </row>
    <row r="1773" spans="1:8">
      <c r="A1773" s="1"/>
      <c r="B1773" s="1" t="s">
        <v>586</v>
      </c>
      <c r="C1773" s="1" t="s">
        <v>554</v>
      </c>
      <c r="D1773" s="1">
        <v>6244</v>
      </c>
      <c r="E1773" s="1">
        <v>6245</v>
      </c>
      <c r="F1773" s="1">
        <v>6237</v>
      </c>
      <c r="G1773" s="1">
        <v>6238</v>
      </c>
      <c r="H1773" s="1">
        <v>39600</v>
      </c>
    </row>
    <row r="1774" spans="1:8">
      <c r="A1774" s="1"/>
      <c r="B1774" s="1" t="s">
        <v>586</v>
      </c>
      <c r="C1774" s="1" t="s">
        <v>555</v>
      </c>
      <c r="D1774" s="1">
        <v>6238</v>
      </c>
      <c r="E1774" s="1">
        <v>6244</v>
      </c>
      <c r="F1774" s="1">
        <v>6234</v>
      </c>
      <c r="G1774" s="1">
        <v>6235</v>
      </c>
      <c r="H1774" s="1">
        <v>39000</v>
      </c>
    </row>
    <row r="1775" spans="1:8">
      <c r="A1775" s="1"/>
      <c r="B1775" s="1" t="s">
        <v>586</v>
      </c>
      <c r="C1775" s="1" t="s">
        <v>556</v>
      </c>
      <c r="D1775" s="1">
        <v>6236</v>
      </c>
      <c r="E1775" s="1">
        <v>6239</v>
      </c>
      <c r="F1775" s="1">
        <v>6225</v>
      </c>
      <c r="G1775" s="1">
        <v>6236</v>
      </c>
      <c r="H1775" s="1">
        <v>66300</v>
      </c>
    </row>
    <row r="1776" spans="1:8">
      <c r="A1776" s="1"/>
      <c r="B1776" s="1" t="s">
        <v>586</v>
      </c>
      <c r="C1776" s="1" t="s">
        <v>557</v>
      </c>
      <c r="D1776" s="1">
        <v>6237</v>
      </c>
      <c r="E1776" s="1">
        <v>6239</v>
      </c>
      <c r="F1776" s="1">
        <v>6233</v>
      </c>
      <c r="G1776" s="1">
        <v>6233</v>
      </c>
      <c r="H1776" s="1">
        <v>11000</v>
      </c>
    </row>
    <row r="1777" spans="1:8">
      <c r="A1777" s="1"/>
      <c r="B1777" s="1" t="s">
        <v>586</v>
      </c>
      <c r="C1777" s="1" t="s">
        <v>558</v>
      </c>
      <c r="D1777" s="1">
        <v>6234</v>
      </c>
      <c r="E1777" s="1">
        <v>6252</v>
      </c>
      <c r="F1777" s="1">
        <v>6233</v>
      </c>
      <c r="G1777" s="1">
        <v>6238</v>
      </c>
      <c r="H1777" s="1">
        <v>125800</v>
      </c>
    </row>
    <row r="1778" spans="1:8">
      <c r="A1778" s="1"/>
      <c r="B1778" s="1" t="s">
        <v>586</v>
      </c>
      <c r="C1778" s="1" t="s">
        <v>559</v>
      </c>
      <c r="D1778" s="1">
        <v>6236</v>
      </c>
      <c r="E1778" s="1">
        <v>6238</v>
      </c>
      <c r="F1778" s="1">
        <v>6225</v>
      </c>
      <c r="G1778" s="1">
        <v>6238</v>
      </c>
      <c r="H1778" s="1">
        <v>60800</v>
      </c>
    </row>
    <row r="1779" spans="1:8">
      <c r="A1779" s="1"/>
      <c r="B1779" s="1" t="s">
        <v>586</v>
      </c>
      <c r="C1779" s="1" t="s">
        <v>560</v>
      </c>
      <c r="D1779" s="1">
        <v>6237</v>
      </c>
      <c r="E1779" s="1">
        <v>6238</v>
      </c>
      <c r="F1779" s="1">
        <v>6232</v>
      </c>
      <c r="G1779" s="1">
        <v>6233</v>
      </c>
      <c r="H1779" s="1">
        <v>25300</v>
      </c>
    </row>
    <row r="1780" spans="1:8">
      <c r="A1780" s="1"/>
      <c r="B1780" s="1" t="s">
        <v>586</v>
      </c>
      <c r="C1780" s="1" t="s">
        <v>561</v>
      </c>
      <c r="D1780" s="1">
        <v>6234</v>
      </c>
      <c r="E1780" s="1">
        <v>6237</v>
      </c>
      <c r="F1780" s="1">
        <v>6227</v>
      </c>
      <c r="G1780" s="1">
        <v>6237</v>
      </c>
      <c r="H1780" s="1">
        <v>22000</v>
      </c>
    </row>
    <row r="1781" spans="1:8">
      <c r="A1781" s="1"/>
      <c r="B1781" s="1" t="s">
        <v>586</v>
      </c>
      <c r="C1781" s="1" t="s">
        <v>562</v>
      </c>
      <c r="D1781" s="1">
        <v>6237</v>
      </c>
      <c r="E1781" s="1">
        <v>6239</v>
      </c>
      <c r="F1781" s="1">
        <v>6234</v>
      </c>
      <c r="G1781" s="1">
        <v>6237</v>
      </c>
      <c r="H1781" s="1">
        <v>15400</v>
      </c>
    </row>
    <row r="1782" spans="1:8">
      <c r="A1782" s="1"/>
      <c r="B1782" s="1" t="s">
        <v>586</v>
      </c>
      <c r="C1782" s="1" t="s">
        <v>563</v>
      </c>
      <c r="D1782" s="1">
        <v>6237</v>
      </c>
      <c r="E1782" s="1">
        <v>6243</v>
      </c>
      <c r="F1782" s="1">
        <v>6234</v>
      </c>
      <c r="G1782" s="1">
        <v>6241</v>
      </c>
      <c r="H1782" s="1">
        <v>18300</v>
      </c>
    </row>
    <row r="1783" spans="1:8">
      <c r="A1783" s="1"/>
      <c r="B1783" s="1" t="s">
        <v>586</v>
      </c>
      <c r="C1783" s="1" t="s">
        <v>564</v>
      </c>
      <c r="D1783" s="1">
        <v>6241</v>
      </c>
      <c r="E1783" s="1">
        <v>6241</v>
      </c>
      <c r="F1783" s="1">
        <v>6230</v>
      </c>
      <c r="G1783" s="1">
        <v>6230</v>
      </c>
      <c r="H1783" s="1">
        <v>21600</v>
      </c>
    </row>
    <row r="1784" spans="1:8">
      <c r="A1784" s="1"/>
      <c r="B1784" s="1" t="s">
        <v>586</v>
      </c>
      <c r="C1784" s="1" t="s">
        <v>565</v>
      </c>
      <c r="D1784" s="1">
        <v>6231</v>
      </c>
      <c r="E1784" s="1">
        <v>6234</v>
      </c>
      <c r="F1784" s="1">
        <v>6220</v>
      </c>
      <c r="G1784" s="1">
        <v>6221</v>
      </c>
      <c r="H1784" s="1">
        <v>53000</v>
      </c>
    </row>
    <row r="1785" spans="1:8">
      <c r="A1785" s="1"/>
      <c r="B1785" s="1" t="s">
        <v>586</v>
      </c>
      <c r="C1785" s="1" t="s">
        <v>566</v>
      </c>
      <c r="D1785" s="1">
        <v>6222</v>
      </c>
      <c r="E1785" s="1">
        <v>6223</v>
      </c>
      <c r="F1785" s="1">
        <v>6210</v>
      </c>
      <c r="G1785" s="1">
        <v>6216</v>
      </c>
      <c r="H1785" s="1">
        <v>63500</v>
      </c>
    </row>
    <row r="1786" spans="1:8">
      <c r="A1786" s="1"/>
      <c r="B1786" s="1" t="s">
        <v>586</v>
      </c>
      <c r="C1786" s="1" t="s">
        <v>567</v>
      </c>
      <c r="D1786" s="1">
        <v>6216</v>
      </c>
      <c r="E1786" s="1">
        <v>6219</v>
      </c>
      <c r="F1786" s="1">
        <v>6214</v>
      </c>
      <c r="G1786" s="1">
        <v>6216</v>
      </c>
      <c r="H1786" s="1">
        <v>28600</v>
      </c>
    </row>
    <row r="1787" spans="1:8">
      <c r="A1787" s="1"/>
      <c r="B1787" s="1" t="s">
        <v>586</v>
      </c>
      <c r="C1787" s="1" t="s">
        <v>568</v>
      </c>
      <c r="D1787" s="1">
        <v>6216</v>
      </c>
      <c r="E1787" s="1">
        <v>6221</v>
      </c>
      <c r="F1787" s="1">
        <v>6212</v>
      </c>
      <c r="G1787" s="1">
        <v>6213</v>
      </c>
      <c r="H1787" s="1">
        <v>35100</v>
      </c>
    </row>
    <row r="1788" spans="1:8">
      <c r="A1788" s="1"/>
      <c r="B1788" s="1" t="s">
        <v>586</v>
      </c>
      <c r="C1788" s="1" t="s">
        <v>569</v>
      </c>
      <c r="D1788" s="1">
        <v>6213</v>
      </c>
      <c r="E1788" s="1">
        <v>6216</v>
      </c>
      <c r="F1788" s="1">
        <v>6213</v>
      </c>
      <c r="G1788" s="1">
        <v>6214</v>
      </c>
      <c r="H1788" s="1">
        <v>8400</v>
      </c>
    </row>
    <row r="1789" spans="1:8">
      <c r="A1789" s="1"/>
      <c r="B1789" s="1" t="s">
        <v>586</v>
      </c>
      <c r="C1789" s="1" t="s">
        <v>570</v>
      </c>
      <c r="D1789" s="1">
        <v>6214</v>
      </c>
      <c r="E1789" s="1">
        <v>6215</v>
      </c>
      <c r="F1789" s="1">
        <v>6213</v>
      </c>
      <c r="G1789" s="1">
        <v>6213</v>
      </c>
      <c r="H1789" s="1">
        <v>7100</v>
      </c>
    </row>
    <row r="1790" spans="1:8">
      <c r="A1790" s="1"/>
      <c r="B1790" s="1" t="s">
        <v>586</v>
      </c>
      <c r="C1790" s="1" t="s">
        <v>571</v>
      </c>
      <c r="D1790" s="1">
        <v>6214</v>
      </c>
      <c r="E1790" s="1">
        <v>6222</v>
      </c>
      <c r="F1790" s="1">
        <v>6208</v>
      </c>
      <c r="G1790" s="1">
        <v>6219</v>
      </c>
      <c r="H1790" s="1">
        <v>53200</v>
      </c>
    </row>
    <row r="1791" spans="1:8">
      <c r="A1791" s="1"/>
      <c r="B1791" s="1" t="s">
        <v>586</v>
      </c>
      <c r="C1791" s="1" t="s">
        <v>572</v>
      </c>
      <c r="D1791" s="1">
        <v>6220</v>
      </c>
      <c r="E1791" s="1">
        <v>6220</v>
      </c>
      <c r="F1791" s="1">
        <v>6212</v>
      </c>
      <c r="G1791" s="1">
        <v>6214</v>
      </c>
      <c r="H1791" s="1">
        <v>12300</v>
      </c>
    </row>
    <row r="1792" spans="1:8">
      <c r="A1792" s="1"/>
      <c r="B1792" s="1" t="s">
        <v>586</v>
      </c>
      <c r="C1792" s="1" t="s">
        <v>573</v>
      </c>
      <c r="D1792" s="1">
        <v>6214</v>
      </c>
      <c r="E1792" s="1">
        <v>6214</v>
      </c>
      <c r="F1792" s="1">
        <v>6208</v>
      </c>
      <c r="G1792" s="1">
        <v>6210</v>
      </c>
      <c r="H1792" s="1">
        <v>14600</v>
      </c>
    </row>
    <row r="1793" spans="1:8">
      <c r="A1793" s="1"/>
      <c r="B1793" s="1" t="s">
        <v>586</v>
      </c>
      <c r="C1793" s="1" t="s">
        <v>574</v>
      </c>
      <c r="D1793" s="1">
        <v>6211</v>
      </c>
      <c r="E1793" s="1">
        <v>6213</v>
      </c>
      <c r="F1793" s="1">
        <v>6209</v>
      </c>
      <c r="G1793" s="1">
        <v>6212</v>
      </c>
      <c r="H1793" s="1">
        <v>9300</v>
      </c>
    </row>
    <row r="1794" spans="1:8">
      <c r="A1794" s="1"/>
      <c r="B1794" s="1" t="s">
        <v>586</v>
      </c>
      <c r="C1794" s="1" t="s">
        <v>575</v>
      </c>
      <c r="D1794" s="1">
        <v>6213</v>
      </c>
      <c r="E1794" s="1">
        <v>6220</v>
      </c>
      <c r="F1794" s="1">
        <v>6212</v>
      </c>
      <c r="G1794" s="1">
        <v>6217</v>
      </c>
      <c r="H1794" s="1">
        <v>26600</v>
      </c>
    </row>
    <row r="1795" spans="1:8">
      <c r="A1795" s="1"/>
      <c r="B1795" s="1" t="s">
        <v>586</v>
      </c>
      <c r="C1795" s="1" t="s">
        <v>576</v>
      </c>
      <c r="D1795" s="1">
        <v>6218</v>
      </c>
      <c r="E1795" s="1">
        <v>6218</v>
      </c>
      <c r="F1795" s="1">
        <v>6214</v>
      </c>
      <c r="G1795" s="1">
        <v>6217</v>
      </c>
      <c r="H1795" s="1">
        <v>10900</v>
      </c>
    </row>
    <row r="1796" spans="1:8">
      <c r="A1796" s="1"/>
      <c r="B1796" s="1" t="s">
        <v>586</v>
      </c>
      <c r="C1796" s="1" t="s">
        <v>577</v>
      </c>
      <c r="D1796" s="1">
        <v>6216</v>
      </c>
      <c r="E1796" s="1">
        <v>6220</v>
      </c>
      <c r="F1796" s="1">
        <v>6215</v>
      </c>
      <c r="G1796" s="1">
        <v>6218</v>
      </c>
      <c r="H1796" s="1">
        <v>10400</v>
      </c>
    </row>
    <row r="1797" spans="1:8">
      <c r="A1797" s="1"/>
      <c r="B1797" s="1" t="s">
        <v>586</v>
      </c>
      <c r="C1797" s="1" t="s">
        <v>578</v>
      </c>
      <c r="D1797" s="1">
        <v>6217</v>
      </c>
      <c r="E1797" s="1">
        <v>6219</v>
      </c>
      <c r="F1797" s="1">
        <v>6216</v>
      </c>
      <c r="G1797" s="1">
        <v>6219</v>
      </c>
      <c r="H1797" s="1">
        <v>14100</v>
      </c>
    </row>
    <row r="1798" spans="1:8">
      <c r="A1798" s="1"/>
      <c r="B1798" s="1" t="s">
        <v>586</v>
      </c>
      <c r="C1798" s="1" t="s">
        <v>579</v>
      </c>
      <c r="D1798" s="1">
        <v>6216</v>
      </c>
      <c r="E1798" s="1">
        <v>6216</v>
      </c>
      <c r="F1798" s="1">
        <v>6191</v>
      </c>
      <c r="G1798" s="1">
        <v>6197</v>
      </c>
      <c r="H1798" s="1">
        <v>114500</v>
      </c>
    </row>
    <row r="1799" spans="1:8">
      <c r="A1799" s="1"/>
      <c r="B1799" s="1" t="s">
        <v>586</v>
      </c>
      <c r="C1799" s="1" t="s">
        <v>580</v>
      </c>
      <c r="D1799" s="1">
        <v>6197</v>
      </c>
      <c r="E1799" s="1">
        <v>6200</v>
      </c>
      <c r="F1799" s="1">
        <v>6195</v>
      </c>
      <c r="G1799" s="1">
        <v>6198</v>
      </c>
      <c r="H1799" s="1">
        <v>29200</v>
      </c>
    </row>
    <row r="1800" spans="1:8">
      <c r="A1800" s="1"/>
      <c r="B1800" s="1" t="s">
        <v>586</v>
      </c>
      <c r="C1800" s="1" t="s">
        <v>581</v>
      </c>
      <c r="D1800" s="1">
        <v>6197</v>
      </c>
      <c r="E1800" s="1">
        <v>6200</v>
      </c>
      <c r="F1800" s="1">
        <v>6196</v>
      </c>
      <c r="G1800" s="1">
        <v>6197</v>
      </c>
      <c r="H1800" s="1">
        <v>15600</v>
      </c>
    </row>
    <row r="1801" spans="1:8">
      <c r="A1801" s="1"/>
      <c r="B1801" s="1" t="s">
        <v>586</v>
      </c>
      <c r="C1801" s="1" t="s">
        <v>582</v>
      </c>
      <c r="D1801" s="1">
        <v>6196</v>
      </c>
      <c r="E1801" s="1">
        <v>6212</v>
      </c>
      <c r="F1801" s="1">
        <v>6193</v>
      </c>
      <c r="G1801" s="1">
        <v>6212</v>
      </c>
      <c r="H1801" s="1">
        <v>96800</v>
      </c>
    </row>
    <row r="1802" spans="1:8">
      <c r="A1802" s="1"/>
      <c r="B1802" s="1" t="s">
        <v>586</v>
      </c>
      <c r="C1802" s="1" t="s">
        <v>583</v>
      </c>
      <c r="D1802" s="1">
        <v>6212</v>
      </c>
      <c r="E1802" s="1">
        <v>6212</v>
      </c>
      <c r="F1802" s="1">
        <v>6205</v>
      </c>
      <c r="G1802" s="1">
        <v>6210</v>
      </c>
      <c r="H1802" s="1">
        <v>18400</v>
      </c>
    </row>
    <row r="1803" spans="1:8">
      <c r="A1803" s="1"/>
      <c r="B1803" s="1" t="s">
        <v>586</v>
      </c>
      <c r="C1803" s="1" t="s">
        <v>584</v>
      </c>
      <c r="D1803" s="1">
        <v>6209</v>
      </c>
      <c r="E1803" s="1">
        <v>6210</v>
      </c>
      <c r="F1803" s="1">
        <v>6206</v>
      </c>
      <c r="G1803" s="1">
        <v>6207</v>
      </c>
      <c r="H1803" s="1">
        <v>11500</v>
      </c>
    </row>
    <row r="1804" spans="1:8">
      <c r="A1804" s="1"/>
      <c r="B1804" s="1" t="s">
        <v>586</v>
      </c>
      <c r="C1804" s="1" t="s">
        <v>585</v>
      </c>
      <c r="D1804" s="1">
        <v>6207</v>
      </c>
      <c r="E1804" s="1">
        <v>6211</v>
      </c>
      <c r="F1804" s="1">
        <v>6204</v>
      </c>
      <c r="G1804" s="1">
        <v>6207</v>
      </c>
      <c r="H1804" s="1">
        <v>19300</v>
      </c>
    </row>
    <row r="1805" spans="1:8">
      <c r="A1805" s="1"/>
      <c r="B1805" s="1" t="s">
        <v>587</v>
      </c>
      <c r="C1805" s="1" t="s">
        <v>316</v>
      </c>
      <c r="D1805" s="1">
        <v>6206</v>
      </c>
      <c r="E1805" s="1">
        <v>6206</v>
      </c>
      <c r="F1805" s="1">
        <v>6206</v>
      </c>
      <c r="G1805" s="1">
        <v>6206</v>
      </c>
      <c r="H1805" s="1">
        <v>8900</v>
      </c>
    </row>
    <row r="1806" spans="1:8">
      <c r="A1806" s="1" t="s">
        <v>79</v>
      </c>
      <c r="B1806" s="1" t="s">
        <v>79</v>
      </c>
      <c r="C1806" s="1" t="s">
        <v>79</v>
      </c>
      <c r="D1806" s="1" t="s">
        <v>79</v>
      </c>
      <c r="E1806" s="1" t="s">
        <v>79</v>
      </c>
      <c r="F1806" s="1" t="s">
        <v>79</v>
      </c>
      <c r="G1806" s="1" t="s">
        <v>79</v>
      </c>
      <c r="H1806" s="1" t="s">
        <v>79</v>
      </c>
    </row>
    <row r="2327" spans="1:8">
      <c r="A2327" s="1"/>
      <c r="B2327" s="1"/>
      <c r="C2327" s="1"/>
      <c r="D2327" s="1"/>
      <c r="E2327" s="1"/>
      <c r="F2327" s="1"/>
      <c r="G2327" s="1"/>
      <c r="H2327" s="1"/>
    </row>
    <row r="2328" spans="1:8">
      <c r="A2328" s="1"/>
      <c r="B2328" s="1" t="s">
        <v>143</v>
      </c>
      <c r="C2328" s="1" t="s">
        <v>145</v>
      </c>
      <c r="D2328" s="1">
        <v>5914</v>
      </c>
      <c r="E2328" s="1">
        <v>5914</v>
      </c>
      <c r="F2328" s="1">
        <v>5905</v>
      </c>
      <c r="G2328" s="1">
        <v>5905</v>
      </c>
      <c r="H2328" s="1">
        <v>39300</v>
      </c>
    </row>
    <row r="2329" spans="1:8">
      <c r="A2329" s="1"/>
      <c r="B2329" s="1" t="s">
        <v>143</v>
      </c>
      <c r="C2329" s="1" t="s">
        <v>146</v>
      </c>
      <c r="D2329" s="1">
        <v>5905</v>
      </c>
      <c r="E2329" s="1">
        <v>5909</v>
      </c>
      <c r="F2329" s="1">
        <v>5905</v>
      </c>
      <c r="G2329" s="1">
        <v>5907</v>
      </c>
      <c r="H2329" s="1">
        <v>15500</v>
      </c>
    </row>
    <row r="2330" spans="1:8">
      <c r="A2330" s="1"/>
      <c r="B2330" s="1" t="s">
        <v>143</v>
      </c>
      <c r="C2330" s="1" t="s">
        <v>147</v>
      </c>
      <c r="D2330" s="1">
        <v>5908</v>
      </c>
      <c r="E2330" s="1">
        <v>5908</v>
      </c>
      <c r="F2330" s="1">
        <v>5902</v>
      </c>
      <c r="G2330" s="1">
        <v>5903</v>
      </c>
      <c r="H2330" s="1">
        <v>28300</v>
      </c>
    </row>
    <row r="2331" spans="1:8">
      <c r="A2331" s="1"/>
      <c r="B2331" s="1" t="s">
        <v>143</v>
      </c>
      <c r="C2331" s="1" t="s">
        <v>148</v>
      </c>
      <c r="D2331" s="1">
        <v>5902</v>
      </c>
      <c r="E2331" s="1">
        <v>5903</v>
      </c>
      <c r="F2331" s="1">
        <v>5890</v>
      </c>
      <c r="G2331" s="1">
        <v>5898</v>
      </c>
      <c r="H2331" s="1">
        <v>70300</v>
      </c>
    </row>
    <row r="2332" spans="1:8">
      <c r="A2332" s="1"/>
      <c r="B2332" s="1" t="s">
        <v>143</v>
      </c>
      <c r="C2332" s="1" t="s">
        <v>149</v>
      </c>
      <c r="D2332" s="1">
        <v>5898</v>
      </c>
      <c r="E2332" s="1">
        <v>5899</v>
      </c>
      <c r="F2332" s="1">
        <v>5897</v>
      </c>
      <c r="G2332" s="1">
        <v>5898</v>
      </c>
      <c r="H2332" s="1">
        <v>23600</v>
      </c>
    </row>
    <row r="2333" spans="1:8">
      <c r="A2333" s="1"/>
      <c r="B2333" s="1" t="s">
        <v>143</v>
      </c>
      <c r="C2333" s="1" t="s">
        <v>150</v>
      </c>
      <c r="D2333" s="1">
        <v>5899</v>
      </c>
      <c r="E2333" s="1">
        <v>5912</v>
      </c>
      <c r="F2333" s="1">
        <v>5898</v>
      </c>
      <c r="G2333" s="1">
        <v>5908</v>
      </c>
      <c r="H2333" s="1">
        <v>97500</v>
      </c>
    </row>
    <row r="2334" spans="1:8">
      <c r="A2334" s="1"/>
      <c r="B2334" s="1" t="s">
        <v>143</v>
      </c>
      <c r="C2334" s="1" t="s">
        <v>151</v>
      </c>
      <c r="D2334" s="1">
        <v>5909</v>
      </c>
      <c r="E2334" s="1">
        <v>5912</v>
      </c>
      <c r="F2334" s="1">
        <v>5908</v>
      </c>
      <c r="G2334" s="1">
        <v>5908</v>
      </c>
      <c r="H2334" s="1">
        <v>17200</v>
      </c>
    </row>
    <row r="2335" spans="1:8">
      <c r="A2335" s="1"/>
      <c r="B2335" s="1" t="s">
        <v>143</v>
      </c>
      <c r="C2335" s="1" t="s">
        <v>152</v>
      </c>
      <c r="D2335" s="1">
        <v>5907</v>
      </c>
      <c r="E2335" s="1">
        <v>5912</v>
      </c>
      <c r="F2335" s="1">
        <v>5907</v>
      </c>
      <c r="G2335" s="1">
        <v>5912</v>
      </c>
      <c r="H2335" s="1">
        <v>14200</v>
      </c>
    </row>
    <row r="2336" spans="1:8">
      <c r="A2336" s="1"/>
      <c r="B2336" s="1" t="s">
        <v>143</v>
      </c>
      <c r="C2336" s="1" t="s">
        <v>153</v>
      </c>
      <c r="D2336" s="1">
        <v>5911</v>
      </c>
      <c r="E2336" s="1">
        <v>5915</v>
      </c>
      <c r="F2336" s="1">
        <v>5911</v>
      </c>
      <c r="G2336" s="1">
        <v>5912</v>
      </c>
      <c r="H2336" s="1">
        <v>15400</v>
      </c>
    </row>
    <row r="2337" spans="1:8">
      <c r="A2337" s="1"/>
      <c r="B2337" s="1" t="s">
        <v>143</v>
      </c>
      <c r="C2337" s="1" t="s">
        <v>154</v>
      </c>
      <c r="D2337" s="1">
        <v>5912</v>
      </c>
      <c r="E2337" s="1">
        <v>5915</v>
      </c>
      <c r="F2337" s="1">
        <v>5911</v>
      </c>
      <c r="G2337" s="1">
        <v>5911</v>
      </c>
      <c r="H2337" s="1">
        <v>12300</v>
      </c>
    </row>
    <row r="2338" spans="1:8">
      <c r="A2338" s="1"/>
      <c r="B2338" s="1" t="s">
        <v>143</v>
      </c>
      <c r="C2338" s="1" t="s">
        <v>155</v>
      </c>
      <c r="D2338" s="1">
        <v>5911</v>
      </c>
      <c r="E2338" s="1">
        <v>5914</v>
      </c>
      <c r="F2338" s="1">
        <v>5911</v>
      </c>
      <c r="G2338" s="1">
        <v>5913</v>
      </c>
      <c r="H2338" s="1">
        <v>12800</v>
      </c>
    </row>
    <row r="2339" spans="1:8">
      <c r="A2339" s="1"/>
      <c r="B2339" s="1" t="s">
        <v>143</v>
      </c>
      <c r="C2339" s="1" t="s">
        <v>156</v>
      </c>
      <c r="D2339" s="1">
        <v>5913</v>
      </c>
      <c r="E2339" s="1">
        <v>5913</v>
      </c>
      <c r="F2339" s="1">
        <v>5904</v>
      </c>
      <c r="G2339" s="1">
        <v>5904</v>
      </c>
      <c r="H2339" s="1">
        <v>32800</v>
      </c>
    </row>
    <row r="2340" spans="1:8">
      <c r="A2340" s="1"/>
      <c r="B2340" s="1" t="s">
        <v>143</v>
      </c>
      <c r="C2340" s="1" t="s">
        <v>157</v>
      </c>
      <c r="D2340" s="1">
        <v>5904</v>
      </c>
      <c r="E2340" s="1">
        <v>5909</v>
      </c>
      <c r="F2340" s="1">
        <v>5903</v>
      </c>
      <c r="G2340" s="1">
        <v>5906</v>
      </c>
      <c r="H2340" s="1">
        <v>23400</v>
      </c>
    </row>
    <row r="2341" spans="1:8">
      <c r="A2341" s="1"/>
      <c r="B2341" s="1" t="s">
        <v>143</v>
      </c>
      <c r="C2341" s="1" t="s">
        <v>158</v>
      </c>
      <c r="D2341" s="1">
        <v>5906</v>
      </c>
      <c r="E2341" s="1">
        <v>5906</v>
      </c>
      <c r="F2341" s="1">
        <v>5900</v>
      </c>
      <c r="G2341" s="1">
        <v>5900</v>
      </c>
      <c r="H2341" s="1">
        <v>26400</v>
      </c>
    </row>
    <row r="2342" spans="1:8">
      <c r="A2342" s="1"/>
      <c r="B2342" s="1" t="s">
        <v>143</v>
      </c>
      <c r="C2342" s="1" t="s">
        <v>159</v>
      </c>
      <c r="D2342" s="1">
        <v>5900</v>
      </c>
      <c r="E2342" s="1">
        <v>5903</v>
      </c>
      <c r="F2342" s="1">
        <v>5897</v>
      </c>
      <c r="G2342" s="1">
        <v>5901</v>
      </c>
      <c r="H2342" s="1">
        <v>49600</v>
      </c>
    </row>
    <row r="2343" spans="1:8">
      <c r="A2343" s="1"/>
      <c r="B2343" s="1" t="s">
        <v>143</v>
      </c>
      <c r="C2343" s="1" t="s">
        <v>160</v>
      </c>
      <c r="D2343" s="1">
        <v>5901</v>
      </c>
      <c r="E2343" s="1">
        <v>5902</v>
      </c>
      <c r="F2343" s="1">
        <v>5900</v>
      </c>
      <c r="G2343" s="1">
        <v>5901</v>
      </c>
      <c r="H2343" s="1">
        <v>10900</v>
      </c>
    </row>
    <row r="2344" spans="1:8">
      <c r="A2344" s="1"/>
      <c r="B2344" s="1" t="s">
        <v>143</v>
      </c>
      <c r="C2344" s="1" t="s">
        <v>161</v>
      </c>
      <c r="D2344" s="1">
        <v>5900</v>
      </c>
      <c r="E2344" s="1">
        <v>5905</v>
      </c>
      <c r="F2344" s="1">
        <v>5899</v>
      </c>
      <c r="G2344" s="1">
        <v>5900</v>
      </c>
      <c r="H2344" s="1">
        <v>19400</v>
      </c>
    </row>
    <row r="2345" spans="1:8">
      <c r="A2345" s="1"/>
      <c r="B2345" s="1" t="s">
        <v>143</v>
      </c>
      <c r="C2345" s="1" t="s">
        <v>162</v>
      </c>
      <c r="D2345" s="1">
        <v>5900</v>
      </c>
      <c r="E2345" s="1">
        <v>5904</v>
      </c>
      <c r="F2345" s="1">
        <v>5898</v>
      </c>
      <c r="G2345" s="1">
        <v>5902</v>
      </c>
      <c r="H2345" s="1">
        <v>18700</v>
      </c>
    </row>
    <row r="2346" spans="1:8">
      <c r="A2346" s="1"/>
      <c r="B2346" s="1" t="s">
        <v>143</v>
      </c>
      <c r="C2346" s="1" t="s">
        <v>163</v>
      </c>
      <c r="D2346" s="1">
        <v>5903</v>
      </c>
      <c r="E2346" s="1">
        <v>5904</v>
      </c>
      <c r="F2346" s="1">
        <v>5896</v>
      </c>
      <c r="G2346" s="1">
        <v>5900</v>
      </c>
      <c r="H2346" s="1">
        <v>17400</v>
      </c>
    </row>
    <row r="2347" spans="1:8">
      <c r="A2347" s="1"/>
      <c r="B2347" s="1" t="s">
        <v>143</v>
      </c>
      <c r="C2347" s="1" t="s">
        <v>81</v>
      </c>
      <c r="D2347" s="1">
        <v>5901</v>
      </c>
      <c r="E2347" s="1">
        <v>5923</v>
      </c>
      <c r="F2347" s="1">
        <v>5899</v>
      </c>
      <c r="G2347" s="1">
        <v>5912</v>
      </c>
      <c r="H2347" s="1">
        <v>93000</v>
      </c>
    </row>
    <row r="2348" spans="1:8">
      <c r="A2348" s="1"/>
      <c r="B2348" s="1" t="s">
        <v>143</v>
      </c>
      <c r="C2348" s="1" t="s">
        <v>82</v>
      </c>
      <c r="D2348" s="1">
        <v>5912</v>
      </c>
      <c r="E2348" s="1">
        <v>5916</v>
      </c>
      <c r="F2348" s="1">
        <v>5908</v>
      </c>
      <c r="G2348" s="1">
        <v>5911</v>
      </c>
      <c r="H2348" s="1">
        <v>38800</v>
      </c>
    </row>
    <row r="2349" spans="1:8">
      <c r="A2349" s="1"/>
      <c r="B2349" s="1" t="s">
        <v>143</v>
      </c>
      <c r="C2349" s="1" t="s">
        <v>83</v>
      </c>
      <c r="D2349" s="1">
        <v>5911</v>
      </c>
      <c r="E2349" s="1">
        <v>5912</v>
      </c>
      <c r="F2349" s="1">
        <v>5907</v>
      </c>
      <c r="G2349" s="1">
        <v>5911</v>
      </c>
      <c r="H2349" s="1">
        <v>13300</v>
      </c>
    </row>
    <row r="2350" spans="1:8">
      <c r="A2350" s="1"/>
      <c r="B2350" s="1" t="s">
        <v>143</v>
      </c>
      <c r="C2350" s="1" t="s">
        <v>84</v>
      </c>
      <c r="D2350" s="1">
        <v>5911</v>
      </c>
      <c r="E2350" s="1">
        <v>5919</v>
      </c>
      <c r="F2350" s="1">
        <v>5911</v>
      </c>
      <c r="G2350" s="1">
        <v>5916</v>
      </c>
      <c r="H2350" s="1">
        <v>40100</v>
      </c>
    </row>
    <row r="2351" spans="1:8">
      <c r="A2351" s="1"/>
      <c r="B2351" s="1" t="s">
        <v>143</v>
      </c>
      <c r="C2351" s="1" t="s">
        <v>85</v>
      </c>
      <c r="D2351" s="1">
        <v>5916</v>
      </c>
      <c r="E2351" s="1">
        <v>5921</v>
      </c>
      <c r="F2351" s="1">
        <v>5907</v>
      </c>
      <c r="G2351" s="1">
        <v>5909</v>
      </c>
      <c r="H2351" s="1">
        <v>51100</v>
      </c>
    </row>
    <row r="2352" spans="1:8">
      <c r="A2352" s="1"/>
      <c r="B2352" s="1" t="s">
        <v>143</v>
      </c>
      <c r="C2352" s="1" t="s">
        <v>86</v>
      </c>
      <c r="D2352" s="1">
        <v>5909</v>
      </c>
      <c r="E2352" s="1">
        <v>5910</v>
      </c>
      <c r="F2352" s="1">
        <v>5903</v>
      </c>
      <c r="G2352" s="1">
        <v>5904</v>
      </c>
      <c r="H2352" s="1">
        <v>23700</v>
      </c>
    </row>
    <row r="2353" spans="1:8">
      <c r="A2353" s="1"/>
      <c r="B2353" s="1" t="s">
        <v>143</v>
      </c>
      <c r="C2353" s="1" t="s">
        <v>87</v>
      </c>
      <c r="D2353" s="1">
        <v>5903</v>
      </c>
      <c r="E2353" s="1">
        <v>5905</v>
      </c>
      <c r="F2353" s="1">
        <v>5901</v>
      </c>
      <c r="G2353" s="1">
        <v>5904</v>
      </c>
      <c r="H2353" s="1">
        <v>13300</v>
      </c>
    </row>
    <row r="2354" spans="1:8">
      <c r="A2354" s="1"/>
      <c r="B2354" s="1" t="s">
        <v>143</v>
      </c>
      <c r="C2354" s="1" t="s">
        <v>88</v>
      </c>
      <c r="D2354" s="1">
        <v>5905</v>
      </c>
      <c r="E2354" s="1">
        <v>5906</v>
      </c>
      <c r="F2354" s="1">
        <v>5903</v>
      </c>
      <c r="G2354" s="1">
        <v>5904</v>
      </c>
      <c r="H2354" s="1">
        <v>11300</v>
      </c>
    </row>
    <row r="2355" spans="1:8">
      <c r="A2355" s="1"/>
      <c r="B2355" s="1" t="s">
        <v>143</v>
      </c>
      <c r="C2355" s="1" t="s">
        <v>89</v>
      </c>
      <c r="D2355" s="1">
        <v>5905</v>
      </c>
      <c r="E2355" s="1">
        <v>5905</v>
      </c>
      <c r="F2355" s="1">
        <v>5900</v>
      </c>
      <c r="G2355" s="1">
        <v>5900</v>
      </c>
      <c r="H2355" s="1">
        <v>20500</v>
      </c>
    </row>
    <row r="2356" spans="1:8">
      <c r="A2356" s="1"/>
      <c r="B2356" s="1" t="s">
        <v>143</v>
      </c>
      <c r="C2356" s="1" t="s">
        <v>90</v>
      </c>
      <c r="D2356" s="1">
        <v>5899</v>
      </c>
      <c r="E2356" s="1">
        <v>5904</v>
      </c>
      <c r="F2356" s="1">
        <v>5899</v>
      </c>
      <c r="G2356" s="1">
        <v>5903</v>
      </c>
      <c r="H2356" s="1">
        <v>17200</v>
      </c>
    </row>
    <row r="2357" spans="1:8">
      <c r="A2357" s="1"/>
      <c r="B2357" s="1" t="s">
        <v>143</v>
      </c>
      <c r="C2357" s="1" t="s">
        <v>91</v>
      </c>
      <c r="D2357" s="1">
        <v>5903</v>
      </c>
      <c r="E2357" s="1">
        <v>5906</v>
      </c>
      <c r="F2357" s="1">
        <v>5902</v>
      </c>
      <c r="G2357" s="1">
        <v>5905</v>
      </c>
      <c r="H2357" s="1">
        <v>12200</v>
      </c>
    </row>
    <row r="2358" spans="1:8">
      <c r="A2358" s="1"/>
      <c r="B2358" s="1" t="s">
        <v>143</v>
      </c>
      <c r="C2358" s="1" t="s">
        <v>92</v>
      </c>
      <c r="D2358" s="1">
        <v>5905</v>
      </c>
      <c r="E2358" s="1">
        <v>5906</v>
      </c>
      <c r="F2358" s="1">
        <v>5903</v>
      </c>
      <c r="G2358" s="1">
        <v>5905</v>
      </c>
      <c r="H2358" s="1">
        <v>12800</v>
      </c>
    </row>
    <row r="2359" spans="1:8">
      <c r="A2359" s="1"/>
      <c r="B2359" s="1" t="s">
        <v>143</v>
      </c>
      <c r="C2359" s="1" t="s">
        <v>93</v>
      </c>
      <c r="D2359" s="1">
        <v>5904</v>
      </c>
      <c r="E2359" s="1">
        <v>5907</v>
      </c>
      <c r="F2359" s="1">
        <v>5902</v>
      </c>
      <c r="G2359" s="1">
        <v>5905</v>
      </c>
      <c r="H2359" s="1">
        <v>17600</v>
      </c>
    </row>
    <row r="2360" spans="1:8">
      <c r="A2360" s="1"/>
      <c r="B2360" s="1" t="s">
        <v>143</v>
      </c>
      <c r="C2360" s="1" t="s">
        <v>94</v>
      </c>
      <c r="D2360" s="1">
        <v>5906</v>
      </c>
      <c r="E2360" s="1">
        <v>5912</v>
      </c>
      <c r="F2360" s="1">
        <v>5904</v>
      </c>
      <c r="G2360" s="1">
        <v>5905</v>
      </c>
      <c r="H2360" s="1">
        <v>31900</v>
      </c>
    </row>
    <row r="2361" spans="1:8">
      <c r="A2361" s="1"/>
      <c r="B2361" s="1" t="s">
        <v>143</v>
      </c>
      <c r="C2361" s="1" t="s">
        <v>95</v>
      </c>
      <c r="D2361" s="1">
        <v>5904</v>
      </c>
      <c r="E2361" s="1">
        <v>5905</v>
      </c>
      <c r="F2361" s="1">
        <v>5899</v>
      </c>
      <c r="G2361" s="1">
        <v>5901</v>
      </c>
      <c r="H2361" s="1">
        <v>28300</v>
      </c>
    </row>
    <row r="2362" spans="1:8">
      <c r="A2362" s="1"/>
      <c r="B2362" s="1" t="s">
        <v>143</v>
      </c>
      <c r="C2362" s="1" t="s">
        <v>96</v>
      </c>
      <c r="D2362" s="1">
        <v>5902</v>
      </c>
      <c r="E2362" s="1">
        <v>5903</v>
      </c>
      <c r="F2362" s="1">
        <v>5899</v>
      </c>
      <c r="G2362" s="1">
        <v>5900</v>
      </c>
      <c r="H2362" s="1">
        <v>13400</v>
      </c>
    </row>
    <row r="2363" spans="1:8">
      <c r="A2363" s="1"/>
      <c r="B2363" s="1" t="s">
        <v>143</v>
      </c>
      <c r="C2363" s="1" t="s">
        <v>97</v>
      </c>
      <c r="D2363" s="1">
        <v>5900</v>
      </c>
      <c r="E2363" s="1">
        <v>5906</v>
      </c>
      <c r="F2363" s="1">
        <v>5900</v>
      </c>
      <c r="G2363" s="1">
        <v>5904</v>
      </c>
      <c r="H2363" s="1">
        <v>16700</v>
      </c>
    </row>
    <row r="2364" spans="1:8">
      <c r="A2364" s="1"/>
      <c r="B2364" s="1" t="s">
        <v>143</v>
      </c>
      <c r="C2364" s="1" t="s">
        <v>98</v>
      </c>
      <c r="D2364" s="1">
        <v>5905</v>
      </c>
      <c r="E2364" s="1">
        <v>5907</v>
      </c>
      <c r="F2364" s="1">
        <v>5903</v>
      </c>
      <c r="G2364" s="1">
        <v>5903</v>
      </c>
      <c r="H2364" s="1">
        <v>15400</v>
      </c>
    </row>
    <row r="2365" spans="1:8">
      <c r="A2365" s="1"/>
      <c r="B2365" s="1" t="s">
        <v>143</v>
      </c>
      <c r="C2365" s="1" t="s">
        <v>99</v>
      </c>
      <c r="D2365" s="1">
        <v>5904</v>
      </c>
      <c r="E2365" s="1">
        <v>5912</v>
      </c>
      <c r="F2365" s="1">
        <v>5904</v>
      </c>
      <c r="G2365" s="1">
        <v>5912</v>
      </c>
      <c r="H2365" s="1">
        <v>22700</v>
      </c>
    </row>
    <row r="2366" spans="1:8">
      <c r="A2366" s="1"/>
      <c r="B2366" s="1" t="s">
        <v>143</v>
      </c>
      <c r="C2366" s="1" t="s">
        <v>100</v>
      </c>
      <c r="D2366" s="1">
        <v>5911</v>
      </c>
      <c r="E2366" s="1">
        <v>5912</v>
      </c>
      <c r="F2366" s="1">
        <v>5909</v>
      </c>
      <c r="G2366" s="1">
        <v>5909</v>
      </c>
      <c r="H2366" s="1">
        <v>22600</v>
      </c>
    </row>
    <row r="2367" spans="1:8">
      <c r="A2367" s="1"/>
      <c r="B2367" s="1" t="s">
        <v>143</v>
      </c>
      <c r="C2367" s="1" t="s">
        <v>101</v>
      </c>
      <c r="D2367" s="1">
        <v>5910</v>
      </c>
      <c r="E2367" s="1">
        <v>5911</v>
      </c>
      <c r="F2367" s="1">
        <v>5905</v>
      </c>
      <c r="G2367" s="1">
        <v>5910</v>
      </c>
      <c r="H2367" s="1">
        <v>46600</v>
      </c>
    </row>
    <row r="2368" spans="1:8">
      <c r="A2368" s="1"/>
      <c r="B2368" s="1" t="s">
        <v>143</v>
      </c>
      <c r="C2368" s="1" t="s">
        <v>102</v>
      </c>
      <c r="D2368" s="1">
        <v>5910</v>
      </c>
      <c r="E2368" s="1">
        <v>5911</v>
      </c>
      <c r="F2368" s="1">
        <v>5906</v>
      </c>
      <c r="G2368" s="1">
        <v>5911</v>
      </c>
      <c r="H2368" s="1">
        <v>22600</v>
      </c>
    </row>
    <row r="2369" spans="1:8">
      <c r="A2369" s="1"/>
      <c r="B2369" s="1" t="s">
        <v>143</v>
      </c>
      <c r="C2369" s="1" t="s">
        <v>103</v>
      </c>
      <c r="D2369" s="1">
        <v>5911</v>
      </c>
      <c r="E2369" s="1">
        <v>5912</v>
      </c>
      <c r="F2369" s="1">
        <v>5906</v>
      </c>
      <c r="G2369" s="1">
        <v>5910</v>
      </c>
      <c r="H2369" s="1">
        <v>28900</v>
      </c>
    </row>
    <row r="2370" spans="1:8">
      <c r="A2370" s="1"/>
      <c r="B2370" s="1" t="s">
        <v>143</v>
      </c>
      <c r="C2370" s="1" t="s">
        <v>104</v>
      </c>
      <c r="D2370" s="1">
        <v>5910</v>
      </c>
      <c r="E2370" s="1">
        <v>5912</v>
      </c>
      <c r="F2370" s="1">
        <v>5910</v>
      </c>
      <c r="G2370" s="1">
        <v>5911</v>
      </c>
      <c r="H2370" s="1">
        <v>12700</v>
      </c>
    </row>
    <row r="2371" spans="1:8">
      <c r="A2371" s="1"/>
      <c r="B2371" s="1" t="s">
        <v>143</v>
      </c>
      <c r="C2371" s="1" t="s">
        <v>105</v>
      </c>
      <c r="D2371" s="1">
        <v>5911</v>
      </c>
      <c r="E2371" s="1">
        <v>5911</v>
      </c>
      <c r="F2371" s="1">
        <v>5910</v>
      </c>
      <c r="G2371" s="1">
        <v>5911</v>
      </c>
      <c r="H2371" s="1">
        <v>21300</v>
      </c>
    </row>
    <row r="2372" spans="1:8">
      <c r="A2372" s="1"/>
      <c r="B2372" s="1" t="s">
        <v>143</v>
      </c>
      <c r="C2372" s="1" t="s">
        <v>106</v>
      </c>
      <c r="D2372" s="1">
        <v>5911</v>
      </c>
      <c r="E2372" s="1">
        <v>5915</v>
      </c>
      <c r="F2372" s="1">
        <v>5910</v>
      </c>
      <c r="G2372" s="1">
        <v>5911</v>
      </c>
      <c r="H2372" s="1">
        <v>30500</v>
      </c>
    </row>
    <row r="2373" spans="1:8">
      <c r="A2373" s="1"/>
      <c r="B2373" s="1" t="s">
        <v>143</v>
      </c>
      <c r="C2373" s="1" t="s">
        <v>107</v>
      </c>
      <c r="D2373" s="1">
        <v>5911</v>
      </c>
      <c r="E2373" s="1">
        <v>5911</v>
      </c>
      <c r="F2373" s="1">
        <v>5903</v>
      </c>
      <c r="G2373" s="1">
        <v>5905</v>
      </c>
      <c r="H2373" s="1">
        <v>44000</v>
      </c>
    </row>
    <row r="2374" spans="1:8">
      <c r="A2374" s="1"/>
      <c r="B2374" s="1" t="s">
        <v>143</v>
      </c>
      <c r="C2374" s="1" t="s">
        <v>108</v>
      </c>
      <c r="D2374" s="1">
        <v>5906</v>
      </c>
      <c r="E2374" s="1">
        <v>5912</v>
      </c>
      <c r="F2374" s="1">
        <v>5905</v>
      </c>
      <c r="G2374" s="1">
        <v>5908</v>
      </c>
      <c r="H2374" s="1">
        <v>16300</v>
      </c>
    </row>
    <row r="2375" spans="1:8">
      <c r="A2375" s="1"/>
      <c r="B2375" s="1" t="s">
        <v>143</v>
      </c>
      <c r="C2375" s="1" t="s">
        <v>109</v>
      </c>
      <c r="D2375" s="1">
        <v>5909</v>
      </c>
      <c r="E2375" s="1">
        <v>5911</v>
      </c>
      <c r="F2375" s="1">
        <v>5909</v>
      </c>
      <c r="G2375" s="1">
        <v>5909</v>
      </c>
      <c r="H2375" s="1">
        <v>24700</v>
      </c>
    </row>
    <row r="2376" spans="1:8">
      <c r="A2376" s="1"/>
      <c r="B2376" s="1" t="s">
        <v>143</v>
      </c>
      <c r="C2376" s="1" t="s">
        <v>110</v>
      </c>
      <c r="D2376" s="1">
        <v>5910</v>
      </c>
      <c r="E2376" s="1">
        <v>5910</v>
      </c>
      <c r="F2376" s="1">
        <v>5905</v>
      </c>
      <c r="G2376" s="1">
        <v>5905</v>
      </c>
      <c r="H2376" s="1">
        <v>15300</v>
      </c>
    </row>
    <row r="2377" spans="1:8">
      <c r="A2377" s="1"/>
      <c r="B2377" s="1" t="s">
        <v>143</v>
      </c>
      <c r="C2377" s="1" t="s">
        <v>111</v>
      </c>
      <c r="D2377" s="1">
        <v>5906</v>
      </c>
      <c r="E2377" s="1">
        <v>5907</v>
      </c>
      <c r="F2377" s="1">
        <v>5904</v>
      </c>
      <c r="G2377" s="1">
        <v>5905</v>
      </c>
      <c r="H2377" s="1">
        <v>25200</v>
      </c>
    </row>
    <row r="2378" spans="1:8">
      <c r="A2378" s="1"/>
      <c r="B2378" s="1" t="s">
        <v>143</v>
      </c>
      <c r="C2378" s="1" t="s">
        <v>112</v>
      </c>
      <c r="D2378" s="1">
        <v>5905</v>
      </c>
      <c r="E2378" s="1">
        <v>5905</v>
      </c>
      <c r="F2378" s="1">
        <v>5900</v>
      </c>
      <c r="G2378" s="1">
        <v>5903</v>
      </c>
      <c r="H2378" s="1">
        <v>28500</v>
      </c>
    </row>
    <row r="2379" spans="1:8">
      <c r="A2379" s="1"/>
      <c r="B2379" s="1" t="s">
        <v>143</v>
      </c>
      <c r="C2379" s="1" t="s">
        <v>113</v>
      </c>
      <c r="D2379" s="1">
        <v>5904</v>
      </c>
      <c r="E2379" s="1">
        <v>5906</v>
      </c>
      <c r="F2379" s="1">
        <v>5903</v>
      </c>
      <c r="G2379" s="1">
        <v>5906</v>
      </c>
      <c r="H2379" s="1">
        <v>8800</v>
      </c>
    </row>
    <row r="2380" spans="1:8">
      <c r="A2380" s="1"/>
      <c r="B2380" s="1" t="s">
        <v>143</v>
      </c>
      <c r="C2380" s="1" t="s">
        <v>114</v>
      </c>
      <c r="D2380" s="1">
        <v>5906</v>
      </c>
      <c r="E2380" s="1">
        <v>5908</v>
      </c>
      <c r="F2380" s="1">
        <v>5905</v>
      </c>
      <c r="G2380" s="1">
        <v>5906</v>
      </c>
      <c r="H2380" s="1">
        <v>21700</v>
      </c>
    </row>
    <row r="2381" spans="1:8">
      <c r="A2381" s="1"/>
      <c r="B2381" s="1" t="s">
        <v>143</v>
      </c>
      <c r="C2381" s="1" t="s">
        <v>115</v>
      </c>
      <c r="D2381" s="1">
        <v>5907</v>
      </c>
      <c r="E2381" s="1">
        <v>5907</v>
      </c>
      <c r="F2381" s="1">
        <v>5902</v>
      </c>
      <c r="G2381" s="1">
        <v>5902</v>
      </c>
      <c r="H2381" s="1">
        <v>23400</v>
      </c>
    </row>
    <row r="2382" spans="1:8">
      <c r="A2382" s="1"/>
      <c r="B2382" s="1" t="s">
        <v>143</v>
      </c>
      <c r="C2382" s="1" t="s">
        <v>116</v>
      </c>
      <c r="D2382" s="1">
        <v>5902</v>
      </c>
      <c r="E2382" s="1">
        <v>5903</v>
      </c>
      <c r="F2382" s="1">
        <v>5900</v>
      </c>
      <c r="G2382" s="1">
        <v>5901</v>
      </c>
      <c r="H2382" s="1">
        <v>42200</v>
      </c>
    </row>
    <row r="2383" spans="1:8">
      <c r="A2383" s="1"/>
      <c r="B2383" s="1" t="s">
        <v>143</v>
      </c>
      <c r="C2383" s="1" t="s">
        <v>117</v>
      </c>
      <c r="D2383" s="1">
        <v>5901</v>
      </c>
      <c r="E2383" s="1">
        <v>5904</v>
      </c>
      <c r="F2383" s="1">
        <v>5898</v>
      </c>
      <c r="G2383" s="1">
        <v>5900</v>
      </c>
      <c r="H2383" s="1">
        <v>53900</v>
      </c>
    </row>
    <row r="2384" spans="1:8">
      <c r="A2384" s="1"/>
      <c r="B2384" s="1" t="s">
        <v>143</v>
      </c>
      <c r="C2384" s="1" t="s">
        <v>118</v>
      </c>
      <c r="D2384" s="1">
        <v>5899</v>
      </c>
      <c r="E2384" s="1">
        <v>5905</v>
      </c>
      <c r="F2384" s="1">
        <v>5896</v>
      </c>
      <c r="G2384" s="1">
        <v>5896</v>
      </c>
      <c r="H2384" s="1">
        <v>50900</v>
      </c>
    </row>
    <row r="2385" spans="1:8">
      <c r="A2385" s="1"/>
      <c r="B2385" s="1" t="s">
        <v>144</v>
      </c>
      <c r="C2385" s="1" t="s">
        <v>67</v>
      </c>
      <c r="D2385" s="1" t="s">
        <v>8</v>
      </c>
      <c r="E2385" s="1" t="s">
        <v>8</v>
      </c>
      <c r="F2385" s="1" t="s">
        <v>8</v>
      </c>
      <c r="G2385" s="1" t="s">
        <v>8</v>
      </c>
      <c r="H2385" s="1">
        <v>0</v>
      </c>
    </row>
    <row r="2386" spans="1:8">
      <c r="A2386" s="1"/>
      <c r="B2386" s="1" t="s">
        <v>144</v>
      </c>
      <c r="C2386" s="1" t="s">
        <v>68</v>
      </c>
      <c r="D2386" s="1" t="s">
        <v>8</v>
      </c>
      <c r="E2386" s="1" t="s">
        <v>8</v>
      </c>
      <c r="F2386" s="1" t="s">
        <v>8</v>
      </c>
      <c r="G2386" s="1" t="s">
        <v>8</v>
      </c>
      <c r="H2386" s="1">
        <v>0</v>
      </c>
    </row>
    <row r="2387" spans="1:8">
      <c r="A2387" s="1"/>
      <c r="B2387" s="1" t="s">
        <v>144</v>
      </c>
      <c r="C2387" s="1" t="s">
        <v>69</v>
      </c>
      <c r="D2387" s="1" t="s">
        <v>8</v>
      </c>
      <c r="E2387" s="1" t="s">
        <v>8</v>
      </c>
      <c r="F2387" s="1" t="s">
        <v>8</v>
      </c>
      <c r="G2387" s="1" t="s">
        <v>8</v>
      </c>
      <c r="H2387" s="1">
        <v>0</v>
      </c>
    </row>
    <row r="2388" spans="1:8">
      <c r="A2388" s="1"/>
      <c r="B2388" s="1" t="s">
        <v>144</v>
      </c>
      <c r="C2388" s="1" t="s">
        <v>70</v>
      </c>
      <c r="D2388" s="1" t="s">
        <v>8</v>
      </c>
      <c r="E2388" s="1" t="s">
        <v>8</v>
      </c>
      <c r="F2388" s="1" t="s">
        <v>8</v>
      </c>
      <c r="G2388" s="1" t="s">
        <v>8</v>
      </c>
      <c r="H2388" s="1">
        <v>0</v>
      </c>
    </row>
    <row r="2389" spans="1:8">
      <c r="A2389" s="1"/>
      <c r="B2389" s="1" t="s">
        <v>144</v>
      </c>
      <c r="C2389" s="1" t="s">
        <v>71</v>
      </c>
      <c r="D2389" s="1" t="s">
        <v>8</v>
      </c>
      <c r="E2389" s="1" t="s">
        <v>8</v>
      </c>
      <c r="F2389" s="1" t="s">
        <v>8</v>
      </c>
      <c r="G2389" s="1" t="s">
        <v>8</v>
      </c>
      <c r="H2389" s="1">
        <v>0</v>
      </c>
    </row>
    <row r="2390" spans="1:8">
      <c r="A2390" s="1"/>
      <c r="B2390" s="1" t="s">
        <v>144</v>
      </c>
      <c r="C2390" s="1" t="s">
        <v>72</v>
      </c>
      <c r="D2390" s="1">
        <v>5911</v>
      </c>
      <c r="E2390" s="1">
        <v>5911</v>
      </c>
      <c r="F2390" s="1">
        <v>5911</v>
      </c>
      <c r="G2390" s="1">
        <v>5911</v>
      </c>
      <c r="H2390" s="1">
        <v>399400</v>
      </c>
    </row>
    <row r="2391" spans="1:8">
      <c r="A2391" s="1" t="s">
        <v>79</v>
      </c>
      <c r="B2391" s="1" t="s">
        <v>79</v>
      </c>
      <c r="C2391" s="1" t="s">
        <v>79</v>
      </c>
      <c r="D2391" s="1" t="s">
        <v>79</v>
      </c>
      <c r="E2391" s="1" t="s">
        <v>79</v>
      </c>
      <c r="F2391" s="1" t="s">
        <v>79</v>
      </c>
      <c r="G2391" s="1" t="s">
        <v>79</v>
      </c>
      <c r="H2391" s="1" t="s">
        <v>79</v>
      </c>
    </row>
    <row r="2392" spans="1:8">
      <c r="A2392" s="1"/>
      <c r="B2392" s="1" t="s">
        <v>78</v>
      </c>
      <c r="C2392" s="1" t="s">
        <v>107</v>
      </c>
      <c r="D2392" s="1">
        <v>6137</v>
      </c>
      <c r="E2392" s="1">
        <v>6139</v>
      </c>
      <c r="F2392" s="1">
        <v>6134</v>
      </c>
      <c r="G2392" s="1">
        <v>6135</v>
      </c>
      <c r="H2392" s="1">
        <v>17400</v>
      </c>
    </row>
    <row r="2393" spans="1:8">
      <c r="A2393" s="1"/>
      <c r="B2393" s="1" t="s">
        <v>78</v>
      </c>
      <c r="C2393" s="1" t="s">
        <v>108</v>
      </c>
      <c r="D2393" s="1">
        <v>6134</v>
      </c>
      <c r="E2393" s="1">
        <v>6139</v>
      </c>
      <c r="F2393" s="1">
        <v>6133</v>
      </c>
      <c r="G2393" s="1">
        <v>6138</v>
      </c>
      <c r="H2393" s="1">
        <v>19000</v>
      </c>
    </row>
    <row r="2394" spans="1:8">
      <c r="A2394" s="1"/>
      <c r="B2394" s="1" t="s">
        <v>78</v>
      </c>
      <c r="C2394" s="1" t="s">
        <v>109</v>
      </c>
      <c r="D2394" s="1">
        <v>6138</v>
      </c>
      <c r="E2394" s="1">
        <v>6139</v>
      </c>
      <c r="F2394" s="1">
        <v>6136</v>
      </c>
      <c r="G2394" s="1">
        <v>6139</v>
      </c>
      <c r="H2394" s="1">
        <v>10800</v>
      </c>
    </row>
    <row r="2395" spans="1:8">
      <c r="A2395" s="1"/>
      <c r="B2395" s="1" t="s">
        <v>78</v>
      </c>
      <c r="C2395" s="1" t="s">
        <v>110</v>
      </c>
      <c r="D2395" s="1">
        <v>6138</v>
      </c>
      <c r="E2395" s="1">
        <v>6139</v>
      </c>
      <c r="F2395" s="1">
        <v>6127</v>
      </c>
      <c r="G2395" s="1">
        <v>6128</v>
      </c>
      <c r="H2395" s="1">
        <v>42000</v>
      </c>
    </row>
    <row r="2396" spans="1:8">
      <c r="A2396" s="1"/>
      <c r="B2396" s="1" t="s">
        <v>78</v>
      </c>
      <c r="C2396" s="1" t="s">
        <v>111</v>
      </c>
      <c r="D2396" s="1">
        <v>6128</v>
      </c>
      <c r="E2396" s="1">
        <v>6133</v>
      </c>
      <c r="F2396" s="1">
        <v>6126</v>
      </c>
      <c r="G2396" s="1">
        <v>6132</v>
      </c>
      <c r="H2396" s="1">
        <v>25500</v>
      </c>
    </row>
    <row r="2397" spans="1:8">
      <c r="A2397" s="1"/>
      <c r="B2397" s="1" t="s">
        <v>78</v>
      </c>
      <c r="C2397" s="1" t="s">
        <v>112</v>
      </c>
      <c r="D2397" s="1">
        <v>6133</v>
      </c>
      <c r="E2397" s="1">
        <v>6142</v>
      </c>
      <c r="F2397" s="1">
        <v>6133</v>
      </c>
      <c r="G2397" s="1">
        <v>6136</v>
      </c>
      <c r="H2397" s="1">
        <v>38500</v>
      </c>
    </row>
    <row r="2398" spans="1:8">
      <c r="A2398" s="1"/>
      <c r="B2398" s="1" t="s">
        <v>78</v>
      </c>
      <c r="C2398" s="1" t="s">
        <v>113</v>
      </c>
      <c r="D2398" s="1">
        <v>6136</v>
      </c>
      <c r="E2398" s="1">
        <v>6138</v>
      </c>
      <c r="F2398" s="1">
        <v>6126</v>
      </c>
      <c r="G2398" s="1">
        <v>6128</v>
      </c>
      <c r="H2398" s="1">
        <v>25600</v>
      </c>
    </row>
    <row r="2399" spans="1:8">
      <c r="A2399" s="1"/>
      <c r="B2399" s="1" t="s">
        <v>78</v>
      </c>
      <c r="C2399" s="1" t="s">
        <v>114</v>
      </c>
      <c r="D2399" s="1">
        <v>6129</v>
      </c>
      <c r="E2399" s="1">
        <v>6133</v>
      </c>
      <c r="F2399" s="1">
        <v>6125</v>
      </c>
      <c r="G2399" s="1">
        <v>6126</v>
      </c>
      <c r="H2399" s="1">
        <v>34500</v>
      </c>
    </row>
    <row r="2400" spans="1:8">
      <c r="A2400" s="1"/>
      <c r="B2400" s="1" t="s">
        <v>78</v>
      </c>
      <c r="C2400" s="1" t="s">
        <v>115</v>
      </c>
      <c r="D2400" s="1">
        <v>6126</v>
      </c>
      <c r="E2400" s="1">
        <v>6130</v>
      </c>
      <c r="F2400" s="1">
        <v>6125</v>
      </c>
      <c r="G2400" s="1">
        <v>6128</v>
      </c>
      <c r="H2400" s="1">
        <v>25400</v>
      </c>
    </row>
    <row r="2401" spans="1:8">
      <c r="A2401" s="1"/>
      <c r="B2401" s="1" t="s">
        <v>78</v>
      </c>
      <c r="C2401" s="1" t="s">
        <v>116</v>
      </c>
      <c r="D2401" s="1">
        <v>6128</v>
      </c>
      <c r="E2401" s="1">
        <v>6129</v>
      </c>
      <c r="F2401" s="1">
        <v>6125</v>
      </c>
      <c r="G2401" s="1">
        <v>6126</v>
      </c>
      <c r="H2401" s="1">
        <v>21600</v>
      </c>
    </row>
    <row r="2402" spans="1:8">
      <c r="A2402" s="1"/>
      <c r="B2402" s="1" t="s">
        <v>78</v>
      </c>
      <c r="C2402" s="1" t="s">
        <v>117</v>
      </c>
      <c r="D2402" s="1">
        <v>6126</v>
      </c>
      <c r="E2402" s="1">
        <v>6127</v>
      </c>
      <c r="F2402" s="1">
        <v>6121</v>
      </c>
      <c r="G2402" s="1">
        <v>6123</v>
      </c>
      <c r="H2402" s="1">
        <v>45700</v>
      </c>
    </row>
    <row r="2403" spans="1:8">
      <c r="A2403" s="1"/>
      <c r="B2403" s="1" t="s">
        <v>78</v>
      </c>
      <c r="C2403" s="1" t="s">
        <v>118</v>
      </c>
      <c r="D2403" s="1">
        <v>6124</v>
      </c>
      <c r="E2403" s="1">
        <v>6126</v>
      </c>
      <c r="F2403" s="1">
        <v>6117</v>
      </c>
      <c r="G2403" s="1">
        <v>6118</v>
      </c>
      <c r="H2403" s="1">
        <v>69300</v>
      </c>
    </row>
    <row r="2404" spans="1:8">
      <c r="A2404" s="1" t="s">
        <v>79</v>
      </c>
      <c r="B2404" s="1" t="s">
        <v>79</v>
      </c>
      <c r="C2404" s="1" t="s">
        <v>79</v>
      </c>
      <c r="D2404" s="1" t="s">
        <v>79</v>
      </c>
      <c r="E2404" s="1" t="s">
        <v>79</v>
      </c>
      <c r="F2404" s="1" t="s">
        <v>79</v>
      </c>
      <c r="G2404" s="1" t="s">
        <v>79</v>
      </c>
      <c r="H2404" s="1" t="s">
        <v>79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F28A7-2935-4B0E-ABDB-56E09B9D8FB6}">
  <sheetPr codeName="Sheet8"/>
  <dimension ref="A1:Y2404"/>
  <sheetViews>
    <sheetView workbookViewId="0">
      <selection activeCell="A2" sqref="A2"/>
    </sheetView>
  </sheetViews>
  <sheetFormatPr defaultRowHeight="18.75"/>
  <cols>
    <col min="11" max="11" width="3" customWidth="1"/>
    <col min="13" max="13" width="3" customWidth="1"/>
  </cols>
  <sheetData>
    <row r="1" spans="1:25">
      <c r="A1" t="str">
        <f>_xll.RssChart($A$2:$H$2, "8411.T", "1M", 332)</f>
        <v>=RssChart($A$2:$H$2, "8411.T", "1M", 332) =&gt; 配信中</v>
      </c>
    </row>
    <row r="2" spans="1: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J2" t="s">
        <v>73</v>
      </c>
      <c r="L2" t="s">
        <v>74</v>
      </c>
      <c r="N2" t="s">
        <v>75</v>
      </c>
      <c r="P2" t="s">
        <v>119</v>
      </c>
      <c r="Q2">
        <f>_xll.RssMarket("8411.T", "現在値")</f>
        <v>4452</v>
      </c>
      <c r="R2" t="str">
        <f>_xll.RssMarket("8411.T", "現在値時刻")</f>
        <v>15:30</v>
      </c>
      <c r="T2" t="s">
        <v>131</v>
      </c>
      <c r="U2">
        <f>_xll.RssMarket("8411.T", "出来高")</f>
        <v>12042500</v>
      </c>
      <c r="X2" t="s">
        <v>138</v>
      </c>
      <c r="Y2">
        <f>_xll.RssMarket("8411.T", "信用売残")</f>
        <v>2228700</v>
      </c>
    </row>
    <row r="3" spans="1:25">
      <c r="A3" t="s">
        <v>435</v>
      </c>
      <c r="B3" t="s">
        <v>587</v>
      </c>
      <c r="C3" t="s">
        <v>166</v>
      </c>
      <c r="D3" t="s">
        <v>8</v>
      </c>
      <c r="E3" t="s">
        <v>8</v>
      </c>
      <c r="F3" t="s">
        <v>8</v>
      </c>
      <c r="G3" t="s">
        <v>8</v>
      </c>
      <c r="H3">
        <v>0</v>
      </c>
      <c r="J3">
        <f>_xll.RssMarket("8411.T", "売成行数量")</f>
        <v>0</v>
      </c>
      <c r="L3" t="s">
        <v>76</v>
      </c>
      <c r="N3">
        <f>_xll.RssMarket("8411.T", "買成行数量")</f>
        <v>0</v>
      </c>
      <c r="P3" t="s">
        <v>121</v>
      </c>
      <c r="Q3">
        <f>_xll.RssMarket("8411.T", "前日比")</f>
        <v>-30</v>
      </c>
      <c r="R3">
        <f>_xll.RssMarket("8411.T", "前日比率")</f>
        <v>-0.67</v>
      </c>
      <c r="S3" t="s">
        <v>122</v>
      </c>
      <c r="T3" t="s">
        <v>132</v>
      </c>
      <c r="U3">
        <f>_xll.RssMarket("8411.T", "売買代金")</f>
        <v>53195385</v>
      </c>
      <c r="X3" t="s">
        <v>139</v>
      </c>
      <c r="Y3">
        <f>_xll.RssMarket("8411.T", "信用買残")</f>
        <v>5750700</v>
      </c>
    </row>
    <row r="4" spans="1:25">
      <c r="B4" t="s">
        <v>587</v>
      </c>
      <c r="C4" t="s">
        <v>167</v>
      </c>
      <c r="D4" t="s">
        <v>8</v>
      </c>
      <c r="E4" t="s">
        <v>8</v>
      </c>
      <c r="F4" t="s">
        <v>8</v>
      </c>
      <c r="G4" t="s">
        <v>8</v>
      </c>
      <c r="H4">
        <v>0</v>
      </c>
      <c r="J4">
        <f>_xll.RssMarket("8411.T", "OVER気配数量")</f>
        <v>1938900</v>
      </c>
      <c r="L4" t="s">
        <v>77</v>
      </c>
      <c r="P4" t="s">
        <v>123</v>
      </c>
      <c r="Q4">
        <f>_xll.RssMarket("8411.T", "高値")</f>
        <v>4452</v>
      </c>
      <c r="T4" t="s">
        <v>137</v>
      </c>
      <c r="U4">
        <f>_xll.RssMarket("8411.T", "前場出来高")</f>
        <v>6914400</v>
      </c>
      <c r="X4" t="s">
        <v>140</v>
      </c>
      <c r="Y4">
        <f>_xll.RssMarket("8411.T", "信用倍率")</f>
        <v>2.58</v>
      </c>
    </row>
    <row r="5" spans="1:25">
      <c r="B5" t="s">
        <v>587</v>
      </c>
      <c r="C5" t="s">
        <v>168</v>
      </c>
      <c r="D5" t="s">
        <v>8</v>
      </c>
      <c r="E5" t="s">
        <v>8</v>
      </c>
      <c r="F5" t="s">
        <v>8</v>
      </c>
      <c r="G5" t="s">
        <v>8</v>
      </c>
      <c r="H5">
        <v>0</v>
      </c>
      <c r="J5">
        <f>_xll.RssMarket("8411.T", "最良売気配数量10")</f>
        <v>1600</v>
      </c>
      <c r="L5">
        <f>_xll.RssMarket("8411.T", "最良売気配値10")</f>
        <v>4462</v>
      </c>
      <c r="P5" t="s">
        <v>124</v>
      </c>
      <c r="Q5">
        <f>_xll.RssMarket("8411.T", "安値")</f>
        <v>4381</v>
      </c>
    </row>
    <row r="6" spans="1:25">
      <c r="B6" t="s">
        <v>587</v>
      </c>
      <c r="C6" t="s">
        <v>169</v>
      </c>
      <c r="D6">
        <v>4402</v>
      </c>
      <c r="E6">
        <v>4440</v>
      </c>
      <c r="F6">
        <v>4390</v>
      </c>
      <c r="G6">
        <v>4430</v>
      </c>
      <c r="H6">
        <v>1085200</v>
      </c>
      <c r="J6">
        <f>_xll.RssMarket("8411.T", "最良売気配数量9")</f>
        <v>300</v>
      </c>
      <c r="L6">
        <f>_xll.RssMarket("8411.T", "最良売気配値9")</f>
        <v>4461</v>
      </c>
      <c r="P6" t="s">
        <v>125</v>
      </c>
      <c r="Q6">
        <f>_xll.RssMarket("8411.T", "始値")</f>
        <v>4402</v>
      </c>
      <c r="T6" t="s">
        <v>133</v>
      </c>
      <c r="U6">
        <f>_xll.RssMarket("8411.T", "歩み1")</f>
        <v>4449</v>
      </c>
      <c r="V6" t="str">
        <f>_xll.RssMarket("8411.T", "歩み1詳細時刻")</f>
        <v>15:24:58</v>
      </c>
      <c r="X6" t="s">
        <v>141</v>
      </c>
      <c r="Y6">
        <f>_xll.RssMarket("8411.T", "逆日歩")</f>
        <v>0</v>
      </c>
    </row>
    <row r="7" spans="1:25">
      <c r="B7" t="s">
        <v>587</v>
      </c>
      <c r="C7" t="s">
        <v>170</v>
      </c>
      <c r="D7">
        <v>4430</v>
      </c>
      <c r="E7">
        <v>4434</v>
      </c>
      <c r="F7">
        <v>4414</v>
      </c>
      <c r="G7">
        <v>4426</v>
      </c>
      <c r="H7">
        <v>92100</v>
      </c>
      <c r="J7">
        <f>_xll.RssMarket("8411.T", "最良売気配数量8")</f>
        <v>7000</v>
      </c>
      <c r="L7">
        <f>_xll.RssMarket("8411.T", "最良売気配値8")</f>
        <v>4460</v>
      </c>
      <c r="P7" t="s">
        <v>120</v>
      </c>
      <c r="Q7">
        <f>_xll.RssMarket("8411.T", "前日終値")</f>
        <v>4482</v>
      </c>
      <c r="T7" t="s">
        <v>134</v>
      </c>
      <c r="U7">
        <f>_xll.RssMarket("8411.T", "歩み2")</f>
        <v>4448</v>
      </c>
      <c r="V7" t="str">
        <f>_xll.RssMarket("8411.T", "歩み2詳細時刻")</f>
        <v>15:24:57</v>
      </c>
      <c r="X7" t="s">
        <v>142</v>
      </c>
      <c r="Y7">
        <f>_xll.RssMarket("8411.T", "貸借倍率")</f>
        <v>0.84</v>
      </c>
    </row>
    <row r="8" spans="1:25">
      <c r="B8" t="s">
        <v>587</v>
      </c>
      <c r="C8" t="s">
        <v>171</v>
      </c>
      <c r="D8">
        <v>4427</v>
      </c>
      <c r="E8">
        <v>4431</v>
      </c>
      <c r="F8">
        <v>4410</v>
      </c>
      <c r="G8">
        <v>4413</v>
      </c>
      <c r="H8">
        <v>90700</v>
      </c>
      <c r="J8">
        <f>_xll.RssMarket("8411.T", "最良売気配数量7")</f>
        <v>4300</v>
      </c>
      <c r="L8">
        <f>_xll.RssMarket("8411.T", "最良売気配値7")</f>
        <v>4459</v>
      </c>
      <c r="P8" t="s">
        <v>126</v>
      </c>
      <c r="Q8">
        <f>_xll.RssMarket("8411.T", "出来高加重平均")</f>
        <v>4417.3041000000003</v>
      </c>
      <c r="T8" t="s">
        <v>135</v>
      </c>
      <c r="U8">
        <f>_xll.RssMarket("8411.T", "歩み3")</f>
        <v>4449</v>
      </c>
      <c r="V8" t="str">
        <f>_xll.RssMarket("8411.T", "歩み3詳細時刻")</f>
        <v>15:24:56</v>
      </c>
    </row>
    <row r="9" spans="1:25">
      <c r="B9" t="s">
        <v>587</v>
      </c>
      <c r="C9" t="s">
        <v>172</v>
      </c>
      <c r="D9">
        <v>4413</v>
      </c>
      <c r="E9">
        <v>4423</v>
      </c>
      <c r="F9">
        <v>4410</v>
      </c>
      <c r="G9">
        <v>4414</v>
      </c>
      <c r="H9">
        <v>103000</v>
      </c>
      <c r="J9">
        <f>_xll.RssMarket("8411.T", "最良売気配数量6")</f>
        <v>5600</v>
      </c>
      <c r="L9">
        <f>_xll.RssMarket("8411.T", "最良売気配値6")</f>
        <v>4458</v>
      </c>
      <c r="P9" t="s">
        <v>127</v>
      </c>
      <c r="Q9">
        <f>_xll.RssMarket("8411.T", "年初来高値")</f>
        <v>4590</v>
      </c>
      <c r="R9" t="str">
        <f>_xll.RssMarket("8411.T", "年初来高値日付")</f>
        <v>2025/07/24</v>
      </c>
      <c r="T9" t="s">
        <v>136</v>
      </c>
      <c r="U9">
        <f>_xll.RssMarket("8411.T", "歩み4")</f>
        <v>4448</v>
      </c>
      <c r="V9" t="str">
        <f>_xll.RssMarket("8411.T", "歩み4詳細時刻")</f>
        <v>15:24:55</v>
      </c>
    </row>
    <row r="10" spans="1:25">
      <c r="B10" t="s">
        <v>587</v>
      </c>
      <c r="C10" t="s">
        <v>173</v>
      </c>
      <c r="D10">
        <v>4414</v>
      </c>
      <c r="E10">
        <v>4418</v>
      </c>
      <c r="F10">
        <v>4402</v>
      </c>
      <c r="G10">
        <v>4405</v>
      </c>
      <c r="H10">
        <v>108200</v>
      </c>
      <c r="J10">
        <f>_xll.RssMarket("8411.T", "最良売気配数量5")</f>
        <v>1400</v>
      </c>
      <c r="L10">
        <f>_xll.RssMarket("8411.T", "最良売気配値5")</f>
        <v>4457</v>
      </c>
      <c r="P10" t="s">
        <v>128</v>
      </c>
      <c r="Q10">
        <f>_xll.RssMarket("8411.T", "年初来安値")</f>
        <v>2688</v>
      </c>
      <c r="R10" t="str">
        <f>_xll.RssMarket("8411.T", "年初来安値日付")</f>
        <v>2025/04/07</v>
      </c>
    </row>
    <row r="11" spans="1:25">
      <c r="B11" t="s">
        <v>587</v>
      </c>
      <c r="C11" t="s">
        <v>174</v>
      </c>
      <c r="D11">
        <v>4405</v>
      </c>
      <c r="E11">
        <v>4411</v>
      </c>
      <c r="F11">
        <v>4400</v>
      </c>
      <c r="G11">
        <v>4407</v>
      </c>
      <c r="H11">
        <v>104600</v>
      </c>
      <c r="J11">
        <f>_xll.RssMarket("8411.T", "最良売気配数量4")</f>
        <v>400</v>
      </c>
      <c r="L11">
        <f>_xll.RssMarket("8411.T", "最良売気配値4")</f>
        <v>4456</v>
      </c>
      <c r="P11" t="s">
        <v>129</v>
      </c>
      <c r="Q11">
        <f>_xll.RssMarket("8411.T", "上場来高値")</f>
        <v>1030000</v>
      </c>
      <c r="R11" t="str">
        <f>_xll.RssMarket("8411.T", "上場来高値日付")</f>
        <v>2006/04/19</v>
      </c>
    </row>
    <row r="12" spans="1:25">
      <c r="B12" t="s">
        <v>587</v>
      </c>
      <c r="C12" t="s">
        <v>175</v>
      </c>
      <c r="D12">
        <v>4406</v>
      </c>
      <c r="E12">
        <v>4417</v>
      </c>
      <c r="F12">
        <v>4404</v>
      </c>
      <c r="G12">
        <v>4415</v>
      </c>
      <c r="H12">
        <v>67600</v>
      </c>
      <c r="J12">
        <f>_xll.RssMarket("8411.T", "最良売気配数量3")</f>
        <v>23000</v>
      </c>
      <c r="L12">
        <f>_xll.RssMarket("8411.T", "最良売気配値3")</f>
        <v>4455</v>
      </c>
      <c r="P12" t="s">
        <v>130</v>
      </c>
      <c r="Q12">
        <f>_xll.RssMarket("8411.T", "上場来安値")</f>
        <v>98</v>
      </c>
      <c r="R12" t="str">
        <f>_xll.RssMarket("8411.T", "上場来安値日付")</f>
        <v>2011/11/21</v>
      </c>
    </row>
    <row r="13" spans="1:25">
      <c r="B13" t="s">
        <v>587</v>
      </c>
      <c r="C13" t="s">
        <v>176</v>
      </c>
      <c r="D13">
        <v>4415</v>
      </c>
      <c r="E13">
        <v>4416</v>
      </c>
      <c r="F13">
        <v>4399</v>
      </c>
      <c r="G13">
        <v>4401</v>
      </c>
      <c r="H13">
        <v>124300</v>
      </c>
      <c r="J13">
        <f>_xll.RssMarket("8411.T", "最良売気配数量2")</f>
        <v>1700</v>
      </c>
      <c r="L13">
        <f>_xll.RssMarket("8411.T", "最良売気配値2")</f>
        <v>4454</v>
      </c>
    </row>
    <row r="14" spans="1:25">
      <c r="B14" t="s">
        <v>587</v>
      </c>
      <c r="C14" t="s">
        <v>177</v>
      </c>
      <c r="D14">
        <v>4402</v>
      </c>
      <c r="E14">
        <v>4411</v>
      </c>
      <c r="F14">
        <v>4401</v>
      </c>
      <c r="G14">
        <v>4403</v>
      </c>
      <c r="H14">
        <v>34600</v>
      </c>
      <c r="J14">
        <f>_xll.RssMarket("8411.T", "最良売気配数量1")</f>
        <v>300</v>
      </c>
      <c r="K14" t="str">
        <f>_xll.RssMarket("8411.T", "特別売気配フラグ")</f>
        <v xml:space="preserve"> </v>
      </c>
      <c r="L14">
        <f>_xll.RssMarket("8411.T", "最良売気配値1")</f>
        <v>4453</v>
      </c>
    </row>
    <row r="15" spans="1:25">
      <c r="B15" t="s">
        <v>587</v>
      </c>
      <c r="C15" t="s">
        <v>178</v>
      </c>
      <c r="D15">
        <v>4402</v>
      </c>
      <c r="E15">
        <v>4410</v>
      </c>
      <c r="F15">
        <v>4401</v>
      </c>
      <c r="G15">
        <v>4403</v>
      </c>
      <c r="H15">
        <v>31700</v>
      </c>
      <c r="L15">
        <f>_xll.RssMarket("8411.T", "最良買気配値1")</f>
        <v>4450</v>
      </c>
      <c r="M15" t="str">
        <f>_xll.RssMarket("8411.T", "特別買気配フラグ")</f>
        <v xml:space="preserve"> </v>
      </c>
      <c r="N15">
        <f>_xll.RssMarket("8411.T", "最良買気配数量1")</f>
        <v>700</v>
      </c>
    </row>
    <row r="16" spans="1:25">
      <c r="B16" t="s">
        <v>587</v>
      </c>
      <c r="C16" t="s">
        <v>179</v>
      </c>
      <c r="D16">
        <v>4403</v>
      </c>
      <c r="E16">
        <v>4410</v>
      </c>
      <c r="F16">
        <v>4400</v>
      </c>
      <c r="G16">
        <v>4410</v>
      </c>
      <c r="H16">
        <v>65900</v>
      </c>
      <c r="L16">
        <f>_xll.RssMarket("8411.T", "最良買気配値2")</f>
        <v>4449</v>
      </c>
      <c r="N16">
        <f>_xll.RssMarket("8411.T", "最良買気配数量2")</f>
        <v>3900</v>
      </c>
    </row>
    <row r="17" spans="2:14">
      <c r="B17" t="s">
        <v>587</v>
      </c>
      <c r="C17" t="s">
        <v>180</v>
      </c>
      <c r="D17">
        <v>4410</v>
      </c>
      <c r="E17">
        <v>4421</v>
      </c>
      <c r="F17">
        <v>4409</v>
      </c>
      <c r="G17">
        <v>4419</v>
      </c>
      <c r="H17">
        <v>71900</v>
      </c>
      <c r="L17">
        <f>_xll.RssMarket("8411.T", "最良買気配値3")</f>
        <v>4448</v>
      </c>
      <c r="N17">
        <f>_xll.RssMarket("8411.T", "最良買気配数量3")</f>
        <v>200</v>
      </c>
    </row>
    <row r="18" spans="2:14">
      <c r="B18" t="s">
        <v>587</v>
      </c>
      <c r="C18" t="s">
        <v>181</v>
      </c>
      <c r="D18">
        <v>4418</v>
      </c>
      <c r="E18">
        <v>4420</v>
      </c>
      <c r="F18">
        <v>4407</v>
      </c>
      <c r="G18">
        <v>4408</v>
      </c>
      <c r="H18">
        <v>50000</v>
      </c>
      <c r="L18">
        <f>_xll.RssMarket("8411.T", "最良買気配値4")</f>
        <v>4447</v>
      </c>
      <c r="N18">
        <f>_xll.RssMarket("8411.T", "最良買気配数量4")</f>
        <v>200</v>
      </c>
    </row>
    <row r="19" spans="2:14">
      <c r="B19" t="s">
        <v>587</v>
      </c>
      <c r="C19" t="s">
        <v>182</v>
      </c>
      <c r="D19">
        <v>4408</v>
      </c>
      <c r="E19">
        <v>4412</v>
      </c>
      <c r="F19">
        <v>4406</v>
      </c>
      <c r="G19">
        <v>4410</v>
      </c>
      <c r="H19">
        <v>28500</v>
      </c>
      <c r="L19">
        <f>_xll.RssMarket("8411.T", "最良買気配値5")</f>
        <v>4446</v>
      </c>
      <c r="N19">
        <f>_xll.RssMarket("8411.T", "最良買気配数量5")</f>
        <v>1300</v>
      </c>
    </row>
    <row r="20" spans="2:14">
      <c r="B20" t="s">
        <v>587</v>
      </c>
      <c r="C20" t="s">
        <v>183</v>
      </c>
      <c r="D20">
        <v>4410</v>
      </c>
      <c r="E20">
        <v>4410</v>
      </c>
      <c r="F20">
        <v>4405</v>
      </c>
      <c r="G20">
        <v>4409</v>
      </c>
      <c r="H20">
        <v>20500</v>
      </c>
      <c r="L20">
        <f>_xll.RssMarket("8411.T", "最良買気配値6")</f>
        <v>4444</v>
      </c>
      <c r="N20">
        <f>_xll.RssMarket("8411.T", "最良買気配数量6")</f>
        <v>900</v>
      </c>
    </row>
    <row r="21" spans="2:14">
      <c r="B21" t="s">
        <v>587</v>
      </c>
      <c r="C21" t="s">
        <v>184</v>
      </c>
      <c r="D21">
        <v>4408</v>
      </c>
      <c r="E21">
        <v>4411</v>
      </c>
      <c r="F21">
        <v>4403</v>
      </c>
      <c r="G21">
        <v>4408</v>
      </c>
      <c r="H21">
        <v>45700</v>
      </c>
      <c r="L21">
        <f>_xll.RssMarket("8411.T", "最良買気配値7")</f>
        <v>4443</v>
      </c>
      <c r="N21">
        <f>_xll.RssMarket("8411.T", "最良買気配数量7")</f>
        <v>1200</v>
      </c>
    </row>
    <row r="22" spans="2:14">
      <c r="B22" t="s">
        <v>587</v>
      </c>
      <c r="C22" t="s">
        <v>185</v>
      </c>
      <c r="D22">
        <v>4408</v>
      </c>
      <c r="E22">
        <v>4414</v>
      </c>
      <c r="F22">
        <v>4408</v>
      </c>
      <c r="G22">
        <v>4409</v>
      </c>
      <c r="H22">
        <v>53900</v>
      </c>
      <c r="L22">
        <f>_xll.RssMarket("8411.T", "最良買気配値8")</f>
        <v>4442</v>
      </c>
      <c r="N22">
        <f>_xll.RssMarket("8411.T", "最良買気配数量8")</f>
        <v>1200</v>
      </c>
    </row>
    <row r="23" spans="2:14">
      <c r="B23" t="s">
        <v>587</v>
      </c>
      <c r="C23" t="s">
        <v>186</v>
      </c>
      <c r="D23">
        <v>4408</v>
      </c>
      <c r="E23">
        <v>4408</v>
      </c>
      <c r="F23">
        <v>4397</v>
      </c>
      <c r="G23">
        <v>4399</v>
      </c>
      <c r="H23">
        <v>196000</v>
      </c>
      <c r="L23">
        <f>_xll.RssMarket("8411.T", "最良買気配値9")</f>
        <v>4441</v>
      </c>
      <c r="N23">
        <f>_xll.RssMarket("8411.T", "最良買気配数量9")</f>
        <v>1800</v>
      </c>
    </row>
    <row r="24" spans="2:14">
      <c r="B24" t="s">
        <v>587</v>
      </c>
      <c r="C24" t="s">
        <v>187</v>
      </c>
      <c r="D24">
        <v>4400</v>
      </c>
      <c r="E24">
        <v>4405</v>
      </c>
      <c r="F24">
        <v>4398</v>
      </c>
      <c r="G24">
        <v>4400</v>
      </c>
      <c r="H24">
        <v>35200</v>
      </c>
      <c r="L24">
        <f>_xll.RssMarket("8411.T", "最良買気配値10")</f>
        <v>4440</v>
      </c>
      <c r="N24">
        <f>_xll.RssMarket("8411.T", "最良買気配数量10")</f>
        <v>7900</v>
      </c>
    </row>
    <row r="25" spans="2:14">
      <c r="B25" t="s">
        <v>587</v>
      </c>
      <c r="C25" t="s">
        <v>188</v>
      </c>
      <c r="D25">
        <v>4399</v>
      </c>
      <c r="E25">
        <v>4401</v>
      </c>
      <c r="F25">
        <v>4397</v>
      </c>
      <c r="G25">
        <v>4399</v>
      </c>
      <c r="H25">
        <v>34600</v>
      </c>
      <c r="L25" t="s">
        <v>80</v>
      </c>
      <c r="N25">
        <f>_xll.RssMarket("8411.T", "UNDER気配数量")</f>
        <v>1255700</v>
      </c>
    </row>
    <row r="26" spans="2:14">
      <c r="B26" t="s">
        <v>587</v>
      </c>
      <c r="C26" t="s">
        <v>189</v>
      </c>
      <c r="D26">
        <v>4400</v>
      </c>
      <c r="E26">
        <v>4403</v>
      </c>
      <c r="F26">
        <v>4398</v>
      </c>
      <c r="G26">
        <v>4403</v>
      </c>
      <c r="H26">
        <v>31500</v>
      </c>
    </row>
    <row r="27" spans="2:14">
      <c r="B27" t="s">
        <v>587</v>
      </c>
      <c r="C27" t="s">
        <v>190</v>
      </c>
      <c r="D27">
        <v>4402</v>
      </c>
      <c r="E27">
        <v>4402</v>
      </c>
      <c r="F27">
        <v>4396</v>
      </c>
      <c r="G27">
        <v>4401</v>
      </c>
      <c r="H27">
        <v>47900</v>
      </c>
    </row>
    <row r="28" spans="2:14">
      <c r="B28" t="s">
        <v>587</v>
      </c>
      <c r="C28" t="s">
        <v>191</v>
      </c>
      <c r="D28">
        <v>4402</v>
      </c>
      <c r="E28">
        <v>4404</v>
      </c>
      <c r="F28">
        <v>4398</v>
      </c>
      <c r="G28">
        <v>4402</v>
      </c>
      <c r="H28">
        <v>32500</v>
      </c>
    </row>
    <row r="29" spans="2:14">
      <c r="B29" t="s">
        <v>587</v>
      </c>
      <c r="C29" t="s">
        <v>192</v>
      </c>
      <c r="D29">
        <v>4401</v>
      </c>
      <c r="E29">
        <v>4403</v>
      </c>
      <c r="F29">
        <v>4398</v>
      </c>
      <c r="G29">
        <v>4400</v>
      </c>
      <c r="H29">
        <v>35300</v>
      </c>
    </row>
    <row r="30" spans="2:14">
      <c r="B30" t="s">
        <v>587</v>
      </c>
      <c r="C30" t="s">
        <v>193</v>
      </c>
      <c r="D30">
        <v>4401</v>
      </c>
      <c r="E30">
        <v>4402</v>
      </c>
      <c r="F30">
        <v>4397</v>
      </c>
      <c r="G30">
        <v>4401</v>
      </c>
      <c r="H30">
        <v>85500</v>
      </c>
    </row>
    <row r="31" spans="2:14">
      <c r="B31" t="s">
        <v>587</v>
      </c>
      <c r="C31" t="s">
        <v>194</v>
      </c>
      <c r="D31">
        <v>4401</v>
      </c>
      <c r="E31">
        <v>4404</v>
      </c>
      <c r="F31">
        <v>4401</v>
      </c>
      <c r="G31">
        <v>4402</v>
      </c>
      <c r="H31">
        <v>39800</v>
      </c>
    </row>
    <row r="32" spans="2:14">
      <c r="B32" t="s">
        <v>587</v>
      </c>
      <c r="C32" t="s">
        <v>195</v>
      </c>
      <c r="D32">
        <v>4402</v>
      </c>
      <c r="E32">
        <v>4410</v>
      </c>
      <c r="F32">
        <v>4402</v>
      </c>
      <c r="G32">
        <v>4408</v>
      </c>
      <c r="H32">
        <v>53200</v>
      </c>
    </row>
    <row r="33" spans="2:8">
      <c r="B33" t="s">
        <v>587</v>
      </c>
      <c r="C33" t="s">
        <v>196</v>
      </c>
      <c r="D33">
        <v>4408</v>
      </c>
      <c r="E33">
        <v>4409</v>
      </c>
      <c r="F33">
        <v>4405</v>
      </c>
      <c r="G33">
        <v>4407</v>
      </c>
      <c r="H33">
        <v>25100</v>
      </c>
    </row>
    <row r="34" spans="2:8">
      <c r="B34" t="s">
        <v>587</v>
      </c>
      <c r="C34" t="s">
        <v>197</v>
      </c>
      <c r="D34">
        <v>4407</v>
      </c>
      <c r="E34">
        <v>4413</v>
      </c>
      <c r="F34">
        <v>4406</v>
      </c>
      <c r="G34">
        <v>4413</v>
      </c>
      <c r="H34">
        <v>66600</v>
      </c>
    </row>
    <row r="35" spans="2:8">
      <c r="B35" t="s">
        <v>587</v>
      </c>
      <c r="C35" t="s">
        <v>198</v>
      </c>
      <c r="D35">
        <v>4413</v>
      </c>
      <c r="E35">
        <v>4413</v>
      </c>
      <c r="F35">
        <v>4407</v>
      </c>
      <c r="G35">
        <v>4408</v>
      </c>
      <c r="H35">
        <v>34600</v>
      </c>
    </row>
    <row r="36" spans="2:8">
      <c r="B36" t="s">
        <v>587</v>
      </c>
      <c r="C36" t="s">
        <v>199</v>
      </c>
      <c r="D36">
        <v>4409</v>
      </c>
      <c r="E36">
        <v>4412</v>
      </c>
      <c r="F36">
        <v>4405</v>
      </c>
      <c r="G36">
        <v>4409</v>
      </c>
      <c r="H36">
        <v>39200</v>
      </c>
    </row>
    <row r="37" spans="2:8">
      <c r="B37" t="s">
        <v>587</v>
      </c>
      <c r="C37" t="s">
        <v>200</v>
      </c>
      <c r="D37">
        <v>4408</v>
      </c>
      <c r="E37">
        <v>4411</v>
      </c>
      <c r="F37">
        <v>4403</v>
      </c>
      <c r="G37">
        <v>4405</v>
      </c>
      <c r="H37">
        <v>50400</v>
      </c>
    </row>
    <row r="38" spans="2:8">
      <c r="B38" t="s">
        <v>587</v>
      </c>
      <c r="C38" t="s">
        <v>201</v>
      </c>
      <c r="D38">
        <v>4404</v>
      </c>
      <c r="E38">
        <v>4410</v>
      </c>
      <c r="F38">
        <v>4404</v>
      </c>
      <c r="G38">
        <v>4408</v>
      </c>
      <c r="H38">
        <v>24100</v>
      </c>
    </row>
    <row r="39" spans="2:8">
      <c r="B39" t="s">
        <v>587</v>
      </c>
      <c r="C39" t="s">
        <v>202</v>
      </c>
      <c r="D39">
        <v>4408</v>
      </c>
      <c r="E39">
        <v>4411</v>
      </c>
      <c r="F39">
        <v>4406</v>
      </c>
      <c r="G39">
        <v>4410</v>
      </c>
      <c r="H39">
        <v>34200</v>
      </c>
    </row>
    <row r="40" spans="2:8">
      <c r="B40" t="s">
        <v>587</v>
      </c>
      <c r="C40" t="s">
        <v>203</v>
      </c>
      <c r="D40">
        <v>4411</v>
      </c>
      <c r="E40">
        <v>4416</v>
      </c>
      <c r="F40">
        <v>4410</v>
      </c>
      <c r="G40">
        <v>4416</v>
      </c>
      <c r="H40">
        <v>66900</v>
      </c>
    </row>
    <row r="41" spans="2:8">
      <c r="B41" t="s">
        <v>587</v>
      </c>
      <c r="C41" t="s">
        <v>204</v>
      </c>
      <c r="D41">
        <v>4415</v>
      </c>
      <c r="E41">
        <v>4418</v>
      </c>
      <c r="F41">
        <v>4413</v>
      </c>
      <c r="G41">
        <v>4418</v>
      </c>
      <c r="H41">
        <v>41300</v>
      </c>
    </row>
    <row r="42" spans="2:8">
      <c r="B42" t="s">
        <v>587</v>
      </c>
      <c r="C42" t="s">
        <v>205</v>
      </c>
      <c r="D42">
        <v>4418</v>
      </c>
      <c r="E42">
        <v>4421</v>
      </c>
      <c r="F42">
        <v>4417</v>
      </c>
      <c r="G42">
        <v>4420</v>
      </c>
      <c r="H42">
        <v>68800</v>
      </c>
    </row>
    <row r="43" spans="2:8">
      <c r="B43" t="s">
        <v>587</v>
      </c>
      <c r="C43" t="s">
        <v>206</v>
      </c>
      <c r="D43">
        <v>4421</v>
      </c>
      <c r="E43">
        <v>4427</v>
      </c>
      <c r="F43">
        <v>4420</v>
      </c>
      <c r="G43">
        <v>4426</v>
      </c>
      <c r="H43">
        <v>57800</v>
      </c>
    </row>
    <row r="44" spans="2:8">
      <c r="B44" t="s">
        <v>587</v>
      </c>
      <c r="C44" t="s">
        <v>207</v>
      </c>
      <c r="D44">
        <v>4425</v>
      </c>
      <c r="E44">
        <v>4428</v>
      </c>
      <c r="F44">
        <v>4424</v>
      </c>
      <c r="G44">
        <v>4428</v>
      </c>
      <c r="H44">
        <v>33700</v>
      </c>
    </row>
    <row r="45" spans="2:8">
      <c r="B45" t="s">
        <v>587</v>
      </c>
      <c r="C45" t="s">
        <v>208</v>
      </c>
      <c r="D45">
        <v>4427</v>
      </c>
      <c r="E45">
        <v>4427</v>
      </c>
      <c r="F45">
        <v>4420</v>
      </c>
      <c r="G45">
        <v>4421</v>
      </c>
      <c r="H45">
        <v>34400</v>
      </c>
    </row>
    <row r="46" spans="2:8">
      <c r="B46" t="s">
        <v>587</v>
      </c>
      <c r="C46" t="s">
        <v>209</v>
      </c>
      <c r="D46">
        <v>4421</v>
      </c>
      <c r="E46">
        <v>4423</v>
      </c>
      <c r="F46">
        <v>4420</v>
      </c>
      <c r="G46">
        <v>4423</v>
      </c>
      <c r="H46">
        <v>54300</v>
      </c>
    </row>
    <row r="47" spans="2:8">
      <c r="B47" t="s">
        <v>587</v>
      </c>
      <c r="C47" t="s">
        <v>210</v>
      </c>
      <c r="D47">
        <v>4422</v>
      </c>
      <c r="E47">
        <v>4422</v>
      </c>
      <c r="F47">
        <v>4418</v>
      </c>
      <c r="G47">
        <v>4418</v>
      </c>
      <c r="H47">
        <v>35500</v>
      </c>
    </row>
    <row r="48" spans="2:8">
      <c r="B48" t="s">
        <v>587</v>
      </c>
      <c r="C48" t="s">
        <v>211</v>
      </c>
      <c r="D48">
        <v>4418</v>
      </c>
      <c r="E48">
        <v>4418</v>
      </c>
      <c r="F48">
        <v>4412</v>
      </c>
      <c r="G48">
        <v>4412</v>
      </c>
      <c r="H48">
        <v>36400</v>
      </c>
    </row>
    <row r="49" spans="2:8">
      <c r="B49" t="s">
        <v>587</v>
      </c>
      <c r="C49" t="s">
        <v>212</v>
      </c>
      <c r="D49">
        <v>4413</v>
      </c>
      <c r="E49">
        <v>4414</v>
      </c>
      <c r="F49">
        <v>4405</v>
      </c>
      <c r="G49">
        <v>4408</v>
      </c>
      <c r="H49">
        <v>67800</v>
      </c>
    </row>
    <row r="50" spans="2:8">
      <c r="B50" t="s">
        <v>587</v>
      </c>
      <c r="C50" t="s">
        <v>213</v>
      </c>
      <c r="D50">
        <v>4407</v>
      </c>
      <c r="E50">
        <v>4407</v>
      </c>
      <c r="F50">
        <v>4402</v>
      </c>
      <c r="G50">
        <v>4403</v>
      </c>
      <c r="H50">
        <v>52100</v>
      </c>
    </row>
    <row r="51" spans="2:8">
      <c r="B51" t="s">
        <v>587</v>
      </c>
      <c r="C51" t="s">
        <v>214</v>
      </c>
      <c r="D51">
        <v>4403</v>
      </c>
      <c r="E51">
        <v>4404</v>
      </c>
      <c r="F51">
        <v>4402</v>
      </c>
      <c r="G51">
        <v>4403</v>
      </c>
      <c r="H51">
        <v>19500</v>
      </c>
    </row>
    <row r="52" spans="2:8">
      <c r="B52" t="s">
        <v>587</v>
      </c>
      <c r="C52" t="s">
        <v>215</v>
      </c>
      <c r="D52">
        <v>4404</v>
      </c>
      <c r="E52">
        <v>4404</v>
      </c>
      <c r="F52">
        <v>4401</v>
      </c>
      <c r="G52">
        <v>4403</v>
      </c>
      <c r="H52">
        <v>55600</v>
      </c>
    </row>
    <row r="53" spans="2:8">
      <c r="B53" t="s">
        <v>587</v>
      </c>
      <c r="C53" t="s">
        <v>216</v>
      </c>
      <c r="D53">
        <v>4402</v>
      </c>
      <c r="E53">
        <v>4402</v>
      </c>
      <c r="F53">
        <v>4396</v>
      </c>
      <c r="G53">
        <v>4397</v>
      </c>
      <c r="H53">
        <v>102900</v>
      </c>
    </row>
    <row r="54" spans="2:8">
      <c r="B54" t="s">
        <v>587</v>
      </c>
      <c r="C54" t="s">
        <v>217</v>
      </c>
      <c r="D54">
        <v>4398</v>
      </c>
      <c r="E54">
        <v>4398</v>
      </c>
      <c r="F54">
        <v>4396</v>
      </c>
      <c r="G54">
        <v>4398</v>
      </c>
      <c r="H54">
        <v>22100</v>
      </c>
    </row>
    <row r="55" spans="2:8">
      <c r="B55" t="s">
        <v>587</v>
      </c>
      <c r="C55" t="s">
        <v>218</v>
      </c>
      <c r="D55">
        <v>4398</v>
      </c>
      <c r="E55">
        <v>4401</v>
      </c>
      <c r="F55">
        <v>4396</v>
      </c>
      <c r="G55">
        <v>4398</v>
      </c>
      <c r="H55">
        <v>81400</v>
      </c>
    </row>
    <row r="56" spans="2:8">
      <c r="B56" t="s">
        <v>587</v>
      </c>
      <c r="C56" t="s">
        <v>219</v>
      </c>
      <c r="D56">
        <v>4398</v>
      </c>
      <c r="E56">
        <v>4401</v>
      </c>
      <c r="F56">
        <v>4397</v>
      </c>
      <c r="G56">
        <v>4400</v>
      </c>
      <c r="H56">
        <v>43000</v>
      </c>
    </row>
    <row r="57" spans="2:8">
      <c r="B57" t="s">
        <v>587</v>
      </c>
      <c r="C57" t="s">
        <v>220</v>
      </c>
      <c r="D57">
        <v>4400</v>
      </c>
      <c r="E57">
        <v>4401</v>
      </c>
      <c r="F57">
        <v>4399</v>
      </c>
      <c r="G57">
        <v>4400</v>
      </c>
      <c r="H57">
        <v>9700</v>
      </c>
    </row>
    <row r="58" spans="2:8">
      <c r="B58" t="s">
        <v>587</v>
      </c>
      <c r="C58" t="s">
        <v>221</v>
      </c>
      <c r="D58">
        <v>4400</v>
      </c>
      <c r="E58">
        <v>4401</v>
      </c>
      <c r="F58">
        <v>4395</v>
      </c>
      <c r="G58">
        <v>4399</v>
      </c>
      <c r="H58">
        <v>66900</v>
      </c>
    </row>
    <row r="59" spans="2:8">
      <c r="B59" t="s">
        <v>587</v>
      </c>
      <c r="C59" t="s">
        <v>222</v>
      </c>
      <c r="D59">
        <v>4399</v>
      </c>
      <c r="E59">
        <v>4404</v>
      </c>
      <c r="F59">
        <v>4398</v>
      </c>
      <c r="G59">
        <v>4401</v>
      </c>
      <c r="H59">
        <v>36600</v>
      </c>
    </row>
    <row r="60" spans="2:8">
      <c r="B60" t="s">
        <v>587</v>
      </c>
      <c r="C60" t="s">
        <v>223</v>
      </c>
      <c r="D60">
        <v>4401</v>
      </c>
      <c r="E60">
        <v>4404</v>
      </c>
      <c r="F60">
        <v>4399</v>
      </c>
      <c r="G60">
        <v>4403</v>
      </c>
      <c r="H60">
        <v>31600</v>
      </c>
    </row>
    <row r="61" spans="2:8">
      <c r="B61" t="s">
        <v>587</v>
      </c>
      <c r="C61" t="s">
        <v>224</v>
      </c>
      <c r="D61">
        <v>4402</v>
      </c>
      <c r="E61">
        <v>4408</v>
      </c>
      <c r="F61">
        <v>4402</v>
      </c>
      <c r="G61">
        <v>4406</v>
      </c>
      <c r="H61">
        <v>36200</v>
      </c>
    </row>
    <row r="62" spans="2:8">
      <c r="B62" t="s">
        <v>587</v>
      </c>
      <c r="C62" t="s">
        <v>225</v>
      </c>
      <c r="D62">
        <v>4407</v>
      </c>
      <c r="E62">
        <v>4409</v>
      </c>
      <c r="F62">
        <v>4405</v>
      </c>
      <c r="G62">
        <v>4405</v>
      </c>
      <c r="H62">
        <v>29500</v>
      </c>
    </row>
    <row r="63" spans="2:8">
      <c r="B63" t="s">
        <v>587</v>
      </c>
      <c r="C63" t="s">
        <v>226</v>
      </c>
      <c r="D63">
        <v>4406</v>
      </c>
      <c r="E63">
        <v>4411</v>
      </c>
      <c r="F63">
        <v>4406</v>
      </c>
      <c r="G63">
        <v>4411</v>
      </c>
      <c r="H63">
        <v>59100</v>
      </c>
    </row>
    <row r="64" spans="2:8">
      <c r="B64" t="s">
        <v>587</v>
      </c>
      <c r="C64" t="s">
        <v>227</v>
      </c>
      <c r="D64">
        <v>4412</v>
      </c>
      <c r="E64">
        <v>4412</v>
      </c>
      <c r="F64">
        <v>4410</v>
      </c>
      <c r="G64">
        <v>4411</v>
      </c>
      <c r="H64">
        <v>15800</v>
      </c>
    </row>
    <row r="65" spans="2:8">
      <c r="B65" t="s">
        <v>587</v>
      </c>
      <c r="C65" t="s">
        <v>228</v>
      </c>
      <c r="D65">
        <v>4410</v>
      </c>
      <c r="E65">
        <v>4413</v>
      </c>
      <c r="F65">
        <v>4409</v>
      </c>
      <c r="G65">
        <v>4413</v>
      </c>
      <c r="H65">
        <v>26300</v>
      </c>
    </row>
    <row r="66" spans="2:8">
      <c r="B66" t="s">
        <v>587</v>
      </c>
      <c r="C66" t="s">
        <v>229</v>
      </c>
      <c r="D66">
        <v>4414</v>
      </c>
      <c r="E66">
        <v>4417</v>
      </c>
      <c r="F66">
        <v>4414</v>
      </c>
      <c r="G66">
        <v>4416</v>
      </c>
      <c r="H66">
        <v>25000</v>
      </c>
    </row>
    <row r="67" spans="2:8">
      <c r="B67" t="s">
        <v>587</v>
      </c>
      <c r="C67" t="s">
        <v>230</v>
      </c>
      <c r="D67">
        <v>4416</v>
      </c>
      <c r="E67">
        <v>4422</v>
      </c>
      <c r="F67">
        <v>4416</v>
      </c>
      <c r="G67">
        <v>4422</v>
      </c>
      <c r="H67">
        <v>44400</v>
      </c>
    </row>
    <row r="68" spans="2:8">
      <c r="B68" t="s">
        <v>587</v>
      </c>
      <c r="C68" t="s">
        <v>231</v>
      </c>
      <c r="D68">
        <v>4421</v>
      </c>
      <c r="E68">
        <v>4427</v>
      </c>
      <c r="F68">
        <v>4421</v>
      </c>
      <c r="G68">
        <v>4426</v>
      </c>
      <c r="H68">
        <v>85900</v>
      </c>
    </row>
    <row r="69" spans="2:8">
      <c r="B69" t="s">
        <v>587</v>
      </c>
      <c r="C69" t="s">
        <v>232</v>
      </c>
      <c r="D69">
        <v>4425</v>
      </c>
      <c r="E69">
        <v>4428</v>
      </c>
      <c r="F69">
        <v>4423</v>
      </c>
      <c r="G69">
        <v>4427</v>
      </c>
      <c r="H69">
        <v>50300</v>
      </c>
    </row>
    <row r="70" spans="2:8">
      <c r="B70" t="s">
        <v>587</v>
      </c>
      <c r="C70" t="s">
        <v>233</v>
      </c>
      <c r="D70">
        <v>4427</v>
      </c>
      <c r="E70">
        <v>4430</v>
      </c>
      <c r="F70">
        <v>4426</v>
      </c>
      <c r="G70">
        <v>4429</v>
      </c>
      <c r="H70">
        <v>36500</v>
      </c>
    </row>
    <row r="71" spans="2:8">
      <c r="B71" t="s">
        <v>587</v>
      </c>
      <c r="C71" t="s">
        <v>234</v>
      </c>
      <c r="D71">
        <v>4429</v>
      </c>
      <c r="E71">
        <v>4430</v>
      </c>
      <c r="F71">
        <v>4415</v>
      </c>
      <c r="G71">
        <v>4415</v>
      </c>
      <c r="H71">
        <v>49500</v>
      </c>
    </row>
    <row r="72" spans="2:8">
      <c r="B72" t="s">
        <v>587</v>
      </c>
      <c r="C72" t="s">
        <v>235</v>
      </c>
      <c r="D72">
        <v>4415</v>
      </c>
      <c r="E72">
        <v>4417</v>
      </c>
      <c r="F72">
        <v>4410</v>
      </c>
      <c r="G72">
        <v>4410</v>
      </c>
      <c r="H72">
        <v>42900</v>
      </c>
    </row>
    <row r="73" spans="2:8">
      <c r="B73" t="s">
        <v>587</v>
      </c>
      <c r="C73" t="s">
        <v>236</v>
      </c>
      <c r="D73">
        <v>4410</v>
      </c>
      <c r="E73">
        <v>4411</v>
      </c>
      <c r="F73">
        <v>4402</v>
      </c>
      <c r="G73">
        <v>4403</v>
      </c>
      <c r="H73">
        <v>33000</v>
      </c>
    </row>
    <row r="74" spans="2:8">
      <c r="B74" t="s">
        <v>587</v>
      </c>
      <c r="C74" t="s">
        <v>237</v>
      </c>
      <c r="D74">
        <v>4403</v>
      </c>
      <c r="E74">
        <v>4406</v>
      </c>
      <c r="F74">
        <v>4402</v>
      </c>
      <c r="G74">
        <v>4404</v>
      </c>
      <c r="H74">
        <v>18700</v>
      </c>
    </row>
    <row r="75" spans="2:8">
      <c r="B75" t="s">
        <v>587</v>
      </c>
      <c r="C75" t="s">
        <v>238</v>
      </c>
      <c r="D75">
        <v>4404</v>
      </c>
      <c r="E75">
        <v>4405</v>
      </c>
      <c r="F75">
        <v>4402</v>
      </c>
      <c r="G75">
        <v>4402</v>
      </c>
      <c r="H75">
        <v>24200</v>
      </c>
    </row>
    <row r="76" spans="2:8">
      <c r="B76" t="s">
        <v>587</v>
      </c>
      <c r="C76" t="s">
        <v>239</v>
      </c>
      <c r="D76">
        <v>4403</v>
      </c>
      <c r="E76">
        <v>4405</v>
      </c>
      <c r="F76">
        <v>4402</v>
      </c>
      <c r="G76">
        <v>4404</v>
      </c>
      <c r="H76">
        <v>23200</v>
      </c>
    </row>
    <row r="77" spans="2:8">
      <c r="B77" t="s">
        <v>587</v>
      </c>
      <c r="C77" t="s">
        <v>240</v>
      </c>
      <c r="D77">
        <v>4404</v>
      </c>
      <c r="E77">
        <v>4406</v>
      </c>
      <c r="F77">
        <v>4404</v>
      </c>
      <c r="G77">
        <v>4405</v>
      </c>
      <c r="H77">
        <v>19000</v>
      </c>
    </row>
    <row r="78" spans="2:8">
      <c r="B78" t="s">
        <v>587</v>
      </c>
      <c r="C78" t="s">
        <v>241</v>
      </c>
      <c r="D78">
        <v>4405</v>
      </c>
      <c r="E78">
        <v>4408</v>
      </c>
      <c r="F78">
        <v>4405</v>
      </c>
      <c r="G78">
        <v>4408</v>
      </c>
      <c r="H78">
        <v>17800</v>
      </c>
    </row>
    <row r="79" spans="2:8">
      <c r="B79" t="s">
        <v>587</v>
      </c>
      <c r="C79" t="s">
        <v>242</v>
      </c>
      <c r="D79">
        <v>4408</v>
      </c>
      <c r="E79">
        <v>4408</v>
      </c>
      <c r="F79">
        <v>4404</v>
      </c>
      <c r="G79">
        <v>4405</v>
      </c>
      <c r="H79">
        <v>42700</v>
      </c>
    </row>
    <row r="80" spans="2:8">
      <c r="B80" t="s">
        <v>587</v>
      </c>
      <c r="C80" t="s">
        <v>243</v>
      </c>
      <c r="D80">
        <v>4406</v>
      </c>
      <c r="E80">
        <v>4407</v>
      </c>
      <c r="F80">
        <v>4405</v>
      </c>
      <c r="G80">
        <v>4405</v>
      </c>
      <c r="H80">
        <v>11900</v>
      </c>
    </row>
    <row r="81" spans="2:8">
      <c r="B81" t="s">
        <v>587</v>
      </c>
      <c r="C81" t="s">
        <v>244</v>
      </c>
      <c r="D81">
        <v>4405</v>
      </c>
      <c r="E81">
        <v>4406</v>
      </c>
      <c r="F81">
        <v>4403</v>
      </c>
      <c r="G81">
        <v>4404</v>
      </c>
      <c r="H81">
        <v>29800</v>
      </c>
    </row>
    <row r="82" spans="2:8">
      <c r="B82" t="s">
        <v>587</v>
      </c>
      <c r="C82" t="s">
        <v>245</v>
      </c>
      <c r="D82">
        <v>4403</v>
      </c>
      <c r="E82">
        <v>4404</v>
      </c>
      <c r="F82">
        <v>4400</v>
      </c>
      <c r="G82">
        <v>4403</v>
      </c>
      <c r="H82">
        <v>50700</v>
      </c>
    </row>
    <row r="83" spans="2:8">
      <c r="B83" t="s">
        <v>587</v>
      </c>
      <c r="C83" t="s">
        <v>246</v>
      </c>
      <c r="D83">
        <v>4403</v>
      </c>
      <c r="E83">
        <v>4403</v>
      </c>
      <c r="F83">
        <v>4398</v>
      </c>
      <c r="G83">
        <v>4399</v>
      </c>
      <c r="H83">
        <v>76600</v>
      </c>
    </row>
    <row r="84" spans="2:8">
      <c r="B84" t="s">
        <v>587</v>
      </c>
      <c r="C84" t="s">
        <v>247</v>
      </c>
      <c r="D84">
        <v>4399</v>
      </c>
      <c r="E84">
        <v>4404</v>
      </c>
      <c r="F84">
        <v>4398</v>
      </c>
      <c r="G84">
        <v>4404</v>
      </c>
      <c r="H84">
        <v>26100</v>
      </c>
    </row>
    <row r="85" spans="2:8">
      <c r="B85" t="s">
        <v>587</v>
      </c>
      <c r="C85" t="s">
        <v>248</v>
      </c>
      <c r="D85">
        <v>4403</v>
      </c>
      <c r="E85">
        <v>4403</v>
      </c>
      <c r="F85">
        <v>4398</v>
      </c>
      <c r="G85">
        <v>4399</v>
      </c>
      <c r="H85">
        <v>32000</v>
      </c>
    </row>
    <row r="86" spans="2:8">
      <c r="B86" t="s">
        <v>587</v>
      </c>
      <c r="C86" t="s">
        <v>249</v>
      </c>
      <c r="D86">
        <v>4399</v>
      </c>
      <c r="E86">
        <v>4400</v>
      </c>
      <c r="F86">
        <v>4395</v>
      </c>
      <c r="G86">
        <v>4395</v>
      </c>
      <c r="H86">
        <v>55800</v>
      </c>
    </row>
    <row r="87" spans="2:8">
      <c r="B87" t="s">
        <v>587</v>
      </c>
      <c r="C87" t="s">
        <v>250</v>
      </c>
      <c r="D87">
        <v>4395</v>
      </c>
      <c r="E87">
        <v>4396</v>
      </c>
      <c r="F87">
        <v>4391</v>
      </c>
      <c r="G87">
        <v>4392</v>
      </c>
      <c r="H87">
        <v>114500</v>
      </c>
    </row>
    <row r="88" spans="2:8">
      <c r="B88" t="s">
        <v>587</v>
      </c>
      <c r="C88" t="s">
        <v>251</v>
      </c>
      <c r="D88">
        <v>4391</v>
      </c>
      <c r="E88">
        <v>4394</v>
      </c>
      <c r="F88">
        <v>4390</v>
      </c>
      <c r="G88">
        <v>4390</v>
      </c>
      <c r="H88">
        <v>55200</v>
      </c>
    </row>
    <row r="89" spans="2:8">
      <c r="B89" t="s">
        <v>587</v>
      </c>
      <c r="C89" t="s">
        <v>252</v>
      </c>
      <c r="D89">
        <v>4390</v>
      </c>
      <c r="E89">
        <v>4391</v>
      </c>
      <c r="F89">
        <v>4386</v>
      </c>
      <c r="G89">
        <v>4388</v>
      </c>
      <c r="H89">
        <v>111900</v>
      </c>
    </row>
    <row r="90" spans="2:8">
      <c r="B90" t="s">
        <v>587</v>
      </c>
      <c r="C90" t="s">
        <v>253</v>
      </c>
      <c r="D90">
        <v>4389</v>
      </c>
      <c r="E90">
        <v>4394</v>
      </c>
      <c r="F90">
        <v>4388</v>
      </c>
      <c r="G90">
        <v>4392</v>
      </c>
      <c r="H90">
        <v>23500</v>
      </c>
    </row>
    <row r="91" spans="2:8">
      <c r="B91" t="s">
        <v>587</v>
      </c>
      <c r="C91" t="s">
        <v>254</v>
      </c>
      <c r="D91">
        <v>4393</v>
      </c>
      <c r="E91">
        <v>4395</v>
      </c>
      <c r="F91">
        <v>4392</v>
      </c>
      <c r="G91">
        <v>4393</v>
      </c>
      <c r="H91">
        <v>26100</v>
      </c>
    </row>
    <row r="92" spans="2:8">
      <c r="B92" t="s">
        <v>587</v>
      </c>
      <c r="C92" t="s">
        <v>255</v>
      </c>
      <c r="D92">
        <v>4393</v>
      </c>
      <c r="E92">
        <v>4394</v>
      </c>
      <c r="F92">
        <v>4389</v>
      </c>
      <c r="G92">
        <v>4390</v>
      </c>
      <c r="H92">
        <v>28500</v>
      </c>
    </row>
    <row r="93" spans="2:8">
      <c r="B93" t="s">
        <v>587</v>
      </c>
      <c r="C93" t="s">
        <v>256</v>
      </c>
      <c r="D93">
        <v>4390</v>
      </c>
      <c r="E93">
        <v>4392</v>
      </c>
      <c r="F93">
        <v>4386</v>
      </c>
      <c r="G93">
        <v>4390</v>
      </c>
      <c r="H93">
        <v>62400</v>
      </c>
    </row>
    <row r="94" spans="2:8">
      <c r="B94" t="s">
        <v>587</v>
      </c>
      <c r="C94" t="s">
        <v>257</v>
      </c>
      <c r="D94">
        <v>4391</v>
      </c>
      <c r="E94">
        <v>4392</v>
      </c>
      <c r="F94">
        <v>4388</v>
      </c>
      <c r="G94">
        <v>4390</v>
      </c>
      <c r="H94">
        <v>35300</v>
      </c>
    </row>
    <row r="95" spans="2:8">
      <c r="B95" t="s">
        <v>587</v>
      </c>
      <c r="C95" t="s">
        <v>258</v>
      </c>
      <c r="D95">
        <v>4390</v>
      </c>
      <c r="E95">
        <v>4390</v>
      </c>
      <c r="F95">
        <v>4388</v>
      </c>
      <c r="G95">
        <v>4389</v>
      </c>
      <c r="H95">
        <v>19900</v>
      </c>
    </row>
    <row r="96" spans="2:8">
      <c r="B96" t="s">
        <v>587</v>
      </c>
      <c r="C96" t="s">
        <v>259</v>
      </c>
      <c r="D96">
        <v>4389</v>
      </c>
      <c r="E96">
        <v>4391</v>
      </c>
      <c r="F96">
        <v>4389</v>
      </c>
      <c r="G96">
        <v>4391</v>
      </c>
      <c r="H96">
        <v>21400</v>
      </c>
    </row>
    <row r="97" spans="2:8">
      <c r="B97" t="s">
        <v>587</v>
      </c>
      <c r="C97" t="s">
        <v>260</v>
      </c>
      <c r="D97">
        <v>4391</v>
      </c>
      <c r="E97">
        <v>4392</v>
      </c>
      <c r="F97">
        <v>4386</v>
      </c>
      <c r="G97">
        <v>4388</v>
      </c>
      <c r="H97">
        <v>47000</v>
      </c>
    </row>
    <row r="98" spans="2:8">
      <c r="B98" t="s">
        <v>587</v>
      </c>
      <c r="C98" t="s">
        <v>261</v>
      </c>
      <c r="D98">
        <v>4389</v>
      </c>
      <c r="E98">
        <v>4389</v>
      </c>
      <c r="F98">
        <v>4384</v>
      </c>
      <c r="G98">
        <v>4385</v>
      </c>
      <c r="H98">
        <v>43200</v>
      </c>
    </row>
    <row r="99" spans="2:8">
      <c r="B99" t="s">
        <v>587</v>
      </c>
      <c r="C99" t="s">
        <v>262</v>
      </c>
      <c r="D99">
        <v>4384</v>
      </c>
      <c r="E99">
        <v>4386</v>
      </c>
      <c r="F99">
        <v>4384</v>
      </c>
      <c r="G99">
        <v>4385</v>
      </c>
      <c r="H99">
        <v>20900</v>
      </c>
    </row>
    <row r="100" spans="2:8">
      <c r="B100" t="s">
        <v>587</v>
      </c>
      <c r="C100" t="s">
        <v>263</v>
      </c>
      <c r="D100">
        <v>4386</v>
      </c>
      <c r="E100">
        <v>4388</v>
      </c>
      <c r="F100">
        <v>4385</v>
      </c>
      <c r="G100">
        <v>4388</v>
      </c>
      <c r="H100">
        <v>23700</v>
      </c>
    </row>
    <row r="101" spans="2:8">
      <c r="B101" t="s">
        <v>587</v>
      </c>
      <c r="C101" t="s">
        <v>264</v>
      </c>
      <c r="D101">
        <v>4388</v>
      </c>
      <c r="E101">
        <v>4393</v>
      </c>
      <c r="F101">
        <v>4388</v>
      </c>
      <c r="G101">
        <v>4391</v>
      </c>
      <c r="H101">
        <v>22800</v>
      </c>
    </row>
    <row r="102" spans="2:8">
      <c r="B102" t="s">
        <v>587</v>
      </c>
      <c r="C102" t="s">
        <v>265</v>
      </c>
      <c r="D102">
        <v>4392</v>
      </c>
      <c r="E102">
        <v>4396</v>
      </c>
      <c r="F102">
        <v>4391</v>
      </c>
      <c r="G102">
        <v>4396</v>
      </c>
      <c r="H102">
        <v>28800</v>
      </c>
    </row>
    <row r="103" spans="2:8">
      <c r="B103" t="s">
        <v>587</v>
      </c>
      <c r="C103" t="s">
        <v>266</v>
      </c>
      <c r="D103">
        <v>4396</v>
      </c>
      <c r="E103">
        <v>4398</v>
      </c>
      <c r="F103">
        <v>4395</v>
      </c>
      <c r="G103">
        <v>4395</v>
      </c>
      <c r="H103">
        <v>23700</v>
      </c>
    </row>
    <row r="104" spans="2:8">
      <c r="B104" t="s">
        <v>587</v>
      </c>
      <c r="C104" t="s">
        <v>267</v>
      </c>
      <c r="D104">
        <v>4396</v>
      </c>
      <c r="E104">
        <v>4397</v>
      </c>
      <c r="F104">
        <v>4395</v>
      </c>
      <c r="G104">
        <v>4397</v>
      </c>
      <c r="H104">
        <v>12600</v>
      </c>
    </row>
    <row r="105" spans="2:8">
      <c r="B105" t="s">
        <v>587</v>
      </c>
      <c r="C105" t="s">
        <v>268</v>
      </c>
      <c r="D105">
        <v>4398</v>
      </c>
      <c r="E105">
        <v>4403</v>
      </c>
      <c r="F105">
        <v>4398</v>
      </c>
      <c r="G105">
        <v>4402</v>
      </c>
      <c r="H105">
        <v>49400</v>
      </c>
    </row>
    <row r="106" spans="2:8">
      <c r="B106" t="s">
        <v>587</v>
      </c>
      <c r="C106" t="s">
        <v>269</v>
      </c>
      <c r="D106">
        <v>4401</v>
      </c>
      <c r="E106">
        <v>4404</v>
      </c>
      <c r="F106">
        <v>4400</v>
      </c>
      <c r="G106">
        <v>4403</v>
      </c>
      <c r="H106">
        <v>20800</v>
      </c>
    </row>
    <row r="107" spans="2:8">
      <c r="B107" t="s">
        <v>587</v>
      </c>
      <c r="C107" t="s">
        <v>270</v>
      </c>
      <c r="D107">
        <v>4403</v>
      </c>
      <c r="E107">
        <v>4404</v>
      </c>
      <c r="F107">
        <v>4399</v>
      </c>
      <c r="G107">
        <v>4399</v>
      </c>
      <c r="H107">
        <v>14900</v>
      </c>
    </row>
    <row r="108" spans="2:8">
      <c r="B108" t="s">
        <v>587</v>
      </c>
      <c r="C108" t="s">
        <v>271</v>
      </c>
      <c r="D108">
        <v>4399</v>
      </c>
      <c r="E108">
        <v>4399</v>
      </c>
      <c r="F108">
        <v>4396</v>
      </c>
      <c r="G108">
        <v>4398</v>
      </c>
      <c r="H108">
        <v>11300</v>
      </c>
    </row>
    <row r="109" spans="2:8">
      <c r="B109" t="s">
        <v>587</v>
      </c>
      <c r="C109" t="s">
        <v>272</v>
      </c>
      <c r="D109">
        <v>4397</v>
      </c>
      <c r="E109">
        <v>4399</v>
      </c>
      <c r="F109">
        <v>4395</v>
      </c>
      <c r="G109">
        <v>4398</v>
      </c>
      <c r="H109">
        <v>15600</v>
      </c>
    </row>
    <row r="110" spans="2:8">
      <c r="B110" t="s">
        <v>587</v>
      </c>
      <c r="C110" t="s">
        <v>273</v>
      </c>
      <c r="D110">
        <v>4399</v>
      </c>
      <c r="E110">
        <v>4399</v>
      </c>
      <c r="F110">
        <v>4393</v>
      </c>
      <c r="G110">
        <v>4393</v>
      </c>
      <c r="H110">
        <v>17700</v>
      </c>
    </row>
    <row r="111" spans="2:8">
      <c r="B111" t="s">
        <v>587</v>
      </c>
      <c r="C111" t="s">
        <v>274</v>
      </c>
      <c r="D111">
        <v>4394</v>
      </c>
      <c r="E111">
        <v>4394</v>
      </c>
      <c r="F111">
        <v>4391</v>
      </c>
      <c r="G111">
        <v>4392</v>
      </c>
      <c r="H111">
        <v>20300</v>
      </c>
    </row>
    <row r="112" spans="2:8">
      <c r="B112" t="s">
        <v>587</v>
      </c>
      <c r="C112" t="s">
        <v>275</v>
      </c>
      <c r="D112">
        <v>4392</v>
      </c>
      <c r="E112">
        <v>4395</v>
      </c>
      <c r="F112">
        <v>4392</v>
      </c>
      <c r="G112">
        <v>4395</v>
      </c>
      <c r="H112">
        <v>17800</v>
      </c>
    </row>
    <row r="113" spans="2:8">
      <c r="B113" t="s">
        <v>587</v>
      </c>
      <c r="C113" t="s">
        <v>276</v>
      </c>
      <c r="D113">
        <v>4394</v>
      </c>
      <c r="E113">
        <v>4395</v>
      </c>
      <c r="F113">
        <v>4393</v>
      </c>
      <c r="G113">
        <v>4393</v>
      </c>
      <c r="H113">
        <v>10300</v>
      </c>
    </row>
    <row r="114" spans="2:8">
      <c r="B114" t="s">
        <v>587</v>
      </c>
      <c r="C114" t="s">
        <v>277</v>
      </c>
      <c r="D114">
        <v>4394</v>
      </c>
      <c r="E114">
        <v>4397</v>
      </c>
      <c r="F114">
        <v>4394</v>
      </c>
      <c r="G114">
        <v>4394</v>
      </c>
      <c r="H114">
        <v>14100</v>
      </c>
    </row>
    <row r="115" spans="2:8">
      <c r="B115" t="s">
        <v>587</v>
      </c>
      <c r="C115" t="s">
        <v>278</v>
      </c>
      <c r="D115">
        <v>4394</v>
      </c>
      <c r="E115">
        <v>4394</v>
      </c>
      <c r="F115">
        <v>4393</v>
      </c>
      <c r="G115">
        <v>4394</v>
      </c>
      <c r="H115">
        <v>5500</v>
      </c>
    </row>
    <row r="116" spans="2:8">
      <c r="B116" t="s">
        <v>587</v>
      </c>
      <c r="C116" t="s">
        <v>279</v>
      </c>
      <c r="D116">
        <v>4394</v>
      </c>
      <c r="E116">
        <v>4398</v>
      </c>
      <c r="F116">
        <v>4394</v>
      </c>
      <c r="G116">
        <v>4394</v>
      </c>
      <c r="H116">
        <v>29600</v>
      </c>
    </row>
    <row r="117" spans="2:8">
      <c r="B117" t="s">
        <v>587</v>
      </c>
      <c r="C117" t="s">
        <v>280</v>
      </c>
      <c r="D117">
        <v>4394</v>
      </c>
      <c r="E117">
        <v>4395</v>
      </c>
      <c r="F117">
        <v>4393</v>
      </c>
      <c r="G117">
        <v>4395</v>
      </c>
      <c r="H117">
        <v>7800</v>
      </c>
    </row>
    <row r="118" spans="2:8">
      <c r="B118" t="s">
        <v>587</v>
      </c>
      <c r="C118" t="s">
        <v>281</v>
      </c>
      <c r="D118">
        <v>4394</v>
      </c>
      <c r="E118">
        <v>4394</v>
      </c>
      <c r="F118">
        <v>4391</v>
      </c>
      <c r="G118">
        <v>4391</v>
      </c>
      <c r="H118">
        <v>23700</v>
      </c>
    </row>
    <row r="119" spans="2:8">
      <c r="B119" t="s">
        <v>587</v>
      </c>
      <c r="C119" t="s">
        <v>282</v>
      </c>
      <c r="D119">
        <v>4392</v>
      </c>
      <c r="E119">
        <v>4392</v>
      </c>
      <c r="F119">
        <v>4387</v>
      </c>
      <c r="G119">
        <v>4391</v>
      </c>
      <c r="H119">
        <v>55200</v>
      </c>
    </row>
    <row r="120" spans="2:8">
      <c r="B120" t="s">
        <v>587</v>
      </c>
      <c r="C120" t="s">
        <v>283</v>
      </c>
      <c r="D120">
        <v>4390</v>
      </c>
      <c r="E120">
        <v>4392</v>
      </c>
      <c r="F120">
        <v>4390</v>
      </c>
      <c r="G120">
        <v>4391</v>
      </c>
      <c r="H120">
        <v>12300</v>
      </c>
    </row>
    <row r="121" spans="2:8">
      <c r="B121" t="s">
        <v>587</v>
      </c>
      <c r="C121" t="s">
        <v>284</v>
      </c>
      <c r="D121">
        <v>4391</v>
      </c>
      <c r="E121">
        <v>4392</v>
      </c>
      <c r="F121">
        <v>4390</v>
      </c>
      <c r="G121">
        <v>4390</v>
      </c>
      <c r="H121">
        <v>8000</v>
      </c>
    </row>
    <row r="122" spans="2:8">
      <c r="B122" t="s">
        <v>587</v>
      </c>
      <c r="C122" t="s">
        <v>285</v>
      </c>
      <c r="D122">
        <v>4391</v>
      </c>
      <c r="E122">
        <v>4394</v>
      </c>
      <c r="F122">
        <v>4390</v>
      </c>
      <c r="G122">
        <v>4392</v>
      </c>
      <c r="H122">
        <v>17200</v>
      </c>
    </row>
    <row r="123" spans="2:8">
      <c r="B123" t="s">
        <v>587</v>
      </c>
      <c r="C123" t="s">
        <v>286</v>
      </c>
      <c r="D123">
        <v>4391</v>
      </c>
      <c r="E123">
        <v>4392</v>
      </c>
      <c r="F123">
        <v>4389</v>
      </c>
      <c r="G123">
        <v>4391</v>
      </c>
      <c r="H123">
        <v>18900</v>
      </c>
    </row>
    <row r="124" spans="2:8">
      <c r="B124" t="s">
        <v>587</v>
      </c>
      <c r="C124" t="s">
        <v>287</v>
      </c>
      <c r="D124">
        <v>4392</v>
      </c>
      <c r="E124">
        <v>4394</v>
      </c>
      <c r="F124">
        <v>4392</v>
      </c>
      <c r="G124">
        <v>4393</v>
      </c>
      <c r="H124">
        <v>8900</v>
      </c>
    </row>
    <row r="125" spans="2:8">
      <c r="B125" t="s">
        <v>587</v>
      </c>
      <c r="C125" t="s">
        <v>288</v>
      </c>
      <c r="D125">
        <v>4393</v>
      </c>
      <c r="E125">
        <v>4395</v>
      </c>
      <c r="F125">
        <v>4393</v>
      </c>
      <c r="G125">
        <v>4395</v>
      </c>
      <c r="H125">
        <v>9500</v>
      </c>
    </row>
    <row r="126" spans="2:8">
      <c r="B126" t="s">
        <v>587</v>
      </c>
      <c r="C126" t="s">
        <v>289</v>
      </c>
      <c r="D126">
        <v>4395</v>
      </c>
      <c r="E126">
        <v>4396</v>
      </c>
      <c r="F126">
        <v>4393</v>
      </c>
      <c r="G126">
        <v>4395</v>
      </c>
      <c r="H126">
        <v>8900</v>
      </c>
    </row>
    <row r="127" spans="2:8">
      <c r="B127" t="s">
        <v>587</v>
      </c>
      <c r="C127" t="s">
        <v>290</v>
      </c>
      <c r="D127">
        <v>4393</v>
      </c>
      <c r="E127">
        <v>4395</v>
      </c>
      <c r="F127">
        <v>4393</v>
      </c>
      <c r="G127">
        <v>4393</v>
      </c>
      <c r="H127">
        <v>9500</v>
      </c>
    </row>
    <row r="128" spans="2:8">
      <c r="B128" t="s">
        <v>587</v>
      </c>
      <c r="C128" t="s">
        <v>291</v>
      </c>
      <c r="D128">
        <v>4393</v>
      </c>
      <c r="E128">
        <v>4395</v>
      </c>
      <c r="F128">
        <v>4393</v>
      </c>
      <c r="G128">
        <v>4395</v>
      </c>
      <c r="H128">
        <v>9600</v>
      </c>
    </row>
    <row r="129" spans="2:8">
      <c r="B129" t="s">
        <v>587</v>
      </c>
      <c r="C129" t="s">
        <v>292</v>
      </c>
      <c r="D129">
        <v>4394</v>
      </c>
      <c r="E129">
        <v>4395</v>
      </c>
      <c r="F129">
        <v>4392</v>
      </c>
      <c r="G129">
        <v>4394</v>
      </c>
      <c r="H129">
        <v>9600</v>
      </c>
    </row>
    <row r="130" spans="2:8">
      <c r="B130" t="s">
        <v>587</v>
      </c>
      <c r="C130" t="s">
        <v>293</v>
      </c>
      <c r="D130">
        <v>4394</v>
      </c>
      <c r="E130">
        <v>4395</v>
      </c>
      <c r="F130">
        <v>4393</v>
      </c>
      <c r="G130">
        <v>4395</v>
      </c>
      <c r="H130">
        <v>4200</v>
      </c>
    </row>
    <row r="131" spans="2:8">
      <c r="B131" t="s">
        <v>587</v>
      </c>
      <c r="C131" t="s">
        <v>294</v>
      </c>
      <c r="D131">
        <v>4395</v>
      </c>
      <c r="E131">
        <v>4395</v>
      </c>
      <c r="F131">
        <v>4390</v>
      </c>
      <c r="G131">
        <v>4391</v>
      </c>
      <c r="H131">
        <v>51400</v>
      </c>
    </row>
    <row r="132" spans="2:8">
      <c r="B132" t="s">
        <v>587</v>
      </c>
      <c r="C132" t="s">
        <v>295</v>
      </c>
      <c r="D132">
        <v>4391</v>
      </c>
      <c r="E132">
        <v>4392</v>
      </c>
      <c r="F132">
        <v>4385</v>
      </c>
      <c r="G132">
        <v>4386</v>
      </c>
      <c r="H132">
        <v>68400</v>
      </c>
    </row>
    <row r="133" spans="2:8">
      <c r="B133" t="s">
        <v>587</v>
      </c>
      <c r="C133" t="s">
        <v>296</v>
      </c>
      <c r="D133">
        <v>4385</v>
      </c>
      <c r="E133">
        <v>4387</v>
      </c>
      <c r="F133">
        <v>4384</v>
      </c>
      <c r="G133">
        <v>4386</v>
      </c>
      <c r="H133">
        <v>35200</v>
      </c>
    </row>
    <row r="134" spans="2:8">
      <c r="B134" t="s">
        <v>587</v>
      </c>
      <c r="C134" t="s">
        <v>297</v>
      </c>
      <c r="D134">
        <v>4386</v>
      </c>
      <c r="E134">
        <v>4388</v>
      </c>
      <c r="F134">
        <v>4385</v>
      </c>
      <c r="G134">
        <v>4387</v>
      </c>
      <c r="H134">
        <v>23000</v>
      </c>
    </row>
    <row r="135" spans="2:8">
      <c r="B135" t="s">
        <v>587</v>
      </c>
      <c r="C135" t="s">
        <v>298</v>
      </c>
      <c r="D135">
        <v>4387</v>
      </c>
      <c r="E135">
        <v>4390</v>
      </c>
      <c r="F135">
        <v>4387</v>
      </c>
      <c r="G135">
        <v>4390</v>
      </c>
      <c r="H135">
        <v>12700</v>
      </c>
    </row>
    <row r="136" spans="2:8">
      <c r="B136" t="s">
        <v>587</v>
      </c>
      <c r="C136" t="s">
        <v>299</v>
      </c>
      <c r="D136">
        <v>4388</v>
      </c>
      <c r="E136">
        <v>4391</v>
      </c>
      <c r="F136">
        <v>4388</v>
      </c>
      <c r="G136">
        <v>4391</v>
      </c>
      <c r="H136">
        <v>8900</v>
      </c>
    </row>
    <row r="137" spans="2:8">
      <c r="B137" t="s">
        <v>587</v>
      </c>
      <c r="C137" t="s">
        <v>300</v>
      </c>
      <c r="D137">
        <v>4390</v>
      </c>
      <c r="E137">
        <v>4391</v>
      </c>
      <c r="F137">
        <v>4386</v>
      </c>
      <c r="G137">
        <v>4386</v>
      </c>
      <c r="H137">
        <v>42600</v>
      </c>
    </row>
    <row r="138" spans="2:8">
      <c r="B138" t="s">
        <v>587</v>
      </c>
      <c r="C138" t="s">
        <v>301</v>
      </c>
      <c r="D138">
        <v>4387</v>
      </c>
      <c r="E138">
        <v>4387</v>
      </c>
      <c r="F138">
        <v>4382</v>
      </c>
      <c r="G138">
        <v>4383</v>
      </c>
      <c r="H138">
        <v>91400</v>
      </c>
    </row>
    <row r="139" spans="2:8">
      <c r="B139" t="s">
        <v>587</v>
      </c>
      <c r="C139" t="s">
        <v>302</v>
      </c>
      <c r="D139">
        <v>4382</v>
      </c>
      <c r="E139">
        <v>4384</v>
      </c>
      <c r="F139">
        <v>4381</v>
      </c>
      <c r="G139">
        <v>4384</v>
      </c>
      <c r="H139">
        <v>45800</v>
      </c>
    </row>
    <row r="140" spans="2:8">
      <c r="B140" t="s">
        <v>587</v>
      </c>
      <c r="C140" t="s">
        <v>303</v>
      </c>
      <c r="D140">
        <v>4384</v>
      </c>
      <c r="E140">
        <v>4384</v>
      </c>
      <c r="F140">
        <v>4382</v>
      </c>
      <c r="G140">
        <v>4384</v>
      </c>
      <c r="H140">
        <v>23500</v>
      </c>
    </row>
    <row r="141" spans="2:8">
      <c r="B141" t="s">
        <v>587</v>
      </c>
      <c r="C141" t="s">
        <v>304</v>
      </c>
      <c r="D141">
        <v>4384</v>
      </c>
      <c r="E141">
        <v>4386</v>
      </c>
      <c r="F141">
        <v>4383</v>
      </c>
      <c r="G141">
        <v>4386</v>
      </c>
      <c r="H141">
        <v>35200</v>
      </c>
    </row>
    <row r="142" spans="2:8">
      <c r="B142" t="s">
        <v>587</v>
      </c>
      <c r="C142" t="s">
        <v>305</v>
      </c>
      <c r="D142">
        <v>4386</v>
      </c>
      <c r="E142">
        <v>4388</v>
      </c>
      <c r="F142">
        <v>4385</v>
      </c>
      <c r="G142">
        <v>4387</v>
      </c>
      <c r="H142">
        <v>18900</v>
      </c>
    </row>
    <row r="143" spans="2:8">
      <c r="B143" t="s">
        <v>587</v>
      </c>
      <c r="C143" t="s">
        <v>306</v>
      </c>
      <c r="D143">
        <v>4388</v>
      </c>
      <c r="E143">
        <v>4389</v>
      </c>
      <c r="F143">
        <v>4387</v>
      </c>
      <c r="G143">
        <v>4388</v>
      </c>
      <c r="H143">
        <v>9100</v>
      </c>
    </row>
    <row r="144" spans="2:8">
      <c r="B144" t="s">
        <v>587</v>
      </c>
      <c r="C144" t="s">
        <v>307</v>
      </c>
      <c r="D144">
        <v>4389</v>
      </c>
      <c r="E144">
        <v>4390</v>
      </c>
      <c r="F144">
        <v>4387</v>
      </c>
      <c r="G144">
        <v>4387</v>
      </c>
      <c r="H144">
        <v>19900</v>
      </c>
    </row>
    <row r="145" spans="2:8">
      <c r="B145" t="s">
        <v>587</v>
      </c>
      <c r="C145" t="s">
        <v>308</v>
      </c>
      <c r="D145">
        <v>4387</v>
      </c>
      <c r="E145">
        <v>4388</v>
      </c>
      <c r="F145">
        <v>4385</v>
      </c>
      <c r="G145">
        <v>4387</v>
      </c>
      <c r="H145">
        <v>40700</v>
      </c>
    </row>
    <row r="146" spans="2:8">
      <c r="B146" t="s">
        <v>587</v>
      </c>
      <c r="C146" t="s">
        <v>309</v>
      </c>
      <c r="D146">
        <v>4386</v>
      </c>
      <c r="E146">
        <v>4387</v>
      </c>
      <c r="F146">
        <v>4384</v>
      </c>
      <c r="G146">
        <v>4386</v>
      </c>
      <c r="H146">
        <v>28600</v>
      </c>
    </row>
    <row r="147" spans="2:8">
      <c r="B147" t="s">
        <v>587</v>
      </c>
      <c r="C147" t="s">
        <v>310</v>
      </c>
      <c r="D147">
        <v>4387</v>
      </c>
      <c r="E147">
        <v>4388</v>
      </c>
      <c r="F147">
        <v>4385</v>
      </c>
      <c r="G147">
        <v>4387</v>
      </c>
      <c r="H147">
        <v>25100</v>
      </c>
    </row>
    <row r="148" spans="2:8">
      <c r="B148" t="s">
        <v>587</v>
      </c>
      <c r="C148" t="s">
        <v>311</v>
      </c>
      <c r="D148">
        <v>4388</v>
      </c>
      <c r="E148">
        <v>4389</v>
      </c>
      <c r="F148">
        <v>4386</v>
      </c>
      <c r="G148">
        <v>4387</v>
      </c>
      <c r="H148">
        <v>27800</v>
      </c>
    </row>
    <row r="149" spans="2:8">
      <c r="B149" t="s">
        <v>587</v>
      </c>
      <c r="C149" t="s">
        <v>312</v>
      </c>
      <c r="D149">
        <v>4386</v>
      </c>
      <c r="E149">
        <v>4387</v>
      </c>
      <c r="F149">
        <v>4384</v>
      </c>
      <c r="G149">
        <v>4385</v>
      </c>
      <c r="H149">
        <v>33000</v>
      </c>
    </row>
    <row r="150" spans="2:8">
      <c r="B150" t="s">
        <v>587</v>
      </c>
      <c r="C150" t="s">
        <v>313</v>
      </c>
      <c r="D150">
        <v>4385</v>
      </c>
      <c r="E150">
        <v>4385</v>
      </c>
      <c r="F150">
        <v>4382</v>
      </c>
      <c r="G150">
        <v>4383</v>
      </c>
      <c r="H150">
        <v>50200</v>
      </c>
    </row>
    <row r="151" spans="2:8">
      <c r="B151" t="s">
        <v>587</v>
      </c>
      <c r="C151" t="s">
        <v>314</v>
      </c>
      <c r="D151">
        <v>4382</v>
      </c>
      <c r="E151">
        <v>4383</v>
      </c>
      <c r="F151">
        <v>4382</v>
      </c>
      <c r="G151">
        <v>4383</v>
      </c>
      <c r="H151">
        <v>18100</v>
      </c>
    </row>
    <row r="152" spans="2:8">
      <c r="B152" t="s">
        <v>587</v>
      </c>
      <c r="C152" t="s">
        <v>315</v>
      </c>
      <c r="D152">
        <v>4382</v>
      </c>
      <c r="E152">
        <v>4384</v>
      </c>
      <c r="F152">
        <v>4382</v>
      </c>
      <c r="G152">
        <v>4383</v>
      </c>
      <c r="H152">
        <v>13800</v>
      </c>
    </row>
    <row r="153" spans="2:8">
      <c r="B153" t="s">
        <v>587</v>
      </c>
      <c r="C153" t="s">
        <v>316</v>
      </c>
      <c r="D153">
        <v>4383</v>
      </c>
      <c r="E153">
        <v>4383</v>
      </c>
      <c r="F153">
        <v>4383</v>
      </c>
      <c r="G153">
        <v>4383</v>
      </c>
      <c r="H153">
        <v>13800</v>
      </c>
    </row>
    <row r="154" spans="2:8">
      <c r="B154" t="s">
        <v>587</v>
      </c>
      <c r="C154" t="s">
        <v>317</v>
      </c>
      <c r="D154">
        <v>4392</v>
      </c>
      <c r="E154">
        <v>4396</v>
      </c>
      <c r="F154">
        <v>4390</v>
      </c>
      <c r="G154">
        <v>4395</v>
      </c>
      <c r="H154">
        <v>177500</v>
      </c>
    </row>
    <row r="155" spans="2:8">
      <c r="B155" t="s">
        <v>587</v>
      </c>
      <c r="C155" t="s">
        <v>318</v>
      </c>
      <c r="D155">
        <v>4396</v>
      </c>
      <c r="E155">
        <v>4404</v>
      </c>
      <c r="F155">
        <v>4396</v>
      </c>
      <c r="G155">
        <v>4402</v>
      </c>
      <c r="H155">
        <v>124200</v>
      </c>
    </row>
    <row r="156" spans="2:8">
      <c r="B156" t="s">
        <v>587</v>
      </c>
      <c r="C156" t="s">
        <v>319</v>
      </c>
      <c r="D156">
        <v>4402</v>
      </c>
      <c r="E156">
        <v>4411</v>
      </c>
      <c r="F156">
        <v>4401</v>
      </c>
      <c r="G156">
        <v>4410</v>
      </c>
      <c r="H156">
        <v>83200</v>
      </c>
    </row>
    <row r="157" spans="2:8">
      <c r="B157" t="s">
        <v>587</v>
      </c>
      <c r="C157" t="s">
        <v>320</v>
      </c>
      <c r="D157">
        <v>4410</v>
      </c>
      <c r="E157">
        <v>4413</v>
      </c>
      <c r="F157">
        <v>4409</v>
      </c>
      <c r="G157">
        <v>4411</v>
      </c>
      <c r="H157">
        <v>38300</v>
      </c>
    </row>
    <row r="158" spans="2:8">
      <c r="B158" t="s">
        <v>587</v>
      </c>
      <c r="C158" t="s">
        <v>321</v>
      </c>
      <c r="D158">
        <v>4412</v>
      </c>
      <c r="E158">
        <v>4413</v>
      </c>
      <c r="F158">
        <v>4408</v>
      </c>
      <c r="G158">
        <v>4410</v>
      </c>
      <c r="H158">
        <v>65400</v>
      </c>
    </row>
    <row r="159" spans="2:8">
      <c r="B159" t="s">
        <v>587</v>
      </c>
      <c r="C159" t="s">
        <v>322</v>
      </c>
      <c r="D159">
        <v>4410</v>
      </c>
      <c r="E159">
        <v>4415</v>
      </c>
      <c r="F159">
        <v>4407</v>
      </c>
      <c r="G159">
        <v>4415</v>
      </c>
      <c r="H159">
        <v>58100</v>
      </c>
    </row>
    <row r="160" spans="2:8">
      <c r="B160" t="s">
        <v>587</v>
      </c>
      <c r="C160" t="s">
        <v>323</v>
      </c>
      <c r="D160">
        <v>4414</v>
      </c>
      <c r="E160">
        <v>4415</v>
      </c>
      <c r="F160">
        <v>4412</v>
      </c>
      <c r="G160">
        <v>4414</v>
      </c>
      <c r="H160">
        <v>30000</v>
      </c>
    </row>
    <row r="161" spans="2:8">
      <c r="B161" t="s">
        <v>587</v>
      </c>
      <c r="C161" t="s">
        <v>324</v>
      </c>
      <c r="D161">
        <v>4415</v>
      </c>
      <c r="E161">
        <v>4416</v>
      </c>
      <c r="F161">
        <v>4410</v>
      </c>
      <c r="G161">
        <v>4414</v>
      </c>
      <c r="H161">
        <v>30300</v>
      </c>
    </row>
    <row r="162" spans="2:8">
      <c r="B162" t="s">
        <v>587</v>
      </c>
      <c r="C162" t="s">
        <v>325</v>
      </c>
      <c r="D162">
        <v>4413</v>
      </c>
      <c r="E162">
        <v>4415</v>
      </c>
      <c r="F162">
        <v>4413</v>
      </c>
      <c r="G162">
        <v>4413</v>
      </c>
      <c r="H162">
        <v>19600</v>
      </c>
    </row>
    <row r="163" spans="2:8">
      <c r="B163" t="s">
        <v>587</v>
      </c>
      <c r="C163" t="s">
        <v>326</v>
      </c>
      <c r="D163">
        <v>4413</v>
      </c>
      <c r="E163">
        <v>4415</v>
      </c>
      <c r="F163">
        <v>4413</v>
      </c>
      <c r="G163">
        <v>4414</v>
      </c>
      <c r="H163">
        <v>13700</v>
      </c>
    </row>
    <row r="164" spans="2:8">
      <c r="B164" t="s">
        <v>587</v>
      </c>
      <c r="C164" t="s">
        <v>327</v>
      </c>
      <c r="D164">
        <v>4414</v>
      </c>
      <c r="E164">
        <v>4416</v>
      </c>
      <c r="F164">
        <v>4414</v>
      </c>
      <c r="G164">
        <v>4414</v>
      </c>
      <c r="H164">
        <v>31800</v>
      </c>
    </row>
    <row r="165" spans="2:8">
      <c r="B165" t="s">
        <v>587</v>
      </c>
      <c r="C165" t="s">
        <v>328</v>
      </c>
      <c r="D165">
        <v>4414</v>
      </c>
      <c r="E165">
        <v>4414</v>
      </c>
      <c r="F165">
        <v>4412</v>
      </c>
      <c r="G165">
        <v>4413</v>
      </c>
      <c r="H165">
        <v>21600</v>
      </c>
    </row>
    <row r="166" spans="2:8">
      <c r="B166" t="s">
        <v>587</v>
      </c>
      <c r="C166" t="s">
        <v>329</v>
      </c>
      <c r="D166">
        <v>4413</v>
      </c>
      <c r="E166">
        <v>4413</v>
      </c>
      <c r="F166">
        <v>4408</v>
      </c>
      <c r="G166">
        <v>4412</v>
      </c>
      <c r="H166">
        <v>46300</v>
      </c>
    </row>
    <row r="167" spans="2:8">
      <c r="B167" t="s">
        <v>587</v>
      </c>
      <c r="C167" t="s">
        <v>330</v>
      </c>
      <c r="D167">
        <v>4411</v>
      </c>
      <c r="E167">
        <v>4414</v>
      </c>
      <c r="F167">
        <v>4411</v>
      </c>
      <c r="G167">
        <v>4412</v>
      </c>
      <c r="H167">
        <v>38400</v>
      </c>
    </row>
    <row r="168" spans="2:8">
      <c r="B168" t="s">
        <v>587</v>
      </c>
      <c r="C168" t="s">
        <v>331</v>
      </c>
      <c r="D168">
        <v>4414</v>
      </c>
      <c r="E168">
        <v>4414</v>
      </c>
      <c r="F168">
        <v>4412</v>
      </c>
      <c r="G168">
        <v>4414</v>
      </c>
      <c r="H168">
        <v>13900</v>
      </c>
    </row>
    <row r="169" spans="2:8">
      <c r="B169" t="s">
        <v>587</v>
      </c>
      <c r="C169" t="s">
        <v>332</v>
      </c>
      <c r="D169">
        <v>4414</v>
      </c>
      <c r="E169">
        <v>4415</v>
      </c>
      <c r="F169">
        <v>4413</v>
      </c>
      <c r="G169">
        <v>4414</v>
      </c>
      <c r="H169">
        <v>14100</v>
      </c>
    </row>
    <row r="170" spans="2:8">
      <c r="B170" t="s">
        <v>587</v>
      </c>
      <c r="C170" t="s">
        <v>333</v>
      </c>
      <c r="D170">
        <v>4413</v>
      </c>
      <c r="E170">
        <v>4415</v>
      </c>
      <c r="F170">
        <v>4413</v>
      </c>
      <c r="G170">
        <v>4415</v>
      </c>
      <c r="H170">
        <v>15200</v>
      </c>
    </row>
    <row r="171" spans="2:8">
      <c r="B171" t="s">
        <v>587</v>
      </c>
      <c r="C171" t="s">
        <v>334</v>
      </c>
      <c r="D171">
        <v>4416</v>
      </c>
      <c r="E171">
        <v>4416</v>
      </c>
      <c r="F171">
        <v>4415</v>
      </c>
      <c r="G171">
        <v>4416</v>
      </c>
      <c r="H171">
        <v>7600</v>
      </c>
    </row>
    <row r="172" spans="2:8">
      <c r="B172" t="s">
        <v>587</v>
      </c>
      <c r="C172" t="s">
        <v>335</v>
      </c>
      <c r="D172">
        <v>4416</v>
      </c>
      <c r="E172">
        <v>4416</v>
      </c>
      <c r="F172">
        <v>4413</v>
      </c>
      <c r="G172">
        <v>4415</v>
      </c>
      <c r="H172">
        <v>23200</v>
      </c>
    </row>
    <row r="173" spans="2:8">
      <c r="B173" t="s">
        <v>587</v>
      </c>
      <c r="C173" t="s">
        <v>336</v>
      </c>
      <c r="D173">
        <v>4414</v>
      </c>
      <c r="E173">
        <v>4415</v>
      </c>
      <c r="F173">
        <v>4413</v>
      </c>
      <c r="G173">
        <v>4415</v>
      </c>
      <c r="H173">
        <v>17600</v>
      </c>
    </row>
    <row r="174" spans="2:8">
      <c r="B174" t="s">
        <v>587</v>
      </c>
      <c r="C174" t="s">
        <v>337</v>
      </c>
      <c r="D174">
        <v>4415</v>
      </c>
      <c r="E174">
        <v>4416</v>
      </c>
      <c r="F174">
        <v>4414</v>
      </c>
      <c r="G174">
        <v>4414</v>
      </c>
      <c r="H174">
        <v>10200</v>
      </c>
    </row>
    <row r="175" spans="2:8">
      <c r="B175" t="s">
        <v>587</v>
      </c>
      <c r="C175" t="s">
        <v>338</v>
      </c>
      <c r="D175">
        <v>4414</v>
      </c>
      <c r="E175">
        <v>4418</v>
      </c>
      <c r="F175">
        <v>4414</v>
      </c>
      <c r="G175">
        <v>4416</v>
      </c>
      <c r="H175">
        <v>37600</v>
      </c>
    </row>
    <row r="176" spans="2:8">
      <c r="B176" t="s">
        <v>587</v>
      </c>
      <c r="C176" t="s">
        <v>339</v>
      </c>
      <c r="D176">
        <v>4415</v>
      </c>
      <c r="E176">
        <v>4419</v>
      </c>
      <c r="F176">
        <v>4415</v>
      </c>
      <c r="G176">
        <v>4419</v>
      </c>
      <c r="H176">
        <v>20400</v>
      </c>
    </row>
    <row r="177" spans="2:8">
      <c r="B177" t="s">
        <v>587</v>
      </c>
      <c r="C177" t="s">
        <v>340</v>
      </c>
      <c r="D177">
        <v>4419</v>
      </c>
      <c r="E177">
        <v>4420</v>
      </c>
      <c r="F177">
        <v>4419</v>
      </c>
      <c r="G177">
        <v>4420</v>
      </c>
      <c r="H177">
        <v>24200</v>
      </c>
    </row>
    <row r="178" spans="2:8">
      <c r="B178" t="s">
        <v>587</v>
      </c>
      <c r="C178" t="s">
        <v>341</v>
      </c>
      <c r="D178">
        <v>4420</v>
      </c>
      <c r="E178">
        <v>4420</v>
      </c>
      <c r="F178">
        <v>4418</v>
      </c>
      <c r="G178">
        <v>4419</v>
      </c>
      <c r="H178">
        <v>28000</v>
      </c>
    </row>
    <row r="179" spans="2:8">
      <c r="B179" t="s">
        <v>587</v>
      </c>
      <c r="C179" t="s">
        <v>342</v>
      </c>
      <c r="D179">
        <v>4419</v>
      </c>
      <c r="E179">
        <v>4423</v>
      </c>
      <c r="F179">
        <v>4419</v>
      </c>
      <c r="G179">
        <v>4422</v>
      </c>
      <c r="H179">
        <v>41600</v>
      </c>
    </row>
    <row r="180" spans="2:8">
      <c r="B180" t="s">
        <v>587</v>
      </c>
      <c r="C180" t="s">
        <v>343</v>
      </c>
      <c r="D180">
        <v>4422</v>
      </c>
      <c r="E180">
        <v>4423</v>
      </c>
      <c r="F180">
        <v>4419</v>
      </c>
      <c r="G180">
        <v>4420</v>
      </c>
      <c r="H180">
        <v>30000</v>
      </c>
    </row>
    <row r="181" spans="2:8">
      <c r="B181" t="s">
        <v>587</v>
      </c>
      <c r="C181" t="s">
        <v>344</v>
      </c>
      <c r="D181">
        <v>4419</v>
      </c>
      <c r="E181">
        <v>4421</v>
      </c>
      <c r="F181">
        <v>4417</v>
      </c>
      <c r="G181">
        <v>4421</v>
      </c>
      <c r="H181">
        <v>12900</v>
      </c>
    </row>
    <row r="182" spans="2:8">
      <c r="B182" t="s">
        <v>587</v>
      </c>
      <c r="C182" t="s">
        <v>345</v>
      </c>
      <c r="D182">
        <v>4422</v>
      </c>
      <c r="E182">
        <v>4423</v>
      </c>
      <c r="F182">
        <v>4421</v>
      </c>
      <c r="G182">
        <v>4422</v>
      </c>
      <c r="H182">
        <v>14200</v>
      </c>
    </row>
    <row r="183" spans="2:8">
      <c r="B183" t="s">
        <v>587</v>
      </c>
      <c r="C183" t="s">
        <v>346</v>
      </c>
      <c r="D183">
        <v>4423</v>
      </c>
      <c r="E183">
        <v>4423</v>
      </c>
      <c r="F183">
        <v>4421</v>
      </c>
      <c r="G183">
        <v>4421</v>
      </c>
      <c r="H183">
        <v>7300</v>
      </c>
    </row>
    <row r="184" spans="2:8">
      <c r="B184" t="s">
        <v>587</v>
      </c>
      <c r="C184" t="s">
        <v>347</v>
      </c>
      <c r="D184">
        <v>4421</v>
      </c>
      <c r="E184">
        <v>4423</v>
      </c>
      <c r="F184">
        <v>4417</v>
      </c>
      <c r="G184">
        <v>4418</v>
      </c>
      <c r="H184">
        <v>40500</v>
      </c>
    </row>
    <row r="185" spans="2:8">
      <c r="B185" t="s">
        <v>587</v>
      </c>
      <c r="C185" t="s">
        <v>348</v>
      </c>
      <c r="D185">
        <v>4419</v>
      </c>
      <c r="E185">
        <v>4421</v>
      </c>
      <c r="F185">
        <v>4418</v>
      </c>
      <c r="G185">
        <v>4421</v>
      </c>
      <c r="H185">
        <v>9500</v>
      </c>
    </row>
    <row r="186" spans="2:8">
      <c r="B186" t="s">
        <v>587</v>
      </c>
      <c r="C186" t="s">
        <v>349</v>
      </c>
      <c r="D186">
        <v>4421</v>
      </c>
      <c r="E186">
        <v>4425</v>
      </c>
      <c r="F186">
        <v>4417</v>
      </c>
      <c r="G186">
        <v>4424</v>
      </c>
      <c r="H186">
        <v>63500</v>
      </c>
    </row>
    <row r="187" spans="2:8">
      <c r="B187" t="s">
        <v>587</v>
      </c>
      <c r="C187" t="s">
        <v>350</v>
      </c>
      <c r="D187">
        <v>4424</v>
      </c>
      <c r="E187">
        <v>4426</v>
      </c>
      <c r="F187">
        <v>4421</v>
      </c>
      <c r="G187">
        <v>4422</v>
      </c>
      <c r="H187">
        <v>21000</v>
      </c>
    </row>
    <row r="188" spans="2:8">
      <c r="B188" t="s">
        <v>587</v>
      </c>
      <c r="C188" t="s">
        <v>351</v>
      </c>
      <c r="D188">
        <v>4422</v>
      </c>
      <c r="E188">
        <v>4423</v>
      </c>
      <c r="F188">
        <v>4418</v>
      </c>
      <c r="G188">
        <v>4420</v>
      </c>
      <c r="H188">
        <v>31800</v>
      </c>
    </row>
    <row r="189" spans="2:8">
      <c r="B189" t="s">
        <v>587</v>
      </c>
      <c r="C189" t="s">
        <v>352</v>
      </c>
      <c r="D189">
        <v>4421</v>
      </c>
      <c r="E189">
        <v>4424</v>
      </c>
      <c r="F189">
        <v>4421</v>
      </c>
      <c r="G189">
        <v>4424</v>
      </c>
      <c r="H189">
        <v>21600</v>
      </c>
    </row>
    <row r="190" spans="2:8">
      <c r="B190" t="s">
        <v>587</v>
      </c>
      <c r="C190" t="s">
        <v>353</v>
      </c>
      <c r="D190">
        <v>4423</v>
      </c>
      <c r="E190">
        <v>4424</v>
      </c>
      <c r="F190">
        <v>4421</v>
      </c>
      <c r="G190">
        <v>4422</v>
      </c>
      <c r="H190">
        <v>11000</v>
      </c>
    </row>
    <row r="191" spans="2:8">
      <c r="B191" t="s">
        <v>587</v>
      </c>
      <c r="C191" t="s">
        <v>354</v>
      </c>
      <c r="D191">
        <v>4422</v>
      </c>
      <c r="E191">
        <v>4423</v>
      </c>
      <c r="F191">
        <v>4421</v>
      </c>
      <c r="G191">
        <v>4423</v>
      </c>
      <c r="H191">
        <v>11000</v>
      </c>
    </row>
    <row r="192" spans="2:8">
      <c r="B192" t="s">
        <v>587</v>
      </c>
      <c r="C192" t="s">
        <v>355</v>
      </c>
      <c r="D192">
        <v>4424</v>
      </c>
      <c r="E192">
        <v>4427</v>
      </c>
      <c r="F192">
        <v>4423</v>
      </c>
      <c r="G192">
        <v>4423</v>
      </c>
      <c r="H192">
        <v>81200</v>
      </c>
    </row>
    <row r="193" spans="2:8">
      <c r="B193" t="s">
        <v>587</v>
      </c>
      <c r="C193" t="s">
        <v>356</v>
      </c>
      <c r="D193">
        <v>4423</v>
      </c>
      <c r="E193">
        <v>4424</v>
      </c>
      <c r="F193">
        <v>4422</v>
      </c>
      <c r="G193">
        <v>4423</v>
      </c>
      <c r="H193">
        <v>5400</v>
      </c>
    </row>
    <row r="194" spans="2:8">
      <c r="B194" t="s">
        <v>587</v>
      </c>
      <c r="C194" t="s">
        <v>357</v>
      </c>
      <c r="D194">
        <v>4424</v>
      </c>
      <c r="E194">
        <v>4426</v>
      </c>
      <c r="F194">
        <v>4422</v>
      </c>
      <c r="G194">
        <v>4425</v>
      </c>
      <c r="H194">
        <v>41300</v>
      </c>
    </row>
    <row r="195" spans="2:8">
      <c r="B195" t="s">
        <v>587</v>
      </c>
      <c r="C195" t="s">
        <v>358</v>
      </c>
      <c r="D195">
        <v>4426</v>
      </c>
      <c r="E195">
        <v>4429</v>
      </c>
      <c r="F195">
        <v>4426</v>
      </c>
      <c r="G195">
        <v>4428</v>
      </c>
      <c r="H195">
        <v>28800</v>
      </c>
    </row>
    <row r="196" spans="2:8">
      <c r="B196" t="s">
        <v>587</v>
      </c>
      <c r="C196" t="s">
        <v>359</v>
      </c>
      <c r="D196">
        <v>4427</v>
      </c>
      <c r="E196">
        <v>4428</v>
      </c>
      <c r="F196">
        <v>4426</v>
      </c>
      <c r="G196">
        <v>4428</v>
      </c>
      <c r="H196">
        <v>10700</v>
      </c>
    </row>
    <row r="197" spans="2:8">
      <c r="B197" t="s">
        <v>587</v>
      </c>
      <c r="C197" t="s">
        <v>360</v>
      </c>
      <c r="D197">
        <v>4428</v>
      </c>
      <c r="E197">
        <v>4429</v>
      </c>
      <c r="F197">
        <v>4427</v>
      </c>
      <c r="G197">
        <v>4427</v>
      </c>
      <c r="H197">
        <v>11300</v>
      </c>
    </row>
    <row r="198" spans="2:8">
      <c r="B198" t="s">
        <v>587</v>
      </c>
      <c r="C198" t="s">
        <v>361</v>
      </c>
      <c r="D198">
        <v>4428</v>
      </c>
      <c r="E198">
        <v>4429</v>
      </c>
      <c r="F198">
        <v>4428</v>
      </c>
      <c r="G198">
        <v>4428</v>
      </c>
      <c r="H198">
        <v>3500</v>
      </c>
    </row>
    <row r="199" spans="2:8">
      <c r="B199" t="s">
        <v>587</v>
      </c>
      <c r="C199" t="s">
        <v>362</v>
      </c>
      <c r="D199">
        <v>4429</v>
      </c>
      <c r="E199">
        <v>4430</v>
      </c>
      <c r="F199">
        <v>4427</v>
      </c>
      <c r="G199">
        <v>4430</v>
      </c>
      <c r="H199">
        <v>37300</v>
      </c>
    </row>
    <row r="200" spans="2:8">
      <c r="B200" t="s">
        <v>587</v>
      </c>
      <c r="C200" t="s">
        <v>363</v>
      </c>
      <c r="D200">
        <v>4430</v>
      </c>
      <c r="E200">
        <v>4435</v>
      </c>
      <c r="F200">
        <v>4430</v>
      </c>
      <c r="G200">
        <v>4434</v>
      </c>
      <c r="H200">
        <v>42600</v>
      </c>
    </row>
    <row r="201" spans="2:8">
      <c r="B201" t="s">
        <v>587</v>
      </c>
      <c r="C201" t="s">
        <v>364</v>
      </c>
      <c r="D201">
        <v>4435</v>
      </c>
      <c r="E201">
        <v>4437</v>
      </c>
      <c r="F201">
        <v>4434</v>
      </c>
      <c r="G201">
        <v>4435</v>
      </c>
      <c r="H201">
        <v>27700</v>
      </c>
    </row>
    <row r="202" spans="2:8">
      <c r="B202" t="s">
        <v>587</v>
      </c>
      <c r="C202" t="s">
        <v>365</v>
      </c>
      <c r="D202">
        <v>4436</v>
      </c>
      <c r="E202">
        <v>4437</v>
      </c>
      <c r="F202">
        <v>4434</v>
      </c>
      <c r="G202">
        <v>4437</v>
      </c>
      <c r="H202">
        <v>21900</v>
      </c>
    </row>
    <row r="203" spans="2:8">
      <c r="B203" t="s">
        <v>587</v>
      </c>
      <c r="C203" t="s">
        <v>366</v>
      </c>
      <c r="D203">
        <v>4437</v>
      </c>
      <c r="E203">
        <v>4439</v>
      </c>
      <c r="F203">
        <v>4437</v>
      </c>
      <c r="G203">
        <v>4438</v>
      </c>
      <c r="H203">
        <v>20100</v>
      </c>
    </row>
    <row r="204" spans="2:8">
      <c r="B204" t="s">
        <v>587</v>
      </c>
      <c r="C204" t="s">
        <v>367</v>
      </c>
      <c r="D204">
        <v>4438</v>
      </c>
      <c r="E204">
        <v>4438</v>
      </c>
      <c r="F204">
        <v>4433</v>
      </c>
      <c r="G204">
        <v>4433</v>
      </c>
      <c r="H204">
        <v>22700</v>
      </c>
    </row>
    <row r="205" spans="2:8">
      <c r="B205" t="s">
        <v>587</v>
      </c>
      <c r="C205" t="s">
        <v>368</v>
      </c>
      <c r="D205">
        <v>4435</v>
      </c>
      <c r="E205">
        <v>4438</v>
      </c>
      <c r="F205">
        <v>4434</v>
      </c>
      <c r="G205">
        <v>4438</v>
      </c>
      <c r="H205">
        <v>14500</v>
      </c>
    </row>
    <row r="206" spans="2:8">
      <c r="B206" t="s">
        <v>587</v>
      </c>
      <c r="C206" t="s">
        <v>369</v>
      </c>
      <c r="D206">
        <v>4437</v>
      </c>
      <c r="E206">
        <v>4438</v>
      </c>
      <c r="F206">
        <v>4436</v>
      </c>
      <c r="G206">
        <v>4437</v>
      </c>
      <c r="H206">
        <v>5800</v>
      </c>
    </row>
    <row r="207" spans="2:8">
      <c r="B207" t="s">
        <v>587</v>
      </c>
      <c r="C207" t="s">
        <v>370</v>
      </c>
      <c r="D207">
        <v>4438</v>
      </c>
      <c r="E207">
        <v>4439</v>
      </c>
      <c r="F207">
        <v>4437</v>
      </c>
      <c r="G207">
        <v>4438</v>
      </c>
      <c r="H207">
        <v>16300</v>
      </c>
    </row>
    <row r="208" spans="2:8">
      <c r="B208" t="s">
        <v>587</v>
      </c>
      <c r="C208" t="s">
        <v>371</v>
      </c>
      <c r="D208">
        <v>4438</v>
      </c>
      <c r="E208">
        <v>4438</v>
      </c>
      <c r="F208">
        <v>4437</v>
      </c>
      <c r="G208">
        <v>4438</v>
      </c>
      <c r="H208">
        <v>5900</v>
      </c>
    </row>
    <row r="209" spans="2:8">
      <c r="B209" t="s">
        <v>587</v>
      </c>
      <c r="C209" t="s">
        <v>372</v>
      </c>
      <c r="D209">
        <v>4438</v>
      </c>
      <c r="E209">
        <v>4438</v>
      </c>
      <c r="F209">
        <v>4435</v>
      </c>
      <c r="G209">
        <v>4436</v>
      </c>
      <c r="H209">
        <v>20000</v>
      </c>
    </row>
    <row r="210" spans="2:8">
      <c r="B210" t="s">
        <v>587</v>
      </c>
      <c r="C210" t="s">
        <v>373</v>
      </c>
      <c r="D210">
        <v>4436</v>
      </c>
      <c r="E210">
        <v>4437</v>
      </c>
      <c r="F210">
        <v>4434</v>
      </c>
      <c r="G210">
        <v>4434</v>
      </c>
      <c r="H210">
        <v>24800</v>
      </c>
    </row>
    <row r="211" spans="2:8">
      <c r="B211" t="s">
        <v>587</v>
      </c>
      <c r="C211" t="s">
        <v>374</v>
      </c>
      <c r="D211">
        <v>4436</v>
      </c>
      <c r="E211">
        <v>4436</v>
      </c>
      <c r="F211">
        <v>4434</v>
      </c>
      <c r="G211">
        <v>4436</v>
      </c>
      <c r="H211">
        <v>7800</v>
      </c>
    </row>
    <row r="212" spans="2:8">
      <c r="B212" t="s">
        <v>587</v>
      </c>
      <c r="C212" t="s">
        <v>375</v>
      </c>
      <c r="D212">
        <v>4437</v>
      </c>
      <c r="E212">
        <v>4438</v>
      </c>
      <c r="F212">
        <v>4436</v>
      </c>
      <c r="G212">
        <v>4438</v>
      </c>
      <c r="H212">
        <v>10600</v>
      </c>
    </row>
    <row r="213" spans="2:8">
      <c r="B213" t="s">
        <v>587</v>
      </c>
      <c r="C213" t="s">
        <v>376</v>
      </c>
      <c r="D213">
        <v>4438</v>
      </c>
      <c r="E213">
        <v>4439</v>
      </c>
      <c r="F213">
        <v>4435</v>
      </c>
      <c r="G213">
        <v>4437</v>
      </c>
      <c r="H213">
        <v>34000</v>
      </c>
    </row>
    <row r="214" spans="2:8">
      <c r="B214" t="s">
        <v>587</v>
      </c>
      <c r="C214" t="s">
        <v>377</v>
      </c>
      <c r="D214">
        <v>4439</v>
      </c>
      <c r="E214">
        <v>4441</v>
      </c>
      <c r="F214">
        <v>4439</v>
      </c>
      <c r="G214">
        <v>4440</v>
      </c>
      <c r="H214">
        <v>40400</v>
      </c>
    </row>
    <row r="215" spans="2:8">
      <c r="B215" t="s">
        <v>587</v>
      </c>
      <c r="C215" t="s">
        <v>378</v>
      </c>
      <c r="D215">
        <v>4440</v>
      </c>
      <c r="E215">
        <v>4442</v>
      </c>
      <c r="F215">
        <v>4439</v>
      </c>
      <c r="G215">
        <v>4440</v>
      </c>
      <c r="H215">
        <v>12300</v>
      </c>
    </row>
    <row r="216" spans="2:8">
      <c r="B216" t="s">
        <v>587</v>
      </c>
      <c r="C216" t="s">
        <v>379</v>
      </c>
      <c r="D216">
        <v>4439</v>
      </c>
      <c r="E216">
        <v>4439</v>
      </c>
      <c r="F216">
        <v>4436</v>
      </c>
      <c r="G216">
        <v>4439</v>
      </c>
      <c r="H216">
        <v>27200</v>
      </c>
    </row>
    <row r="217" spans="2:8">
      <c r="B217" t="s">
        <v>587</v>
      </c>
      <c r="C217" t="s">
        <v>380</v>
      </c>
      <c r="D217">
        <v>4438</v>
      </c>
      <c r="E217">
        <v>4439</v>
      </c>
      <c r="F217">
        <v>4437</v>
      </c>
      <c r="G217">
        <v>4437</v>
      </c>
      <c r="H217">
        <v>6000</v>
      </c>
    </row>
    <row r="218" spans="2:8">
      <c r="B218" t="s">
        <v>587</v>
      </c>
      <c r="C218" t="s">
        <v>381</v>
      </c>
      <c r="D218">
        <v>4438</v>
      </c>
      <c r="E218">
        <v>4439</v>
      </c>
      <c r="F218">
        <v>4437</v>
      </c>
      <c r="G218">
        <v>4439</v>
      </c>
      <c r="H218">
        <v>14300</v>
      </c>
    </row>
    <row r="219" spans="2:8">
      <c r="B219" t="s">
        <v>587</v>
      </c>
      <c r="C219" t="s">
        <v>382</v>
      </c>
      <c r="D219">
        <v>4439</v>
      </c>
      <c r="E219">
        <v>4441</v>
      </c>
      <c r="F219">
        <v>4439</v>
      </c>
      <c r="G219">
        <v>4441</v>
      </c>
      <c r="H219">
        <v>11500</v>
      </c>
    </row>
    <row r="220" spans="2:8">
      <c r="B220" t="s">
        <v>587</v>
      </c>
      <c r="C220" t="s">
        <v>383</v>
      </c>
      <c r="D220">
        <v>4441</v>
      </c>
      <c r="E220">
        <v>4443</v>
      </c>
      <c r="F220">
        <v>4441</v>
      </c>
      <c r="G220">
        <v>4442</v>
      </c>
      <c r="H220">
        <v>26000</v>
      </c>
    </row>
    <row r="221" spans="2:8">
      <c r="B221" t="s">
        <v>587</v>
      </c>
      <c r="C221" t="s">
        <v>384</v>
      </c>
      <c r="D221">
        <v>4443</v>
      </c>
      <c r="E221">
        <v>4443</v>
      </c>
      <c r="F221">
        <v>4441</v>
      </c>
      <c r="G221">
        <v>4442</v>
      </c>
      <c r="H221">
        <v>10700</v>
      </c>
    </row>
    <row r="222" spans="2:8">
      <c r="B222" t="s">
        <v>587</v>
      </c>
      <c r="C222" t="s">
        <v>385</v>
      </c>
      <c r="D222">
        <v>4442</v>
      </c>
      <c r="E222">
        <v>4442</v>
      </c>
      <c r="F222">
        <v>4440</v>
      </c>
      <c r="G222">
        <v>4441</v>
      </c>
      <c r="H222">
        <v>8900</v>
      </c>
    </row>
    <row r="223" spans="2:8">
      <c r="B223" t="s">
        <v>587</v>
      </c>
      <c r="C223" t="s">
        <v>386</v>
      </c>
      <c r="D223">
        <v>4442</v>
      </c>
      <c r="E223">
        <v>4443</v>
      </c>
      <c r="F223">
        <v>4441</v>
      </c>
      <c r="G223">
        <v>4441</v>
      </c>
      <c r="H223">
        <v>5500</v>
      </c>
    </row>
    <row r="224" spans="2:8">
      <c r="B224" t="s">
        <v>587</v>
      </c>
      <c r="C224" t="s">
        <v>387</v>
      </c>
      <c r="D224">
        <v>4442</v>
      </c>
      <c r="E224">
        <v>4444</v>
      </c>
      <c r="F224">
        <v>4442</v>
      </c>
      <c r="G224">
        <v>4442</v>
      </c>
      <c r="H224">
        <v>17500</v>
      </c>
    </row>
    <row r="225" spans="2:8">
      <c r="B225" t="s">
        <v>587</v>
      </c>
      <c r="C225" t="s">
        <v>388</v>
      </c>
      <c r="D225">
        <v>4442</v>
      </c>
      <c r="E225">
        <v>4442</v>
      </c>
      <c r="F225">
        <v>4438</v>
      </c>
      <c r="G225">
        <v>4438</v>
      </c>
      <c r="H225">
        <v>31100</v>
      </c>
    </row>
    <row r="226" spans="2:8">
      <c r="B226" t="s">
        <v>587</v>
      </c>
      <c r="C226" t="s">
        <v>389</v>
      </c>
      <c r="D226">
        <v>4438</v>
      </c>
      <c r="E226">
        <v>4441</v>
      </c>
      <c r="F226">
        <v>4438</v>
      </c>
      <c r="G226">
        <v>4441</v>
      </c>
      <c r="H226">
        <v>17500</v>
      </c>
    </row>
    <row r="227" spans="2:8">
      <c r="B227" t="s">
        <v>587</v>
      </c>
      <c r="C227" t="s">
        <v>390</v>
      </c>
      <c r="D227">
        <v>4441</v>
      </c>
      <c r="E227">
        <v>4441</v>
      </c>
      <c r="F227">
        <v>4437</v>
      </c>
      <c r="G227">
        <v>4437</v>
      </c>
      <c r="H227">
        <v>21100</v>
      </c>
    </row>
    <row r="228" spans="2:8">
      <c r="B228" t="s">
        <v>587</v>
      </c>
      <c r="C228" t="s">
        <v>391</v>
      </c>
      <c r="D228">
        <v>4438</v>
      </c>
      <c r="E228">
        <v>4439</v>
      </c>
      <c r="F228">
        <v>4436</v>
      </c>
      <c r="G228">
        <v>4437</v>
      </c>
      <c r="H228">
        <v>10300</v>
      </c>
    </row>
    <row r="229" spans="2:8">
      <c r="B229" t="s">
        <v>587</v>
      </c>
      <c r="C229" t="s">
        <v>392</v>
      </c>
      <c r="D229">
        <v>4438</v>
      </c>
      <c r="E229">
        <v>4439</v>
      </c>
      <c r="F229">
        <v>4436</v>
      </c>
      <c r="G229">
        <v>4438</v>
      </c>
      <c r="H229">
        <v>8500</v>
      </c>
    </row>
    <row r="230" spans="2:8">
      <c r="B230" t="s">
        <v>587</v>
      </c>
      <c r="C230" t="s">
        <v>393</v>
      </c>
      <c r="D230">
        <v>4439</v>
      </c>
      <c r="E230">
        <v>4439</v>
      </c>
      <c r="F230">
        <v>4438</v>
      </c>
      <c r="G230">
        <v>4438</v>
      </c>
      <c r="H230">
        <v>4200</v>
      </c>
    </row>
    <row r="231" spans="2:8">
      <c r="B231" t="s">
        <v>587</v>
      </c>
      <c r="C231" t="s">
        <v>394</v>
      </c>
      <c r="D231">
        <v>4439</v>
      </c>
      <c r="E231">
        <v>4439</v>
      </c>
      <c r="F231">
        <v>4438</v>
      </c>
      <c r="G231">
        <v>4438</v>
      </c>
      <c r="H231">
        <v>4100</v>
      </c>
    </row>
    <row r="232" spans="2:8">
      <c r="B232" t="s">
        <v>587</v>
      </c>
      <c r="C232" t="s">
        <v>395</v>
      </c>
      <c r="D232">
        <v>4439</v>
      </c>
      <c r="E232">
        <v>4439</v>
      </c>
      <c r="F232">
        <v>4438</v>
      </c>
      <c r="G232">
        <v>4438</v>
      </c>
      <c r="H232">
        <v>7900</v>
      </c>
    </row>
    <row r="233" spans="2:8">
      <c r="B233" t="s">
        <v>587</v>
      </c>
      <c r="C233" t="s">
        <v>396</v>
      </c>
      <c r="D233">
        <v>4439</v>
      </c>
      <c r="E233">
        <v>4440</v>
      </c>
      <c r="F233">
        <v>4438</v>
      </c>
      <c r="G233">
        <v>4440</v>
      </c>
      <c r="H233">
        <v>3000</v>
      </c>
    </row>
    <row r="234" spans="2:8">
      <c r="B234" t="s">
        <v>587</v>
      </c>
      <c r="C234" t="s">
        <v>397</v>
      </c>
      <c r="D234">
        <v>4439</v>
      </c>
      <c r="E234">
        <v>4441</v>
      </c>
      <c r="F234">
        <v>4439</v>
      </c>
      <c r="G234">
        <v>4440</v>
      </c>
      <c r="H234">
        <v>8700</v>
      </c>
    </row>
    <row r="235" spans="2:8">
      <c r="B235" t="s">
        <v>587</v>
      </c>
      <c r="C235" t="s">
        <v>398</v>
      </c>
      <c r="D235">
        <v>4440</v>
      </c>
      <c r="E235">
        <v>4441</v>
      </c>
      <c r="F235">
        <v>4440</v>
      </c>
      <c r="G235">
        <v>4441</v>
      </c>
      <c r="H235">
        <v>10700</v>
      </c>
    </row>
    <row r="236" spans="2:8">
      <c r="B236" t="s">
        <v>587</v>
      </c>
      <c r="C236" t="s">
        <v>399</v>
      </c>
      <c r="D236">
        <v>4441</v>
      </c>
      <c r="E236">
        <v>4443</v>
      </c>
      <c r="F236">
        <v>4441</v>
      </c>
      <c r="G236">
        <v>4442</v>
      </c>
      <c r="H236">
        <v>19300</v>
      </c>
    </row>
    <row r="237" spans="2:8">
      <c r="B237" t="s">
        <v>587</v>
      </c>
      <c r="C237" t="s">
        <v>400</v>
      </c>
      <c r="D237">
        <v>4442</v>
      </c>
      <c r="E237">
        <v>4443</v>
      </c>
      <c r="F237">
        <v>4439</v>
      </c>
      <c r="G237">
        <v>4440</v>
      </c>
      <c r="H237">
        <v>17600</v>
      </c>
    </row>
    <row r="238" spans="2:8">
      <c r="B238" t="s">
        <v>587</v>
      </c>
      <c r="C238" t="s">
        <v>401</v>
      </c>
      <c r="D238">
        <v>4440</v>
      </c>
      <c r="E238">
        <v>4441</v>
      </c>
      <c r="F238">
        <v>4440</v>
      </c>
      <c r="G238">
        <v>4441</v>
      </c>
      <c r="H238">
        <v>3700</v>
      </c>
    </row>
    <row r="239" spans="2:8">
      <c r="B239" t="s">
        <v>587</v>
      </c>
      <c r="C239" t="s">
        <v>402</v>
      </c>
      <c r="D239">
        <v>4441</v>
      </c>
      <c r="E239">
        <v>4441</v>
      </c>
      <c r="F239">
        <v>4441</v>
      </c>
      <c r="G239">
        <v>4441</v>
      </c>
      <c r="H239">
        <v>3700</v>
      </c>
    </row>
    <row r="240" spans="2:8">
      <c r="B240" t="s">
        <v>587</v>
      </c>
      <c r="C240" t="s">
        <v>403</v>
      </c>
      <c r="D240">
        <v>4441</v>
      </c>
      <c r="E240">
        <v>4442</v>
      </c>
      <c r="F240">
        <v>4440</v>
      </c>
      <c r="G240">
        <v>4440</v>
      </c>
      <c r="H240">
        <v>3600</v>
      </c>
    </row>
    <row r="241" spans="2:8">
      <c r="B241" t="s">
        <v>587</v>
      </c>
      <c r="C241" t="s">
        <v>404</v>
      </c>
      <c r="D241">
        <v>4441</v>
      </c>
      <c r="E241">
        <v>4443</v>
      </c>
      <c r="F241">
        <v>4441</v>
      </c>
      <c r="G241">
        <v>4443</v>
      </c>
      <c r="H241">
        <v>16700</v>
      </c>
    </row>
    <row r="242" spans="2:8">
      <c r="B242" t="s">
        <v>587</v>
      </c>
      <c r="C242" t="s">
        <v>405</v>
      </c>
      <c r="D242">
        <v>4443</v>
      </c>
      <c r="E242">
        <v>4443</v>
      </c>
      <c r="F242">
        <v>4442</v>
      </c>
      <c r="G242">
        <v>4442</v>
      </c>
      <c r="H242">
        <v>2800</v>
      </c>
    </row>
    <row r="243" spans="2:8">
      <c r="B243" t="s">
        <v>587</v>
      </c>
      <c r="C243" t="s">
        <v>406</v>
      </c>
      <c r="D243">
        <v>4442</v>
      </c>
      <c r="E243">
        <v>4443</v>
      </c>
      <c r="F243">
        <v>4442</v>
      </c>
      <c r="G243">
        <v>4443</v>
      </c>
      <c r="H243">
        <v>5100</v>
      </c>
    </row>
    <row r="244" spans="2:8">
      <c r="B244" t="s">
        <v>587</v>
      </c>
      <c r="C244" t="s">
        <v>407</v>
      </c>
      <c r="D244">
        <v>4443</v>
      </c>
      <c r="E244">
        <v>4444</v>
      </c>
      <c r="F244">
        <v>4443</v>
      </c>
      <c r="G244">
        <v>4443</v>
      </c>
      <c r="H244">
        <v>7300</v>
      </c>
    </row>
    <row r="245" spans="2:8">
      <c r="B245" t="s">
        <v>587</v>
      </c>
      <c r="C245" t="s">
        <v>408</v>
      </c>
      <c r="D245">
        <v>4443</v>
      </c>
      <c r="E245">
        <v>4444</v>
      </c>
      <c r="F245">
        <v>4442</v>
      </c>
      <c r="G245">
        <v>4444</v>
      </c>
      <c r="H245">
        <v>26200</v>
      </c>
    </row>
    <row r="246" spans="2:8">
      <c r="B246" t="s">
        <v>587</v>
      </c>
      <c r="C246" t="s">
        <v>409</v>
      </c>
      <c r="D246">
        <v>4444</v>
      </c>
      <c r="E246">
        <v>4446</v>
      </c>
      <c r="F246">
        <v>4443</v>
      </c>
      <c r="G246">
        <v>4443</v>
      </c>
      <c r="H246">
        <v>39900</v>
      </c>
    </row>
    <row r="247" spans="2:8">
      <c r="B247" t="s">
        <v>587</v>
      </c>
      <c r="C247" t="s">
        <v>410</v>
      </c>
      <c r="D247">
        <v>4443</v>
      </c>
      <c r="E247">
        <v>4443</v>
      </c>
      <c r="F247">
        <v>4441</v>
      </c>
      <c r="G247">
        <v>4441</v>
      </c>
      <c r="H247">
        <v>16400</v>
      </c>
    </row>
    <row r="248" spans="2:8">
      <c r="B248" t="s">
        <v>587</v>
      </c>
      <c r="C248" t="s">
        <v>411</v>
      </c>
      <c r="D248">
        <v>4441</v>
      </c>
      <c r="E248">
        <v>4441</v>
      </c>
      <c r="F248">
        <v>4441</v>
      </c>
      <c r="G248">
        <v>4441</v>
      </c>
      <c r="H248">
        <v>3200</v>
      </c>
    </row>
    <row r="249" spans="2:8">
      <c r="B249" t="s">
        <v>587</v>
      </c>
      <c r="C249" t="s">
        <v>412</v>
      </c>
      <c r="D249">
        <v>4442</v>
      </c>
      <c r="E249">
        <v>4443</v>
      </c>
      <c r="F249">
        <v>4441</v>
      </c>
      <c r="G249">
        <v>4443</v>
      </c>
      <c r="H249">
        <v>7200</v>
      </c>
    </row>
    <row r="250" spans="2:8">
      <c r="B250" t="s">
        <v>587</v>
      </c>
      <c r="C250" t="s">
        <v>413</v>
      </c>
      <c r="D250">
        <v>4443</v>
      </c>
      <c r="E250">
        <v>4446</v>
      </c>
      <c r="F250">
        <v>4443</v>
      </c>
      <c r="G250">
        <v>4444</v>
      </c>
      <c r="H250">
        <v>10500</v>
      </c>
    </row>
    <row r="251" spans="2:8">
      <c r="B251" t="s">
        <v>587</v>
      </c>
      <c r="C251" t="s">
        <v>414</v>
      </c>
      <c r="D251">
        <v>4444</v>
      </c>
      <c r="E251">
        <v>4445</v>
      </c>
      <c r="F251">
        <v>4444</v>
      </c>
      <c r="G251">
        <v>4444</v>
      </c>
      <c r="H251">
        <v>3000</v>
      </c>
    </row>
    <row r="252" spans="2:8">
      <c r="B252" t="s">
        <v>587</v>
      </c>
      <c r="C252" t="s">
        <v>415</v>
      </c>
      <c r="D252">
        <v>4445</v>
      </c>
      <c r="E252">
        <v>4446</v>
      </c>
      <c r="F252">
        <v>4445</v>
      </c>
      <c r="G252">
        <v>4445</v>
      </c>
      <c r="H252">
        <v>15900</v>
      </c>
    </row>
    <row r="253" spans="2:8">
      <c r="B253" t="s">
        <v>587</v>
      </c>
      <c r="C253" t="s">
        <v>416</v>
      </c>
      <c r="D253">
        <v>4446</v>
      </c>
      <c r="E253">
        <v>4446</v>
      </c>
      <c r="F253">
        <v>4445</v>
      </c>
      <c r="G253">
        <v>4445</v>
      </c>
      <c r="H253">
        <v>2300</v>
      </c>
    </row>
    <row r="254" spans="2:8">
      <c r="B254" t="s">
        <v>587</v>
      </c>
      <c r="C254" t="s">
        <v>417</v>
      </c>
      <c r="D254">
        <v>4446</v>
      </c>
      <c r="E254">
        <v>4447</v>
      </c>
      <c r="F254">
        <v>4446</v>
      </c>
      <c r="G254">
        <v>4446</v>
      </c>
      <c r="H254">
        <v>4500</v>
      </c>
    </row>
    <row r="255" spans="2:8">
      <c r="B255" t="s">
        <v>587</v>
      </c>
      <c r="C255" t="s">
        <v>418</v>
      </c>
      <c r="D255">
        <v>4446</v>
      </c>
      <c r="E255">
        <v>4447</v>
      </c>
      <c r="F255">
        <v>4442</v>
      </c>
      <c r="G255">
        <v>4444</v>
      </c>
      <c r="H255">
        <v>38400</v>
      </c>
    </row>
    <row r="256" spans="2:8">
      <c r="B256" t="s">
        <v>587</v>
      </c>
      <c r="C256" t="s">
        <v>419</v>
      </c>
      <c r="D256">
        <v>4444</v>
      </c>
      <c r="E256">
        <v>4446</v>
      </c>
      <c r="F256">
        <v>4443</v>
      </c>
      <c r="G256">
        <v>4445</v>
      </c>
      <c r="H256">
        <v>9400</v>
      </c>
    </row>
    <row r="257" spans="2:8">
      <c r="B257" t="s">
        <v>587</v>
      </c>
      <c r="C257" t="s">
        <v>420</v>
      </c>
      <c r="D257">
        <v>4445</v>
      </c>
      <c r="E257">
        <v>4446</v>
      </c>
      <c r="F257">
        <v>4445</v>
      </c>
      <c r="G257">
        <v>4445</v>
      </c>
      <c r="H257">
        <v>4900</v>
      </c>
    </row>
    <row r="258" spans="2:8">
      <c r="B258" t="s">
        <v>587</v>
      </c>
      <c r="C258" t="s">
        <v>421</v>
      </c>
      <c r="D258">
        <v>4445</v>
      </c>
      <c r="E258">
        <v>4446</v>
      </c>
      <c r="F258">
        <v>4445</v>
      </c>
      <c r="G258">
        <v>4445</v>
      </c>
      <c r="H258">
        <v>2500</v>
      </c>
    </row>
    <row r="259" spans="2:8">
      <c r="B259" t="s">
        <v>587</v>
      </c>
      <c r="C259" t="s">
        <v>422</v>
      </c>
      <c r="D259">
        <v>4444</v>
      </c>
      <c r="E259">
        <v>4445</v>
      </c>
      <c r="F259">
        <v>4444</v>
      </c>
      <c r="G259">
        <v>4444</v>
      </c>
      <c r="H259">
        <v>8100</v>
      </c>
    </row>
    <row r="260" spans="2:8">
      <c r="B260" t="s">
        <v>587</v>
      </c>
      <c r="C260" t="s">
        <v>423</v>
      </c>
      <c r="D260">
        <v>4444</v>
      </c>
      <c r="E260">
        <v>4447</v>
      </c>
      <c r="F260">
        <v>4444</v>
      </c>
      <c r="G260">
        <v>4445</v>
      </c>
      <c r="H260">
        <v>23200</v>
      </c>
    </row>
    <row r="261" spans="2:8">
      <c r="B261" t="s">
        <v>587</v>
      </c>
      <c r="C261" t="s">
        <v>424</v>
      </c>
      <c r="D261">
        <v>4446</v>
      </c>
      <c r="E261">
        <v>4446</v>
      </c>
      <c r="F261">
        <v>4444</v>
      </c>
      <c r="G261">
        <v>4444</v>
      </c>
      <c r="H261">
        <v>4800</v>
      </c>
    </row>
    <row r="262" spans="2:8">
      <c r="B262" t="s">
        <v>587</v>
      </c>
      <c r="C262" t="s">
        <v>425</v>
      </c>
      <c r="D262">
        <v>4445</v>
      </c>
      <c r="E262">
        <v>4445</v>
      </c>
      <c r="F262">
        <v>4440</v>
      </c>
      <c r="G262">
        <v>4441</v>
      </c>
      <c r="H262">
        <v>17700</v>
      </c>
    </row>
    <row r="263" spans="2:8">
      <c r="B263" t="s">
        <v>587</v>
      </c>
      <c r="C263" t="s">
        <v>426</v>
      </c>
      <c r="D263">
        <v>4442</v>
      </c>
      <c r="E263">
        <v>4443</v>
      </c>
      <c r="F263">
        <v>4441</v>
      </c>
      <c r="G263">
        <v>4441</v>
      </c>
      <c r="H263">
        <v>13800</v>
      </c>
    </row>
    <row r="264" spans="2:8">
      <c r="B264" t="s">
        <v>587</v>
      </c>
      <c r="C264" t="s">
        <v>427</v>
      </c>
      <c r="D264">
        <v>4441</v>
      </c>
      <c r="E264">
        <v>4442</v>
      </c>
      <c r="F264">
        <v>4440</v>
      </c>
      <c r="G264">
        <v>4441</v>
      </c>
      <c r="H264">
        <v>7800</v>
      </c>
    </row>
    <row r="265" spans="2:8">
      <c r="B265" t="s">
        <v>587</v>
      </c>
      <c r="C265" t="s">
        <v>428</v>
      </c>
      <c r="D265">
        <v>4441</v>
      </c>
      <c r="E265">
        <v>4441</v>
      </c>
      <c r="F265">
        <v>4439</v>
      </c>
      <c r="G265">
        <v>4439</v>
      </c>
      <c r="H265">
        <v>20900</v>
      </c>
    </row>
    <row r="266" spans="2:8">
      <c r="B266" t="s">
        <v>587</v>
      </c>
      <c r="C266" t="s">
        <v>429</v>
      </c>
      <c r="D266">
        <v>4440</v>
      </c>
      <c r="E266">
        <v>4441</v>
      </c>
      <c r="F266">
        <v>4440</v>
      </c>
      <c r="G266">
        <v>4440</v>
      </c>
      <c r="H266">
        <v>6700</v>
      </c>
    </row>
    <row r="267" spans="2:8">
      <c r="B267" t="s">
        <v>587</v>
      </c>
      <c r="C267" t="s">
        <v>430</v>
      </c>
      <c r="D267">
        <v>4440</v>
      </c>
      <c r="E267">
        <v>4440</v>
      </c>
      <c r="F267">
        <v>4438</v>
      </c>
      <c r="G267">
        <v>4438</v>
      </c>
      <c r="H267">
        <v>17200</v>
      </c>
    </row>
    <row r="268" spans="2:8">
      <c r="B268" t="s">
        <v>587</v>
      </c>
      <c r="C268" t="s">
        <v>431</v>
      </c>
      <c r="D268">
        <v>4439</v>
      </c>
      <c r="E268">
        <v>4439</v>
      </c>
      <c r="F268">
        <v>4437</v>
      </c>
      <c r="G268">
        <v>4438</v>
      </c>
      <c r="H268">
        <v>12800</v>
      </c>
    </row>
    <row r="269" spans="2:8">
      <c r="B269" t="s">
        <v>587</v>
      </c>
      <c r="C269" t="s">
        <v>9</v>
      </c>
      <c r="D269">
        <v>4438</v>
      </c>
      <c r="E269">
        <v>4439</v>
      </c>
      <c r="F269">
        <v>4436</v>
      </c>
      <c r="G269">
        <v>4438</v>
      </c>
      <c r="H269">
        <v>18700</v>
      </c>
    </row>
    <row r="270" spans="2:8">
      <c r="B270" t="s">
        <v>587</v>
      </c>
      <c r="C270" t="s">
        <v>10</v>
      </c>
      <c r="D270">
        <v>4438</v>
      </c>
      <c r="E270">
        <v>4438</v>
      </c>
      <c r="F270">
        <v>4437</v>
      </c>
      <c r="G270">
        <v>4438</v>
      </c>
      <c r="H270">
        <v>2900</v>
      </c>
    </row>
    <row r="271" spans="2:8">
      <c r="B271" t="s">
        <v>587</v>
      </c>
      <c r="C271" t="s">
        <v>11</v>
      </c>
      <c r="D271">
        <v>4437</v>
      </c>
      <c r="E271">
        <v>4439</v>
      </c>
      <c r="F271">
        <v>4437</v>
      </c>
      <c r="G271">
        <v>4438</v>
      </c>
      <c r="H271">
        <v>12200</v>
      </c>
    </row>
    <row r="272" spans="2:8">
      <c r="B272" t="s">
        <v>587</v>
      </c>
      <c r="C272" t="s">
        <v>12</v>
      </c>
      <c r="D272">
        <v>4439</v>
      </c>
      <c r="E272">
        <v>4440</v>
      </c>
      <c r="F272">
        <v>4438</v>
      </c>
      <c r="G272">
        <v>4439</v>
      </c>
      <c r="H272">
        <v>10300</v>
      </c>
    </row>
    <row r="273" spans="2:8">
      <c r="B273" t="s">
        <v>587</v>
      </c>
      <c r="C273" t="s">
        <v>13</v>
      </c>
      <c r="D273">
        <v>4439</v>
      </c>
      <c r="E273">
        <v>4439</v>
      </c>
      <c r="F273">
        <v>4437</v>
      </c>
      <c r="G273">
        <v>4438</v>
      </c>
      <c r="H273">
        <v>8400</v>
      </c>
    </row>
    <row r="274" spans="2:8">
      <c r="B274" t="s">
        <v>587</v>
      </c>
      <c r="C274" t="s">
        <v>14</v>
      </c>
      <c r="D274">
        <v>4438</v>
      </c>
      <c r="E274">
        <v>4440</v>
      </c>
      <c r="F274">
        <v>4438</v>
      </c>
      <c r="G274">
        <v>4439</v>
      </c>
      <c r="H274">
        <v>9100</v>
      </c>
    </row>
    <row r="275" spans="2:8">
      <c r="B275" t="s">
        <v>587</v>
      </c>
      <c r="C275" t="s">
        <v>15</v>
      </c>
      <c r="D275">
        <v>4439</v>
      </c>
      <c r="E275">
        <v>4439</v>
      </c>
      <c r="F275">
        <v>4436</v>
      </c>
      <c r="G275">
        <v>4437</v>
      </c>
      <c r="H275">
        <v>15600</v>
      </c>
    </row>
    <row r="276" spans="2:8">
      <c r="B276" t="s">
        <v>587</v>
      </c>
      <c r="C276" t="s">
        <v>16</v>
      </c>
      <c r="D276">
        <v>4436</v>
      </c>
      <c r="E276">
        <v>4442</v>
      </c>
      <c r="F276">
        <v>4436</v>
      </c>
      <c r="G276">
        <v>4441</v>
      </c>
      <c r="H276">
        <v>29100</v>
      </c>
    </row>
    <row r="277" spans="2:8">
      <c r="B277" t="s">
        <v>587</v>
      </c>
      <c r="C277" t="s">
        <v>17</v>
      </c>
      <c r="D277">
        <v>4442</v>
      </c>
      <c r="E277">
        <v>4442</v>
      </c>
      <c r="F277">
        <v>4441</v>
      </c>
      <c r="G277">
        <v>4442</v>
      </c>
      <c r="H277">
        <v>1300</v>
      </c>
    </row>
    <row r="278" spans="2:8">
      <c r="B278" t="s">
        <v>587</v>
      </c>
      <c r="C278" t="s">
        <v>18</v>
      </c>
      <c r="D278">
        <v>4441</v>
      </c>
      <c r="E278">
        <v>4444</v>
      </c>
      <c r="F278">
        <v>4441</v>
      </c>
      <c r="G278">
        <v>4444</v>
      </c>
      <c r="H278">
        <v>14100</v>
      </c>
    </row>
    <row r="279" spans="2:8">
      <c r="B279" t="s">
        <v>587</v>
      </c>
      <c r="C279" t="s">
        <v>19</v>
      </c>
      <c r="D279">
        <v>4444</v>
      </c>
      <c r="E279">
        <v>4444</v>
      </c>
      <c r="F279">
        <v>4443</v>
      </c>
      <c r="G279">
        <v>4443</v>
      </c>
      <c r="H279">
        <v>8200</v>
      </c>
    </row>
    <row r="280" spans="2:8">
      <c r="B280" t="s">
        <v>587</v>
      </c>
      <c r="C280" t="s">
        <v>20</v>
      </c>
      <c r="D280">
        <v>4443</v>
      </c>
      <c r="E280">
        <v>4444</v>
      </c>
      <c r="F280">
        <v>4441</v>
      </c>
      <c r="G280">
        <v>4441</v>
      </c>
      <c r="H280">
        <v>6100</v>
      </c>
    </row>
    <row r="281" spans="2:8">
      <c r="B281" t="s">
        <v>587</v>
      </c>
      <c r="C281" t="s">
        <v>21</v>
      </c>
      <c r="D281">
        <v>4441</v>
      </c>
      <c r="E281">
        <v>4442</v>
      </c>
      <c r="F281">
        <v>4441</v>
      </c>
      <c r="G281">
        <v>4442</v>
      </c>
      <c r="H281">
        <v>1500</v>
      </c>
    </row>
    <row r="282" spans="2:8">
      <c r="B282" t="s">
        <v>587</v>
      </c>
      <c r="C282" t="s">
        <v>22</v>
      </c>
      <c r="D282">
        <v>4442</v>
      </c>
      <c r="E282">
        <v>4442</v>
      </c>
      <c r="F282">
        <v>4438</v>
      </c>
      <c r="G282">
        <v>4438</v>
      </c>
      <c r="H282">
        <v>32100</v>
      </c>
    </row>
    <row r="283" spans="2:8">
      <c r="B283" t="s">
        <v>587</v>
      </c>
      <c r="C283" t="s">
        <v>23</v>
      </c>
      <c r="D283">
        <v>4438</v>
      </c>
      <c r="E283">
        <v>4440</v>
      </c>
      <c r="F283">
        <v>4438</v>
      </c>
      <c r="G283">
        <v>4440</v>
      </c>
      <c r="H283">
        <v>6700</v>
      </c>
    </row>
    <row r="284" spans="2:8">
      <c r="B284" t="s">
        <v>587</v>
      </c>
      <c r="C284" t="s">
        <v>24</v>
      </c>
      <c r="D284">
        <v>4439</v>
      </c>
      <c r="E284">
        <v>4440</v>
      </c>
      <c r="F284">
        <v>4439</v>
      </c>
      <c r="G284">
        <v>4439</v>
      </c>
      <c r="H284">
        <v>5000</v>
      </c>
    </row>
    <row r="285" spans="2:8">
      <c r="B285" t="s">
        <v>587</v>
      </c>
      <c r="C285" t="s">
        <v>25</v>
      </c>
      <c r="D285">
        <v>4438</v>
      </c>
      <c r="E285">
        <v>4441</v>
      </c>
      <c r="F285">
        <v>4438</v>
      </c>
      <c r="G285">
        <v>4440</v>
      </c>
      <c r="H285">
        <v>8900</v>
      </c>
    </row>
    <row r="286" spans="2:8">
      <c r="B286" t="s">
        <v>587</v>
      </c>
      <c r="C286" t="s">
        <v>26</v>
      </c>
      <c r="D286">
        <v>4441</v>
      </c>
      <c r="E286">
        <v>4442</v>
      </c>
      <c r="F286">
        <v>4440</v>
      </c>
      <c r="G286">
        <v>4440</v>
      </c>
      <c r="H286">
        <v>11200</v>
      </c>
    </row>
    <row r="287" spans="2:8">
      <c r="B287" t="s">
        <v>587</v>
      </c>
      <c r="C287" t="s">
        <v>27</v>
      </c>
      <c r="D287">
        <v>4441</v>
      </c>
      <c r="E287">
        <v>4441</v>
      </c>
      <c r="F287">
        <v>4439</v>
      </c>
      <c r="G287">
        <v>4439</v>
      </c>
      <c r="H287">
        <v>10700</v>
      </c>
    </row>
    <row r="288" spans="2:8">
      <c r="B288" t="s">
        <v>587</v>
      </c>
      <c r="C288" t="s">
        <v>28</v>
      </c>
      <c r="D288">
        <v>4438</v>
      </c>
      <c r="E288">
        <v>4439</v>
      </c>
      <c r="F288">
        <v>4437</v>
      </c>
      <c r="G288">
        <v>4438</v>
      </c>
      <c r="H288">
        <v>14700</v>
      </c>
    </row>
    <row r="289" spans="2:8">
      <c r="B289" t="s">
        <v>587</v>
      </c>
      <c r="C289" t="s">
        <v>29</v>
      </c>
      <c r="D289">
        <v>4437</v>
      </c>
      <c r="E289">
        <v>4437</v>
      </c>
      <c r="F289">
        <v>4435</v>
      </c>
      <c r="G289">
        <v>4435</v>
      </c>
      <c r="H289">
        <v>5300</v>
      </c>
    </row>
    <row r="290" spans="2:8">
      <c r="B290" t="s">
        <v>587</v>
      </c>
      <c r="C290" t="s">
        <v>30</v>
      </c>
      <c r="D290">
        <v>4435</v>
      </c>
      <c r="E290">
        <v>4436</v>
      </c>
      <c r="F290">
        <v>4435</v>
      </c>
      <c r="G290">
        <v>4435</v>
      </c>
      <c r="H290">
        <v>6600</v>
      </c>
    </row>
    <row r="291" spans="2:8">
      <c r="B291" t="s">
        <v>587</v>
      </c>
      <c r="C291" t="s">
        <v>31</v>
      </c>
      <c r="D291">
        <v>4435</v>
      </c>
      <c r="E291">
        <v>4437</v>
      </c>
      <c r="F291">
        <v>4435</v>
      </c>
      <c r="G291">
        <v>4437</v>
      </c>
      <c r="H291">
        <v>16800</v>
      </c>
    </row>
    <row r="292" spans="2:8">
      <c r="B292" t="s">
        <v>587</v>
      </c>
      <c r="C292" t="s">
        <v>32</v>
      </c>
      <c r="D292">
        <v>4437</v>
      </c>
      <c r="E292">
        <v>4438</v>
      </c>
      <c r="F292">
        <v>4437</v>
      </c>
      <c r="G292">
        <v>4437</v>
      </c>
      <c r="H292">
        <v>7300</v>
      </c>
    </row>
    <row r="293" spans="2:8">
      <c r="B293" t="s">
        <v>587</v>
      </c>
      <c r="C293" t="s">
        <v>33</v>
      </c>
      <c r="D293">
        <v>4438</v>
      </c>
      <c r="E293">
        <v>4438</v>
      </c>
      <c r="F293">
        <v>4437</v>
      </c>
      <c r="G293">
        <v>4437</v>
      </c>
      <c r="H293">
        <v>3800</v>
      </c>
    </row>
    <row r="294" spans="2:8">
      <c r="B294" t="s">
        <v>587</v>
      </c>
      <c r="C294" t="s">
        <v>34</v>
      </c>
      <c r="D294">
        <v>4438</v>
      </c>
      <c r="E294">
        <v>4439</v>
      </c>
      <c r="F294">
        <v>4437</v>
      </c>
      <c r="G294">
        <v>4437</v>
      </c>
      <c r="H294">
        <v>11800</v>
      </c>
    </row>
    <row r="295" spans="2:8">
      <c r="B295" t="s">
        <v>587</v>
      </c>
      <c r="C295" t="s">
        <v>35</v>
      </c>
      <c r="D295">
        <v>4437</v>
      </c>
      <c r="E295">
        <v>4438</v>
      </c>
      <c r="F295">
        <v>4436</v>
      </c>
      <c r="G295">
        <v>4438</v>
      </c>
      <c r="H295">
        <v>8000</v>
      </c>
    </row>
    <row r="296" spans="2:8">
      <c r="B296" t="s">
        <v>587</v>
      </c>
      <c r="C296" t="s">
        <v>36</v>
      </c>
      <c r="D296">
        <v>4439</v>
      </c>
      <c r="E296">
        <v>4447</v>
      </c>
      <c r="F296">
        <v>4439</v>
      </c>
      <c r="G296">
        <v>4447</v>
      </c>
      <c r="H296">
        <v>61600</v>
      </c>
    </row>
    <row r="297" spans="2:8">
      <c r="B297" t="s">
        <v>587</v>
      </c>
      <c r="C297" t="s">
        <v>37</v>
      </c>
      <c r="D297">
        <v>4447</v>
      </c>
      <c r="E297">
        <v>4447</v>
      </c>
      <c r="F297">
        <v>4444</v>
      </c>
      <c r="G297">
        <v>4445</v>
      </c>
      <c r="H297">
        <v>9300</v>
      </c>
    </row>
    <row r="298" spans="2:8">
      <c r="B298" t="s">
        <v>587</v>
      </c>
      <c r="C298" t="s">
        <v>38</v>
      </c>
      <c r="D298">
        <v>4445</v>
      </c>
      <c r="E298">
        <v>4448</v>
      </c>
      <c r="F298">
        <v>4445</v>
      </c>
      <c r="G298">
        <v>4447</v>
      </c>
      <c r="H298">
        <v>19100</v>
      </c>
    </row>
    <row r="299" spans="2:8">
      <c r="B299" t="s">
        <v>587</v>
      </c>
      <c r="C299" t="s">
        <v>39</v>
      </c>
      <c r="D299">
        <v>4448</v>
      </c>
      <c r="E299">
        <v>4448</v>
      </c>
      <c r="F299">
        <v>4447</v>
      </c>
      <c r="G299">
        <v>4447</v>
      </c>
      <c r="H299">
        <v>19300</v>
      </c>
    </row>
    <row r="300" spans="2:8">
      <c r="B300" t="s">
        <v>587</v>
      </c>
      <c r="C300" t="s">
        <v>40</v>
      </c>
      <c r="D300">
        <v>4447</v>
      </c>
      <c r="E300">
        <v>4447</v>
      </c>
      <c r="F300">
        <v>4443</v>
      </c>
      <c r="G300">
        <v>4444</v>
      </c>
      <c r="H300">
        <v>18800</v>
      </c>
    </row>
    <row r="301" spans="2:8">
      <c r="B301" t="s">
        <v>587</v>
      </c>
      <c r="C301" t="s">
        <v>41</v>
      </c>
      <c r="D301">
        <v>4444</v>
      </c>
      <c r="E301">
        <v>4444</v>
      </c>
      <c r="F301">
        <v>4440</v>
      </c>
      <c r="G301">
        <v>4440</v>
      </c>
      <c r="H301">
        <v>8800</v>
      </c>
    </row>
    <row r="302" spans="2:8">
      <c r="B302" t="s">
        <v>587</v>
      </c>
      <c r="C302" t="s">
        <v>42</v>
      </c>
      <c r="D302">
        <v>4440</v>
      </c>
      <c r="E302">
        <v>4443</v>
      </c>
      <c r="F302">
        <v>4440</v>
      </c>
      <c r="G302">
        <v>4442</v>
      </c>
      <c r="H302">
        <v>9900</v>
      </c>
    </row>
    <row r="303" spans="2:8">
      <c r="B303" t="s">
        <v>587</v>
      </c>
      <c r="C303" t="s">
        <v>43</v>
      </c>
      <c r="D303">
        <v>4442</v>
      </c>
      <c r="E303">
        <v>4443</v>
      </c>
      <c r="F303">
        <v>4442</v>
      </c>
      <c r="G303">
        <v>4443</v>
      </c>
      <c r="H303">
        <v>4600</v>
      </c>
    </row>
    <row r="304" spans="2:8">
      <c r="B304" t="s">
        <v>587</v>
      </c>
      <c r="C304" t="s">
        <v>44</v>
      </c>
      <c r="D304">
        <v>4442</v>
      </c>
      <c r="E304">
        <v>4442</v>
      </c>
      <c r="F304">
        <v>4441</v>
      </c>
      <c r="G304">
        <v>4442</v>
      </c>
      <c r="H304">
        <v>16100</v>
      </c>
    </row>
    <row r="305" spans="2:8">
      <c r="B305" t="s">
        <v>587</v>
      </c>
      <c r="C305" t="s">
        <v>45</v>
      </c>
      <c r="D305">
        <v>4442</v>
      </c>
      <c r="E305">
        <v>4442</v>
      </c>
      <c r="F305">
        <v>4441</v>
      </c>
      <c r="G305">
        <v>4442</v>
      </c>
      <c r="H305">
        <v>7900</v>
      </c>
    </row>
    <row r="306" spans="2:8">
      <c r="B306" t="s">
        <v>587</v>
      </c>
      <c r="C306" t="s">
        <v>46</v>
      </c>
      <c r="D306">
        <v>4443</v>
      </c>
      <c r="E306">
        <v>4444</v>
      </c>
      <c r="F306">
        <v>4442</v>
      </c>
      <c r="G306">
        <v>4443</v>
      </c>
      <c r="H306">
        <v>12400</v>
      </c>
    </row>
    <row r="307" spans="2:8">
      <c r="B307" t="s">
        <v>587</v>
      </c>
      <c r="C307" t="s">
        <v>47</v>
      </c>
      <c r="D307">
        <v>4443</v>
      </c>
      <c r="E307">
        <v>4444</v>
      </c>
      <c r="F307">
        <v>4442</v>
      </c>
      <c r="G307">
        <v>4443</v>
      </c>
      <c r="H307">
        <v>11400</v>
      </c>
    </row>
    <row r="308" spans="2:8">
      <c r="B308" t="s">
        <v>587</v>
      </c>
      <c r="C308" t="s">
        <v>48</v>
      </c>
      <c r="D308">
        <v>4444</v>
      </c>
      <c r="E308">
        <v>4448</v>
      </c>
      <c r="F308">
        <v>4444</v>
      </c>
      <c r="G308">
        <v>4447</v>
      </c>
      <c r="H308">
        <v>19400</v>
      </c>
    </row>
    <row r="309" spans="2:8">
      <c r="B309" t="s">
        <v>587</v>
      </c>
      <c r="C309" t="s">
        <v>49</v>
      </c>
      <c r="D309">
        <v>4447</v>
      </c>
      <c r="E309">
        <v>4448</v>
      </c>
      <c r="F309">
        <v>4446</v>
      </c>
      <c r="G309">
        <v>4447</v>
      </c>
      <c r="H309">
        <v>19700</v>
      </c>
    </row>
    <row r="310" spans="2:8">
      <c r="B310" t="s">
        <v>587</v>
      </c>
      <c r="C310" t="s">
        <v>50</v>
      </c>
      <c r="D310">
        <v>4447</v>
      </c>
      <c r="E310">
        <v>4448</v>
      </c>
      <c r="F310">
        <v>4446</v>
      </c>
      <c r="G310">
        <v>4447</v>
      </c>
      <c r="H310">
        <v>53100</v>
      </c>
    </row>
    <row r="311" spans="2:8">
      <c r="B311" t="s">
        <v>587</v>
      </c>
      <c r="C311" t="s">
        <v>51</v>
      </c>
      <c r="D311">
        <v>4447</v>
      </c>
      <c r="E311">
        <v>4448</v>
      </c>
      <c r="F311">
        <v>4446</v>
      </c>
      <c r="G311">
        <v>4447</v>
      </c>
      <c r="H311">
        <v>9100</v>
      </c>
    </row>
    <row r="312" spans="2:8">
      <c r="B312" t="s">
        <v>587</v>
      </c>
      <c r="C312" t="s">
        <v>52</v>
      </c>
      <c r="D312">
        <v>4448</v>
      </c>
      <c r="E312">
        <v>4448</v>
      </c>
      <c r="F312">
        <v>4446</v>
      </c>
      <c r="G312">
        <v>4446</v>
      </c>
      <c r="H312">
        <v>26800</v>
      </c>
    </row>
    <row r="313" spans="2:8">
      <c r="B313" t="s">
        <v>587</v>
      </c>
      <c r="C313" t="s">
        <v>53</v>
      </c>
      <c r="D313">
        <v>4446</v>
      </c>
      <c r="E313">
        <v>4448</v>
      </c>
      <c r="F313">
        <v>4446</v>
      </c>
      <c r="G313">
        <v>4447</v>
      </c>
      <c r="H313">
        <v>15600</v>
      </c>
    </row>
    <row r="314" spans="2:8">
      <c r="B314" t="s">
        <v>587</v>
      </c>
      <c r="C314" t="s">
        <v>54</v>
      </c>
      <c r="D314">
        <v>4448</v>
      </c>
      <c r="E314">
        <v>4448</v>
      </c>
      <c r="F314">
        <v>4445</v>
      </c>
      <c r="G314">
        <v>4447</v>
      </c>
      <c r="H314">
        <v>24900</v>
      </c>
    </row>
    <row r="315" spans="2:8">
      <c r="B315" t="s">
        <v>587</v>
      </c>
      <c r="C315" t="s">
        <v>55</v>
      </c>
      <c r="D315">
        <v>4446</v>
      </c>
      <c r="E315">
        <v>4447</v>
      </c>
      <c r="F315">
        <v>4445</v>
      </c>
      <c r="G315">
        <v>4446</v>
      </c>
      <c r="H315">
        <v>3300</v>
      </c>
    </row>
    <row r="316" spans="2:8">
      <c r="B316" t="s">
        <v>587</v>
      </c>
      <c r="C316" t="s">
        <v>56</v>
      </c>
      <c r="D316">
        <v>4446</v>
      </c>
      <c r="E316">
        <v>4446</v>
      </c>
      <c r="F316">
        <v>4445</v>
      </c>
      <c r="G316">
        <v>4445</v>
      </c>
      <c r="H316">
        <v>9300</v>
      </c>
    </row>
    <row r="317" spans="2:8">
      <c r="B317" t="s">
        <v>587</v>
      </c>
      <c r="C317" t="s">
        <v>57</v>
      </c>
      <c r="D317">
        <v>4444</v>
      </c>
      <c r="E317">
        <v>4446</v>
      </c>
      <c r="F317">
        <v>4444</v>
      </c>
      <c r="G317">
        <v>4445</v>
      </c>
      <c r="H317">
        <v>12800</v>
      </c>
    </row>
    <row r="318" spans="2:8">
      <c r="B318" t="s">
        <v>587</v>
      </c>
      <c r="C318" t="s">
        <v>58</v>
      </c>
      <c r="D318">
        <v>4445</v>
      </c>
      <c r="E318">
        <v>4446</v>
      </c>
      <c r="F318">
        <v>4444</v>
      </c>
      <c r="G318">
        <v>4444</v>
      </c>
      <c r="H318">
        <v>7400</v>
      </c>
    </row>
    <row r="319" spans="2:8">
      <c r="B319" t="s">
        <v>587</v>
      </c>
      <c r="C319" t="s">
        <v>59</v>
      </c>
      <c r="D319">
        <v>4444</v>
      </c>
      <c r="E319">
        <v>4445</v>
      </c>
      <c r="F319">
        <v>4443</v>
      </c>
      <c r="G319">
        <v>4443</v>
      </c>
      <c r="H319">
        <v>16300</v>
      </c>
    </row>
    <row r="320" spans="2:8">
      <c r="B320" t="s">
        <v>587</v>
      </c>
      <c r="C320" t="s">
        <v>60</v>
      </c>
      <c r="D320">
        <v>4445</v>
      </c>
      <c r="E320">
        <v>4445</v>
      </c>
      <c r="F320">
        <v>4443</v>
      </c>
      <c r="G320">
        <v>4444</v>
      </c>
      <c r="H320">
        <v>4300</v>
      </c>
    </row>
    <row r="321" spans="1:8">
      <c r="B321" t="s">
        <v>587</v>
      </c>
      <c r="C321" t="s">
        <v>61</v>
      </c>
      <c r="D321">
        <v>4443</v>
      </c>
      <c r="E321">
        <v>4445</v>
      </c>
      <c r="F321">
        <v>4443</v>
      </c>
      <c r="G321">
        <v>4444</v>
      </c>
      <c r="H321">
        <v>32000</v>
      </c>
    </row>
    <row r="322" spans="1:8">
      <c r="B322" t="s">
        <v>587</v>
      </c>
      <c r="C322" t="s">
        <v>62</v>
      </c>
      <c r="D322">
        <v>4444</v>
      </c>
      <c r="E322">
        <v>4446</v>
      </c>
      <c r="F322">
        <v>4444</v>
      </c>
      <c r="G322">
        <v>4445</v>
      </c>
      <c r="H322">
        <v>5100</v>
      </c>
    </row>
    <row r="323" spans="1:8">
      <c r="B323" t="s">
        <v>587</v>
      </c>
      <c r="C323" t="s">
        <v>63</v>
      </c>
      <c r="D323">
        <v>4445</v>
      </c>
      <c r="E323">
        <v>4446</v>
      </c>
      <c r="F323">
        <v>4444</v>
      </c>
      <c r="G323">
        <v>4445</v>
      </c>
      <c r="H323">
        <v>23500</v>
      </c>
    </row>
    <row r="324" spans="1:8">
      <c r="B324" t="s">
        <v>587</v>
      </c>
      <c r="C324" t="s">
        <v>64</v>
      </c>
      <c r="D324">
        <v>4445</v>
      </c>
      <c r="E324">
        <v>4446</v>
      </c>
      <c r="F324">
        <v>4444</v>
      </c>
      <c r="G324">
        <v>4445</v>
      </c>
      <c r="H324">
        <v>19700</v>
      </c>
    </row>
    <row r="325" spans="1:8">
      <c r="B325" t="s">
        <v>587</v>
      </c>
      <c r="C325" t="s">
        <v>65</v>
      </c>
      <c r="D325">
        <v>4444</v>
      </c>
      <c r="E325">
        <v>4446</v>
      </c>
      <c r="F325">
        <v>4444</v>
      </c>
      <c r="G325">
        <v>4445</v>
      </c>
      <c r="H325">
        <v>5200</v>
      </c>
    </row>
    <row r="326" spans="1:8">
      <c r="B326" t="s">
        <v>587</v>
      </c>
      <c r="C326" t="s">
        <v>66</v>
      </c>
      <c r="D326">
        <v>4446</v>
      </c>
      <c r="E326">
        <v>4446</v>
      </c>
      <c r="F326">
        <v>4445</v>
      </c>
      <c r="G326">
        <v>4446</v>
      </c>
      <c r="H326">
        <v>13600</v>
      </c>
    </row>
    <row r="327" spans="1:8">
      <c r="B327" t="s">
        <v>587</v>
      </c>
      <c r="C327" t="s">
        <v>164</v>
      </c>
      <c r="D327">
        <v>4446</v>
      </c>
      <c r="E327">
        <v>4447</v>
      </c>
      <c r="F327">
        <v>4445</v>
      </c>
      <c r="G327">
        <v>4447</v>
      </c>
      <c r="H327">
        <v>32400</v>
      </c>
    </row>
    <row r="328" spans="1:8">
      <c r="B328" t="s">
        <v>587</v>
      </c>
      <c r="C328" t="s">
        <v>165</v>
      </c>
      <c r="D328">
        <v>4446</v>
      </c>
      <c r="E328">
        <v>4449</v>
      </c>
      <c r="F328">
        <v>4446</v>
      </c>
      <c r="G328">
        <v>4449</v>
      </c>
      <c r="H328">
        <v>29000</v>
      </c>
    </row>
    <row r="329" spans="1:8">
      <c r="B329" t="s">
        <v>587</v>
      </c>
      <c r="C329" t="s">
        <v>67</v>
      </c>
      <c r="D329" t="s">
        <v>8</v>
      </c>
      <c r="E329" t="s">
        <v>8</v>
      </c>
      <c r="F329" t="s">
        <v>8</v>
      </c>
      <c r="G329" t="s">
        <v>8</v>
      </c>
      <c r="H329">
        <v>0</v>
      </c>
    </row>
    <row r="330" spans="1:8">
      <c r="B330" t="s">
        <v>587</v>
      </c>
      <c r="C330" t="s">
        <v>68</v>
      </c>
      <c r="D330" t="s">
        <v>8</v>
      </c>
      <c r="E330" t="s">
        <v>8</v>
      </c>
      <c r="F330" t="s">
        <v>8</v>
      </c>
      <c r="G330" t="s">
        <v>8</v>
      </c>
      <c r="H330">
        <v>0</v>
      </c>
    </row>
    <row r="331" spans="1:8">
      <c r="B331" t="s">
        <v>587</v>
      </c>
      <c r="C331" t="s">
        <v>69</v>
      </c>
      <c r="D331" t="s">
        <v>8</v>
      </c>
      <c r="E331" t="s">
        <v>8</v>
      </c>
      <c r="F331" t="s">
        <v>8</v>
      </c>
      <c r="G331" t="s">
        <v>8</v>
      </c>
      <c r="H331">
        <v>0</v>
      </c>
    </row>
    <row r="332" spans="1:8">
      <c r="B332" t="s">
        <v>587</v>
      </c>
      <c r="C332" t="s">
        <v>70</v>
      </c>
      <c r="D332" t="s">
        <v>8</v>
      </c>
      <c r="E332" t="s">
        <v>8</v>
      </c>
      <c r="F332" t="s">
        <v>8</v>
      </c>
      <c r="G332" t="s">
        <v>8</v>
      </c>
      <c r="H332">
        <v>0</v>
      </c>
    </row>
    <row r="333" spans="1:8">
      <c r="B333" t="s">
        <v>587</v>
      </c>
      <c r="C333" t="s">
        <v>71</v>
      </c>
      <c r="D333" t="s">
        <v>8</v>
      </c>
      <c r="E333" t="s">
        <v>8</v>
      </c>
      <c r="F333" t="s">
        <v>8</v>
      </c>
      <c r="G333" t="s">
        <v>8</v>
      </c>
      <c r="H333">
        <v>0</v>
      </c>
    </row>
    <row r="334" spans="1:8">
      <c r="B334" t="s">
        <v>587</v>
      </c>
      <c r="C334" t="s">
        <v>72</v>
      </c>
      <c r="D334">
        <v>4452</v>
      </c>
      <c r="E334">
        <v>4452</v>
      </c>
      <c r="F334">
        <v>4452</v>
      </c>
      <c r="G334">
        <v>4452</v>
      </c>
      <c r="H334">
        <v>1755000</v>
      </c>
    </row>
    <row r="335" spans="1:8">
      <c r="A335" s="1" t="s">
        <v>79</v>
      </c>
      <c r="B335" s="1" t="s">
        <v>79</v>
      </c>
      <c r="C335" s="1" t="s">
        <v>79</v>
      </c>
      <c r="D335" s="1" t="s">
        <v>79</v>
      </c>
      <c r="E335" s="1" t="s">
        <v>79</v>
      </c>
      <c r="F335" s="1" t="s">
        <v>79</v>
      </c>
      <c r="G335" s="1" t="s">
        <v>79</v>
      </c>
      <c r="H335" s="1" t="s">
        <v>79</v>
      </c>
    </row>
    <row r="336" spans="1:8">
      <c r="B336" t="s">
        <v>442</v>
      </c>
      <c r="C336" t="s">
        <v>167</v>
      </c>
      <c r="D336">
        <v>4384</v>
      </c>
      <c r="E336">
        <v>4395</v>
      </c>
      <c r="F336">
        <v>4381</v>
      </c>
      <c r="G336">
        <v>4384</v>
      </c>
      <c r="H336">
        <v>83400</v>
      </c>
    </row>
    <row r="337" spans="2:8">
      <c r="B337" t="s">
        <v>442</v>
      </c>
      <c r="C337" t="s">
        <v>168</v>
      </c>
      <c r="D337">
        <v>4384</v>
      </c>
      <c r="E337">
        <v>4384</v>
      </c>
      <c r="F337">
        <v>4379</v>
      </c>
      <c r="G337">
        <v>4382</v>
      </c>
      <c r="H337">
        <v>51900</v>
      </c>
    </row>
    <row r="338" spans="2:8">
      <c r="B338" t="s">
        <v>442</v>
      </c>
      <c r="C338" t="s">
        <v>169</v>
      </c>
      <c r="D338">
        <v>4383</v>
      </c>
      <c r="E338">
        <v>4388</v>
      </c>
      <c r="F338">
        <v>4379</v>
      </c>
      <c r="G338">
        <v>4383</v>
      </c>
      <c r="H338">
        <v>78900</v>
      </c>
    </row>
    <row r="339" spans="2:8">
      <c r="B339" t="s">
        <v>442</v>
      </c>
      <c r="C339" t="s">
        <v>170</v>
      </c>
      <c r="D339">
        <v>4382</v>
      </c>
      <c r="E339">
        <v>4390</v>
      </c>
      <c r="F339">
        <v>4376</v>
      </c>
      <c r="G339">
        <v>4389</v>
      </c>
      <c r="H339">
        <v>63400</v>
      </c>
    </row>
    <row r="340" spans="2:8">
      <c r="B340" t="s">
        <v>442</v>
      </c>
      <c r="C340" t="s">
        <v>171</v>
      </c>
      <c r="D340">
        <v>4389</v>
      </c>
      <c r="E340">
        <v>4391</v>
      </c>
      <c r="F340">
        <v>4377</v>
      </c>
      <c r="G340">
        <v>4379</v>
      </c>
      <c r="H340">
        <v>44200</v>
      </c>
    </row>
    <row r="341" spans="2:8">
      <c r="B341" t="s">
        <v>442</v>
      </c>
      <c r="C341" t="s">
        <v>172</v>
      </c>
      <c r="D341">
        <v>4379</v>
      </c>
      <c r="E341">
        <v>4380</v>
      </c>
      <c r="F341">
        <v>4376</v>
      </c>
      <c r="G341">
        <v>4380</v>
      </c>
      <c r="H341">
        <v>41300</v>
      </c>
    </row>
    <row r="342" spans="2:8">
      <c r="B342" t="s">
        <v>442</v>
      </c>
      <c r="C342" t="s">
        <v>173</v>
      </c>
      <c r="D342">
        <v>4380</v>
      </c>
      <c r="E342">
        <v>4390</v>
      </c>
      <c r="F342">
        <v>4379</v>
      </c>
      <c r="G342">
        <v>4389</v>
      </c>
      <c r="H342">
        <v>53800</v>
      </c>
    </row>
    <row r="343" spans="2:8">
      <c r="B343" t="s">
        <v>442</v>
      </c>
      <c r="C343" t="s">
        <v>174</v>
      </c>
      <c r="D343">
        <v>4390</v>
      </c>
      <c r="E343">
        <v>4394</v>
      </c>
      <c r="F343">
        <v>4384</v>
      </c>
      <c r="G343">
        <v>4389</v>
      </c>
      <c r="H343">
        <v>69300</v>
      </c>
    </row>
    <row r="344" spans="2:8">
      <c r="B344" t="s">
        <v>442</v>
      </c>
      <c r="C344" t="s">
        <v>175</v>
      </c>
      <c r="D344">
        <v>4389</v>
      </c>
      <c r="E344">
        <v>4397</v>
      </c>
      <c r="F344">
        <v>4389</v>
      </c>
      <c r="G344">
        <v>4395</v>
      </c>
      <c r="H344">
        <v>38100</v>
      </c>
    </row>
    <row r="345" spans="2:8">
      <c r="B345" t="s">
        <v>442</v>
      </c>
      <c r="C345" t="s">
        <v>176</v>
      </c>
      <c r="D345">
        <v>4395</v>
      </c>
      <c r="E345">
        <v>4395</v>
      </c>
      <c r="F345">
        <v>4388</v>
      </c>
      <c r="G345">
        <v>4394</v>
      </c>
      <c r="H345">
        <v>37800</v>
      </c>
    </row>
    <row r="346" spans="2:8">
      <c r="B346" t="s">
        <v>442</v>
      </c>
      <c r="C346" t="s">
        <v>177</v>
      </c>
      <c r="D346">
        <v>4394</v>
      </c>
      <c r="E346">
        <v>4400</v>
      </c>
      <c r="F346">
        <v>4394</v>
      </c>
      <c r="G346">
        <v>4399</v>
      </c>
      <c r="H346">
        <v>37100</v>
      </c>
    </row>
    <row r="347" spans="2:8">
      <c r="B347" t="s">
        <v>442</v>
      </c>
      <c r="C347" t="s">
        <v>178</v>
      </c>
      <c r="D347">
        <v>4399</v>
      </c>
      <c r="E347">
        <v>4403</v>
      </c>
      <c r="F347">
        <v>4399</v>
      </c>
      <c r="G347">
        <v>4402</v>
      </c>
      <c r="H347">
        <v>26000</v>
      </c>
    </row>
    <row r="348" spans="2:8">
      <c r="B348" t="s">
        <v>442</v>
      </c>
      <c r="C348" t="s">
        <v>179</v>
      </c>
      <c r="D348">
        <v>4402</v>
      </c>
      <c r="E348">
        <v>4402</v>
      </c>
      <c r="F348">
        <v>4393</v>
      </c>
      <c r="G348">
        <v>4394</v>
      </c>
      <c r="H348">
        <v>40400</v>
      </c>
    </row>
    <row r="349" spans="2:8">
      <c r="B349" t="s">
        <v>442</v>
      </c>
      <c r="C349" t="s">
        <v>180</v>
      </c>
      <c r="D349">
        <v>4393</v>
      </c>
      <c r="E349">
        <v>4394</v>
      </c>
      <c r="F349">
        <v>4388</v>
      </c>
      <c r="G349">
        <v>4392</v>
      </c>
      <c r="H349">
        <v>26700</v>
      </c>
    </row>
    <row r="350" spans="2:8">
      <c r="B350" t="s">
        <v>442</v>
      </c>
      <c r="C350" t="s">
        <v>181</v>
      </c>
      <c r="D350">
        <v>4392</v>
      </c>
      <c r="E350">
        <v>4396</v>
      </c>
      <c r="F350">
        <v>4390</v>
      </c>
      <c r="G350">
        <v>4392</v>
      </c>
      <c r="H350">
        <v>31400</v>
      </c>
    </row>
    <row r="351" spans="2:8">
      <c r="B351" t="s">
        <v>442</v>
      </c>
      <c r="C351" t="s">
        <v>182</v>
      </c>
      <c r="D351">
        <v>4393</v>
      </c>
      <c r="E351">
        <v>4396</v>
      </c>
      <c r="F351">
        <v>4391</v>
      </c>
      <c r="G351">
        <v>4394</v>
      </c>
      <c r="H351">
        <v>20500</v>
      </c>
    </row>
    <row r="352" spans="2:8">
      <c r="B352" t="s">
        <v>442</v>
      </c>
      <c r="C352" t="s">
        <v>183</v>
      </c>
      <c r="D352">
        <v>4394</v>
      </c>
      <c r="E352">
        <v>4396</v>
      </c>
      <c r="F352">
        <v>4393</v>
      </c>
      <c r="G352">
        <v>4396</v>
      </c>
      <c r="H352">
        <v>19900</v>
      </c>
    </row>
    <row r="353" spans="2:8">
      <c r="B353" t="s">
        <v>442</v>
      </c>
      <c r="C353" t="s">
        <v>184</v>
      </c>
      <c r="D353">
        <v>4396</v>
      </c>
      <c r="E353">
        <v>4397</v>
      </c>
      <c r="F353">
        <v>4394</v>
      </c>
      <c r="G353">
        <v>4394</v>
      </c>
      <c r="H353">
        <v>14700</v>
      </c>
    </row>
    <row r="354" spans="2:8">
      <c r="B354" t="s">
        <v>442</v>
      </c>
      <c r="C354" t="s">
        <v>185</v>
      </c>
      <c r="D354">
        <v>4393</v>
      </c>
      <c r="E354">
        <v>4393</v>
      </c>
      <c r="F354">
        <v>4391</v>
      </c>
      <c r="G354">
        <v>4391</v>
      </c>
      <c r="H354">
        <v>16500</v>
      </c>
    </row>
    <row r="355" spans="2:8">
      <c r="B355" t="s">
        <v>442</v>
      </c>
      <c r="C355" t="s">
        <v>186</v>
      </c>
      <c r="D355">
        <v>4391</v>
      </c>
      <c r="E355">
        <v>4393</v>
      </c>
      <c r="F355">
        <v>4389</v>
      </c>
      <c r="G355">
        <v>4389</v>
      </c>
      <c r="H355">
        <v>32000</v>
      </c>
    </row>
    <row r="356" spans="2:8">
      <c r="B356" t="s">
        <v>442</v>
      </c>
      <c r="C356" t="s">
        <v>187</v>
      </c>
      <c r="D356">
        <v>4389</v>
      </c>
      <c r="E356">
        <v>4390</v>
      </c>
      <c r="F356">
        <v>4376</v>
      </c>
      <c r="G356">
        <v>4376</v>
      </c>
      <c r="H356">
        <v>54100</v>
      </c>
    </row>
    <row r="357" spans="2:8">
      <c r="B357" t="s">
        <v>442</v>
      </c>
      <c r="C357" t="s">
        <v>188</v>
      </c>
      <c r="D357">
        <v>4376</v>
      </c>
      <c r="E357">
        <v>4376</v>
      </c>
      <c r="F357">
        <v>4371</v>
      </c>
      <c r="G357">
        <v>4371</v>
      </c>
      <c r="H357">
        <v>62500</v>
      </c>
    </row>
    <row r="358" spans="2:8">
      <c r="B358" t="s">
        <v>442</v>
      </c>
      <c r="C358" t="s">
        <v>189</v>
      </c>
      <c r="D358">
        <v>4371</v>
      </c>
      <c r="E358">
        <v>4371</v>
      </c>
      <c r="F358">
        <v>4363</v>
      </c>
      <c r="G358">
        <v>4368</v>
      </c>
      <c r="H358">
        <v>56900</v>
      </c>
    </row>
    <row r="359" spans="2:8">
      <c r="B359" t="s">
        <v>442</v>
      </c>
      <c r="C359" t="s">
        <v>190</v>
      </c>
      <c r="D359">
        <v>4369</v>
      </c>
      <c r="E359">
        <v>4372</v>
      </c>
      <c r="F359">
        <v>4366</v>
      </c>
      <c r="G359">
        <v>4370</v>
      </c>
      <c r="H359">
        <v>23600</v>
      </c>
    </row>
    <row r="360" spans="2:8">
      <c r="B360" t="s">
        <v>442</v>
      </c>
      <c r="C360" t="s">
        <v>191</v>
      </c>
      <c r="D360">
        <v>4370</v>
      </c>
      <c r="E360">
        <v>4375</v>
      </c>
      <c r="F360">
        <v>4368</v>
      </c>
      <c r="G360">
        <v>4373</v>
      </c>
      <c r="H360">
        <v>21200</v>
      </c>
    </row>
    <row r="361" spans="2:8">
      <c r="B361" t="s">
        <v>442</v>
      </c>
      <c r="C361" t="s">
        <v>192</v>
      </c>
      <c r="D361">
        <v>4372</v>
      </c>
      <c r="E361">
        <v>4374</v>
      </c>
      <c r="F361">
        <v>4371</v>
      </c>
      <c r="G361">
        <v>4374</v>
      </c>
      <c r="H361">
        <v>21000</v>
      </c>
    </row>
    <row r="362" spans="2:8">
      <c r="B362" t="s">
        <v>442</v>
      </c>
      <c r="C362" t="s">
        <v>193</v>
      </c>
      <c r="D362">
        <v>4375</v>
      </c>
      <c r="E362">
        <v>4381</v>
      </c>
      <c r="F362">
        <v>4375</v>
      </c>
      <c r="G362">
        <v>4378</v>
      </c>
      <c r="H362">
        <v>22000</v>
      </c>
    </row>
    <row r="363" spans="2:8">
      <c r="B363" t="s">
        <v>442</v>
      </c>
      <c r="C363" t="s">
        <v>194</v>
      </c>
      <c r="D363">
        <v>4377</v>
      </c>
      <c r="E363">
        <v>4382</v>
      </c>
      <c r="F363">
        <v>4377</v>
      </c>
      <c r="G363">
        <v>4378</v>
      </c>
      <c r="H363">
        <v>22200</v>
      </c>
    </row>
    <row r="364" spans="2:8">
      <c r="B364" t="s">
        <v>442</v>
      </c>
      <c r="C364" t="s">
        <v>195</v>
      </c>
      <c r="D364">
        <v>4379</v>
      </c>
      <c r="E364">
        <v>4380</v>
      </c>
      <c r="F364">
        <v>4378</v>
      </c>
      <c r="G364">
        <v>4380</v>
      </c>
      <c r="H364">
        <v>20900</v>
      </c>
    </row>
    <row r="365" spans="2:8">
      <c r="B365" t="s">
        <v>442</v>
      </c>
      <c r="C365" t="s">
        <v>196</v>
      </c>
      <c r="D365">
        <v>4379</v>
      </c>
      <c r="E365">
        <v>4382</v>
      </c>
      <c r="F365">
        <v>4378</v>
      </c>
      <c r="G365">
        <v>4382</v>
      </c>
      <c r="H365">
        <v>31800</v>
      </c>
    </row>
    <row r="366" spans="2:8">
      <c r="B366" t="s">
        <v>442</v>
      </c>
      <c r="C366" t="s">
        <v>197</v>
      </c>
      <c r="D366">
        <v>4382</v>
      </c>
      <c r="E366">
        <v>4384</v>
      </c>
      <c r="F366">
        <v>4377</v>
      </c>
      <c r="G366">
        <v>4378</v>
      </c>
      <c r="H366">
        <v>9500</v>
      </c>
    </row>
    <row r="367" spans="2:8">
      <c r="B367" t="s">
        <v>442</v>
      </c>
      <c r="C367" t="s">
        <v>198</v>
      </c>
      <c r="D367">
        <v>4377</v>
      </c>
      <c r="E367">
        <v>4380</v>
      </c>
      <c r="F367">
        <v>4376</v>
      </c>
      <c r="G367">
        <v>4376</v>
      </c>
      <c r="H367">
        <v>14800</v>
      </c>
    </row>
    <row r="368" spans="2:8">
      <c r="B368" t="s">
        <v>442</v>
      </c>
      <c r="C368" t="s">
        <v>199</v>
      </c>
      <c r="D368">
        <v>4376</v>
      </c>
      <c r="E368">
        <v>4377</v>
      </c>
      <c r="F368">
        <v>4371</v>
      </c>
      <c r="G368">
        <v>4376</v>
      </c>
      <c r="H368">
        <v>20600</v>
      </c>
    </row>
    <row r="369" spans="2:8">
      <c r="B369" t="s">
        <v>442</v>
      </c>
      <c r="C369" t="s">
        <v>200</v>
      </c>
      <c r="D369">
        <v>4376</v>
      </c>
      <c r="E369">
        <v>4377</v>
      </c>
      <c r="F369">
        <v>4373</v>
      </c>
      <c r="G369">
        <v>4377</v>
      </c>
      <c r="H369">
        <v>12200</v>
      </c>
    </row>
    <row r="370" spans="2:8">
      <c r="B370" t="s">
        <v>442</v>
      </c>
      <c r="C370" t="s">
        <v>201</v>
      </c>
      <c r="D370">
        <v>4377</v>
      </c>
      <c r="E370">
        <v>4381</v>
      </c>
      <c r="F370">
        <v>4377</v>
      </c>
      <c r="G370">
        <v>4380</v>
      </c>
      <c r="H370">
        <v>13200</v>
      </c>
    </row>
    <row r="371" spans="2:8">
      <c r="B371" t="s">
        <v>442</v>
      </c>
      <c r="C371" t="s">
        <v>202</v>
      </c>
      <c r="D371">
        <v>4381</v>
      </c>
      <c r="E371">
        <v>4385</v>
      </c>
      <c r="F371">
        <v>4379</v>
      </c>
      <c r="G371">
        <v>4384</v>
      </c>
      <c r="H371">
        <v>25000</v>
      </c>
    </row>
    <row r="372" spans="2:8">
      <c r="B372" t="s">
        <v>442</v>
      </c>
      <c r="C372" t="s">
        <v>203</v>
      </c>
      <c r="D372">
        <v>4384</v>
      </c>
      <c r="E372">
        <v>4388</v>
      </c>
      <c r="F372">
        <v>4384</v>
      </c>
      <c r="G372">
        <v>4388</v>
      </c>
      <c r="H372">
        <v>17800</v>
      </c>
    </row>
    <row r="373" spans="2:8">
      <c r="B373" t="s">
        <v>442</v>
      </c>
      <c r="C373" t="s">
        <v>204</v>
      </c>
      <c r="D373">
        <v>4386</v>
      </c>
      <c r="E373">
        <v>4392</v>
      </c>
      <c r="F373">
        <v>4386</v>
      </c>
      <c r="G373">
        <v>4390</v>
      </c>
      <c r="H373">
        <v>29300</v>
      </c>
    </row>
    <row r="374" spans="2:8">
      <c r="B374" t="s">
        <v>442</v>
      </c>
      <c r="C374" t="s">
        <v>205</v>
      </c>
      <c r="D374">
        <v>4390</v>
      </c>
      <c r="E374">
        <v>4391</v>
      </c>
      <c r="F374">
        <v>4387</v>
      </c>
      <c r="G374">
        <v>4388</v>
      </c>
      <c r="H374">
        <v>13100</v>
      </c>
    </row>
    <row r="375" spans="2:8">
      <c r="B375" t="s">
        <v>442</v>
      </c>
      <c r="C375" t="s">
        <v>206</v>
      </c>
      <c r="D375">
        <v>4387</v>
      </c>
      <c r="E375">
        <v>4388</v>
      </c>
      <c r="F375">
        <v>4387</v>
      </c>
      <c r="G375">
        <v>4388</v>
      </c>
      <c r="H375">
        <v>1800</v>
      </c>
    </row>
    <row r="376" spans="2:8">
      <c r="B376" t="s">
        <v>442</v>
      </c>
      <c r="C376" t="s">
        <v>207</v>
      </c>
      <c r="D376">
        <v>4389</v>
      </c>
      <c r="E376">
        <v>4391</v>
      </c>
      <c r="F376">
        <v>4386</v>
      </c>
      <c r="G376">
        <v>4387</v>
      </c>
      <c r="H376">
        <v>25300</v>
      </c>
    </row>
    <row r="377" spans="2:8">
      <c r="B377" t="s">
        <v>442</v>
      </c>
      <c r="C377" t="s">
        <v>208</v>
      </c>
      <c r="D377">
        <v>4387</v>
      </c>
      <c r="E377">
        <v>4390</v>
      </c>
      <c r="F377">
        <v>4385</v>
      </c>
      <c r="G377">
        <v>4390</v>
      </c>
      <c r="H377">
        <v>22300</v>
      </c>
    </row>
    <row r="378" spans="2:8">
      <c r="B378" t="s">
        <v>442</v>
      </c>
      <c r="C378" t="s">
        <v>209</v>
      </c>
      <c r="D378">
        <v>4390</v>
      </c>
      <c r="E378">
        <v>4392</v>
      </c>
      <c r="F378">
        <v>4390</v>
      </c>
      <c r="G378">
        <v>4391</v>
      </c>
      <c r="H378">
        <v>11500</v>
      </c>
    </row>
    <row r="379" spans="2:8">
      <c r="B379" t="s">
        <v>442</v>
      </c>
      <c r="C379" t="s">
        <v>210</v>
      </c>
      <c r="D379">
        <v>4390</v>
      </c>
      <c r="E379">
        <v>4393</v>
      </c>
      <c r="F379">
        <v>4388</v>
      </c>
      <c r="G379">
        <v>4389</v>
      </c>
      <c r="H379">
        <v>21800</v>
      </c>
    </row>
    <row r="380" spans="2:8">
      <c r="B380" t="s">
        <v>442</v>
      </c>
      <c r="C380" t="s">
        <v>211</v>
      </c>
      <c r="D380">
        <v>4389</v>
      </c>
      <c r="E380">
        <v>4392</v>
      </c>
      <c r="F380">
        <v>4388</v>
      </c>
      <c r="G380">
        <v>4390</v>
      </c>
      <c r="H380">
        <v>33700</v>
      </c>
    </row>
    <row r="381" spans="2:8">
      <c r="B381" t="s">
        <v>442</v>
      </c>
      <c r="C381" t="s">
        <v>212</v>
      </c>
      <c r="D381">
        <v>4390</v>
      </c>
      <c r="E381">
        <v>4394</v>
      </c>
      <c r="F381">
        <v>4389</v>
      </c>
      <c r="G381">
        <v>4394</v>
      </c>
      <c r="H381">
        <v>17500</v>
      </c>
    </row>
    <row r="382" spans="2:8">
      <c r="B382" t="s">
        <v>442</v>
      </c>
      <c r="C382" t="s">
        <v>213</v>
      </c>
      <c r="D382">
        <v>4394</v>
      </c>
      <c r="E382">
        <v>4396</v>
      </c>
      <c r="F382">
        <v>4392</v>
      </c>
      <c r="G382">
        <v>4392</v>
      </c>
      <c r="H382">
        <v>18200</v>
      </c>
    </row>
    <row r="383" spans="2:8">
      <c r="B383" t="s">
        <v>442</v>
      </c>
      <c r="C383" t="s">
        <v>214</v>
      </c>
      <c r="D383">
        <v>4392</v>
      </c>
      <c r="E383">
        <v>4392</v>
      </c>
      <c r="F383">
        <v>4389</v>
      </c>
      <c r="G383">
        <v>4391</v>
      </c>
      <c r="H383">
        <v>12400</v>
      </c>
    </row>
    <row r="384" spans="2:8">
      <c r="B384" t="s">
        <v>442</v>
      </c>
      <c r="C384" t="s">
        <v>215</v>
      </c>
      <c r="D384">
        <v>4391</v>
      </c>
      <c r="E384">
        <v>4393</v>
      </c>
      <c r="F384">
        <v>4391</v>
      </c>
      <c r="G384">
        <v>4392</v>
      </c>
      <c r="H384">
        <v>13000</v>
      </c>
    </row>
    <row r="385" spans="2:8">
      <c r="B385" t="s">
        <v>442</v>
      </c>
      <c r="C385" t="s">
        <v>216</v>
      </c>
      <c r="D385">
        <v>4392</v>
      </c>
      <c r="E385">
        <v>4394</v>
      </c>
      <c r="F385">
        <v>4389</v>
      </c>
      <c r="G385">
        <v>4393</v>
      </c>
      <c r="H385">
        <v>14800</v>
      </c>
    </row>
    <row r="386" spans="2:8">
      <c r="B386" t="s">
        <v>442</v>
      </c>
      <c r="C386" t="s">
        <v>217</v>
      </c>
      <c r="D386">
        <v>4392</v>
      </c>
      <c r="E386">
        <v>4393</v>
      </c>
      <c r="F386">
        <v>4392</v>
      </c>
      <c r="G386">
        <v>4392</v>
      </c>
      <c r="H386">
        <v>5900</v>
      </c>
    </row>
    <row r="387" spans="2:8">
      <c r="B387" t="s">
        <v>442</v>
      </c>
      <c r="C387" t="s">
        <v>218</v>
      </c>
      <c r="D387">
        <v>4392</v>
      </c>
      <c r="E387">
        <v>4395</v>
      </c>
      <c r="F387">
        <v>4392</v>
      </c>
      <c r="G387">
        <v>4395</v>
      </c>
      <c r="H387">
        <v>11700</v>
      </c>
    </row>
    <row r="388" spans="2:8">
      <c r="B388" t="s">
        <v>442</v>
      </c>
      <c r="C388" t="s">
        <v>219</v>
      </c>
      <c r="D388">
        <v>4395</v>
      </c>
      <c r="E388">
        <v>4395</v>
      </c>
      <c r="F388">
        <v>4390</v>
      </c>
      <c r="G388">
        <v>4390</v>
      </c>
      <c r="H388">
        <v>10600</v>
      </c>
    </row>
    <row r="389" spans="2:8">
      <c r="B389" t="s">
        <v>442</v>
      </c>
      <c r="C389" t="s">
        <v>220</v>
      </c>
      <c r="D389">
        <v>4390</v>
      </c>
      <c r="E389">
        <v>4390</v>
      </c>
      <c r="F389">
        <v>4387</v>
      </c>
      <c r="G389">
        <v>4387</v>
      </c>
      <c r="H389">
        <v>32300</v>
      </c>
    </row>
    <row r="390" spans="2:8">
      <c r="B390" t="s">
        <v>442</v>
      </c>
      <c r="C390" t="s">
        <v>221</v>
      </c>
      <c r="D390">
        <v>4388</v>
      </c>
      <c r="E390">
        <v>4391</v>
      </c>
      <c r="F390">
        <v>4388</v>
      </c>
      <c r="G390">
        <v>4389</v>
      </c>
      <c r="H390">
        <v>15400</v>
      </c>
    </row>
    <row r="391" spans="2:8">
      <c r="B391" t="s">
        <v>442</v>
      </c>
      <c r="C391" t="s">
        <v>222</v>
      </c>
      <c r="D391">
        <v>4389</v>
      </c>
      <c r="E391">
        <v>4389</v>
      </c>
      <c r="F391">
        <v>4384</v>
      </c>
      <c r="G391">
        <v>4384</v>
      </c>
      <c r="H391">
        <v>16500</v>
      </c>
    </row>
    <row r="392" spans="2:8">
      <c r="B392" t="s">
        <v>442</v>
      </c>
      <c r="C392" t="s">
        <v>223</v>
      </c>
      <c r="D392">
        <v>4384</v>
      </c>
      <c r="E392">
        <v>4384</v>
      </c>
      <c r="F392">
        <v>4382</v>
      </c>
      <c r="G392">
        <v>4384</v>
      </c>
      <c r="H392">
        <v>5800</v>
      </c>
    </row>
    <row r="393" spans="2:8">
      <c r="B393" t="s">
        <v>442</v>
      </c>
      <c r="C393" t="s">
        <v>224</v>
      </c>
      <c r="D393">
        <v>4384</v>
      </c>
      <c r="E393">
        <v>4384</v>
      </c>
      <c r="F393">
        <v>4383</v>
      </c>
      <c r="G393">
        <v>4383</v>
      </c>
      <c r="H393">
        <v>20300</v>
      </c>
    </row>
    <row r="394" spans="2:8">
      <c r="B394" t="s">
        <v>442</v>
      </c>
      <c r="C394" t="s">
        <v>225</v>
      </c>
      <c r="D394">
        <v>4383</v>
      </c>
      <c r="E394">
        <v>4383</v>
      </c>
      <c r="F394">
        <v>4381</v>
      </c>
      <c r="G394">
        <v>4382</v>
      </c>
      <c r="H394">
        <v>13500</v>
      </c>
    </row>
    <row r="395" spans="2:8">
      <c r="B395" t="s">
        <v>442</v>
      </c>
      <c r="C395" t="s">
        <v>226</v>
      </c>
      <c r="D395">
        <v>4382</v>
      </c>
      <c r="E395">
        <v>4382</v>
      </c>
      <c r="F395">
        <v>4375</v>
      </c>
      <c r="G395">
        <v>4375</v>
      </c>
      <c r="H395">
        <v>26400</v>
      </c>
    </row>
    <row r="396" spans="2:8">
      <c r="B396" t="s">
        <v>442</v>
      </c>
      <c r="C396" t="s">
        <v>227</v>
      </c>
      <c r="D396">
        <v>4374</v>
      </c>
      <c r="E396">
        <v>4380</v>
      </c>
      <c r="F396">
        <v>4374</v>
      </c>
      <c r="G396">
        <v>4380</v>
      </c>
      <c r="H396">
        <v>17400</v>
      </c>
    </row>
    <row r="397" spans="2:8">
      <c r="B397" t="s">
        <v>442</v>
      </c>
      <c r="C397" t="s">
        <v>228</v>
      </c>
      <c r="D397">
        <v>4380</v>
      </c>
      <c r="E397">
        <v>4380</v>
      </c>
      <c r="F397">
        <v>4378</v>
      </c>
      <c r="G397">
        <v>4379</v>
      </c>
      <c r="H397">
        <v>5300</v>
      </c>
    </row>
    <row r="398" spans="2:8">
      <c r="B398" t="s">
        <v>442</v>
      </c>
      <c r="C398" t="s">
        <v>229</v>
      </c>
      <c r="D398">
        <v>4380</v>
      </c>
      <c r="E398">
        <v>4383</v>
      </c>
      <c r="F398">
        <v>4380</v>
      </c>
      <c r="G398">
        <v>4383</v>
      </c>
      <c r="H398">
        <v>7300</v>
      </c>
    </row>
    <row r="399" spans="2:8">
      <c r="B399" t="s">
        <v>442</v>
      </c>
      <c r="C399" t="s">
        <v>230</v>
      </c>
      <c r="D399">
        <v>4382</v>
      </c>
      <c r="E399">
        <v>4382</v>
      </c>
      <c r="F399">
        <v>4376</v>
      </c>
      <c r="G399">
        <v>4377</v>
      </c>
      <c r="H399">
        <v>21200</v>
      </c>
    </row>
    <row r="400" spans="2:8">
      <c r="B400" t="s">
        <v>442</v>
      </c>
      <c r="C400" t="s">
        <v>231</v>
      </c>
      <c r="D400">
        <v>4376</v>
      </c>
      <c r="E400">
        <v>4376</v>
      </c>
      <c r="F400">
        <v>4373</v>
      </c>
      <c r="G400">
        <v>4373</v>
      </c>
      <c r="H400">
        <v>33100</v>
      </c>
    </row>
    <row r="401" spans="2:8">
      <c r="B401" t="s">
        <v>442</v>
      </c>
      <c r="C401" t="s">
        <v>232</v>
      </c>
      <c r="D401">
        <v>4372</v>
      </c>
      <c r="E401">
        <v>4372</v>
      </c>
      <c r="F401">
        <v>4368</v>
      </c>
      <c r="G401">
        <v>4369</v>
      </c>
      <c r="H401">
        <v>65200</v>
      </c>
    </row>
    <row r="402" spans="2:8">
      <c r="B402" t="s">
        <v>442</v>
      </c>
      <c r="C402" t="s">
        <v>233</v>
      </c>
      <c r="D402">
        <v>4369</v>
      </c>
      <c r="E402">
        <v>4371</v>
      </c>
      <c r="F402">
        <v>4367</v>
      </c>
      <c r="G402">
        <v>4367</v>
      </c>
      <c r="H402">
        <v>12400</v>
      </c>
    </row>
    <row r="403" spans="2:8">
      <c r="B403" t="s">
        <v>442</v>
      </c>
      <c r="C403" t="s">
        <v>234</v>
      </c>
      <c r="D403">
        <v>4366</v>
      </c>
      <c r="E403">
        <v>4371</v>
      </c>
      <c r="F403">
        <v>4365</v>
      </c>
      <c r="G403">
        <v>4369</v>
      </c>
      <c r="H403">
        <v>48300</v>
      </c>
    </row>
    <row r="404" spans="2:8">
      <c r="B404" t="s">
        <v>442</v>
      </c>
      <c r="C404" t="s">
        <v>235</v>
      </c>
      <c r="D404">
        <v>4369</v>
      </c>
      <c r="E404">
        <v>4374</v>
      </c>
      <c r="F404">
        <v>4369</v>
      </c>
      <c r="G404">
        <v>4373</v>
      </c>
      <c r="H404">
        <v>10100</v>
      </c>
    </row>
    <row r="405" spans="2:8">
      <c r="B405" t="s">
        <v>442</v>
      </c>
      <c r="C405" t="s">
        <v>236</v>
      </c>
      <c r="D405">
        <v>4371</v>
      </c>
      <c r="E405">
        <v>4371</v>
      </c>
      <c r="F405">
        <v>4367</v>
      </c>
      <c r="G405">
        <v>4369</v>
      </c>
      <c r="H405">
        <v>9700</v>
      </c>
    </row>
    <row r="406" spans="2:8">
      <c r="B406" t="s">
        <v>442</v>
      </c>
      <c r="C406" t="s">
        <v>237</v>
      </c>
      <c r="D406">
        <v>4370</v>
      </c>
      <c r="E406">
        <v>4370</v>
      </c>
      <c r="F406">
        <v>4368</v>
      </c>
      <c r="G406">
        <v>4370</v>
      </c>
      <c r="H406">
        <v>5800</v>
      </c>
    </row>
    <row r="407" spans="2:8">
      <c r="B407" t="s">
        <v>442</v>
      </c>
      <c r="C407" t="s">
        <v>238</v>
      </c>
      <c r="D407">
        <v>4370</v>
      </c>
      <c r="E407">
        <v>4370</v>
      </c>
      <c r="F407">
        <v>4368</v>
      </c>
      <c r="G407">
        <v>4368</v>
      </c>
      <c r="H407">
        <v>7500</v>
      </c>
    </row>
    <row r="408" spans="2:8">
      <c r="B408" t="s">
        <v>442</v>
      </c>
      <c r="C408" t="s">
        <v>239</v>
      </c>
      <c r="D408">
        <v>4368</v>
      </c>
      <c r="E408">
        <v>4370</v>
      </c>
      <c r="F408">
        <v>4368</v>
      </c>
      <c r="G408">
        <v>4370</v>
      </c>
      <c r="H408">
        <v>6900</v>
      </c>
    </row>
    <row r="409" spans="2:8">
      <c r="B409" t="s">
        <v>442</v>
      </c>
      <c r="C409" t="s">
        <v>240</v>
      </c>
      <c r="D409">
        <v>4370</v>
      </c>
      <c r="E409">
        <v>4370</v>
      </c>
      <c r="F409">
        <v>4369</v>
      </c>
      <c r="G409">
        <v>4370</v>
      </c>
      <c r="H409">
        <v>6100</v>
      </c>
    </row>
    <row r="410" spans="2:8">
      <c r="B410" t="s">
        <v>442</v>
      </c>
      <c r="C410" t="s">
        <v>241</v>
      </c>
      <c r="D410">
        <v>4371</v>
      </c>
      <c r="E410">
        <v>4374</v>
      </c>
      <c r="F410">
        <v>4371</v>
      </c>
      <c r="G410">
        <v>4374</v>
      </c>
      <c r="H410">
        <v>11600</v>
      </c>
    </row>
    <row r="411" spans="2:8">
      <c r="B411" t="s">
        <v>442</v>
      </c>
      <c r="C411" t="s">
        <v>242</v>
      </c>
      <c r="D411">
        <v>4374</v>
      </c>
      <c r="E411">
        <v>4376</v>
      </c>
      <c r="F411">
        <v>4373</v>
      </c>
      <c r="G411">
        <v>4373</v>
      </c>
      <c r="H411">
        <v>12800</v>
      </c>
    </row>
    <row r="412" spans="2:8">
      <c r="B412" t="s">
        <v>442</v>
      </c>
      <c r="C412" t="s">
        <v>243</v>
      </c>
      <c r="D412">
        <v>4373</v>
      </c>
      <c r="E412">
        <v>4375</v>
      </c>
      <c r="F412">
        <v>4373</v>
      </c>
      <c r="G412">
        <v>4373</v>
      </c>
      <c r="H412">
        <v>10500</v>
      </c>
    </row>
    <row r="413" spans="2:8">
      <c r="B413" t="s">
        <v>442</v>
      </c>
      <c r="C413" t="s">
        <v>244</v>
      </c>
      <c r="D413">
        <v>4373</v>
      </c>
      <c r="E413">
        <v>4374</v>
      </c>
      <c r="F413">
        <v>4371</v>
      </c>
      <c r="G413">
        <v>4371</v>
      </c>
      <c r="H413">
        <v>6800</v>
      </c>
    </row>
    <row r="414" spans="2:8">
      <c r="B414" t="s">
        <v>442</v>
      </c>
      <c r="C414" t="s">
        <v>245</v>
      </c>
      <c r="D414">
        <v>4371</v>
      </c>
      <c r="E414">
        <v>4371</v>
      </c>
      <c r="F414">
        <v>4369</v>
      </c>
      <c r="G414">
        <v>4369</v>
      </c>
      <c r="H414">
        <v>13800</v>
      </c>
    </row>
    <row r="415" spans="2:8">
      <c r="B415" t="s">
        <v>442</v>
      </c>
      <c r="C415" t="s">
        <v>246</v>
      </c>
      <c r="D415">
        <v>4368</v>
      </c>
      <c r="E415">
        <v>4369</v>
      </c>
      <c r="F415">
        <v>4367</v>
      </c>
      <c r="G415">
        <v>4367</v>
      </c>
      <c r="H415">
        <v>15400</v>
      </c>
    </row>
    <row r="416" spans="2:8">
      <c r="B416" t="s">
        <v>442</v>
      </c>
      <c r="C416" t="s">
        <v>247</v>
      </c>
      <c r="D416">
        <v>4368</v>
      </c>
      <c r="E416">
        <v>4368</v>
      </c>
      <c r="F416">
        <v>4362</v>
      </c>
      <c r="G416">
        <v>4362</v>
      </c>
      <c r="H416">
        <v>24000</v>
      </c>
    </row>
    <row r="417" spans="2:8">
      <c r="B417" t="s">
        <v>442</v>
      </c>
      <c r="C417" t="s">
        <v>248</v>
      </c>
      <c r="D417">
        <v>4362</v>
      </c>
      <c r="E417">
        <v>4362</v>
      </c>
      <c r="F417">
        <v>4357</v>
      </c>
      <c r="G417">
        <v>4357</v>
      </c>
      <c r="H417">
        <v>50900</v>
      </c>
    </row>
    <row r="418" spans="2:8">
      <c r="B418" t="s">
        <v>442</v>
      </c>
      <c r="C418" t="s">
        <v>249</v>
      </c>
      <c r="D418">
        <v>4358</v>
      </c>
      <c r="E418">
        <v>4361</v>
      </c>
      <c r="F418">
        <v>4357</v>
      </c>
      <c r="G418">
        <v>4360</v>
      </c>
      <c r="H418">
        <v>10700</v>
      </c>
    </row>
    <row r="419" spans="2:8">
      <c r="B419" t="s">
        <v>442</v>
      </c>
      <c r="C419" t="s">
        <v>250</v>
      </c>
      <c r="D419">
        <v>4361</v>
      </c>
      <c r="E419">
        <v>4361</v>
      </c>
      <c r="F419">
        <v>4359</v>
      </c>
      <c r="G419">
        <v>4359</v>
      </c>
      <c r="H419">
        <v>3800</v>
      </c>
    </row>
    <row r="420" spans="2:8">
      <c r="B420" t="s">
        <v>442</v>
      </c>
      <c r="C420" t="s">
        <v>251</v>
      </c>
      <c r="D420">
        <v>4360</v>
      </c>
      <c r="E420">
        <v>4364</v>
      </c>
      <c r="F420">
        <v>4360</v>
      </c>
      <c r="G420">
        <v>4363</v>
      </c>
      <c r="H420">
        <v>7900</v>
      </c>
    </row>
    <row r="421" spans="2:8">
      <c r="B421" t="s">
        <v>442</v>
      </c>
      <c r="C421" t="s">
        <v>252</v>
      </c>
      <c r="D421">
        <v>4363</v>
      </c>
      <c r="E421">
        <v>4367</v>
      </c>
      <c r="F421">
        <v>4363</v>
      </c>
      <c r="G421">
        <v>4366</v>
      </c>
      <c r="H421">
        <v>17300</v>
      </c>
    </row>
    <row r="422" spans="2:8">
      <c r="B422" t="s">
        <v>442</v>
      </c>
      <c r="C422" t="s">
        <v>253</v>
      </c>
      <c r="D422">
        <v>4366</v>
      </c>
      <c r="E422">
        <v>4368</v>
      </c>
      <c r="F422">
        <v>4366</v>
      </c>
      <c r="G422">
        <v>4367</v>
      </c>
      <c r="H422">
        <v>5600</v>
      </c>
    </row>
    <row r="423" spans="2:8">
      <c r="B423" t="s">
        <v>442</v>
      </c>
      <c r="C423" t="s">
        <v>254</v>
      </c>
      <c r="D423">
        <v>4366</v>
      </c>
      <c r="E423">
        <v>4366</v>
      </c>
      <c r="F423">
        <v>4364</v>
      </c>
      <c r="G423">
        <v>4365</v>
      </c>
      <c r="H423">
        <v>13500</v>
      </c>
    </row>
    <row r="424" spans="2:8">
      <c r="B424" t="s">
        <v>442</v>
      </c>
      <c r="C424" t="s">
        <v>255</v>
      </c>
      <c r="D424">
        <v>4366</v>
      </c>
      <c r="E424">
        <v>4369</v>
      </c>
      <c r="F424">
        <v>4365</v>
      </c>
      <c r="G424">
        <v>4369</v>
      </c>
      <c r="H424">
        <v>7400</v>
      </c>
    </row>
    <row r="425" spans="2:8">
      <c r="B425" t="s">
        <v>442</v>
      </c>
      <c r="C425" t="s">
        <v>256</v>
      </c>
      <c r="D425">
        <v>4369</v>
      </c>
      <c r="E425">
        <v>4370</v>
      </c>
      <c r="F425">
        <v>4367</v>
      </c>
      <c r="G425">
        <v>4368</v>
      </c>
      <c r="H425">
        <v>15800</v>
      </c>
    </row>
    <row r="426" spans="2:8">
      <c r="B426" t="s">
        <v>442</v>
      </c>
      <c r="C426" t="s">
        <v>257</v>
      </c>
      <c r="D426">
        <v>4369</v>
      </c>
      <c r="E426">
        <v>4373</v>
      </c>
      <c r="F426">
        <v>4369</v>
      </c>
      <c r="G426">
        <v>4373</v>
      </c>
      <c r="H426">
        <v>16500</v>
      </c>
    </row>
    <row r="427" spans="2:8">
      <c r="B427" t="s">
        <v>442</v>
      </c>
      <c r="C427" t="s">
        <v>258</v>
      </c>
      <c r="D427">
        <v>4373</v>
      </c>
      <c r="E427">
        <v>4374</v>
      </c>
      <c r="F427">
        <v>4370</v>
      </c>
      <c r="G427">
        <v>4370</v>
      </c>
      <c r="H427">
        <v>11900</v>
      </c>
    </row>
    <row r="428" spans="2:8">
      <c r="B428" t="s">
        <v>442</v>
      </c>
      <c r="C428" t="s">
        <v>259</v>
      </c>
      <c r="D428">
        <v>4371</v>
      </c>
      <c r="E428">
        <v>4373</v>
      </c>
      <c r="F428">
        <v>4371</v>
      </c>
      <c r="G428">
        <v>4372</v>
      </c>
      <c r="H428">
        <v>4500</v>
      </c>
    </row>
    <row r="429" spans="2:8">
      <c r="B429" t="s">
        <v>442</v>
      </c>
      <c r="C429" t="s">
        <v>260</v>
      </c>
      <c r="D429">
        <v>4372</v>
      </c>
      <c r="E429">
        <v>4372</v>
      </c>
      <c r="F429">
        <v>4370</v>
      </c>
      <c r="G429">
        <v>4370</v>
      </c>
      <c r="H429">
        <v>4500</v>
      </c>
    </row>
    <row r="430" spans="2:8">
      <c r="B430" t="s">
        <v>442</v>
      </c>
      <c r="C430" t="s">
        <v>261</v>
      </c>
      <c r="D430">
        <v>4370</v>
      </c>
      <c r="E430">
        <v>4370</v>
      </c>
      <c r="F430">
        <v>4368</v>
      </c>
      <c r="G430">
        <v>4369</v>
      </c>
      <c r="H430">
        <v>3500</v>
      </c>
    </row>
    <row r="431" spans="2:8">
      <c r="B431" t="s">
        <v>442</v>
      </c>
      <c r="C431" t="s">
        <v>262</v>
      </c>
      <c r="D431">
        <v>4369</v>
      </c>
      <c r="E431">
        <v>4369</v>
      </c>
      <c r="F431">
        <v>4366</v>
      </c>
      <c r="G431">
        <v>4369</v>
      </c>
      <c r="H431">
        <v>9300</v>
      </c>
    </row>
    <row r="432" spans="2:8">
      <c r="B432" t="s">
        <v>442</v>
      </c>
      <c r="C432" t="s">
        <v>263</v>
      </c>
      <c r="D432">
        <v>4368</v>
      </c>
      <c r="E432">
        <v>4372</v>
      </c>
      <c r="F432">
        <v>4368</v>
      </c>
      <c r="G432">
        <v>4372</v>
      </c>
      <c r="H432">
        <v>4700</v>
      </c>
    </row>
    <row r="433" spans="2:8">
      <c r="B433" t="s">
        <v>442</v>
      </c>
      <c r="C433" t="s">
        <v>264</v>
      </c>
      <c r="D433">
        <v>4372</v>
      </c>
      <c r="E433">
        <v>4376</v>
      </c>
      <c r="F433">
        <v>4371</v>
      </c>
      <c r="G433">
        <v>4375</v>
      </c>
      <c r="H433">
        <v>21600</v>
      </c>
    </row>
    <row r="434" spans="2:8">
      <c r="B434" t="s">
        <v>442</v>
      </c>
      <c r="C434" t="s">
        <v>265</v>
      </c>
      <c r="D434">
        <v>4374</v>
      </c>
      <c r="E434">
        <v>4374</v>
      </c>
      <c r="F434">
        <v>4369</v>
      </c>
      <c r="G434">
        <v>4369</v>
      </c>
      <c r="H434">
        <v>4000</v>
      </c>
    </row>
    <row r="435" spans="2:8">
      <c r="B435" t="s">
        <v>442</v>
      </c>
      <c r="C435" t="s">
        <v>266</v>
      </c>
      <c r="D435">
        <v>4369</v>
      </c>
      <c r="E435">
        <v>4374</v>
      </c>
      <c r="F435">
        <v>4369</v>
      </c>
      <c r="G435">
        <v>4372</v>
      </c>
      <c r="H435">
        <v>13000</v>
      </c>
    </row>
    <row r="436" spans="2:8">
      <c r="B436" t="s">
        <v>442</v>
      </c>
      <c r="C436" t="s">
        <v>267</v>
      </c>
      <c r="D436">
        <v>4372</v>
      </c>
      <c r="E436">
        <v>4375</v>
      </c>
      <c r="F436">
        <v>4367</v>
      </c>
      <c r="G436">
        <v>4372</v>
      </c>
      <c r="H436">
        <v>54500</v>
      </c>
    </row>
    <row r="437" spans="2:8">
      <c r="B437" t="s">
        <v>442</v>
      </c>
      <c r="C437" t="s">
        <v>268</v>
      </c>
      <c r="D437">
        <v>4372</v>
      </c>
      <c r="E437">
        <v>4373</v>
      </c>
      <c r="F437">
        <v>4370</v>
      </c>
      <c r="G437">
        <v>4373</v>
      </c>
      <c r="H437">
        <v>4900</v>
      </c>
    </row>
    <row r="438" spans="2:8">
      <c r="B438" t="s">
        <v>442</v>
      </c>
      <c r="C438" t="s">
        <v>269</v>
      </c>
      <c r="D438">
        <v>4373</v>
      </c>
      <c r="E438">
        <v>4378</v>
      </c>
      <c r="F438">
        <v>4373</v>
      </c>
      <c r="G438">
        <v>4376</v>
      </c>
      <c r="H438">
        <v>17500</v>
      </c>
    </row>
    <row r="439" spans="2:8">
      <c r="B439" t="s">
        <v>442</v>
      </c>
      <c r="C439" t="s">
        <v>270</v>
      </c>
      <c r="D439">
        <v>4376</v>
      </c>
      <c r="E439">
        <v>4376</v>
      </c>
      <c r="F439">
        <v>4374</v>
      </c>
      <c r="G439">
        <v>4374</v>
      </c>
      <c r="H439">
        <v>2300</v>
      </c>
    </row>
    <row r="440" spans="2:8">
      <c r="B440" t="s">
        <v>442</v>
      </c>
      <c r="C440" t="s">
        <v>271</v>
      </c>
      <c r="D440">
        <v>4374</v>
      </c>
      <c r="E440">
        <v>4376</v>
      </c>
      <c r="F440">
        <v>4374</v>
      </c>
      <c r="G440">
        <v>4376</v>
      </c>
      <c r="H440">
        <v>4800</v>
      </c>
    </row>
    <row r="441" spans="2:8">
      <c r="B441" t="s">
        <v>442</v>
      </c>
      <c r="C441" t="s">
        <v>272</v>
      </c>
      <c r="D441">
        <v>4376</v>
      </c>
      <c r="E441">
        <v>4378</v>
      </c>
      <c r="F441">
        <v>4376</v>
      </c>
      <c r="G441">
        <v>4378</v>
      </c>
      <c r="H441">
        <v>6400</v>
      </c>
    </row>
    <row r="442" spans="2:8">
      <c r="B442" t="s">
        <v>442</v>
      </c>
      <c r="C442" t="s">
        <v>273</v>
      </c>
      <c r="D442">
        <v>4378</v>
      </c>
      <c r="E442">
        <v>4379</v>
      </c>
      <c r="F442">
        <v>4378</v>
      </c>
      <c r="G442">
        <v>4379</v>
      </c>
      <c r="H442">
        <v>4300</v>
      </c>
    </row>
    <row r="443" spans="2:8">
      <c r="B443" t="s">
        <v>442</v>
      </c>
      <c r="C443" t="s">
        <v>274</v>
      </c>
      <c r="D443">
        <v>4378</v>
      </c>
      <c r="E443">
        <v>4379</v>
      </c>
      <c r="F443">
        <v>4378</v>
      </c>
      <c r="G443">
        <v>4379</v>
      </c>
      <c r="H443">
        <v>5500</v>
      </c>
    </row>
    <row r="444" spans="2:8">
      <c r="B444" t="s">
        <v>442</v>
      </c>
      <c r="C444" t="s">
        <v>275</v>
      </c>
      <c r="D444">
        <v>4379</v>
      </c>
      <c r="E444">
        <v>4379</v>
      </c>
      <c r="F444">
        <v>4376</v>
      </c>
      <c r="G444">
        <v>4377</v>
      </c>
      <c r="H444">
        <v>3700</v>
      </c>
    </row>
    <row r="445" spans="2:8">
      <c r="B445" t="s">
        <v>442</v>
      </c>
      <c r="C445" t="s">
        <v>276</v>
      </c>
      <c r="D445">
        <v>4376</v>
      </c>
      <c r="E445">
        <v>4376</v>
      </c>
      <c r="F445">
        <v>4374</v>
      </c>
      <c r="G445">
        <v>4376</v>
      </c>
      <c r="H445">
        <v>8500</v>
      </c>
    </row>
    <row r="446" spans="2:8">
      <c r="B446" t="s">
        <v>442</v>
      </c>
      <c r="C446" t="s">
        <v>277</v>
      </c>
      <c r="D446">
        <v>4376</v>
      </c>
      <c r="E446">
        <v>4376</v>
      </c>
      <c r="F446">
        <v>4375</v>
      </c>
      <c r="G446">
        <v>4375</v>
      </c>
      <c r="H446">
        <v>1100</v>
      </c>
    </row>
    <row r="447" spans="2:8">
      <c r="B447" t="s">
        <v>442</v>
      </c>
      <c r="C447" t="s">
        <v>278</v>
      </c>
      <c r="D447">
        <v>4376</v>
      </c>
      <c r="E447">
        <v>4379</v>
      </c>
      <c r="F447">
        <v>4374</v>
      </c>
      <c r="G447">
        <v>4379</v>
      </c>
      <c r="H447">
        <v>15300</v>
      </c>
    </row>
    <row r="448" spans="2:8">
      <c r="B448" t="s">
        <v>442</v>
      </c>
      <c r="C448" t="s">
        <v>279</v>
      </c>
      <c r="D448">
        <v>4378</v>
      </c>
      <c r="E448">
        <v>4378</v>
      </c>
      <c r="F448">
        <v>4376</v>
      </c>
      <c r="G448">
        <v>4377</v>
      </c>
      <c r="H448">
        <v>2800</v>
      </c>
    </row>
    <row r="449" spans="2:8">
      <c r="B449" t="s">
        <v>442</v>
      </c>
      <c r="C449" t="s">
        <v>280</v>
      </c>
      <c r="D449">
        <v>4378</v>
      </c>
      <c r="E449">
        <v>4384</v>
      </c>
      <c r="F449">
        <v>4378</v>
      </c>
      <c r="G449">
        <v>4383</v>
      </c>
      <c r="H449">
        <v>26600</v>
      </c>
    </row>
    <row r="450" spans="2:8">
      <c r="B450" t="s">
        <v>442</v>
      </c>
      <c r="C450" t="s">
        <v>281</v>
      </c>
      <c r="D450">
        <v>4383</v>
      </c>
      <c r="E450">
        <v>4383</v>
      </c>
      <c r="F450">
        <v>4381</v>
      </c>
      <c r="G450">
        <v>4382</v>
      </c>
      <c r="H450">
        <v>10800</v>
      </c>
    </row>
    <row r="451" spans="2:8">
      <c r="B451" t="s">
        <v>442</v>
      </c>
      <c r="C451" t="s">
        <v>282</v>
      </c>
      <c r="D451">
        <v>4381</v>
      </c>
      <c r="E451">
        <v>4381</v>
      </c>
      <c r="F451">
        <v>4381</v>
      </c>
      <c r="G451">
        <v>4381</v>
      </c>
      <c r="H451">
        <v>2000</v>
      </c>
    </row>
    <row r="452" spans="2:8">
      <c r="B452" t="s">
        <v>442</v>
      </c>
      <c r="C452" t="s">
        <v>283</v>
      </c>
      <c r="D452">
        <v>4380</v>
      </c>
      <c r="E452">
        <v>4380</v>
      </c>
      <c r="F452">
        <v>4377</v>
      </c>
      <c r="G452">
        <v>4379</v>
      </c>
      <c r="H452">
        <v>10900</v>
      </c>
    </row>
    <row r="453" spans="2:8">
      <c r="B453" t="s">
        <v>442</v>
      </c>
      <c r="C453" t="s">
        <v>284</v>
      </c>
      <c r="D453">
        <v>4379</v>
      </c>
      <c r="E453">
        <v>4379</v>
      </c>
      <c r="F453">
        <v>4377</v>
      </c>
      <c r="G453">
        <v>4378</v>
      </c>
      <c r="H453">
        <v>5400</v>
      </c>
    </row>
    <row r="454" spans="2:8">
      <c r="B454" t="s">
        <v>442</v>
      </c>
      <c r="C454" t="s">
        <v>285</v>
      </c>
      <c r="D454">
        <v>4378</v>
      </c>
      <c r="E454">
        <v>4379</v>
      </c>
      <c r="F454">
        <v>4377</v>
      </c>
      <c r="G454">
        <v>4378</v>
      </c>
      <c r="H454">
        <v>12800</v>
      </c>
    </row>
    <row r="455" spans="2:8">
      <c r="B455" t="s">
        <v>442</v>
      </c>
      <c r="C455" t="s">
        <v>286</v>
      </c>
      <c r="D455">
        <v>4379</v>
      </c>
      <c r="E455">
        <v>4380</v>
      </c>
      <c r="F455">
        <v>4377</v>
      </c>
      <c r="G455">
        <v>4377</v>
      </c>
      <c r="H455">
        <v>8700</v>
      </c>
    </row>
    <row r="456" spans="2:8">
      <c r="B456" t="s">
        <v>442</v>
      </c>
      <c r="C456" t="s">
        <v>287</v>
      </c>
      <c r="D456">
        <v>4376</v>
      </c>
      <c r="E456">
        <v>4377</v>
      </c>
      <c r="F456">
        <v>4373</v>
      </c>
      <c r="G456">
        <v>4374</v>
      </c>
      <c r="H456">
        <v>23800</v>
      </c>
    </row>
    <row r="457" spans="2:8">
      <c r="B457" t="s">
        <v>442</v>
      </c>
      <c r="C457" t="s">
        <v>288</v>
      </c>
      <c r="D457">
        <v>4375</v>
      </c>
      <c r="E457">
        <v>4377</v>
      </c>
      <c r="F457">
        <v>4375</v>
      </c>
      <c r="G457">
        <v>4377</v>
      </c>
      <c r="H457">
        <v>8900</v>
      </c>
    </row>
    <row r="458" spans="2:8">
      <c r="B458" t="s">
        <v>442</v>
      </c>
      <c r="C458" t="s">
        <v>289</v>
      </c>
      <c r="D458">
        <v>4377</v>
      </c>
      <c r="E458">
        <v>4377</v>
      </c>
      <c r="F458">
        <v>4373</v>
      </c>
      <c r="G458">
        <v>4373</v>
      </c>
      <c r="H458">
        <v>9200</v>
      </c>
    </row>
    <row r="459" spans="2:8">
      <c r="B459" t="s">
        <v>442</v>
      </c>
      <c r="C459" t="s">
        <v>290</v>
      </c>
      <c r="D459">
        <v>4373</v>
      </c>
      <c r="E459">
        <v>4373</v>
      </c>
      <c r="F459">
        <v>4369</v>
      </c>
      <c r="G459">
        <v>4371</v>
      </c>
      <c r="H459">
        <v>15200</v>
      </c>
    </row>
    <row r="460" spans="2:8">
      <c r="B460" t="s">
        <v>442</v>
      </c>
      <c r="C460" t="s">
        <v>291</v>
      </c>
      <c r="D460">
        <v>4371</v>
      </c>
      <c r="E460">
        <v>4373</v>
      </c>
      <c r="F460">
        <v>4370</v>
      </c>
      <c r="G460">
        <v>4373</v>
      </c>
      <c r="H460">
        <v>14100</v>
      </c>
    </row>
    <row r="461" spans="2:8">
      <c r="B461" t="s">
        <v>442</v>
      </c>
      <c r="C461" t="s">
        <v>292</v>
      </c>
      <c r="D461">
        <v>4374</v>
      </c>
      <c r="E461">
        <v>4374</v>
      </c>
      <c r="F461">
        <v>4372</v>
      </c>
      <c r="G461">
        <v>4373</v>
      </c>
      <c r="H461">
        <v>3800</v>
      </c>
    </row>
    <row r="462" spans="2:8">
      <c r="B462" t="s">
        <v>442</v>
      </c>
      <c r="C462" t="s">
        <v>293</v>
      </c>
      <c r="D462">
        <v>4373</v>
      </c>
      <c r="E462">
        <v>4374</v>
      </c>
      <c r="F462">
        <v>4372</v>
      </c>
      <c r="G462">
        <v>4372</v>
      </c>
      <c r="H462">
        <v>1000</v>
      </c>
    </row>
    <row r="463" spans="2:8">
      <c r="B463" t="s">
        <v>442</v>
      </c>
      <c r="C463" t="s">
        <v>294</v>
      </c>
      <c r="D463">
        <v>4372</v>
      </c>
      <c r="E463">
        <v>4372</v>
      </c>
      <c r="F463">
        <v>4369</v>
      </c>
      <c r="G463">
        <v>4369</v>
      </c>
      <c r="H463">
        <v>10500</v>
      </c>
    </row>
    <row r="464" spans="2:8">
      <c r="B464" t="s">
        <v>442</v>
      </c>
      <c r="C464" t="s">
        <v>295</v>
      </c>
      <c r="D464">
        <v>4369</v>
      </c>
      <c r="E464">
        <v>4369</v>
      </c>
      <c r="F464">
        <v>4368</v>
      </c>
      <c r="G464">
        <v>4369</v>
      </c>
      <c r="H464">
        <v>4600</v>
      </c>
    </row>
    <row r="465" spans="2:8">
      <c r="B465" t="s">
        <v>442</v>
      </c>
      <c r="C465" t="s">
        <v>296</v>
      </c>
      <c r="D465">
        <v>4370</v>
      </c>
      <c r="E465">
        <v>4371</v>
      </c>
      <c r="F465">
        <v>4368</v>
      </c>
      <c r="G465">
        <v>4370</v>
      </c>
      <c r="H465">
        <v>9000</v>
      </c>
    </row>
    <row r="466" spans="2:8">
      <c r="B466" t="s">
        <v>442</v>
      </c>
      <c r="C466" t="s">
        <v>297</v>
      </c>
      <c r="D466">
        <v>4369</v>
      </c>
      <c r="E466">
        <v>4369</v>
      </c>
      <c r="F466">
        <v>4367</v>
      </c>
      <c r="G466">
        <v>4369</v>
      </c>
      <c r="H466">
        <v>8300</v>
      </c>
    </row>
    <row r="467" spans="2:8">
      <c r="B467" t="s">
        <v>442</v>
      </c>
      <c r="C467" t="s">
        <v>298</v>
      </c>
      <c r="D467">
        <v>4369</v>
      </c>
      <c r="E467">
        <v>4371</v>
      </c>
      <c r="F467">
        <v>4369</v>
      </c>
      <c r="G467">
        <v>4371</v>
      </c>
      <c r="H467">
        <v>8400</v>
      </c>
    </row>
    <row r="468" spans="2:8">
      <c r="B468" t="s">
        <v>442</v>
      </c>
      <c r="C468" t="s">
        <v>299</v>
      </c>
      <c r="D468">
        <v>4371</v>
      </c>
      <c r="E468">
        <v>4371</v>
      </c>
      <c r="F468">
        <v>4369</v>
      </c>
      <c r="G468">
        <v>4369</v>
      </c>
      <c r="H468">
        <v>2400</v>
      </c>
    </row>
    <row r="469" spans="2:8">
      <c r="B469" t="s">
        <v>442</v>
      </c>
      <c r="C469" t="s">
        <v>300</v>
      </c>
      <c r="D469">
        <v>4369</v>
      </c>
      <c r="E469">
        <v>4369</v>
      </c>
      <c r="F469">
        <v>4368</v>
      </c>
      <c r="G469">
        <v>4368</v>
      </c>
      <c r="H469">
        <v>3800</v>
      </c>
    </row>
    <row r="470" spans="2:8">
      <c r="B470" t="s">
        <v>442</v>
      </c>
      <c r="C470" t="s">
        <v>301</v>
      </c>
      <c r="D470">
        <v>4367</v>
      </c>
      <c r="E470">
        <v>4368</v>
      </c>
      <c r="F470">
        <v>4367</v>
      </c>
      <c r="G470">
        <v>4368</v>
      </c>
      <c r="H470">
        <v>2200</v>
      </c>
    </row>
    <row r="471" spans="2:8">
      <c r="B471" t="s">
        <v>442</v>
      </c>
      <c r="C471" t="s">
        <v>302</v>
      </c>
      <c r="D471">
        <v>4368</v>
      </c>
      <c r="E471">
        <v>4369</v>
      </c>
      <c r="F471">
        <v>4366</v>
      </c>
      <c r="G471">
        <v>4367</v>
      </c>
      <c r="H471">
        <v>6700</v>
      </c>
    </row>
    <row r="472" spans="2:8">
      <c r="B472" t="s">
        <v>442</v>
      </c>
      <c r="C472" t="s">
        <v>303</v>
      </c>
      <c r="D472">
        <v>4367</v>
      </c>
      <c r="E472">
        <v>4367</v>
      </c>
      <c r="F472">
        <v>4366</v>
      </c>
      <c r="G472">
        <v>4366</v>
      </c>
      <c r="H472">
        <v>8100</v>
      </c>
    </row>
    <row r="473" spans="2:8">
      <c r="B473" t="s">
        <v>442</v>
      </c>
      <c r="C473" t="s">
        <v>304</v>
      </c>
      <c r="D473">
        <v>4365</v>
      </c>
      <c r="E473">
        <v>4365</v>
      </c>
      <c r="F473">
        <v>4364</v>
      </c>
      <c r="G473">
        <v>4364</v>
      </c>
      <c r="H473">
        <v>21600</v>
      </c>
    </row>
    <row r="474" spans="2:8">
      <c r="B474" t="s">
        <v>442</v>
      </c>
      <c r="C474" t="s">
        <v>305</v>
      </c>
      <c r="D474">
        <v>4363</v>
      </c>
      <c r="E474">
        <v>4366</v>
      </c>
      <c r="F474">
        <v>4363</v>
      </c>
      <c r="G474">
        <v>4365</v>
      </c>
      <c r="H474">
        <v>12300</v>
      </c>
    </row>
    <row r="475" spans="2:8">
      <c r="B475" t="s">
        <v>442</v>
      </c>
      <c r="C475" t="s">
        <v>306</v>
      </c>
      <c r="D475">
        <v>4365</v>
      </c>
      <c r="E475">
        <v>4368</v>
      </c>
      <c r="F475">
        <v>4365</v>
      </c>
      <c r="G475">
        <v>4368</v>
      </c>
      <c r="H475">
        <v>4100</v>
      </c>
    </row>
    <row r="476" spans="2:8">
      <c r="B476" t="s">
        <v>442</v>
      </c>
      <c r="C476" t="s">
        <v>307</v>
      </c>
      <c r="D476">
        <v>4369</v>
      </c>
      <c r="E476">
        <v>4370</v>
      </c>
      <c r="F476">
        <v>4368</v>
      </c>
      <c r="G476">
        <v>4368</v>
      </c>
      <c r="H476">
        <v>4100</v>
      </c>
    </row>
    <row r="477" spans="2:8">
      <c r="B477" t="s">
        <v>442</v>
      </c>
      <c r="C477" t="s">
        <v>308</v>
      </c>
      <c r="D477">
        <v>4368</v>
      </c>
      <c r="E477">
        <v>4368</v>
      </c>
      <c r="F477">
        <v>4368</v>
      </c>
      <c r="G477">
        <v>4368</v>
      </c>
      <c r="H477">
        <v>2600</v>
      </c>
    </row>
    <row r="478" spans="2:8">
      <c r="B478" t="s">
        <v>442</v>
      </c>
      <c r="C478" t="s">
        <v>309</v>
      </c>
      <c r="D478">
        <v>4368</v>
      </c>
      <c r="E478">
        <v>4368</v>
      </c>
      <c r="F478">
        <v>4368</v>
      </c>
      <c r="G478">
        <v>4368</v>
      </c>
      <c r="H478">
        <v>900</v>
      </c>
    </row>
    <row r="479" spans="2:8">
      <c r="B479" t="s">
        <v>442</v>
      </c>
      <c r="C479" t="s">
        <v>310</v>
      </c>
      <c r="D479">
        <v>4368</v>
      </c>
      <c r="E479">
        <v>4370</v>
      </c>
      <c r="F479">
        <v>4367</v>
      </c>
      <c r="G479">
        <v>4369</v>
      </c>
      <c r="H479">
        <v>5800</v>
      </c>
    </row>
    <row r="480" spans="2:8">
      <c r="B480" t="s">
        <v>442</v>
      </c>
      <c r="C480" t="s">
        <v>311</v>
      </c>
      <c r="D480">
        <v>4370</v>
      </c>
      <c r="E480">
        <v>4370</v>
      </c>
      <c r="F480">
        <v>4368</v>
      </c>
      <c r="G480">
        <v>4368</v>
      </c>
      <c r="H480">
        <v>3800</v>
      </c>
    </row>
    <row r="481" spans="2:8">
      <c r="B481" t="s">
        <v>442</v>
      </c>
      <c r="C481" t="s">
        <v>312</v>
      </c>
      <c r="D481">
        <v>4368</v>
      </c>
      <c r="E481">
        <v>4368</v>
      </c>
      <c r="F481">
        <v>4363</v>
      </c>
      <c r="G481">
        <v>4366</v>
      </c>
      <c r="H481">
        <v>27100</v>
      </c>
    </row>
    <row r="482" spans="2:8">
      <c r="B482" t="s">
        <v>442</v>
      </c>
      <c r="C482" t="s">
        <v>313</v>
      </c>
      <c r="D482">
        <v>4367</v>
      </c>
      <c r="E482">
        <v>4367</v>
      </c>
      <c r="F482">
        <v>4364</v>
      </c>
      <c r="G482">
        <v>4365</v>
      </c>
      <c r="H482">
        <v>8100</v>
      </c>
    </row>
    <row r="483" spans="2:8">
      <c r="B483" t="s">
        <v>442</v>
      </c>
      <c r="C483" t="s">
        <v>314</v>
      </c>
      <c r="D483">
        <v>4364</v>
      </c>
      <c r="E483">
        <v>4365</v>
      </c>
      <c r="F483">
        <v>4364</v>
      </c>
      <c r="G483">
        <v>4365</v>
      </c>
      <c r="H483">
        <v>5600</v>
      </c>
    </row>
    <row r="484" spans="2:8">
      <c r="B484" t="s">
        <v>442</v>
      </c>
      <c r="C484" t="s">
        <v>315</v>
      </c>
      <c r="D484">
        <v>4365</v>
      </c>
      <c r="E484">
        <v>4366</v>
      </c>
      <c r="F484">
        <v>4364</v>
      </c>
      <c r="G484">
        <v>4365</v>
      </c>
      <c r="H484">
        <v>3700</v>
      </c>
    </row>
    <row r="485" spans="2:8">
      <c r="B485" t="s">
        <v>442</v>
      </c>
      <c r="C485" t="s">
        <v>316</v>
      </c>
      <c r="D485">
        <v>4366</v>
      </c>
      <c r="E485">
        <v>4366</v>
      </c>
      <c r="F485">
        <v>4366</v>
      </c>
      <c r="G485">
        <v>4366</v>
      </c>
      <c r="H485">
        <v>14800</v>
      </c>
    </row>
    <row r="486" spans="2:8">
      <c r="B486" t="s">
        <v>442</v>
      </c>
      <c r="C486" t="s">
        <v>317</v>
      </c>
      <c r="D486">
        <v>4366</v>
      </c>
      <c r="E486">
        <v>4372</v>
      </c>
      <c r="F486">
        <v>4366</v>
      </c>
      <c r="G486">
        <v>4371</v>
      </c>
      <c r="H486">
        <v>106800</v>
      </c>
    </row>
    <row r="487" spans="2:8">
      <c r="B487" t="s">
        <v>442</v>
      </c>
      <c r="C487" t="s">
        <v>318</v>
      </c>
      <c r="D487">
        <v>4371</v>
      </c>
      <c r="E487">
        <v>4373</v>
      </c>
      <c r="F487">
        <v>4368</v>
      </c>
      <c r="G487">
        <v>4368</v>
      </c>
      <c r="H487">
        <v>12800</v>
      </c>
    </row>
    <row r="488" spans="2:8">
      <c r="B488" t="s">
        <v>442</v>
      </c>
      <c r="C488" t="s">
        <v>319</v>
      </c>
      <c r="D488">
        <v>4369</v>
      </c>
      <c r="E488">
        <v>4371</v>
      </c>
      <c r="F488">
        <v>4368</v>
      </c>
      <c r="G488">
        <v>4371</v>
      </c>
      <c r="H488">
        <v>17700</v>
      </c>
    </row>
    <row r="489" spans="2:8">
      <c r="B489" t="s">
        <v>442</v>
      </c>
      <c r="C489" t="s">
        <v>320</v>
      </c>
      <c r="D489">
        <v>4370</v>
      </c>
      <c r="E489">
        <v>4372</v>
      </c>
      <c r="F489">
        <v>4370</v>
      </c>
      <c r="G489">
        <v>4370</v>
      </c>
      <c r="H489">
        <v>10500</v>
      </c>
    </row>
    <row r="490" spans="2:8">
      <c r="B490" t="s">
        <v>442</v>
      </c>
      <c r="C490" t="s">
        <v>321</v>
      </c>
      <c r="D490">
        <v>4371</v>
      </c>
      <c r="E490">
        <v>4375</v>
      </c>
      <c r="F490">
        <v>4371</v>
      </c>
      <c r="G490">
        <v>4374</v>
      </c>
      <c r="H490">
        <v>28800</v>
      </c>
    </row>
    <row r="491" spans="2:8">
      <c r="B491" t="s">
        <v>442</v>
      </c>
      <c r="C491" t="s">
        <v>322</v>
      </c>
      <c r="D491">
        <v>4375</v>
      </c>
      <c r="E491">
        <v>4379</v>
      </c>
      <c r="F491">
        <v>4375</v>
      </c>
      <c r="G491">
        <v>4379</v>
      </c>
      <c r="H491">
        <v>24900</v>
      </c>
    </row>
    <row r="492" spans="2:8">
      <c r="B492" t="s">
        <v>442</v>
      </c>
      <c r="C492" t="s">
        <v>323</v>
      </c>
      <c r="D492">
        <v>4378</v>
      </c>
      <c r="E492">
        <v>4379</v>
      </c>
      <c r="F492">
        <v>4376</v>
      </c>
      <c r="G492">
        <v>4376</v>
      </c>
      <c r="H492">
        <v>13200</v>
      </c>
    </row>
    <row r="493" spans="2:8">
      <c r="B493" t="s">
        <v>442</v>
      </c>
      <c r="C493" t="s">
        <v>324</v>
      </c>
      <c r="D493">
        <v>4376</v>
      </c>
      <c r="E493">
        <v>4378</v>
      </c>
      <c r="F493">
        <v>4373</v>
      </c>
      <c r="G493">
        <v>4378</v>
      </c>
      <c r="H493">
        <v>15600</v>
      </c>
    </row>
    <row r="494" spans="2:8">
      <c r="B494" t="s">
        <v>442</v>
      </c>
      <c r="C494" t="s">
        <v>325</v>
      </c>
      <c r="D494">
        <v>4378</v>
      </c>
      <c r="E494">
        <v>4379</v>
      </c>
      <c r="F494">
        <v>4377</v>
      </c>
      <c r="G494">
        <v>4378</v>
      </c>
      <c r="H494">
        <v>14000</v>
      </c>
    </row>
    <row r="495" spans="2:8">
      <c r="B495" t="s">
        <v>442</v>
      </c>
      <c r="C495" t="s">
        <v>326</v>
      </c>
      <c r="D495">
        <v>4379</v>
      </c>
      <c r="E495">
        <v>4387</v>
      </c>
      <c r="F495">
        <v>4379</v>
      </c>
      <c r="G495">
        <v>4387</v>
      </c>
      <c r="H495">
        <v>50000</v>
      </c>
    </row>
    <row r="496" spans="2:8">
      <c r="B496" t="s">
        <v>442</v>
      </c>
      <c r="C496" t="s">
        <v>327</v>
      </c>
      <c r="D496">
        <v>4387</v>
      </c>
      <c r="E496">
        <v>4387</v>
      </c>
      <c r="F496">
        <v>4381</v>
      </c>
      <c r="G496">
        <v>4382</v>
      </c>
      <c r="H496">
        <v>25700</v>
      </c>
    </row>
    <row r="497" spans="2:8">
      <c r="B497" t="s">
        <v>442</v>
      </c>
      <c r="C497" t="s">
        <v>328</v>
      </c>
      <c r="D497">
        <v>4383</v>
      </c>
      <c r="E497">
        <v>4384</v>
      </c>
      <c r="F497">
        <v>4382</v>
      </c>
      <c r="G497">
        <v>4382</v>
      </c>
      <c r="H497">
        <v>7400</v>
      </c>
    </row>
    <row r="498" spans="2:8">
      <c r="B498" t="s">
        <v>442</v>
      </c>
      <c r="C498" t="s">
        <v>329</v>
      </c>
      <c r="D498">
        <v>4381</v>
      </c>
      <c r="E498">
        <v>4382</v>
      </c>
      <c r="F498">
        <v>4378</v>
      </c>
      <c r="G498">
        <v>4379</v>
      </c>
      <c r="H498">
        <v>9900</v>
      </c>
    </row>
    <row r="499" spans="2:8">
      <c r="B499" t="s">
        <v>442</v>
      </c>
      <c r="C499" t="s">
        <v>330</v>
      </c>
      <c r="D499">
        <v>4379</v>
      </c>
      <c r="E499">
        <v>4382</v>
      </c>
      <c r="F499">
        <v>4379</v>
      </c>
      <c r="G499">
        <v>4382</v>
      </c>
      <c r="H499">
        <v>4000</v>
      </c>
    </row>
    <row r="500" spans="2:8">
      <c r="B500" t="s">
        <v>442</v>
      </c>
      <c r="C500" t="s">
        <v>331</v>
      </c>
      <c r="D500">
        <v>4381</v>
      </c>
      <c r="E500">
        <v>4382</v>
      </c>
      <c r="F500">
        <v>4380</v>
      </c>
      <c r="G500">
        <v>4381</v>
      </c>
      <c r="H500">
        <v>3900</v>
      </c>
    </row>
    <row r="501" spans="2:8">
      <c r="B501" t="s">
        <v>442</v>
      </c>
      <c r="C501" t="s">
        <v>332</v>
      </c>
      <c r="D501">
        <v>4382</v>
      </c>
      <c r="E501">
        <v>4383</v>
      </c>
      <c r="F501">
        <v>4382</v>
      </c>
      <c r="G501">
        <v>4382</v>
      </c>
      <c r="H501">
        <v>5400</v>
      </c>
    </row>
    <row r="502" spans="2:8">
      <c r="B502" t="s">
        <v>442</v>
      </c>
      <c r="C502" t="s">
        <v>333</v>
      </c>
      <c r="D502">
        <v>4382</v>
      </c>
      <c r="E502">
        <v>4384</v>
      </c>
      <c r="F502">
        <v>4380</v>
      </c>
      <c r="G502">
        <v>4380</v>
      </c>
      <c r="H502">
        <v>20100</v>
      </c>
    </row>
    <row r="503" spans="2:8">
      <c r="B503" t="s">
        <v>442</v>
      </c>
      <c r="C503" t="s">
        <v>334</v>
      </c>
      <c r="D503">
        <v>4382</v>
      </c>
      <c r="E503">
        <v>4383</v>
      </c>
      <c r="F503">
        <v>4381</v>
      </c>
      <c r="G503">
        <v>4381</v>
      </c>
      <c r="H503">
        <v>6300</v>
      </c>
    </row>
    <row r="504" spans="2:8">
      <c r="B504" t="s">
        <v>442</v>
      </c>
      <c r="C504" t="s">
        <v>335</v>
      </c>
      <c r="D504">
        <v>4381</v>
      </c>
      <c r="E504">
        <v>4381</v>
      </c>
      <c r="F504">
        <v>4380</v>
      </c>
      <c r="G504">
        <v>4381</v>
      </c>
      <c r="H504">
        <v>3600</v>
      </c>
    </row>
    <row r="505" spans="2:8">
      <c r="B505" t="s">
        <v>442</v>
      </c>
      <c r="C505" t="s">
        <v>336</v>
      </c>
      <c r="D505">
        <v>4382</v>
      </c>
      <c r="E505">
        <v>4384</v>
      </c>
      <c r="F505">
        <v>4382</v>
      </c>
      <c r="G505">
        <v>4382</v>
      </c>
      <c r="H505">
        <v>16200</v>
      </c>
    </row>
    <row r="506" spans="2:8">
      <c r="B506" t="s">
        <v>442</v>
      </c>
      <c r="C506" t="s">
        <v>337</v>
      </c>
      <c r="D506">
        <v>4383</v>
      </c>
      <c r="E506">
        <v>4384</v>
      </c>
      <c r="F506">
        <v>4383</v>
      </c>
      <c r="G506">
        <v>4383</v>
      </c>
      <c r="H506">
        <v>2200</v>
      </c>
    </row>
    <row r="507" spans="2:8">
      <c r="B507" t="s">
        <v>442</v>
      </c>
      <c r="C507" t="s">
        <v>338</v>
      </c>
      <c r="D507">
        <v>4382</v>
      </c>
      <c r="E507">
        <v>4383</v>
      </c>
      <c r="F507">
        <v>4381</v>
      </c>
      <c r="G507">
        <v>4381</v>
      </c>
      <c r="H507">
        <v>15900</v>
      </c>
    </row>
    <row r="508" spans="2:8">
      <c r="B508" t="s">
        <v>442</v>
      </c>
      <c r="C508" t="s">
        <v>339</v>
      </c>
      <c r="D508">
        <v>4380</v>
      </c>
      <c r="E508">
        <v>4380</v>
      </c>
      <c r="F508">
        <v>4376</v>
      </c>
      <c r="G508">
        <v>4376</v>
      </c>
      <c r="H508">
        <v>12000</v>
      </c>
    </row>
    <row r="509" spans="2:8">
      <c r="B509" t="s">
        <v>442</v>
      </c>
      <c r="C509" t="s">
        <v>340</v>
      </c>
      <c r="D509">
        <v>4376</v>
      </c>
      <c r="E509">
        <v>4376</v>
      </c>
      <c r="F509">
        <v>4376</v>
      </c>
      <c r="G509">
        <v>4376</v>
      </c>
      <c r="H509">
        <v>5300</v>
      </c>
    </row>
    <row r="510" spans="2:8">
      <c r="B510" t="s">
        <v>442</v>
      </c>
      <c r="C510" t="s">
        <v>341</v>
      </c>
      <c r="D510">
        <v>4376</v>
      </c>
      <c r="E510">
        <v>4377</v>
      </c>
      <c r="F510">
        <v>4374</v>
      </c>
      <c r="G510">
        <v>4374</v>
      </c>
      <c r="H510">
        <v>17200</v>
      </c>
    </row>
    <row r="511" spans="2:8">
      <c r="B511" t="s">
        <v>442</v>
      </c>
      <c r="C511" t="s">
        <v>342</v>
      </c>
      <c r="D511">
        <v>4374</v>
      </c>
      <c r="E511">
        <v>4378</v>
      </c>
      <c r="F511">
        <v>4374</v>
      </c>
      <c r="G511">
        <v>4377</v>
      </c>
      <c r="H511">
        <v>9900</v>
      </c>
    </row>
    <row r="512" spans="2:8">
      <c r="B512" t="s">
        <v>442</v>
      </c>
      <c r="C512" t="s">
        <v>343</v>
      </c>
      <c r="D512">
        <v>4378</v>
      </c>
      <c r="E512">
        <v>4380</v>
      </c>
      <c r="F512">
        <v>4378</v>
      </c>
      <c r="G512">
        <v>4380</v>
      </c>
      <c r="H512">
        <v>16100</v>
      </c>
    </row>
    <row r="513" spans="2:8">
      <c r="B513" t="s">
        <v>442</v>
      </c>
      <c r="C513" t="s">
        <v>344</v>
      </c>
      <c r="D513">
        <v>4381</v>
      </c>
      <c r="E513">
        <v>4381</v>
      </c>
      <c r="F513">
        <v>4379</v>
      </c>
      <c r="G513">
        <v>4379</v>
      </c>
      <c r="H513">
        <v>4900</v>
      </c>
    </row>
    <row r="514" spans="2:8">
      <c r="B514" t="s">
        <v>442</v>
      </c>
      <c r="C514" t="s">
        <v>345</v>
      </c>
      <c r="D514">
        <v>4380</v>
      </c>
      <c r="E514">
        <v>4381</v>
      </c>
      <c r="F514">
        <v>4378</v>
      </c>
      <c r="G514">
        <v>4380</v>
      </c>
      <c r="H514">
        <v>10500</v>
      </c>
    </row>
    <row r="515" spans="2:8">
      <c r="B515" t="s">
        <v>442</v>
      </c>
      <c r="C515" t="s">
        <v>346</v>
      </c>
      <c r="D515">
        <v>4380</v>
      </c>
      <c r="E515">
        <v>4381</v>
      </c>
      <c r="F515">
        <v>4379</v>
      </c>
      <c r="G515">
        <v>4379</v>
      </c>
      <c r="H515">
        <v>3700</v>
      </c>
    </row>
    <row r="516" spans="2:8">
      <c r="B516" t="s">
        <v>442</v>
      </c>
      <c r="C516" t="s">
        <v>347</v>
      </c>
      <c r="D516">
        <v>4379</v>
      </c>
      <c r="E516">
        <v>4380</v>
      </c>
      <c r="F516">
        <v>4379</v>
      </c>
      <c r="G516">
        <v>4379</v>
      </c>
      <c r="H516">
        <v>4800</v>
      </c>
    </row>
    <row r="517" spans="2:8">
      <c r="B517" t="s">
        <v>442</v>
      </c>
      <c r="C517" t="s">
        <v>348</v>
      </c>
      <c r="D517">
        <v>4378</v>
      </c>
      <c r="E517">
        <v>4378</v>
      </c>
      <c r="F517">
        <v>4377</v>
      </c>
      <c r="G517">
        <v>4378</v>
      </c>
      <c r="H517">
        <v>7700</v>
      </c>
    </row>
    <row r="518" spans="2:8">
      <c r="B518" t="s">
        <v>442</v>
      </c>
      <c r="C518" t="s">
        <v>349</v>
      </c>
      <c r="D518">
        <v>4378</v>
      </c>
      <c r="E518">
        <v>4378</v>
      </c>
      <c r="F518">
        <v>4377</v>
      </c>
      <c r="G518">
        <v>4377</v>
      </c>
      <c r="H518">
        <v>12900</v>
      </c>
    </row>
    <row r="519" spans="2:8">
      <c r="B519" t="s">
        <v>442</v>
      </c>
      <c r="C519" t="s">
        <v>350</v>
      </c>
      <c r="D519">
        <v>4378</v>
      </c>
      <c r="E519">
        <v>4379</v>
      </c>
      <c r="F519">
        <v>4378</v>
      </c>
      <c r="G519">
        <v>4379</v>
      </c>
      <c r="H519">
        <v>3800</v>
      </c>
    </row>
    <row r="520" spans="2:8">
      <c r="B520" t="s">
        <v>442</v>
      </c>
      <c r="C520" t="s">
        <v>351</v>
      </c>
      <c r="D520">
        <v>4378</v>
      </c>
      <c r="E520">
        <v>4378</v>
      </c>
      <c r="F520">
        <v>4374</v>
      </c>
      <c r="G520">
        <v>4376</v>
      </c>
      <c r="H520">
        <v>12700</v>
      </c>
    </row>
    <row r="521" spans="2:8">
      <c r="B521" t="s">
        <v>442</v>
      </c>
      <c r="C521" t="s">
        <v>352</v>
      </c>
      <c r="D521">
        <v>4376</v>
      </c>
      <c r="E521">
        <v>4377</v>
      </c>
      <c r="F521">
        <v>4375</v>
      </c>
      <c r="G521">
        <v>4375</v>
      </c>
      <c r="H521">
        <v>1900</v>
      </c>
    </row>
    <row r="522" spans="2:8">
      <c r="B522" t="s">
        <v>442</v>
      </c>
      <c r="C522" t="s">
        <v>353</v>
      </c>
      <c r="D522">
        <v>4376</v>
      </c>
      <c r="E522">
        <v>4377</v>
      </c>
      <c r="F522">
        <v>4376</v>
      </c>
      <c r="G522">
        <v>4377</v>
      </c>
      <c r="H522">
        <v>2300</v>
      </c>
    </row>
    <row r="523" spans="2:8">
      <c r="B523" t="s">
        <v>442</v>
      </c>
      <c r="C523" t="s">
        <v>354</v>
      </c>
      <c r="D523">
        <v>4377</v>
      </c>
      <c r="E523">
        <v>4378</v>
      </c>
      <c r="F523">
        <v>4377</v>
      </c>
      <c r="G523">
        <v>4377</v>
      </c>
      <c r="H523">
        <v>9500</v>
      </c>
    </row>
    <row r="524" spans="2:8">
      <c r="B524" t="s">
        <v>442</v>
      </c>
      <c r="C524" t="s">
        <v>355</v>
      </c>
      <c r="D524">
        <v>4377</v>
      </c>
      <c r="E524">
        <v>4377</v>
      </c>
      <c r="F524">
        <v>4377</v>
      </c>
      <c r="G524">
        <v>4377</v>
      </c>
      <c r="H524">
        <v>1900</v>
      </c>
    </row>
    <row r="525" spans="2:8">
      <c r="B525" t="s">
        <v>442</v>
      </c>
      <c r="C525" t="s">
        <v>356</v>
      </c>
      <c r="D525">
        <v>4377</v>
      </c>
      <c r="E525">
        <v>4377</v>
      </c>
      <c r="F525">
        <v>4377</v>
      </c>
      <c r="G525">
        <v>4377</v>
      </c>
      <c r="H525">
        <v>2700</v>
      </c>
    </row>
    <row r="526" spans="2:8">
      <c r="B526" t="s">
        <v>442</v>
      </c>
      <c r="C526" t="s">
        <v>357</v>
      </c>
      <c r="D526">
        <v>4377</v>
      </c>
      <c r="E526">
        <v>4378</v>
      </c>
      <c r="F526">
        <v>4377</v>
      </c>
      <c r="G526">
        <v>4377</v>
      </c>
      <c r="H526">
        <v>10500</v>
      </c>
    </row>
    <row r="527" spans="2:8">
      <c r="B527" t="s">
        <v>442</v>
      </c>
      <c r="C527" t="s">
        <v>358</v>
      </c>
      <c r="D527">
        <v>4377</v>
      </c>
      <c r="E527">
        <v>4377</v>
      </c>
      <c r="F527">
        <v>4377</v>
      </c>
      <c r="G527">
        <v>4377</v>
      </c>
      <c r="H527">
        <v>1700</v>
      </c>
    </row>
    <row r="528" spans="2:8">
      <c r="B528" t="s">
        <v>442</v>
      </c>
      <c r="C528" t="s">
        <v>359</v>
      </c>
      <c r="D528">
        <v>4377</v>
      </c>
      <c r="E528">
        <v>4377</v>
      </c>
      <c r="F528">
        <v>4377</v>
      </c>
      <c r="G528">
        <v>4377</v>
      </c>
      <c r="H528">
        <v>5400</v>
      </c>
    </row>
    <row r="529" spans="2:8">
      <c r="B529" t="s">
        <v>442</v>
      </c>
      <c r="C529" t="s">
        <v>360</v>
      </c>
      <c r="D529">
        <v>4377</v>
      </c>
      <c r="E529">
        <v>4377</v>
      </c>
      <c r="F529">
        <v>4376</v>
      </c>
      <c r="G529">
        <v>4376</v>
      </c>
      <c r="H529">
        <v>8400</v>
      </c>
    </row>
    <row r="530" spans="2:8">
      <c r="B530" t="s">
        <v>442</v>
      </c>
      <c r="C530" t="s">
        <v>361</v>
      </c>
      <c r="D530">
        <v>4376</v>
      </c>
      <c r="E530">
        <v>4377</v>
      </c>
      <c r="F530">
        <v>4376</v>
      </c>
      <c r="G530">
        <v>4377</v>
      </c>
      <c r="H530">
        <v>8700</v>
      </c>
    </row>
    <row r="531" spans="2:8">
      <c r="B531" t="s">
        <v>442</v>
      </c>
      <c r="C531" t="s">
        <v>362</v>
      </c>
      <c r="D531">
        <v>4378</v>
      </c>
      <c r="E531">
        <v>4382</v>
      </c>
      <c r="F531">
        <v>4377</v>
      </c>
      <c r="G531">
        <v>4382</v>
      </c>
      <c r="H531">
        <v>30500</v>
      </c>
    </row>
    <row r="532" spans="2:8">
      <c r="B532" t="s">
        <v>442</v>
      </c>
      <c r="C532" t="s">
        <v>363</v>
      </c>
      <c r="D532">
        <v>4381</v>
      </c>
      <c r="E532">
        <v>4381</v>
      </c>
      <c r="F532">
        <v>4381</v>
      </c>
      <c r="G532">
        <v>4381</v>
      </c>
      <c r="H532">
        <v>2800</v>
      </c>
    </row>
    <row r="533" spans="2:8">
      <c r="B533" t="s">
        <v>442</v>
      </c>
      <c r="C533" t="s">
        <v>364</v>
      </c>
      <c r="D533">
        <v>4381</v>
      </c>
      <c r="E533">
        <v>4383</v>
      </c>
      <c r="F533">
        <v>4381</v>
      </c>
      <c r="G533">
        <v>4382</v>
      </c>
      <c r="H533">
        <v>3200</v>
      </c>
    </row>
    <row r="534" spans="2:8">
      <c r="B534" t="s">
        <v>442</v>
      </c>
      <c r="C534" t="s">
        <v>365</v>
      </c>
      <c r="D534">
        <v>4382</v>
      </c>
      <c r="E534">
        <v>4383</v>
      </c>
      <c r="F534">
        <v>4382</v>
      </c>
      <c r="G534">
        <v>4382</v>
      </c>
      <c r="H534">
        <v>1700</v>
      </c>
    </row>
    <row r="535" spans="2:8">
      <c r="B535" t="s">
        <v>442</v>
      </c>
      <c r="C535" t="s">
        <v>366</v>
      </c>
      <c r="D535">
        <v>4382</v>
      </c>
      <c r="E535">
        <v>4383</v>
      </c>
      <c r="F535">
        <v>4382</v>
      </c>
      <c r="G535">
        <v>4383</v>
      </c>
      <c r="H535">
        <v>6800</v>
      </c>
    </row>
    <row r="536" spans="2:8">
      <c r="B536" t="s">
        <v>442</v>
      </c>
      <c r="C536" t="s">
        <v>367</v>
      </c>
      <c r="D536">
        <v>4382</v>
      </c>
      <c r="E536">
        <v>4382</v>
      </c>
      <c r="F536">
        <v>4379</v>
      </c>
      <c r="G536">
        <v>4379</v>
      </c>
      <c r="H536">
        <v>7200</v>
      </c>
    </row>
    <row r="537" spans="2:8">
      <c r="B537" t="s">
        <v>442</v>
      </c>
      <c r="C537" t="s">
        <v>368</v>
      </c>
      <c r="D537">
        <v>4379</v>
      </c>
      <c r="E537">
        <v>4379</v>
      </c>
      <c r="F537">
        <v>4377</v>
      </c>
      <c r="G537">
        <v>4377</v>
      </c>
      <c r="H537">
        <v>7300</v>
      </c>
    </row>
    <row r="538" spans="2:8">
      <c r="B538" t="s">
        <v>442</v>
      </c>
      <c r="C538" t="s">
        <v>369</v>
      </c>
      <c r="D538">
        <v>4377</v>
      </c>
      <c r="E538">
        <v>4379</v>
      </c>
      <c r="F538">
        <v>4377</v>
      </c>
      <c r="G538">
        <v>4379</v>
      </c>
      <c r="H538">
        <v>9500</v>
      </c>
    </row>
    <row r="539" spans="2:8">
      <c r="B539" t="s">
        <v>442</v>
      </c>
      <c r="C539" t="s">
        <v>370</v>
      </c>
      <c r="D539">
        <v>4379</v>
      </c>
      <c r="E539">
        <v>4379</v>
      </c>
      <c r="F539">
        <v>4378</v>
      </c>
      <c r="G539">
        <v>4378</v>
      </c>
      <c r="H539">
        <v>5000</v>
      </c>
    </row>
    <row r="540" spans="2:8">
      <c r="B540" t="s">
        <v>442</v>
      </c>
      <c r="C540" t="s">
        <v>371</v>
      </c>
      <c r="D540">
        <v>4379</v>
      </c>
      <c r="E540">
        <v>4379</v>
      </c>
      <c r="F540">
        <v>4379</v>
      </c>
      <c r="G540">
        <v>4379</v>
      </c>
      <c r="H540">
        <v>3000</v>
      </c>
    </row>
    <row r="541" spans="2:8">
      <c r="B541" t="s">
        <v>442</v>
      </c>
      <c r="C541" t="s">
        <v>372</v>
      </c>
      <c r="D541">
        <v>4379</v>
      </c>
      <c r="E541">
        <v>4382</v>
      </c>
      <c r="F541">
        <v>4379</v>
      </c>
      <c r="G541">
        <v>4382</v>
      </c>
      <c r="H541">
        <v>7400</v>
      </c>
    </row>
    <row r="542" spans="2:8">
      <c r="B542" t="s">
        <v>442</v>
      </c>
      <c r="C542" t="s">
        <v>373</v>
      </c>
      <c r="D542">
        <v>4382</v>
      </c>
      <c r="E542">
        <v>4382</v>
      </c>
      <c r="F542">
        <v>4382</v>
      </c>
      <c r="G542">
        <v>4382</v>
      </c>
      <c r="H542">
        <v>2700</v>
      </c>
    </row>
    <row r="543" spans="2:8">
      <c r="B543" t="s">
        <v>442</v>
      </c>
      <c r="C543" t="s">
        <v>374</v>
      </c>
      <c r="D543">
        <v>4382</v>
      </c>
      <c r="E543">
        <v>4382</v>
      </c>
      <c r="F543">
        <v>4381</v>
      </c>
      <c r="G543">
        <v>4381</v>
      </c>
      <c r="H543">
        <v>500</v>
      </c>
    </row>
    <row r="544" spans="2:8">
      <c r="B544" t="s">
        <v>442</v>
      </c>
      <c r="C544" t="s">
        <v>375</v>
      </c>
      <c r="D544">
        <v>4381</v>
      </c>
      <c r="E544">
        <v>4382</v>
      </c>
      <c r="F544">
        <v>4381</v>
      </c>
      <c r="G544">
        <v>4381</v>
      </c>
      <c r="H544">
        <v>1800</v>
      </c>
    </row>
    <row r="545" spans="2:8">
      <c r="B545" t="s">
        <v>442</v>
      </c>
      <c r="C545" t="s">
        <v>376</v>
      </c>
      <c r="D545">
        <v>4382</v>
      </c>
      <c r="E545">
        <v>4384</v>
      </c>
      <c r="F545">
        <v>4382</v>
      </c>
      <c r="G545">
        <v>4382</v>
      </c>
      <c r="H545">
        <v>10800</v>
      </c>
    </row>
    <row r="546" spans="2:8">
      <c r="B546" t="s">
        <v>442</v>
      </c>
      <c r="C546" t="s">
        <v>377</v>
      </c>
      <c r="D546">
        <v>4383</v>
      </c>
      <c r="E546">
        <v>4383</v>
      </c>
      <c r="F546">
        <v>4381</v>
      </c>
      <c r="G546">
        <v>4381</v>
      </c>
      <c r="H546">
        <v>800</v>
      </c>
    </row>
    <row r="547" spans="2:8">
      <c r="B547" t="s">
        <v>442</v>
      </c>
      <c r="C547" t="s">
        <v>378</v>
      </c>
      <c r="D547">
        <v>4381</v>
      </c>
      <c r="E547">
        <v>4382</v>
      </c>
      <c r="F547">
        <v>4380</v>
      </c>
      <c r="G547">
        <v>4382</v>
      </c>
      <c r="H547">
        <v>6400</v>
      </c>
    </row>
    <row r="548" spans="2:8">
      <c r="B548" t="s">
        <v>442</v>
      </c>
      <c r="C548" t="s">
        <v>379</v>
      </c>
      <c r="D548">
        <v>4383</v>
      </c>
      <c r="E548">
        <v>4383</v>
      </c>
      <c r="F548">
        <v>4382</v>
      </c>
      <c r="G548">
        <v>4382</v>
      </c>
      <c r="H548">
        <v>2200</v>
      </c>
    </row>
    <row r="549" spans="2:8">
      <c r="B549" t="s">
        <v>442</v>
      </c>
      <c r="C549" t="s">
        <v>380</v>
      </c>
      <c r="D549">
        <v>4382</v>
      </c>
      <c r="E549">
        <v>4382</v>
      </c>
      <c r="F549">
        <v>4381</v>
      </c>
      <c r="G549">
        <v>4381</v>
      </c>
      <c r="H549">
        <v>4600</v>
      </c>
    </row>
    <row r="550" spans="2:8">
      <c r="B550" t="s">
        <v>442</v>
      </c>
      <c r="C550" t="s">
        <v>381</v>
      </c>
      <c r="D550">
        <v>4381</v>
      </c>
      <c r="E550">
        <v>4381</v>
      </c>
      <c r="F550">
        <v>4380</v>
      </c>
      <c r="G550">
        <v>4380</v>
      </c>
      <c r="H550">
        <v>1200</v>
      </c>
    </row>
    <row r="551" spans="2:8">
      <c r="B551" t="s">
        <v>442</v>
      </c>
      <c r="C551" t="s">
        <v>382</v>
      </c>
      <c r="D551">
        <v>4380</v>
      </c>
      <c r="E551">
        <v>4381</v>
      </c>
      <c r="F551">
        <v>4380</v>
      </c>
      <c r="G551">
        <v>4380</v>
      </c>
      <c r="H551">
        <v>800</v>
      </c>
    </row>
    <row r="552" spans="2:8">
      <c r="B552" t="s">
        <v>442</v>
      </c>
      <c r="C552" t="s">
        <v>383</v>
      </c>
      <c r="D552">
        <v>4380</v>
      </c>
      <c r="E552">
        <v>4380</v>
      </c>
      <c r="F552">
        <v>4379</v>
      </c>
      <c r="G552">
        <v>4380</v>
      </c>
      <c r="H552">
        <v>9200</v>
      </c>
    </row>
    <row r="553" spans="2:8">
      <c r="B553" t="s">
        <v>442</v>
      </c>
      <c r="C553" t="s">
        <v>384</v>
      </c>
      <c r="D553">
        <v>4380</v>
      </c>
      <c r="E553">
        <v>4380</v>
      </c>
      <c r="F553">
        <v>4379</v>
      </c>
      <c r="G553">
        <v>4379</v>
      </c>
      <c r="H553">
        <v>1300</v>
      </c>
    </row>
    <row r="554" spans="2:8">
      <c r="B554" t="s">
        <v>442</v>
      </c>
      <c r="C554" t="s">
        <v>385</v>
      </c>
      <c r="D554">
        <v>4378</v>
      </c>
      <c r="E554">
        <v>4378</v>
      </c>
      <c r="F554">
        <v>4378</v>
      </c>
      <c r="G554">
        <v>4378</v>
      </c>
      <c r="H554">
        <v>4500</v>
      </c>
    </row>
    <row r="555" spans="2:8">
      <c r="B555" t="s">
        <v>442</v>
      </c>
      <c r="C555" t="s">
        <v>386</v>
      </c>
      <c r="D555">
        <v>4378</v>
      </c>
      <c r="E555">
        <v>4379</v>
      </c>
      <c r="F555">
        <v>4378</v>
      </c>
      <c r="G555">
        <v>4379</v>
      </c>
      <c r="H555">
        <v>5600</v>
      </c>
    </row>
    <row r="556" spans="2:8">
      <c r="B556" t="s">
        <v>442</v>
      </c>
      <c r="C556" t="s">
        <v>387</v>
      </c>
      <c r="D556">
        <v>4378</v>
      </c>
      <c r="E556">
        <v>4379</v>
      </c>
      <c r="F556">
        <v>4378</v>
      </c>
      <c r="G556">
        <v>4379</v>
      </c>
      <c r="H556">
        <v>800</v>
      </c>
    </row>
    <row r="557" spans="2:8">
      <c r="B557" t="s">
        <v>442</v>
      </c>
      <c r="C557" t="s">
        <v>388</v>
      </c>
      <c r="D557">
        <v>4379</v>
      </c>
      <c r="E557">
        <v>4379</v>
      </c>
      <c r="F557">
        <v>4379</v>
      </c>
      <c r="G557">
        <v>4379</v>
      </c>
      <c r="H557">
        <v>3300</v>
      </c>
    </row>
    <row r="558" spans="2:8">
      <c r="B558" t="s">
        <v>442</v>
      </c>
      <c r="C558" t="s">
        <v>389</v>
      </c>
      <c r="D558">
        <v>4378</v>
      </c>
      <c r="E558">
        <v>4379</v>
      </c>
      <c r="F558">
        <v>4378</v>
      </c>
      <c r="G558">
        <v>4378</v>
      </c>
      <c r="H558">
        <v>5300</v>
      </c>
    </row>
    <row r="559" spans="2:8">
      <c r="B559" t="s">
        <v>442</v>
      </c>
      <c r="C559" t="s">
        <v>390</v>
      </c>
      <c r="D559">
        <v>4377</v>
      </c>
      <c r="E559">
        <v>4377</v>
      </c>
      <c r="F559">
        <v>4374</v>
      </c>
      <c r="G559">
        <v>4374</v>
      </c>
      <c r="H559">
        <v>39700</v>
      </c>
    </row>
    <row r="560" spans="2:8">
      <c r="B560" t="s">
        <v>442</v>
      </c>
      <c r="C560" t="s">
        <v>391</v>
      </c>
      <c r="D560">
        <v>4375</v>
      </c>
      <c r="E560">
        <v>4377</v>
      </c>
      <c r="F560">
        <v>4375</v>
      </c>
      <c r="G560">
        <v>4375</v>
      </c>
      <c r="H560">
        <v>6700</v>
      </c>
    </row>
    <row r="561" spans="2:8">
      <c r="B561" t="s">
        <v>442</v>
      </c>
      <c r="C561" t="s">
        <v>392</v>
      </c>
      <c r="D561">
        <v>4375</v>
      </c>
      <c r="E561">
        <v>4376</v>
      </c>
      <c r="F561">
        <v>4375</v>
      </c>
      <c r="G561">
        <v>4376</v>
      </c>
      <c r="H561">
        <v>3500</v>
      </c>
    </row>
    <row r="562" spans="2:8">
      <c r="B562" t="s">
        <v>442</v>
      </c>
      <c r="C562" t="s">
        <v>393</v>
      </c>
      <c r="D562">
        <v>4376</v>
      </c>
      <c r="E562">
        <v>4377</v>
      </c>
      <c r="F562">
        <v>4375</v>
      </c>
      <c r="G562">
        <v>4375</v>
      </c>
      <c r="H562">
        <v>4600</v>
      </c>
    </row>
    <row r="563" spans="2:8">
      <c r="B563" t="s">
        <v>442</v>
      </c>
      <c r="C563" t="s">
        <v>394</v>
      </c>
      <c r="D563">
        <v>4376</v>
      </c>
      <c r="E563">
        <v>4376</v>
      </c>
      <c r="F563">
        <v>4375</v>
      </c>
      <c r="G563">
        <v>4375</v>
      </c>
      <c r="H563">
        <v>3300</v>
      </c>
    </row>
    <row r="564" spans="2:8">
      <c r="B564" t="s">
        <v>442</v>
      </c>
      <c r="C564" t="s">
        <v>395</v>
      </c>
      <c r="D564">
        <v>4375</v>
      </c>
      <c r="E564">
        <v>4376</v>
      </c>
      <c r="F564">
        <v>4375</v>
      </c>
      <c r="G564">
        <v>4376</v>
      </c>
      <c r="H564">
        <v>3400</v>
      </c>
    </row>
    <row r="565" spans="2:8">
      <c r="B565" t="s">
        <v>442</v>
      </c>
      <c r="C565" t="s">
        <v>396</v>
      </c>
      <c r="D565">
        <v>4375</v>
      </c>
      <c r="E565">
        <v>4376</v>
      </c>
      <c r="F565">
        <v>4375</v>
      </c>
      <c r="G565">
        <v>4375</v>
      </c>
      <c r="H565">
        <v>1700</v>
      </c>
    </row>
    <row r="566" spans="2:8">
      <c r="B566" t="s">
        <v>442</v>
      </c>
      <c r="C566" t="s">
        <v>397</v>
      </c>
      <c r="D566">
        <v>4376</v>
      </c>
      <c r="E566">
        <v>4376</v>
      </c>
      <c r="F566">
        <v>4375</v>
      </c>
      <c r="G566">
        <v>4375</v>
      </c>
      <c r="H566">
        <v>4800</v>
      </c>
    </row>
    <row r="567" spans="2:8">
      <c r="B567" t="s">
        <v>442</v>
      </c>
      <c r="C567" t="s">
        <v>398</v>
      </c>
      <c r="D567">
        <v>4375</v>
      </c>
      <c r="E567">
        <v>4376</v>
      </c>
      <c r="F567">
        <v>4375</v>
      </c>
      <c r="G567">
        <v>4376</v>
      </c>
      <c r="H567">
        <v>2700</v>
      </c>
    </row>
    <row r="568" spans="2:8">
      <c r="B568" t="s">
        <v>442</v>
      </c>
      <c r="C568" t="s">
        <v>399</v>
      </c>
      <c r="D568">
        <v>4375</v>
      </c>
      <c r="E568">
        <v>4375</v>
      </c>
      <c r="F568">
        <v>4375</v>
      </c>
      <c r="G568">
        <v>4375</v>
      </c>
      <c r="H568">
        <v>2300</v>
      </c>
    </row>
    <row r="569" spans="2:8">
      <c r="B569" t="s">
        <v>442</v>
      </c>
      <c r="C569" t="s">
        <v>400</v>
      </c>
      <c r="D569">
        <v>4376</v>
      </c>
      <c r="E569">
        <v>4378</v>
      </c>
      <c r="F569">
        <v>4376</v>
      </c>
      <c r="G569">
        <v>4378</v>
      </c>
      <c r="H569">
        <v>20400</v>
      </c>
    </row>
    <row r="570" spans="2:8">
      <c r="B570" t="s">
        <v>442</v>
      </c>
      <c r="C570" t="s">
        <v>401</v>
      </c>
      <c r="D570">
        <v>4379</v>
      </c>
      <c r="E570">
        <v>4381</v>
      </c>
      <c r="F570">
        <v>4379</v>
      </c>
      <c r="G570">
        <v>4380</v>
      </c>
      <c r="H570">
        <v>12100</v>
      </c>
    </row>
    <row r="571" spans="2:8">
      <c r="B571" t="s">
        <v>442</v>
      </c>
      <c r="C571" t="s">
        <v>402</v>
      </c>
      <c r="D571">
        <v>4380</v>
      </c>
      <c r="E571">
        <v>4382</v>
      </c>
      <c r="F571">
        <v>4380</v>
      </c>
      <c r="G571">
        <v>4380</v>
      </c>
      <c r="H571">
        <v>12300</v>
      </c>
    </row>
    <row r="572" spans="2:8">
      <c r="B572" t="s">
        <v>442</v>
      </c>
      <c r="C572" t="s">
        <v>403</v>
      </c>
      <c r="D572">
        <v>4380</v>
      </c>
      <c r="E572">
        <v>4380</v>
      </c>
      <c r="F572">
        <v>4379</v>
      </c>
      <c r="G572">
        <v>4379</v>
      </c>
      <c r="H572">
        <v>2500</v>
      </c>
    </row>
    <row r="573" spans="2:8">
      <c r="B573" t="s">
        <v>442</v>
      </c>
      <c r="C573" t="s">
        <v>404</v>
      </c>
      <c r="D573">
        <v>4378</v>
      </c>
      <c r="E573">
        <v>4378</v>
      </c>
      <c r="F573">
        <v>4377</v>
      </c>
      <c r="G573">
        <v>4377</v>
      </c>
      <c r="H573">
        <v>3500</v>
      </c>
    </row>
    <row r="574" spans="2:8">
      <c r="B574" t="s">
        <v>442</v>
      </c>
      <c r="C574" t="s">
        <v>405</v>
      </c>
      <c r="D574">
        <v>4378</v>
      </c>
      <c r="E574">
        <v>4380</v>
      </c>
      <c r="F574">
        <v>4378</v>
      </c>
      <c r="G574">
        <v>4380</v>
      </c>
      <c r="H574">
        <v>3200</v>
      </c>
    </row>
    <row r="575" spans="2:8">
      <c r="B575" t="s">
        <v>442</v>
      </c>
      <c r="C575" t="s">
        <v>406</v>
      </c>
      <c r="D575">
        <v>4379</v>
      </c>
      <c r="E575">
        <v>4382</v>
      </c>
      <c r="F575">
        <v>4379</v>
      </c>
      <c r="G575">
        <v>4382</v>
      </c>
      <c r="H575">
        <v>8100</v>
      </c>
    </row>
    <row r="576" spans="2:8">
      <c r="B576" t="s">
        <v>442</v>
      </c>
      <c r="C576" t="s">
        <v>407</v>
      </c>
      <c r="D576">
        <v>4381</v>
      </c>
      <c r="E576">
        <v>4381</v>
      </c>
      <c r="F576">
        <v>4379</v>
      </c>
      <c r="G576">
        <v>4379</v>
      </c>
      <c r="H576">
        <v>11700</v>
      </c>
    </row>
    <row r="577" spans="2:8">
      <c r="B577" t="s">
        <v>442</v>
      </c>
      <c r="C577" t="s">
        <v>408</v>
      </c>
      <c r="D577">
        <v>4379</v>
      </c>
      <c r="E577">
        <v>4379</v>
      </c>
      <c r="F577">
        <v>4376</v>
      </c>
      <c r="G577">
        <v>4377</v>
      </c>
      <c r="H577">
        <v>10000</v>
      </c>
    </row>
    <row r="578" spans="2:8">
      <c r="B578" t="s">
        <v>442</v>
      </c>
      <c r="C578" t="s">
        <v>409</v>
      </c>
      <c r="D578">
        <v>4378</v>
      </c>
      <c r="E578">
        <v>4378</v>
      </c>
      <c r="F578">
        <v>4378</v>
      </c>
      <c r="G578">
        <v>4378</v>
      </c>
      <c r="H578">
        <v>2600</v>
      </c>
    </row>
    <row r="579" spans="2:8">
      <c r="B579" t="s">
        <v>442</v>
      </c>
      <c r="C579" t="s">
        <v>410</v>
      </c>
      <c r="D579">
        <v>4378</v>
      </c>
      <c r="E579">
        <v>4378</v>
      </c>
      <c r="F579">
        <v>4376</v>
      </c>
      <c r="G579">
        <v>4377</v>
      </c>
      <c r="H579">
        <v>8200</v>
      </c>
    </row>
    <row r="580" spans="2:8">
      <c r="B580" t="s">
        <v>442</v>
      </c>
      <c r="C580" t="s">
        <v>411</v>
      </c>
      <c r="D580">
        <v>4376</v>
      </c>
      <c r="E580">
        <v>4376</v>
      </c>
      <c r="F580">
        <v>4375</v>
      </c>
      <c r="G580">
        <v>4375</v>
      </c>
      <c r="H580">
        <v>7000</v>
      </c>
    </row>
    <row r="581" spans="2:8">
      <c r="B581" t="s">
        <v>442</v>
      </c>
      <c r="C581" t="s">
        <v>412</v>
      </c>
      <c r="D581">
        <v>4376</v>
      </c>
      <c r="E581">
        <v>4377</v>
      </c>
      <c r="F581">
        <v>4376</v>
      </c>
      <c r="G581">
        <v>4377</v>
      </c>
      <c r="H581">
        <v>4800</v>
      </c>
    </row>
    <row r="582" spans="2:8">
      <c r="B582" t="s">
        <v>442</v>
      </c>
      <c r="C582" t="s">
        <v>413</v>
      </c>
      <c r="D582">
        <v>4377</v>
      </c>
      <c r="E582">
        <v>4377</v>
      </c>
      <c r="F582">
        <v>4377</v>
      </c>
      <c r="G582">
        <v>4377</v>
      </c>
      <c r="H582">
        <v>3700</v>
      </c>
    </row>
    <row r="583" spans="2:8">
      <c r="B583" t="s">
        <v>442</v>
      </c>
      <c r="C583" t="s">
        <v>414</v>
      </c>
      <c r="D583">
        <v>4376</v>
      </c>
      <c r="E583">
        <v>4376</v>
      </c>
      <c r="F583">
        <v>4375</v>
      </c>
      <c r="G583">
        <v>4375</v>
      </c>
      <c r="H583">
        <v>1500</v>
      </c>
    </row>
    <row r="584" spans="2:8">
      <c r="B584" t="s">
        <v>442</v>
      </c>
      <c r="C584" t="s">
        <v>415</v>
      </c>
      <c r="D584">
        <v>4375</v>
      </c>
      <c r="E584">
        <v>4375</v>
      </c>
      <c r="F584">
        <v>4373</v>
      </c>
      <c r="G584">
        <v>4374</v>
      </c>
      <c r="H584">
        <v>24300</v>
      </c>
    </row>
    <row r="585" spans="2:8">
      <c r="B585" t="s">
        <v>442</v>
      </c>
      <c r="C585" t="s">
        <v>416</v>
      </c>
      <c r="D585">
        <v>4374</v>
      </c>
      <c r="E585">
        <v>4374</v>
      </c>
      <c r="F585">
        <v>4373</v>
      </c>
      <c r="G585">
        <v>4374</v>
      </c>
      <c r="H585">
        <v>8400</v>
      </c>
    </row>
    <row r="586" spans="2:8">
      <c r="B586" t="s">
        <v>442</v>
      </c>
      <c r="C586" t="s">
        <v>417</v>
      </c>
      <c r="D586">
        <v>4375</v>
      </c>
      <c r="E586">
        <v>4375</v>
      </c>
      <c r="F586">
        <v>4373</v>
      </c>
      <c r="G586">
        <v>4373</v>
      </c>
      <c r="H586">
        <v>14100</v>
      </c>
    </row>
    <row r="587" spans="2:8">
      <c r="B587" t="s">
        <v>442</v>
      </c>
      <c r="C587" t="s">
        <v>418</v>
      </c>
      <c r="D587">
        <v>4372</v>
      </c>
      <c r="E587">
        <v>4373</v>
      </c>
      <c r="F587">
        <v>4372</v>
      </c>
      <c r="G587">
        <v>4373</v>
      </c>
      <c r="H587">
        <v>3300</v>
      </c>
    </row>
    <row r="588" spans="2:8">
      <c r="B588" t="s">
        <v>442</v>
      </c>
      <c r="C588" t="s">
        <v>419</v>
      </c>
      <c r="D588">
        <v>4372</v>
      </c>
      <c r="E588">
        <v>4373</v>
      </c>
      <c r="F588">
        <v>4370</v>
      </c>
      <c r="G588">
        <v>4372</v>
      </c>
      <c r="H588">
        <v>14800</v>
      </c>
    </row>
    <row r="589" spans="2:8">
      <c r="B589" t="s">
        <v>442</v>
      </c>
      <c r="C589" t="s">
        <v>420</v>
      </c>
      <c r="D589">
        <v>4373</v>
      </c>
      <c r="E589">
        <v>4373</v>
      </c>
      <c r="F589">
        <v>4372</v>
      </c>
      <c r="G589">
        <v>4372</v>
      </c>
      <c r="H589">
        <v>1300</v>
      </c>
    </row>
    <row r="590" spans="2:8">
      <c r="B590" t="s">
        <v>442</v>
      </c>
      <c r="C590" t="s">
        <v>421</v>
      </c>
      <c r="D590">
        <v>4373</v>
      </c>
      <c r="E590">
        <v>4373</v>
      </c>
      <c r="F590">
        <v>4371</v>
      </c>
      <c r="G590">
        <v>4371</v>
      </c>
      <c r="H590">
        <v>5700</v>
      </c>
    </row>
    <row r="591" spans="2:8">
      <c r="B591" t="s">
        <v>442</v>
      </c>
      <c r="C591" t="s">
        <v>422</v>
      </c>
      <c r="D591">
        <v>4370</v>
      </c>
      <c r="E591">
        <v>4371</v>
      </c>
      <c r="F591">
        <v>4367</v>
      </c>
      <c r="G591">
        <v>4367</v>
      </c>
      <c r="H591">
        <v>64400</v>
      </c>
    </row>
    <row r="592" spans="2:8">
      <c r="B592" t="s">
        <v>442</v>
      </c>
      <c r="C592" t="s">
        <v>423</v>
      </c>
      <c r="D592">
        <v>4367</v>
      </c>
      <c r="E592">
        <v>4368</v>
      </c>
      <c r="F592">
        <v>4366</v>
      </c>
      <c r="G592">
        <v>4366</v>
      </c>
      <c r="H592">
        <v>5400</v>
      </c>
    </row>
    <row r="593" spans="2:8">
      <c r="B593" t="s">
        <v>442</v>
      </c>
      <c r="C593" t="s">
        <v>424</v>
      </c>
      <c r="D593">
        <v>4366</v>
      </c>
      <c r="E593">
        <v>4366</v>
      </c>
      <c r="F593">
        <v>4365</v>
      </c>
      <c r="G593">
        <v>4366</v>
      </c>
      <c r="H593">
        <v>3800</v>
      </c>
    </row>
    <row r="594" spans="2:8">
      <c r="B594" t="s">
        <v>442</v>
      </c>
      <c r="C594" t="s">
        <v>425</v>
      </c>
      <c r="D594">
        <v>4366</v>
      </c>
      <c r="E594">
        <v>4369</v>
      </c>
      <c r="F594">
        <v>4366</v>
      </c>
      <c r="G594">
        <v>4368</v>
      </c>
      <c r="H594">
        <v>15100</v>
      </c>
    </row>
    <row r="595" spans="2:8">
      <c r="B595" t="s">
        <v>442</v>
      </c>
      <c r="C595" t="s">
        <v>426</v>
      </c>
      <c r="D595">
        <v>4368</v>
      </c>
      <c r="E595">
        <v>4370</v>
      </c>
      <c r="F595">
        <v>4368</v>
      </c>
      <c r="G595">
        <v>4370</v>
      </c>
      <c r="H595">
        <v>8500</v>
      </c>
    </row>
    <row r="596" spans="2:8">
      <c r="B596" t="s">
        <v>442</v>
      </c>
      <c r="C596" t="s">
        <v>427</v>
      </c>
      <c r="D596">
        <v>4370</v>
      </c>
      <c r="E596">
        <v>4370</v>
      </c>
      <c r="F596">
        <v>4369</v>
      </c>
      <c r="G596">
        <v>4370</v>
      </c>
      <c r="H596">
        <v>6000</v>
      </c>
    </row>
    <row r="597" spans="2:8">
      <c r="B597" t="s">
        <v>442</v>
      </c>
      <c r="C597" t="s">
        <v>428</v>
      </c>
      <c r="D597">
        <v>4371</v>
      </c>
      <c r="E597">
        <v>4372</v>
      </c>
      <c r="F597">
        <v>4369</v>
      </c>
      <c r="G597">
        <v>4370</v>
      </c>
      <c r="H597">
        <v>9900</v>
      </c>
    </row>
    <row r="598" spans="2:8">
      <c r="B598" t="s">
        <v>442</v>
      </c>
      <c r="C598" t="s">
        <v>429</v>
      </c>
      <c r="D598">
        <v>4369</v>
      </c>
      <c r="E598">
        <v>4371</v>
      </c>
      <c r="F598">
        <v>4369</v>
      </c>
      <c r="G598">
        <v>4370</v>
      </c>
      <c r="H598">
        <v>2800</v>
      </c>
    </row>
    <row r="599" spans="2:8">
      <c r="B599" t="s">
        <v>442</v>
      </c>
      <c r="C599" t="s">
        <v>430</v>
      </c>
      <c r="D599">
        <v>4369</v>
      </c>
      <c r="E599">
        <v>4369</v>
      </c>
      <c r="F599">
        <v>4369</v>
      </c>
      <c r="G599">
        <v>4369</v>
      </c>
      <c r="H599">
        <v>1900</v>
      </c>
    </row>
    <row r="600" spans="2:8">
      <c r="B600" t="s">
        <v>442</v>
      </c>
      <c r="C600" t="s">
        <v>431</v>
      </c>
      <c r="D600">
        <v>4370</v>
      </c>
      <c r="E600">
        <v>4370</v>
      </c>
      <c r="F600">
        <v>4370</v>
      </c>
      <c r="G600">
        <v>4370</v>
      </c>
      <c r="H600">
        <v>3100</v>
      </c>
    </row>
    <row r="601" spans="2:8">
      <c r="B601" t="s">
        <v>442</v>
      </c>
      <c r="C601" t="s">
        <v>9</v>
      </c>
      <c r="D601">
        <v>4370</v>
      </c>
      <c r="E601">
        <v>4370</v>
      </c>
      <c r="F601">
        <v>4368</v>
      </c>
      <c r="G601">
        <v>4368</v>
      </c>
      <c r="H601">
        <v>4600</v>
      </c>
    </row>
    <row r="602" spans="2:8">
      <c r="B602" t="s">
        <v>442</v>
      </c>
      <c r="C602" t="s">
        <v>10</v>
      </c>
      <c r="D602">
        <v>4368</v>
      </c>
      <c r="E602">
        <v>4368</v>
      </c>
      <c r="F602">
        <v>4368</v>
      </c>
      <c r="G602">
        <v>4368</v>
      </c>
      <c r="H602">
        <v>800</v>
      </c>
    </row>
    <row r="603" spans="2:8">
      <c r="B603" t="s">
        <v>442</v>
      </c>
      <c r="C603" t="s">
        <v>11</v>
      </c>
      <c r="D603">
        <v>4368</v>
      </c>
      <c r="E603">
        <v>4369</v>
      </c>
      <c r="F603">
        <v>4368</v>
      </c>
      <c r="G603">
        <v>4369</v>
      </c>
      <c r="H603">
        <v>7300</v>
      </c>
    </row>
    <row r="604" spans="2:8">
      <c r="B604" t="s">
        <v>442</v>
      </c>
      <c r="C604" t="s">
        <v>12</v>
      </c>
      <c r="D604">
        <v>4370</v>
      </c>
      <c r="E604">
        <v>4372</v>
      </c>
      <c r="F604">
        <v>4370</v>
      </c>
      <c r="G604">
        <v>4372</v>
      </c>
      <c r="H604">
        <v>7300</v>
      </c>
    </row>
    <row r="605" spans="2:8">
      <c r="B605" t="s">
        <v>442</v>
      </c>
      <c r="C605" t="s">
        <v>13</v>
      </c>
      <c r="D605">
        <v>4372</v>
      </c>
      <c r="E605">
        <v>4373</v>
      </c>
      <c r="F605">
        <v>4371</v>
      </c>
      <c r="G605">
        <v>4371</v>
      </c>
      <c r="H605">
        <v>6100</v>
      </c>
    </row>
    <row r="606" spans="2:8">
      <c r="B606" t="s">
        <v>442</v>
      </c>
      <c r="C606" t="s">
        <v>14</v>
      </c>
      <c r="D606">
        <v>4371</v>
      </c>
      <c r="E606">
        <v>4372</v>
      </c>
      <c r="F606">
        <v>4371</v>
      </c>
      <c r="G606">
        <v>4371</v>
      </c>
      <c r="H606">
        <v>7000</v>
      </c>
    </row>
    <row r="607" spans="2:8">
      <c r="B607" t="s">
        <v>442</v>
      </c>
      <c r="C607" t="s">
        <v>15</v>
      </c>
      <c r="D607">
        <v>4372</v>
      </c>
      <c r="E607">
        <v>4373</v>
      </c>
      <c r="F607">
        <v>4371</v>
      </c>
      <c r="G607">
        <v>4371</v>
      </c>
      <c r="H607">
        <v>19400</v>
      </c>
    </row>
    <row r="608" spans="2:8">
      <c r="B608" t="s">
        <v>442</v>
      </c>
      <c r="C608" t="s">
        <v>16</v>
      </c>
      <c r="D608">
        <v>4371</v>
      </c>
      <c r="E608">
        <v>4372</v>
      </c>
      <c r="F608">
        <v>4371</v>
      </c>
      <c r="G608">
        <v>4372</v>
      </c>
      <c r="H608">
        <v>2900</v>
      </c>
    </row>
    <row r="609" spans="2:8">
      <c r="B609" t="s">
        <v>442</v>
      </c>
      <c r="C609" t="s">
        <v>17</v>
      </c>
      <c r="D609">
        <v>4372</v>
      </c>
      <c r="E609">
        <v>4372</v>
      </c>
      <c r="F609">
        <v>4371</v>
      </c>
      <c r="G609">
        <v>4371</v>
      </c>
      <c r="H609">
        <v>1000</v>
      </c>
    </row>
    <row r="610" spans="2:8">
      <c r="B610" t="s">
        <v>442</v>
      </c>
      <c r="C610" t="s">
        <v>18</v>
      </c>
      <c r="D610">
        <v>4371</v>
      </c>
      <c r="E610">
        <v>4371</v>
      </c>
      <c r="F610">
        <v>4369</v>
      </c>
      <c r="G610">
        <v>4369</v>
      </c>
      <c r="H610">
        <v>13700</v>
      </c>
    </row>
    <row r="611" spans="2:8">
      <c r="B611" t="s">
        <v>442</v>
      </c>
      <c r="C611" t="s">
        <v>19</v>
      </c>
      <c r="D611">
        <v>4369</v>
      </c>
      <c r="E611">
        <v>4370</v>
      </c>
      <c r="F611">
        <v>4368</v>
      </c>
      <c r="G611">
        <v>4368</v>
      </c>
      <c r="H611">
        <v>9400</v>
      </c>
    </row>
    <row r="612" spans="2:8">
      <c r="B612" t="s">
        <v>442</v>
      </c>
      <c r="C612" t="s">
        <v>20</v>
      </c>
      <c r="D612">
        <v>4368</v>
      </c>
      <c r="E612">
        <v>4368</v>
      </c>
      <c r="F612">
        <v>4368</v>
      </c>
      <c r="G612">
        <v>4368</v>
      </c>
      <c r="H612">
        <v>2200</v>
      </c>
    </row>
    <row r="613" spans="2:8">
      <c r="B613" t="s">
        <v>442</v>
      </c>
      <c r="C613" t="s">
        <v>21</v>
      </c>
      <c r="D613">
        <v>4367</v>
      </c>
      <c r="E613">
        <v>4367</v>
      </c>
      <c r="F613">
        <v>4367</v>
      </c>
      <c r="G613">
        <v>4367</v>
      </c>
      <c r="H613">
        <v>1400</v>
      </c>
    </row>
    <row r="614" spans="2:8">
      <c r="B614" t="s">
        <v>442</v>
      </c>
      <c r="C614" t="s">
        <v>22</v>
      </c>
      <c r="D614">
        <v>4368</v>
      </c>
      <c r="E614">
        <v>4369</v>
      </c>
      <c r="F614">
        <v>4368</v>
      </c>
      <c r="G614">
        <v>4368</v>
      </c>
      <c r="H614">
        <v>12700</v>
      </c>
    </row>
    <row r="615" spans="2:8">
      <c r="B615" t="s">
        <v>442</v>
      </c>
      <c r="C615" t="s">
        <v>23</v>
      </c>
      <c r="D615">
        <v>4368</v>
      </c>
      <c r="E615">
        <v>4368</v>
      </c>
      <c r="F615">
        <v>4366</v>
      </c>
      <c r="G615">
        <v>4366</v>
      </c>
      <c r="H615">
        <v>5300</v>
      </c>
    </row>
    <row r="616" spans="2:8">
      <c r="B616" t="s">
        <v>442</v>
      </c>
      <c r="C616" t="s">
        <v>24</v>
      </c>
      <c r="D616">
        <v>4366</v>
      </c>
      <c r="E616">
        <v>4366</v>
      </c>
      <c r="F616">
        <v>4366</v>
      </c>
      <c r="G616">
        <v>4366</v>
      </c>
      <c r="H616">
        <v>2800</v>
      </c>
    </row>
    <row r="617" spans="2:8">
      <c r="B617" t="s">
        <v>442</v>
      </c>
      <c r="C617" t="s">
        <v>25</v>
      </c>
      <c r="D617">
        <v>4367</v>
      </c>
      <c r="E617">
        <v>4368</v>
      </c>
      <c r="F617">
        <v>4367</v>
      </c>
      <c r="G617">
        <v>4368</v>
      </c>
      <c r="H617">
        <v>5300</v>
      </c>
    </row>
    <row r="618" spans="2:8">
      <c r="B618" t="s">
        <v>442</v>
      </c>
      <c r="C618" t="s">
        <v>26</v>
      </c>
      <c r="D618">
        <v>4368</v>
      </c>
      <c r="E618">
        <v>4368</v>
      </c>
      <c r="F618">
        <v>4365</v>
      </c>
      <c r="G618">
        <v>4365</v>
      </c>
      <c r="H618">
        <v>5600</v>
      </c>
    </row>
    <row r="619" spans="2:8">
      <c r="B619" t="s">
        <v>442</v>
      </c>
      <c r="C619" t="s">
        <v>27</v>
      </c>
      <c r="D619">
        <v>4365</v>
      </c>
      <c r="E619">
        <v>4365</v>
      </c>
      <c r="F619">
        <v>4365</v>
      </c>
      <c r="G619">
        <v>4365</v>
      </c>
      <c r="H619">
        <v>5500</v>
      </c>
    </row>
    <row r="620" spans="2:8">
      <c r="B620" t="s">
        <v>442</v>
      </c>
      <c r="C620" t="s">
        <v>28</v>
      </c>
      <c r="D620">
        <v>4364</v>
      </c>
      <c r="E620">
        <v>4365</v>
      </c>
      <c r="F620">
        <v>4364</v>
      </c>
      <c r="G620">
        <v>4364</v>
      </c>
      <c r="H620">
        <v>2000</v>
      </c>
    </row>
    <row r="621" spans="2:8">
      <c r="B621" t="s">
        <v>442</v>
      </c>
      <c r="C621" t="s">
        <v>29</v>
      </c>
      <c r="D621">
        <v>4365</v>
      </c>
      <c r="E621">
        <v>4367</v>
      </c>
      <c r="F621">
        <v>4365</v>
      </c>
      <c r="G621">
        <v>4366</v>
      </c>
      <c r="H621">
        <v>9100</v>
      </c>
    </row>
    <row r="622" spans="2:8">
      <c r="B622" t="s">
        <v>442</v>
      </c>
      <c r="C622" t="s">
        <v>30</v>
      </c>
      <c r="D622">
        <v>4366</v>
      </c>
      <c r="E622">
        <v>4366</v>
      </c>
      <c r="F622">
        <v>4364</v>
      </c>
      <c r="G622">
        <v>4365</v>
      </c>
      <c r="H622">
        <v>6300</v>
      </c>
    </row>
    <row r="623" spans="2:8">
      <c r="B623" t="s">
        <v>442</v>
      </c>
      <c r="C623" t="s">
        <v>31</v>
      </c>
      <c r="D623">
        <v>4366</v>
      </c>
      <c r="E623">
        <v>4366</v>
      </c>
      <c r="F623">
        <v>4366</v>
      </c>
      <c r="G623">
        <v>4366</v>
      </c>
      <c r="H623">
        <v>4100</v>
      </c>
    </row>
    <row r="624" spans="2:8">
      <c r="B624" t="s">
        <v>442</v>
      </c>
      <c r="C624" t="s">
        <v>32</v>
      </c>
      <c r="D624">
        <v>4366</v>
      </c>
      <c r="E624">
        <v>4367</v>
      </c>
      <c r="F624">
        <v>4366</v>
      </c>
      <c r="G624">
        <v>4367</v>
      </c>
      <c r="H624">
        <v>4600</v>
      </c>
    </row>
    <row r="625" spans="2:8">
      <c r="B625" t="s">
        <v>442</v>
      </c>
      <c r="C625" t="s">
        <v>33</v>
      </c>
      <c r="D625">
        <v>4368</v>
      </c>
      <c r="E625">
        <v>4369</v>
      </c>
      <c r="F625">
        <v>4367</v>
      </c>
      <c r="G625">
        <v>4367</v>
      </c>
      <c r="H625">
        <v>12200</v>
      </c>
    </row>
    <row r="626" spans="2:8">
      <c r="B626" t="s">
        <v>442</v>
      </c>
      <c r="C626" t="s">
        <v>34</v>
      </c>
      <c r="D626">
        <v>4368</v>
      </c>
      <c r="E626">
        <v>4368</v>
      </c>
      <c r="F626">
        <v>4367</v>
      </c>
      <c r="G626">
        <v>4368</v>
      </c>
      <c r="H626">
        <v>2200</v>
      </c>
    </row>
    <row r="627" spans="2:8">
      <c r="B627" t="s">
        <v>442</v>
      </c>
      <c r="C627" t="s">
        <v>35</v>
      </c>
      <c r="D627">
        <v>4368</v>
      </c>
      <c r="E627">
        <v>4371</v>
      </c>
      <c r="F627">
        <v>4368</v>
      </c>
      <c r="G627">
        <v>4370</v>
      </c>
      <c r="H627">
        <v>13900</v>
      </c>
    </row>
    <row r="628" spans="2:8">
      <c r="B628" t="s">
        <v>442</v>
      </c>
      <c r="C628" t="s">
        <v>36</v>
      </c>
      <c r="D628">
        <v>4370</v>
      </c>
      <c r="E628">
        <v>4372</v>
      </c>
      <c r="F628">
        <v>4370</v>
      </c>
      <c r="G628">
        <v>4372</v>
      </c>
      <c r="H628">
        <v>4900</v>
      </c>
    </row>
    <row r="629" spans="2:8">
      <c r="B629" t="s">
        <v>442</v>
      </c>
      <c r="C629" t="s">
        <v>37</v>
      </c>
      <c r="D629">
        <v>4372</v>
      </c>
      <c r="E629">
        <v>4372</v>
      </c>
      <c r="F629">
        <v>4370</v>
      </c>
      <c r="G629">
        <v>4370</v>
      </c>
      <c r="H629">
        <v>3800</v>
      </c>
    </row>
    <row r="630" spans="2:8">
      <c r="B630" t="s">
        <v>442</v>
      </c>
      <c r="C630" t="s">
        <v>38</v>
      </c>
      <c r="D630">
        <v>4371</v>
      </c>
      <c r="E630">
        <v>4372</v>
      </c>
      <c r="F630">
        <v>4371</v>
      </c>
      <c r="G630">
        <v>4371</v>
      </c>
      <c r="H630">
        <v>2500</v>
      </c>
    </row>
    <row r="631" spans="2:8">
      <c r="B631" t="s">
        <v>442</v>
      </c>
      <c r="C631" t="s">
        <v>39</v>
      </c>
      <c r="D631">
        <v>4371</v>
      </c>
      <c r="E631">
        <v>4371</v>
      </c>
      <c r="F631">
        <v>4371</v>
      </c>
      <c r="G631">
        <v>4371</v>
      </c>
      <c r="H631">
        <v>3800</v>
      </c>
    </row>
    <row r="632" spans="2:8">
      <c r="B632" t="s">
        <v>442</v>
      </c>
      <c r="C632" t="s">
        <v>40</v>
      </c>
      <c r="D632">
        <v>4371</v>
      </c>
      <c r="E632">
        <v>4371</v>
      </c>
      <c r="F632">
        <v>4369</v>
      </c>
      <c r="G632">
        <v>4369</v>
      </c>
      <c r="H632">
        <v>8800</v>
      </c>
    </row>
    <row r="633" spans="2:8">
      <c r="B633" t="s">
        <v>442</v>
      </c>
      <c r="C633" t="s">
        <v>41</v>
      </c>
      <c r="D633">
        <v>4369</v>
      </c>
      <c r="E633">
        <v>4371</v>
      </c>
      <c r="F633">
        <v>4369</v>
      </c>
      <c r="G633">
        <v>4370</v>
      </c>
      <c r="H633">
        <v>2900</v>
      </c>
    </row>
    <row r="634" spans="2:8">
      <c r="B634" t="s">
        <v>442</v>
      </c>
      <c r="C634" t="s">
        <v>42</v>
      </c>
      <c r="D634">
        <v>4370</v>
      </c>
      <c r="E634">
        <v>4372</v>
      </c>
      <c r="F634">
        <v>4370</v>
      </c>
      <c r="G634">
        <v>4371</v>
      </c>
      <c r="H634">
        <v>10900</v>
      </c>
    </row>
    <row r="635" spans="2:8">
      <c r="B635" t="s">
        <v>442</v>
      </c>
      <c r="C635" t="s">
        <v>43</v>
      </c>
      <c r="D635">
        <v>4371</v>
      </c>
      <c r="E635">
        <v>4374</v>
      </c>
      <c r="F635">
        <v>4371</v>
      </c>
      <c r="G635">
        <v>4373</v>
      </c>
      <c r="H635">
        <v>7400</v>
      </c>
    </row>
    <row r="636" spans="2:8">
      <c r="B636" t="s">
        <v>442</v>
      </c>
      <c r="C636" t="s">
        <v>44</v>
      </c>
      <c r="D636">
        <v>4373</v>
      </c>
      <c r="E636">
        <v>4374</v>
      </c>
      <c r="F636">
        <v>4371</v>
      </c>
      <c r="G636">
        <v>4372</v>
      </c>
      <c r="H636">
        <v>9600</v>
      </c>
    </row>
    <row r="637" spans="2:8">
      <c r="B637" t="s">
        <v>442</v>
      </c>
      <c r="C637" t="s">
        <v>45</v>
      </c>
      <c r="D637">
        <v>4373</v>
      </c>
      <c r="E637">
        <v>4376</v>
      </c>
      <c r="F637">
        <v>4373</v>
      </c>
      <c r="G637">
        <v>4375</v>
      </c>
      <c r="H637">
        <v>17800</v>
      </c>
    </row>
    <row r="638" spans="2:8">
      <c r="B638" t="s">
        <v>442</v>
      </c>
      <c r="C638" t="s">
        <v>46</v>
      </c>
      <c r="D638">
        <v>4375</v>
      </c>
      <c r="E638">
        <v>4376</v>
      </c>
      <c r="F638">
        <v>4375</v>
      </c>
      <c r="G638">
        <v>4376</v>
      </c>
      <c r="H638">
        <v>5200</v>
      </c>
    </row>
    <row r="639" spans="2:8">
      <c r="B639" t="s">
        <v>442</v>
      </c>
      <c r="C639" t="s">
        <v>47</v>
      </c>
      <c r="D639">
        <v>4375</v>
      </c>
      <c r="E639">
        <v>4377</v>
      </c>
      <c r="F639">
        <v>4375</v>
      </c>
      <c r="G639">
        <v>4377</v>
      </c>
      <c r="H639">
        <v>10100</v>
      </c>
    </row>
    <row r="640" spans="2:8">
      <c r="B640" t="s">
        <v>442</v>
      </c>
      <c r="C640" t="s">
        <v>48</v>
      </c>
      <c r="D640">
        <v>4377</v>
      </c>
      <c r="E640">
        <v>4377</v>
      </c>
      <c r="F640">
        <v>4376</v>
      </c>
      <c r="G640">
        <v>4377</v>
      </c>
      <c r="H640">
        <v>6300</v>
      </c>
    </row>
    <row r="641" spans="2:8">
      <c r="B641" t="s">
        <v>442</v>
      </c>
      <c r="C641" t="s">
        <v>49</v>
      </c>
      <c r="D641">
        <v>4377</v>
      </c>
      <c r="E641">
        <v>4379</v>
      </c>
      <c r="F641">
        <v>4376</v>
      </c>
      <c r="G641">
        <v>4379</v>
      </c>
      <c r="H641">
        <v>10200</v>
      </c>
    </row>
    <row r="642" spans="2:8">
      <c r="B642" t="s">
        <v>442</v>
      </c>
      <c r="C642" t="s">
        <v>50</v>
      </c>
      <c r="D642">
        <v>4379</v>
      </c>
      <c r="E642">
        <v>4380</v>
      </c>
      <c r="F642">
        <v>4378</v>
      </c>
      <c r="G642">
        <v>4378</v>
      </c>
      <c r="H642">
        <v>17500</v>
      </c>
    </row>
    <row r="643" spans="2:8">
      <c r="B643" t="s">
        <v>442</v>
      </c>
      <c r="C643" t="s">
        <v>51</v>
      </c>
      <c r="D643">
        <v>4378</v>
      </c>
      <c r="E643">
        <v>4379</v>
      </c>
      <c r="F643">
        <v>4378</v>
      </c>
      <c r="G643">
        <v>4379</v>
      </c>
      <c r="H643">
        <v>10200</v>
      </c>
    </row>
    <row r="644" spans="2:8">
      <c r="B644" t="s">
        <v>442</v>
      </c>
      <c r="C644" t="s">
        <v>52</v>
      </c>
      <c r="D644">
        <v>4378</v>
      </c>
      <c r="E644">
        <v>4379</v>
      </c>
      <c r="F644">
        <v>4378</v>
      </c>
      <c r="G644">
        <v>4378</v>
      </c>
      <c r="H644">
        <v>7200</v>
      </c>
    </row>
    <row r="645" spans="2:8">
      <c r="B645" t="s">
        <v>442</v>
      </c>
      <c r="C645" t="s">
        <v>53</v>
      </c>
      <c r="D645">
        <v>4378</v>
      </c>
      <c r="E645">
        <v>4379</v>
      </c>
      <c r="F645">
        <v>4377</v>
      </c>
      <c r="G645">
        <v>4377</v>
      </c>
      <c r="H645">
        <v>8400</v>
      </c>
    </row>
    <row r="646" spans="2:8">
      <c r="B646" t="s">
        <v>442</v>
      </c>
      <c r="C646" t="s">
        <v>54</v>
      </c>
      <c r="D646">
        <v>4378</v>
      </c>
      <c r="E646">
        <v>4378</v>
      </c>
      <c r="F646">
        <v>4377</v>
      </c>
      <c r="G646">
        <v>4377</v>
      </c>
      <c r="H646">
        <v>8800</v>
      </c>
    </row>
    <row r="647" spans="2:8">
      <c r="B647" t="s">
        <v>442</v>
      </c>
      <c r="C647" t="s">
        <v>55</v>
      </c>
      <c r="D647">
        <v>4377</v>
      </c>
      <c r="E647">
        <v>4377</v>
      </c>
      <c r="F647">
        <v>4376</v>
      </c>
      <c r="G647">
        <v>4377</v>
      </c>
      <c r="H647">
        <v>4800</v>
      </c>
    </row>
    <row r="648" spans="2:8">
      <c r="B648" t="s">
        <v>442</v>
      </c>
      <c r="C648" t="s">
        <v>56</v>
      </c>
      <c r="D648">
        <v>4377</v>
      </c>
      <c r="E648">
        <v>4378</v>
      </c>
      <c r="F648">
        <v>4377</v>
      </c>
      <c r="G648">
        <v>4378</v>
      </c>
      <c r="H648">
        <v>2000</v>
      </c>
    </row>
    <row r="649" spans="2:8">
      <c r="B649" t="s">
        <v>442</v>
      </c>
      <c r="C649" t="s">
        <v>57</v>
      </c>
      <c r="D649">
        <v>4377</v>
      </c>
      <c r="E649">
        <v>4378</v>
      </c>
      <c r="F649">
        <v>4374</v>
      </c>
      <c r="G649">
        <v>4374</v>
      </c>
      <c r="H649">
        <v>16100</v>
      </c>
    </row>
    <row r="650" spans="2:8">
      <c r="B650" t="s">
        <v>442</v>
      </c>
      <c r="C650" t="s">
        <v>58</v>
      </c>
      <c r="D650">
        <v>4374</v>
      </c>
      <c r="E650">
        <v>4375</v>
      </c>
      <c r="F650">
        <v>4374</v>
      </c>
      <c r="G650">
        <v>4375</v>
      </c>
      <c r="H650">
        <v>10200</v>
      </c>
    </row>
    <row r="651" spans="2:8">
      <c r="B651" t="s">
        <v>442</v>
      </c>
      <c r="C651" t="s">
        <v>59</v>
      </c>
      <c r="D651">
        <v>4376</v>
      </c>
      <c r="E651">
        <v>4377</v>
      </c>
      <c r="F651">
        <v>4375</v>
      </c>
      <c r="G651">
        <v>4377</v>
      </c>
      <c r="H651">
        <v>11000</v>
      </c>
    </row>
    <row r="652" spans="2:8">
      <c r="B652" t="s">
        <v>442</v>
      </c>
      <c r="C652" t="s">
        <v>60</v>
      </c>
      <c r="D652">
        <v>4376</v>
      </c>
      <c r="E652">
        <v>4377</v>
      </c>
      <c r="F652">
        <v>4376</v>
      </c>
      <c r="G652">
        <v>4376</v>
      </c>
      <c r="H652">
        <v>2300</v>
      </c>
    </row>
    <row r="653" spans="2:8">
      <c r="B653" t="s">
        <v>442</v>
      </c>
      <c r="C653" t="s">
        <v>61</v>
      </c>
      <c r="D653">
        <v>4376</v>
      </c>
      <c r="E653">
        <v>4378</v>
      </c>
      <c r="F653">
        <v>4375</v>
      </c>
      <c r="G653">
        <v>4377</v>
      </c>
      <c r="H653">
        <v>10800</v>
      </c>
    </row>
    <row r="654" spans="2:8">
      <c r="B654" t="s">
        <v>442</v>
      </c>
      <c r="C654" t="s">
        <v>62</v>
      </c>
      <c r="D654">
        <v>4378</v>
      </c>
      <c r="E654">
        <v>4378</v>
      </c>
      <c r="F654">
        <v>4375</v>
      </c>
      <c r="G654">
        <v>4375</v>
      </c>
      <c r="H654">
        <v>22100</v>
      </c>
    </row>
    <row r="655" spans="2:8">
      <c r="B655" t="s">
        <v>442</v>
      </c>
      <c r="C655" t="s">
        <v>63</v>
      </c>
      <c r="D655">
        <v>4374</v>
      </c>
      <c r="E655">
        <v>4377</v>
      </c>
      <c r="F655">
        <v>4374</v>
      </c>
      <c r="G655">
        <v>4375</v>
      </c>
      <c r="H655">
        <v>16600</v>
      </c>
    </row>
    <row r="656" spans="2:8">
      <c r="B656" t="s">
        <v>442</v>
      </c>
      <c r="C656" t="s">
        <v>64</v>
      </c>
      <c r="D656">
        <v>4375</v>
      </c>
      <c r="E656">
        <v>4378</v>
      </c>
      <c r="F656">
        <v>4374</v>
      </c>
      <c r="G656">
        <v>4378</v>
      </c>
      <c r="H656">
        <v>36600</v>
      </c>
    </row>
    <row r="657" spans="2:8">
      <c r="B657" t="s">
        <v>442</v>
      </c>
      <c r="C657" t="s">
        <v>65</v>
      </c>
      <c r="D657">
        <v>4379</v>
      </c>
      <c r="E657">
        <v>4379</v>
      </c>
      <c r="F657">
        <v>4375</v>
      </c>
      <c r="G657">
        <v>4378</v>
      </c>
      <c r="H657">
        <v>17600</v>
      </c>
    </row>
    <row r="658" spans="2:8">
      <c r="B658" t="s">
        <v>442</v>
      </c>
      <c r="C658" t="s">
        <v>66</v>
      </c>
      <c r="D658">
        <v>4377</v>
      </c>
      <c r="E658">
        <v>4377</v>
      </c>
      <c r="F658">
        <v>4375</v>
      </c>
      <c r="G658">
        <v>4377</v>
      </c>
      <c r="H658">
        <v>8600</v>
      </c>
    </row>
    <row r="659" spans="2:8">
      <c r="B659" t="s">
        <v>442</v>
      </c>
      <c r="C659" t="s">
        <v>164</v>
      </c>
      <c r="D659">
        <v>4375</v>
      </c>
      <c r="E659">
        <v>4376</v>
      </c>
      <c r="F659">
        <v>4374</v>
      </c>
      <c r="G659">
        <v>4375</v>
      </c>
      <c r="H659">
        <v>10200</v>
      </c>
    </row>
    <row r="660" spans="2:8">
      <c r="B660" t="s">
        <v>442</v>
      </c>
      <c r="C660" t="s">
        <v>165</v>
      </c>
      <c r="D660">
        <v>4374</v>
      </c>
      <c r="E660">
        <v>4379</v>
      </c>
      <c r="F660">
        <v>4374</v>
      </c>
      <c r="G660">
        <v>4378</v>
      </c>
      <c r="H660">
        <v>12700</v>
      </c>
    </row>
    <row r="661" spans="2:8">
      <c r="B661" t="s">
        <v>442</v>
      </c>
      <c r="C661" t="s">
        <v>67</v>
      </c>
      <c r="D661" t="s">
        <v>8</v>
      </c>
      <c r="E661" t="s">
        <v>8</v>
      </c>
      <c r="F661" t="s">
        <v>8</v>
      </c>
      <c r="G661" t="s">
        <v>8</v>
      </c>
      <c r="H661">
        <v>0</v>
      </c>
    </row>
    <row r="662" spans="2:8">
      <c r="B662" t="s">
        <v>442</v>
      </c>
      <c r="C662" t="s">
        <v>68</v>
      </c>
      <c r="D662" t="s">
        <v>8</v>
      </c>
      <c r="E662" t="s">
        <v>8</v>
      </c>
      <c r="F662" t="s">
        <v>8</v>
      </c>
      <c r="G662" t="s">
        <v>8</v>
      </c>
      <c r="H662">
        <v>0</v>
      </c>
    </row>
    <row r="663" spans="2:8">
      <c r="B663" t="s">
        <v>442</v>
      </c>
      <c r="C663" t="s">
        <v>69</v>
      </c>
      <c r="D663" t="s">
        <v>8</v>
      </c>
      <c r="E663" t="s">
        <v>8</v>
      </c>
      <c r="F663" t="s">
        <v>8</v>
      </c>
      <c r="G663" t="s">
        <v>8</v>
      </c>
      <c r="H663">
        <v>0</v>
      </c>
    </row>
    <row r="664" spans="2:8">
      <c r="B664" t="s">
        <v>442</v>
      </c>
      <c r="C664" t="s">
        <v>70</v>
      </c>
      <c r="D664" t="s">
        <v>8</v>
      </c>
      <c r="E664" t="s">
        <v>8</v>
      </c>
      <c r="F664" t="s">
        <v>8</v>
      </c>
      <c r="G664" t="s">
        <v>8</v>
      </c>
      <c r="H664">
        <v>0</v>
      </c>
    </row>
    <row r="665" spans="2:8">
      <c r="B665" t="s">
        <v>442</v>
      </c>
      <c r="C665" t="s">
        <v>71</v>
      </c>
      <c r="D665" t="s">
        <v>8</v>
      </c>
      <c r="E665" t="s">
        <v>8</v>
      </c>
      <c r="F665" t="s">
        <v>8</v>
      </c>
      <c r="G665" t="s">
        <v>8</v>
      </c>
      <c r="H665">
        <v>0</v>
      </c>
    </row>
    <row r="666" spans="2:8">
      <c r="B666" t="s">
        <v>442</v>
      </c>
      <c r="C666" t="s">
        <v>72</v>
      </c>
      <c r="D666">
        <v>4370</v>
      </c>
      <c r="E666">
        <v>4370</v>
      </c>
      <c r="F666">
        <v>4370</v>
      </c>
      <c r="G666">
        <v>4370</v>
      </c>
      <c r="H666">
        <v>1260800</v>
      </c>
    </row>
    <row r="667" spans="2:8">
      <c r="B667" t="s">
        <v>443</v>
      </c>
      <c r="C667" t="s">
        <v>166</v>
      </c>
      <c r="D667">
        <v>4357</v>
      </c>
      <c r="E667">
        <v>4367</v>
      </c>
      <c r="F667">
        <v>4339</v>
      </c>
      <c r="G667">
        <v>4343</v>
      </c>
      <c r="H667">
        <v>535600</v>
      </c>
    </row>
    <row r="668" spans="2:8">
      <c r="B668" t="s">
        <v>443</v>
      </c>
      <c r="C668" t="s">
        <v>167</v>
      </c>
      <c r="D668">
        <v>4341</v>
      </c>
      <c r="E668">
        <v>4354</v>
      </c>
      <c r="F668">
        <v>4337</v>
      </c>
      <c r="G668">
        <v>4354</v>
      </c>
      <c r="H668">
        <v>62600</v>
      </c>
    </row>
    <row r="669" spans="2:8">
      <c r="B669" t="s">
        <v>443</v>
      </c>
      <c r="C669" t="s">
        <v>168</v>
      </c>
      <c r="D669">
        <v>4355</v>
      </c>
      <c r="E669">
        <v>4363</v>
      </c>
      <c r="F669">
        <v>4354</v>
      </c>
      <c r="G669">
        <v>4363</v>
      </c>
      <c r="H669">
        <v>45300</v>
      </c>
    </row>
    <row r="670" spans="2:8">
      <c r="B670" t="s">
        <v>443</v>
      </c>
      <c r="C670" t="s">
        <v>169</v>
      </c>
      <c r="D670">
        <v>4364</v>
      </c>
      <c r="E670">
        <v>4369</v>
      </c>
      <c r="F670">
        <v>4362</v>
      </c>
      <c r="G670">
        <v>4364</v>
      </c>
      <c r="H670">
        <v>48400</v>
      </c>
    </row>
    <row r="671" spans="2:8">
      <c r="B671" t="s">
        <v>443</v>
      </c>
      <c r="C671" t="s">
        <v>170</v>
      </c>
      <c r="D671">
        <v>4365</v>
      </c>
      <c r="E671">
        <v>4365</v>
      </c>
      <c r="F671">
        <v>4355</v>
      </c>
      <c r="G671">
        <v>4363</v>
      </c>
      <c r="H671">
        <v>49900</v>
      </c>
    </row>
    <row r="672" spans="2:8">
      <c r="B672" t="s">
        <v>443</v>
      </c>
      <c r="C672" t="s">
        <v>171</v>
      </c>
      <c r="D672">
        <v>4363</v>
      </c>
      <c r="E672">
        <v>4369</v>
      </c>
      <c r="F672">
        <v>4362</v>
      </c>
      <c r="G672">
        <v>4369</v>
      </c>
      <c r="H672">
        <v>25500</v>
      </c>
    </row>
    <row r="673" spans="2:8">
      <c r="B673" t="s">
        <v>443</v>
      </c>
      <c r="C673" t="s">
        <v>172</v>
      </c>
      <c r="D673">
        <v>4370</v>
      </c>
      <c r="E673">
        <v>4375</v>
      </c>
      <c r="F673">
        <v>4365</v>
      </c>
      <c r="G673">
        <v>4365</v>
      </c>
      <c r="H673">
        <v>47800</v>
      </c>
    </row>
    <row r="674" spans="2:8">
      <c r="B674" t="s">
        <v>443</v>
      </c>
      <c r="C674" t="s">
        <v>173</v>
      </c>
      <c r="D674">
        <v>4364</v>
      </c>
      <c r="E674">
        <v>4374</v>
      </c>
      <c r="F674">
        <v>4363</v>
      </c>
      <c r="G674">
        <v>4370</v>
      </c>
      <c r="H674">
        <v>35400</v>
      </c>
    </row>
    <row r="675" spans="2:8">
      <c r="B675" t="s">
        <v>443</v>
      </c>
      <c r="C675" t="s">
        <v>174</v>
      </c>
      <c r="D675">
        <v>4370</v>
      </c>
      <c r="E675">
        <v>4373</v>
      </c>
      <c r="F675">
        <v>4360</v>
      </c>
      <c r="G675">
        <v>4363</v>
      </c>
      <c r="H675">
        <v>49000</v>
      </c>
    </row>
    <row r="676" spans="2:8">
      <c r="B676" t="s">
        <v>443</v>
      </c>
      <c r="C676" t="s">
        <v>175</v>
      </c>
      <c r="D676">
        <v>4363</v>
      </c>
      <c r="E676">
        <v>4363</v>
      </c>
      <c r="F676">
        <v>4356</v>
      </c>
      <c r="G676">
        <v>4357</v>
      </c>
      <c r="H676">
        <v>39600</v>
      </c>
    </row>
    <row r="677" spans="2:8">
      <c r="B677" t="s">
        <v>443</v>
      </c>
      <c r="C677" t="s">
        <v>176</v>
      </c>
      <c r="D677">
        <v>4357</v>
      </c>
      <c r="E677">
        <v>4358</v>
      </c>
      <c r="F677">
        <v>4349</v>
      </c>
      <c r="G677">
        <v>4350</v>
      </c>
      <c r="H677">
        <v>32900</v>
      </c>
    </row>
    <row r="678" spans="2:8">
      <c r="B678" t="s">
        <v>443</v>
      </c>
      <c r="C678" t="s">
        <v>177</v>
      </c>
      <c r="D678">
        <v>4350</v>
      </c>
      <c r="E678">
        <v>4358</v>
      </c>
      <c r="F678">
        <v>4345</v>
      </c>
      <c r="G678">
        <v>4358</v>
      </c>
      <c r="H678">
        <v>58100</v>
      </c>
    </row>
    <row r="679" spans="2:8">
      <c r="B679" t="s">
        <v>443</v>
      </c>
      <c r="C679" t="s">
        <v>178</v>
      </c>
      <c r="D679">
        <v>4359</v>
      </c>
      <c r="E679">
        <v>4368</v>
      </c>
      <c r="F679">
        <v>4358</v>
      </c>
      <c r="G679">
        <v>4367</v>
      </c>
      <c r="H679">
        <v>19200</v>
      </c>
    </row>
    <row r="680" spans="2:8">
      <c r="B680" t="s">
        <v>443</v>
      </c>
      <c r="C680" t="s">
        <v>179</v>
      </c>
      <c r="D680">
        <v>4367</v>
      </c>
      <c r="E680">
        <v>4373</v>
      </c>
      <c r="F680">
        <v>4367</v>
      </c>
      <c r="G680">
        <v>4368</v>
      </c>
      <c r="H680">
        <v>39900</v>
      </c>
    </row>
    <row r="681" spans="2:8">
      <c r="B681" t="s">
        <v>443</v>
      </c>
      <c r="C681" t="s">
        <v>180</v>
      </c>
      <c r="D681">
        <v>4368</v>
      </c>
      <c r="E681">
        <v>4370</v>
      </c>
      <c r="F681">
        <v>4367</v>
      </c>
      <c r="G681">
        <v>4367</v>
      </c>
      <c r="H681">
        <v>16000</v>
      </c>
    </row>
    <row r="682" spans="2:8">
      <c r="B682" t="s">
        <v>443</v>
      </c>
      <c r="C682" t="s">
        <v>181</v>
      </c>
      <c r="D682">
        <v>4369</v>
      </c>
      <c r="E682">
        <v>4374</v>
      </c>
      <c r="F682">
        <v>4368</v>
      </c>
      <c r="G682">
        <v>4369</v>
      </c>
      <c r="H682">
        <v>43600</v>
      </c>
    </row>
    <row r="683" spans="2:8">
      <c r="B683" t="s">
        <v>443</v>
      </c>
      <c r="C683" t="s">
        <v>182</v>
      </c>
      <c r="D683">
        <v>4369</v>
      </c>
      <c r="E683">
        <v>4372</v>
      </c>
      <c r="F683">
        <v>4366</v>
      </c>
      <c r="G683">
        <v>4371</v>
      </c>
      <c r="H683">
        <v>33300</v>
      </c>
    </row>
    <row r="684" spans="2:8">
      <c r="B684" t="s">
        <v>443</v>
      </c>
      <c r="C684" t="s">
        <v>183</v>
      </c>
      <c r="D684">
        <v>4371</v>
      </c>
      <c r="E684">
        <v>4371</v>
      </c>
      <c r="F684">
        <v>4368</v>
      </c>
      <c r="G684">
        <v>4370</v>
      </c>
      <c r="H684">
        <v>12100</v>
      </c>
    </row>
    <row r="685" spans="2:8">
      <c r="B685" t="s">
        <v>443</v>
      </c>
      <c r="C685" t="s">
        <v>184</v>
      </c>
      <c r="D685">
        <v>4370</v>
      </c>
      <c r="E685">
        <v>4370</v>
      </c>
      <c r="F685">
        <v>4366</v>
      </c>
      <c r="G685">
        <v>4366</v>
      </c>
      <c r="H685">
        <v>16600</v>
      </c>
    </row>
    <row r="686" spans="2:8">
      <c r="B686" t="s">
        <v>443</v>
      </c>
      <c r="C686" t="s">
        <v>185</v>
      </c>
      <c r="D686">
        <v>4367</v>
      </c>
      <c r="E686">
        <v>4371</v>
      </c>
      <c r="F686">
        <v>4367</v>
      </c>
      <c r="G686">
        <v>4371</v>
      </c>
      <c r="H686">
        <v>16800</v>
      </c>
    </row>
    <row r="687" spans="2:8">
      <c r="B687" t="s">
        <v>443</v>
      </c>
      <c r="C687" t="s">
        <v>186</v>
      </c>
      <c r="D687">
        <v>4371</v>
      </c>
      <c r="E687">
        <v>4374</v>
      </c>
      <c r="F687">
        <v>4368</v>
      </c>
      <c r="G687">
        <v>4370</v>
      </c>
      <c r="H687">
        <v>44200</v>
      </c>
    </row>
    <row r="688" spans="2:8">
      <c r="B688" t="s">
        <v>443</v>
      </c>
      <c r="C688" t="s">
        <v>187</v>
      </c>
      <c r="D688">
        <v>4368</v>
      </c>
      <c r="E688">
        <v>4371</v>
      </c>
      <c r="F688">
        <v>4368</v>
      </c>
      <c r="G688">
        <v>4370</v>
      </c>
      <c r="H688">
        <v>9200</v>
      </c>
    </row>
    <row r="689" spans="2:8">
      <c r="B689" t="s">
        <v>443</v>
      </c>
      <c r="C689" t="s">
        <v>188</v>
      </c>
      <c r="D689">
        <v>4371</v>
      </c>
      <c r="E689">
        <v>4371</v>
      </c>
      <c r="F689">
        <v>4368</v>
      </c>
      <c r="G689">
        <v>4370</v>
      </c>
      <c r="H689">
        <v>17400</v>
      </c>
    </row>
    <row r="690" spans="2:8">
      <c r="B690" t="s">
        <v>443</v>
      </c>
      <c r="C690" t="s">
        <v>189</v>
      </c>
      <c r="D690">
        <v>4370</v>
      </c>
      <c r="E690">
        <v>4372</v>
      </c>
      <c r="F690">
        <v>4367</v>
      </c>
      <c r="G690">
        <v>4367</v>
      </c>
      <c r="H690">
        <v>16000</v>
      </c>
    </row>
    <row r="691" spans="2:8">
      <c r="B691" t="s">
        <v>443</v>
      </c>
      <c r="C691" t="s">
        <v>190</v>
      </c>
      <c r="D691">
        <v>4368</v>
      </c>
      <c r="E691">
        <v>4368</v>
      </c>
      <c r="F691">
        <v>4362</v>
      </c>
      <c r="G691">
        <v>4365</v>
      </c>
      <c r="H691">
        <v>34200</v>
      </c>
    </row>
    <row r="692" spans="2:8">
      <c r="B692" t="s">
        <v>443</v>
      </c>
      <c r="C692" t="s">
        <v>191</v>
      </c>
      <c r="D692">
        <v>4364</v>
      </c>
      <c r="E692">
        <v>4367</v>
      </c>
      <c r="F692">
        <v>4363</v>
      </c>
      <c r="G692">
        <v>4363</v>
      </c>
      <c r="H692">
        <v>18800</v>
      </c>
    </row>
    <row r="693" spans="2:8">
      <c r="B693" t="s">
        <v>443</v>
      </c>
      <c r="C693" t="s">
        <v>192</v>
      </c>
      <c r="D693">
        <v>4364</v>
      </c>
      <c r="E693">
        <v>4367</v>
      </c>
      <c r="F693">
        <v>4363</v>
      </c>
      <c r="G693">
        <v>4363</v>
      </c>
      <c r="H693">
        <v>14100</v>
      </c>
    </row>
    <row r="694" spans="2:8">
      <c r="B694" t="s">
        <v>443</v>
      </c>
      <c r="C694" t="s">
        <v>193</v>
      </c>
      <c r="D694">
        <v>4364</v>
      </c>
      <c r="E694">
        <v>4365</v>
      </c>
      <c r="F694">
        <v>4361</v>
      </c>
      <c r="G694">
        <v>4364</v>
      </c>
      <c r="H694">
        <v>10500</v>
      </c>
    </row>
    <row r="695" spans="2:8">
      <c r="B695" t="s">
        <v>443</v>
      </c>
      <c r="C695" t="s">
        <v>194</v>
      </c>
      <c r="D695">
        <v>4365</v>
      </c>
      <c r="E695">
        <v>4370</v>
      </c>
      <c r="F695">
        <v>4365</v>
      </c>
      <c r="G695">
        <v>4368</v>
      </c>
      <c r="H695">
        <v>24300</v>
      </c>
    </row>
    <row r="696" spans="2:8">
      <c r="B696" t="s">
        <v>443</v>
      </c>
      <c r="C696" t="s">
        <v>195</v>
      </c>
      <c r="D696">
        <v>4368</v>
      </c>
      <c r="E696">
        <v>4371</v>
      </c>
      <c r="F696">
        <v>4368</v>
      </c>
      <c r="G696">
        <v>4368</v>
      </c>
      <c r="H696">
        <v>20400</v>
      </c>
    </row>
    <row r="697" spans="2:8">
      <c r="B697" t="s">
        <v>443</v>
      </c>
      <c r="C697" t="s">
        <v>196</v>
      </c>
      <c r="D697">
        <v>4368</v>
      </c>
      <c r="E697">
        <v>4370</v>
      </c>
      <c r="F697">
        <v>4367</v>
      </c>
      <c r="G697">
        <v>4369</v>
      </c>
      <c r="H697">
        <v>15000</v>
      </c>
    </row>
    <row r="698" spans="2:8">
      <c r="B698" t="s">
        <v>443</v>
      </c>
      <c r="C698" t="s">
        <v>197</v>
      </c>
      <c r="D698">
        <v>4369</v>
      </c>
      <c r="E698">
        <v>4370</v>
      </c>
      <c r="F698">
        <v>4369</v>
      </c>
      <c r="G698">
        <v>4369</v>
      </c>
      <c r="H698">
        <v>5300</v>
      </c>
    </row>
    <row r="699" spans="2:8">
      <c r="B699" t="s">
        <v>443</v>
      </c>
      <c r="C699" t="s">
        <v>198</v>
      </c>
      <c r="D699">
        <v>4369</v>
      </c>
      <c r="E699">
        <v>4373</v>
      </c>
      <c r="F699">
        <v>4369</v>
      </c>
      <c r="G699">
        <v>4372</v>
      </c>
      <c r="H699">
        <v>39600</v>
      </c>
    </row>
    <row r="700" spans="2:8">
      <c r="B700" t="s">
        <v>443</v>
      </c>
      <c r="C700" t="s">
        <v>199</v>
      </c>
      <c r="D700">
        <v>4373</v>
      </c>
      <c r="E700">
        <v>4375</v>
      </c>
      <c r="F700">
        <v>4371</v>
      </c>
      <c r="G700">
        <v>4373</v>
      </c>
      <c r="H700">
        <v>67300</v>
      </c>
    </row>
    <row r="701" spans="2:8">
      <c r="B701" t="s">
        <v>443</v>
      </c>
      <c r="C701" t="s">
        <v>200</v>
      </c>
      <c r="D701">
        <v>4373</v>
      </c>
      <c r="E701">
        <v>4373</v>
      </c>
      <c r="F701">
        <v>4371</v>
      </c>
      <c r="G701">
        <v>4372</v>
      </c>
      <c r="H701">
        <v>11800</v>
      </c>
    </row>
    <row r="702" spans="2:8">
      <c r="B702" t="s">
        <v>443</v>
      </c>
      <c r="C702" t="s">
        <v>201</v>
      </c>
      <c r="D702">
        <v>4372</v>
      </c>
      <c r="E702">
        <v>4373</v>
      </c>
      <c r="F702">
        <v>4370</v>
      </c>
      <c r="G702">
        <v>4371</v>
      </c>
      <c r="H702">
        <v>12800</v>
      </c>
    </row>
    <row r="703" spans="2:8">
      <c r="B703" t="s">
        <v>443</v>
      </c>
      <c r="C703" t="s">
        <v>202</v>
      </c>
      <c r="D703">
        <v>4372</v>
      </c>
      <c r="E703">
        <v>4373</v>
      </c>
      <c r="F703">
        <v>4371</v>
      </c>
      <c r="G703">
        <v>4373</v>
      </c>
      <c r="H703">
        <v>7100</v>
      </c>
    </row>
    <row r="704" spans="2:8">
      <c r="B704" t="s">
        <v>443</v>
      </c>
      <c r="C704" t="s">
        <v>203</v>
      </c>
      <c r="D704">
        <v>4373</v>
      </c>
      <c r="E704">
        <v>4374</v>
      </c>
      <c r="F704">
        <v>4372</v>
      </c>
      <c r="G704">
        <v>4373</v>
      </c>
      <c r="H704">
        <v>17200</v>
      </c>
    </row>
    <row r="705" spans="2:8">
      <c r="B705" t="s">
        <v>443</v>
      </c>
      <c r="C705" t="s">
        <v>204</v>
      </c>
      <c r="D705">
        <v>4373</v>
      </c>
      <c r="E705">
        <v>4374</v>
      </c>
      <c r="F705">
        <v>4367</v>
      </c>
      <c r="G705">
        <v>4367</v>
      </c>
      <c r="H705">
        <v>24200</v>
      </c>
    </row>
    <row r="706" spans="2:8">
      <c r="B706" t="s">
        <v>443</v>
      </c>
      <c r="C706" t="s">
        <v>205</v>
      </c>
      <c r="D706">
        <v>4368</v>
      </c>
      <c r="E706">
        <v>4368</v>
      </c>
      <c r="F706">
        <v>4367</v>
      </c>
      <c r="G706">
        <v>4368</v>
      </c>
      <c r="H706">
        <v>11200</v>
      </c>
    </row>
    <row r="707" spans="2:8">
      <c r="B707" t="s">
        <v>443</v>
      </c>
      <c r="C707" t="s">
        <v>206</v>
      </c>
      <c r="D707">
        <v>4368</v>
      </c>
      <c r="E707">
        <v>4368</v>
      </c>
      <c r="F707">
        <v>4364</v>
      </c>
      <c r="G707">
        <v>4365</v>
      </c>
      <c r="H707">
        <v>19000</v>
      </c>
    </row>
    <row r="708" spans="2:8">
      <c r="B708" t="s">
        <v>443</v>
      </c>
      <c r="C708" t="s">
        <v>207</v>
      </c>
      <c r="D708">
        <v>4365</v>
      </c>
      <c r="E708">
        <v>4365</v>
      </c>
      <c r="F708">
        <v>4360</v>
      </c>
      <c r="G708">
        <v>4361</v>
      </c>
      <c r="H708">
        <v>26400</v>
      </c>
    </row>
    <row r="709" spans="2:8">
      <c r="B709" t="s">
        <v>443</v>
      </c>
      <c r="C709" t="s">
        <v>208</v>
      </c>
      <c r="D709">
        <v>4362</v>
      </c>
      <c r="E709">
        <v>4364</v>
      </c>
      <c r="F709">
        <v>4358</v>
      </c>
      <c r="G709">
        <v>4363</v>
      </c>
      <c r="H709">
        <v>27300</v>
      </c>
    </row>
    <row r="710" spans="2:8">
      <c r="B710" t="s">
        <v>443</v>
      </c>
      <c r="C710" t="s">
        <v>209</v>
      </c>
      <c r="D710">
        <v>4363</v>
      </c>
      <c r="E710">
        <v>4363</v>
      </c>
      <c r="F710">
        <v>4360</v>
      </c>
      <c r="G710">
        <v>4360</v>
      </c>
      <c r="H710">
        <v>12200</v>
      </c>
    </row>
    <row r="711" spans="2:8">
      <c r="B711" t="s">
        <v>443</v>
      </c>
      <c r="C711" t="s">
        <v>210</v>
      </c>
      <c r="D711">
        <v>4360</v>
      </c>
      <c r="E711">
        <v>4360</v>
      </c>
      <c r="F711">
        <v>4359</v>
      </c>
      <c r="G711">
        <v>4360</v>
      </c>
      <c r="H711">
        <v>17600</v>
      </c>
    </row>
    <row r="712" spans="2:8">
      <c r="B712" t="s">
        <v>443</v>
      </c>
      <c r="C712" t="s">
        <v>211</v>
      </c>
      <c r="D712">
        <v>4360</v>
      </c>
      <c r="E712">
        <v>4362</v>
      </c>
      <c r="F712">
        <v>4359</v>
      </c>
      <c r="G712">
        <v>4360</v>
      </c>
      <c r="H712">
        <v>12100</v>
      </c>
    </row>
    <row r="713" spans="2:8">
      <c r="B713" t="s">
        <v>443</v>
      </c>
      <c r="C713" t="s">
        <v>212</v>
      </c>
      <c r="D713">
        <v>4361</v>
      </c>
      <c r="E713">
        <v>4362</v>
      </c>
      <c r="F713">
        <v>4360</v>
      </c>
      <c r="G713">
        <v>4360</v>
      </c>
      <c r="H713">
        <v>7100</v>
      </c>
    </row>
    <row r="714" spans="2:8">
      <c r="B714" t="s">
        <v>443</v>
      </c>
      <c r="C714" t="s">
        <v>213</v>
      </c>
      <c r="D714">
        <v>4360</v>
      </c>
      <c r="E714">
        <v>4360</v>
      </c>
      <c r="F714">
        <v>4357</v>
      </c>
      <c r="G714">
        <v>4357</v>
      </c>
      <c r="H714">
        <v>8200</v>
      </c>
    </row>
    <row r="715" spans="2:8">
      <c r="B715" t="s">
        <v>443</v>
      </c>
      <c r="C715" t="s">
        <v>214</v>
      </c>
      <c r="D715">
        <v>4356</v>
      </c>
      <c r="E715">
        <v>4358</v>
      </c>
      <c r="F715">
        <v>4356</v>
      </c>
      <c r="G715">
        <v>4357</v>
      </c>
      <c r="H715">
        <v>8400</v>
      </c>
    </row>
    <row r="716" spans="2:8">
      <c r="B716" t="s">
        <v>443</v>
      </c>
      <c r="C716" t="s">
        <v>215</v>
      </c>
      <c r="D716">
        <v>4358</v>
      </c>
      <c r="E716">
        <v>4362</v>
      </c>
      <c r="F716">
        <v>4357</v>
      </c>
      <c r="G716">
        <v>4357</v>
      </c>
      <c r="H716">
        <v>14700</v>
      </c>
    </row>
    <row r="717" spans="2:8">
      <c r="B717" t="s">
        <v>443</v>
      </c>
      <c r="C717" t="s">
        <v>216</v>
      </c>
      <c r="D717">
        <v>4356</v>
      </c>
      <c r="E717">
        <v>4358</v>
      </c>
      <c r="F717">
        <v>4356</v>
      </c>
      <c r="G717">
        <v>4358</v>
      </c>
      <c r="H717">
        <v>16600</v>
      </c>
    </row>
    <row r="718" spans="2:8">
      <c r="B718" t="s">
        <v>443</v>
      </c>
      <c r="C718" t="s">
        <v>217</v>
      </c>
      <c r="D718">
        <v>4358</v>
      </c>
      <c r="E718">
        <v>4360</v>
      </c>
      <c r="F718">
        <v>4357</v>
      </c>
      <c r="G718">
        <v>4357</v>
      </c>
      <c r="H718">
        <v>11400</v>
      </c>
    </row>
    <row r="719" spans="2:8">
      <c r="B719" t="s">
        <v>443</v>
      </c>
      <c r="C719" t="s">
        <v>218</v>
      </c>
      <c r="D719">
        <v>4357</v>
      </c>
      <c r="E719">
        <v>4358</v>
      </c>
      <c r="F719">
        <v>4356</v>
      </c>
      <c r="G719">
        <v>4358</v>
      </c>
      <c r="H719">
        <v>3700</v>
      </c>
    </row>
    <row r="720" spans="2:8">
      <c r="B720" t="s">
        <v>443</v>
      </c>
      <c r="C720" t="s">
        <v>219</v>
      </c>
      <c r="D720">
        <v>4358</v>
      </c>
      <c r="E720">
        <v>4358</v>
      </c>
      <c r="F720">
        <v>4354</v>
      </c>
      <c r="G720">
        <v>4354</v>
      </c>
      <c r="H720">
        <v>16600</v>
      </c>
    </row>
    <row r="721" spans="2:8">
      <c r="B721" t="s">
        <v>443</v>
      </c>
      <c r="C721" t="s">
        <v>220</v>
      </c>
      <c r="D721">
        <v>4355</v>
      </c>
      <c r="E721">
        <v>4355</v>
      </c>
      <c r="F721">
        <v>4353</v>
      </c>
      <c r="G721">
        <v>4353</v>
      </c>
      <c r="H721">
        <v>11500</v>
      </c>
    </row>
    <row r="722" spans="2:8">
      <c r="B722" t="s">
        <v>443</v>
      </c>
      <c r="C722" t="s">
        <v>221</v>
      </c>
      <c r="D722">
        <v>4353</v>
      </c>
      <c r="E722">
        <v>4356</v>
      </c>
      <c r="F722">
        <v>4352</v>
      </c>
      <c r="G722">
        <v>4354</v>
      </c>
      <c r="H722">
        <v>8600</v>
      </c>
    </row>
    <row r="723" spans="2:8">
      <c r="B723" t="s">
        <v>443</v>
      </c>
      <c r="C723" t="s">
        <v>222</v>
      </c>
      <c r="D723">
        <v>4355</v>
      </c>
      <c r="E723">
        <v>4358</v>
      </c>
      <c r="F723">
        <v>4355</v>
      </c>
      <c r="G723">
        <v>4356</v>
      </c>
      <c r="H723">
        <v>4800</v>
      </c>
    </row>
    <row r="724" spans="2:8">
      <c r="B724" t="s">
        <v>443</v>
      </c>
      <c r="C724" t="s">
        <v>223</v>
      </c>
      <c r="D724">
        <v>4356</v>
      </c>
      <c r="E724">
        <v>4357</v>
      </c>
      <c r="F724">
        <v>4356</v>
      </c>
      <c r="G724">
        <v>4357</v>
      </c>
      <c r="H724">
        <v>4700</v>
      </c>
    </row>
    <row r="725" spans="2:8">
      <c r="B725" t="s">
        <v>443</v>
      </c>
      <c r="C725" t="s">
        <v>224</v>
      </c>
      <c r="D725">
        <v>4357</v>
      </c>
      <c r="E725">
        <v>4359</v>
      </c>
      <c r="F725">
        <v>4357</v>
      </c>
      <c r="G725">
        <v>4357</v>
      </c>
      <c r="H725">
        <v>8200</v>
      </c>
    </row>
    <row r="726" spans="2:8">
      <c r="B726" t="s">
        <v>443</v>
      </c>
      <c r="C726" t="s">
        <v>225</v>
      </c>
      <c r="D726">
        <v>4358</v>
      </c>
      <c r="E726">
        <v>4358</v>
      </c>
      <c r="F726">
        <v>4355</v>
      </c>
      <c r="G726">
        <v>4355</v>
      </c>
      <c r="H726">
        <v>7700</v>
      </c>
    </row>
    <row r="727" spans="2:8">
      <c r="B727" t="s">
        <v>443</v>
      </c>
      <c r="C727" t="s">
        <v>226</v>
      </c>
      <c r="D727">
        <v>4355</v>
      </c>
      <c r="E727">
        <v>4358</v>
      </c>
      <c r="F727">
        <v>4354</v>
      </c>
      <c r="G727">
        <v>4355</v>
      </c>
      <c r="H727">
        <v>16300</v>
      </c>
    </row>
    <row r="728" spans="2:8">
      <c r="B728" t="s">
        <v>443</v>
      </c>
      <c r="C728" t="s">
        <v>227</v>
      </c>
      <c r="D728">
        <v>4355</v>
      </c>
      <c r="E728">
        <v>4356</v>
      </c>
      <c r="F728">
        <v>4355</v>
      </c>
      <c r="G728">
        <v>4355</v>
      </c>
      <c r="H728">
        <v>7500</v>
      </c>
    </row>
    <row r="729" spans="2:8">
      <c r="B729" t="s">
        <v>443</v>
      </c>
      <c r="C729" t="s">
        <v>228</v>
      </c>
      <c r="D729">
        <v>4356</v>
      </c>
      <c r="E729">
        <v>4358</v>
      </c>
      <c r="F729">
        <v>4354</v>
      </c>
      <c r="G729">
        <v>4358</v>
      </c>
      <c r="H729">
        <v>24000</v>
      </c>
    </row>
    <row r="730" spans="2:8">
      <c r="B730" t="s">
        <v>443</v>
      </c>
      <c r="C730" t="s">
        <v>229</v>
      </c>
      <c r="D730">
        <v>4359</v>
      </c>
      <c r="E730">
        <v>4359</v>
      </c>
      <c r="F730">
        <v>4356</v>
      </c>
      <c r="G730">
        <v>4357</v>
      </c>
      <c r="H730">
        <v>13600</v>
      </c>
    </row>
    <row r="731" spans="2:8">
      <c r="B731" t="s">
        <v>443</v>
      </c>
      <c r="C731" t="s">
        <v>230</v>
      </c>
      <c r="D731">
        <v>4357</v>
      </c>
      <c r="E731">
        <v>4358</v>
      </c>
      <c r="F731">
        <v>4357</v>
      </c>
      <c r="G731">
        <v>4358</v>
      </c>
      <c r="H731">
        <v>6100</v>
      </c>
    </row>
    <row r="732" spans="2:8">
      <c r="B732" t="s">
        <v>443</v>
      </c>
      <c r="C732" t="s">
        <v>231</v>
      </c>
      <c r="D732">
        <v>4357</v>
      </c>
      <c r="E732">
        <v>4358</v>
      </c>
      <c r="F732">
        <v>4356</v>
      </c>
      <c r="G732">
        <v>4357</v>
      </c>
      <c r="H732">
        <v>5700</v>
      </c>
    </row>
    <row r="733" spans="2:8">
      <c r="B733" t="s">
        <v>443</v>
      </c>
      <c r="C733" t="s">
        <v>232</v>
      </c>
      <c r="D733">
        <v>4356</v>
      </c>
      <c r="E733">
        <v>4356</v>
      </c>
      <c r="F733">
        <v>4355</v>
      </c>
      <c r="G733">
        <v>4356</v>
      </c>
      <c r="H733">
        <v>5800</v>
      </c>
    </row>
    <row r="734" spans="2:8">
      <c r="B734" t="s">
        <v>443</v>
      </c>
      <c r="C734" t="s">
        <v>233</v>
      </c>
      <c r="D734">
        <v>4357</v>
      </c>
      <c r="E734">
        <v>4361</v>
      </c>
      <c r="F734">
        <v>4356</v>
      </c>
      <c r="G734">
        <v>4357</v>
      </c>
      <c r="H734">
        <v>69000</v>
      </c>
    </row>
    <row r="735" spans="2:8">
      <c r="B735" t="s">
        <v>443</v>
      </c>
      <c r="C735" t="s">
        <v>234</v>
      </c>
      <c r="D735">
        <v>4358</v>
      </c>
      <c r="E735">
        <v>4360</v>
      </c>
      <c r="F735">
        <v>4358</v>
      </c>
      <c r="G735">
        <v>4358</v>
      </c>
      <c r="H735">
        <v>6700</v>
      </c>
    </row>
    <row r="736" spans="2:8">
      <c r="B736" t="s">
        <v>443</v>
      </c>
      <c r="C736" t="s">
        <v>235</v>
      </c>
      <c r="D736">
        <v>4358</v>
      </c>
      <c r="E736">
        <v>4359</v>
      </c>
      <c r="F736">
        <v>4357</v>
      </c>
      <c r="G736">
        <v>4359</v>
      </c>
      <c r="H736">
        <v>6700</v>
      </c>
    </row>
    <row r="737" spans="2:8">
      <c r="B737" t="s">
        <v>443</v>
      </c>
      <c r="C737" t="s">
        <v>236</v>
      </c>
      <c r="D737">
        <v>4359</v>
      </c>
      <c r="E737">
        <v>4360</v>
      </c>
      <c r="F737">
        <v>4357</v>
      </c>
      <c r="G737">
        <v>4358</v>
      </c>
      <c r="H737">
        <v>6400</v>
      </c>
    </row>
    <row r="738" spans="2:8">
      <c r="B738" t="s">
        <v>443</v>
      </c>
      <c r="C738" t="s">
        <v>237</v>
      </c>
      <c r="D738">
        <v>4359</v>
      </c>
      <c r="E738">
        <v>4359</v>
      </c>
      <c r="F738">
        <v>4358</v>
      </c>
      <c r="G738">
        <v>4358</v>
      </c>
      <c r="H738">
        <v>4400</v>
      </c>
    </row>
    <row r="739" spans="2:8">
      <c r="B739" t="s">
        <v>443</v>
      </c>
      <c r="C739" t="s">
        <v>238</v>
      </c>
      <c r="D739">
        <v>4358</v>
      </c>
      <c r="E739">
        <v>4358</v>
      </c>
      <c r="F739">
        <v>4355</v>
      </c>
      <c r="G739">
        <v>4356</v>
      </c>
      <c r="H739">
        <v>10500</v>
      </c>
    </row>
    <row r="740" spans="2:8">
      <c r="B740" t="s">
        <v>443</v>
      </c>
      <c r="C740" t="s">
        <v>239</v>
      </c>
      <c r="D740">
        <v>4355</v>
      </c>
      <c r="E740">
        <v>4358</v>
      </c>
      <c r="F740">
        <v>4355</v>
      </c>
      <c r="G740">
        <v>4358</v>
      </c>
      <c r="H740">
        <v>11500</v>
      </c>
    </row>
    <row r="741" spans="2:8">
      <c r="B741" t="s">
        <v>443</v>
      </c>
      <c r="C741" t="s">
        <v>240</v>
      </c>
      <c r="D741">
        <v>4358</v>
      </c>
      <c r="E741">
        <v>4358</v>
      </c>
      <c r="F741">
        <v>4358</v>
      </c>
      <c r="G741">
        <v>4358</v>
      </c>
      <c r="H741">
        <v>1700</v>
      </c>
    </row>
    <row r="742" spans="2:8">
      <c r="B742" t="s">
        <v>443</v>
      </c>
      <c r="C742" t="s">
        <v>241</v>
      </c>
      <c r="D742">
        <v>4359</v>
      </c>
      <c r="E742">
        <v>4360</v>
      </c>
      <c r="F742">
        <v>4356</v>
      </c>
      <c r="G742">
        <v>4356</v>
      </c>
      <c r="H742">
        <v>13500</v>
      </c>
    </row>
    <row r="743" spans="2:8">
      <c r="B743" t="s">
        <v>443</v>
      </c>
      <c r="C743" t="s">
        <v>242</v>
      </c>
      <c r="D743">
        <v>4356</v>
      </c>
      <c r="E743">
        <v>4357</v>
      </c>
      <c r="F743">
        <v>4355</v>
      </c>
      <c r="G743">
        <v>4355</v>
      </c>
      <c r="H743">
        <v>10100</v>
      </c>
    </row>
    <row r="744" spans="2:8">
      <c r="B744" t="s">
        <v>443</v>
      </c>
      <c r="C744" t="s">
        <v>243</v>
      </c>
      <c r="D744">
        <v>4356</v>
      </c>
      <c r="E744">
        <v>4358</v>
      </c>
      <c r="F744">
        <v>4355</v>
      </c>
      <c r="G744">
        <v>4355</v>
      </c>
      <c r="H744">
        <v>4700</v>
      </c>
    </row>
    <row r="745" spans="2:8">
      <c r="B745" t="s">
        <v>443</v>
      </c>
      <c r="C745" t="s">
        <v>244</v>
      </c>
      <c r="D745">
        <v>4356</v>
      </c>
      <c r="E745">
        <v>4357</v>
      </c>
      <c r="F745">
        <v>4356</v>
      </c>
      <c r="G745">
        <v>4356</v>
      </c>
      <c r="H745">
        <v>2500</v>
      </c>
    </row>
    <row r="746" spans="2:8">
      <c r="B746" t="s">
        <v>443</v>
      </c>
      <c r="C746" t="s">
        <v>245</v>
      </c>
      <c r="D746">
        <v>4356</v>
      </c>
      <c r="E746">
        <v>4357</v>
      </c>
      <c r="F746">
        <v>4356</v>
      </c>
      <c r="G746">
        <v>4356</v>
      </c>
      <c r="H746">
        <v>1600</v>
      </c>
    </row>
    <row r="747" spans="2:8">
      <c r="B747" t="s">
        <v>443</v>
      </c>
      <c r="C747" t="s">
        <v>246</v>
      </c>
      <c r="D747">
        <v>4357</v>
      </c>
      <c r="E747">
        <v>4358</v>
      </c>
      <c r="F747">
        <v>4356</v>
      </c>
      <c r="G747">
        <v>4358</v>
      </c>
      <c r="H747">
        <v>14600</v>
      </c>
    </row>
    <row r="748" spans="2:8">
      <c r="B748" t="s">
        <v>443</v>
      </c>
      <c r="C748" t="s">
        <v>247</v>
      </c>
      <c r="D748">
        <v>4358</v>
      </c>
      <c r="E748">
        <v>4358</v>
      </c>
      <c r="F748">
        <v>4356</v>
      </c>
      <c r="G748">
        <v>4357</v>
      </c>
      <c r="H748">
        <v>4700</v>
      </c>
    </row>
    <row r="749" spans="2:8">
      <c r="B749" t="s">
        <v>443</v>
      </c>
      <c r="C749" t="s">
        <v>248</v>
      </c>
      <c r="D749">
        <v>4358</v>
      </c>
      <c r="E749">
        <v>4363</v>
      </c>
      <c r="F749">
        <v>4358</v>
      </c>
      <c r="G749">
        <v>4362</v>
      </c>
      <c r="H749">
        <v>47300</v>
      </c>
    </row>
    <row r="750" spans="2:8">
      <c r="B750" t="s">
        <v>443</v>
      </c>
      <c r="C750" t="s">
        <v>249</v>
      </c>
      <c r="D750">
        <v>4361</v>
      </c>
      <c r="E750">
        <v>4361</v>
      </c>
      <c r="F750">
        <v>4358</v>
      </c>
      <c r="G750">
        <v>4359</v>
      </c>
      <c r="H750">
        <v>15200</v>
      </c>
    </row>
    <row r="751" spans="2:8">
      <c r="B751" t="s">
        <v>443</v>
      </c>
      <c r="C751" t="s">
        <v>250</v>
      </c>
      <c r="D751">
        <v>4359</v>
      </c>
      <c r="E751">
        <v>4359</v>
      </c>
      <c r="F751">
        <v>4356</v>
      </c>
      <c r="G751">
        <v>4356</v>
      </c>
      <c r="H751">
        <v>46300</v>
      </c>
    </row>
    <row r="752" spans="2:8">
      <c r="B752" t="s">
        <v>443</v>
      </c>
      <c r="C752" t="s">
        <v>251</v>
      </c>
      <c r="D752">
        <v>4356</v>
      </c>
      <c r="E752">
        <v>4357</v>
      </c>
      <c r="F752">
        <v>4354</v>
      </c>
      <c r="G752">
        <v>4357</v>
      </c>
      <c r="H752">
        <v>35200</v>
      </c>
    </row>
    <row r="753" spans="2:8">
      <c r="B753" t="s">
        <v>443</v>
      </c>
      <c r="C753" t="s">
        <v>252</v>
      </c>
      <c r="D753">
        <v>4357</v>
      </c>
      <c r="E753">
        <v>4358</v>
      </c>
      <c r="F753">
        <v>4356</v>
      </c>
      <c r="G753">
        <v>4358</v>
      </c>
      <c r="H753">
        <v>4800</v>
      </c>
    </row>
    <row r="754" spans="2:8">
      <c r="B754" t="s">
        <v>443</v>
      </c>
      <c r="C754" t="s">
        <v>253</v>
      </c>
      <c r="D754">
        <v>4358</v>
      </c>
      <c r="E754">
        <v>4361</v>
      </c>
      <c r="F754">
        <v>4358</v>
      </c>
      <c r="G754">
        <v>4361</v>
      </c>
      <c r="H754">
        <v>14400</v>
      </c>
    </row>
    <row r="755" spans="2:8">
      <c r="B755" t="s">
        <v>443</v>
      </c>
      <c r="C755" t="s">
        <v>254</v>
      </c>
      <c r="D755">
        <v>4361</v>
      </c>
      <c r="E755">
        <v>4361</v>
      </c>
      <c r="F755">
        <v>4359</v>
      </c>
      <c r="G755">
        <v>4360</v>
      </c>
      <c r="H755">
        <v>4400</v>
      </c>
    </row>
    <row r="756" spans="2:8">
      <c r="B756" t="s">
        <v>443</v>
      </c>
      <c r="C756" t="s">
        <v>255</v>
      </c>
      <c r="D756">
        <v>4359</v>
      </c>
      <c r="E756">
        <v>4362</v>
      </c>
      <c r="F756">
        <v>4358</v>
      </c>
      <c r="G756">
        <v>4362</v>
      </c>
      <c r="H756">
        <v>11600</v>
      </c>
    </row>
    <row r="757" spans="2:8">
      <c r="B757" t="s">
        <v>443</v>
      </c>
      <c r="C757" t="s">
        <v>256</v>
      </c>
      <c r="D757">
        <v>4360</v>
      </c>
      <c r="E757">
        <v>4360</v>
      </c>
      <c r="F757">
        <v>4359</v>
      </c>
      <c r="G757">
        <v>4359</v>
      </c>
      <c r="H757">
        <v>8000</v>
      </c>
    </row>
    <row r="758" spans="2:8">
      <c r="B758" t="s">
        <v>443</v>
      </c>
      <c r="C758" t="s">
        <v>257</v>
      </c>
      <c r="D758">
        <v>4359</v>
      </c>
      <c r="E758">
        <v>4359</v>
      </c>
      <c r="F758">
        <v>4357</v>
      </c>
      <c r="G758">
        <v>4358</v>
      </c>
      <c r="H758">
        <v>9200</v>
      </c>
    </row>
    <row r="759" spans="2:8">
      <c r="B759" t="s">
        <v>443</v>
      </c>
      <c r="C759" t="s">
        <v>258</v>
      </c>
      <c r="D759">
        <v>4358</v>
      </c>
      <c r="E759">
        <v>4359</v>
      </c>
      <c r="F759">
        <v>4358</v>
      </c>
      <c r="G759">
        <v>4359</v>
      </c>
      <c r="H759">
        <v>2300</v>
      </c>
    </row>
    <row r="760" spans="2:8">
      <c r="B760" t="s">
        <v>443</v>
      </c>
      <c r="C760" t="s">
        <v>259</v>
      </c>
      <c r="D760">
        <v>4360</v>
      </c>
      <c r="E760">
        <v>4362</v>
      </c>
      <c r="F760">
        <v>4360</v>
      </c>
      <c r="G760">
        <v>4362</v>
      </c>
      <c r="H760">
        <v>8200</v>
      </c>
    </row>
    <row r="761" spans="2:8">
      <c r="B761" t="s">
        <v>443</v>
      </c>
      <c r="C761" t="s">
        <v>260</v>
      </c>
      <c r="D761">
        <v>4362</v>
      </c>
      <c r="E761">
        <v>4362</v>
      </c>
      <c r="F761">
        <v>4361</v>
      </c>
      <c r="G761">
        <v>4361</v>
      </c>
      <c r="H761">
        <v>3900</v>
      </c>
    </row>
    <row r="762" spans="2:8">
      <c r="B762" t="s">
        <v>443</v>
      </c>
      <c r="C762" t="s">
        <v>261</v>
      </c>
      <c r="D762">
        <v>4360</v>
      </c>
      <c r="E762">
        <v>4362</v>
      </c>
      <c r="F762">
        <v>4360</v>
      </c>
      <c r="G762">
        <v>4362</v>
      </c>
      <c r="H762">
        <v>5100</v>
      </c>
    </row>
    <row r="763" spans="2:8">
      <c r="B763" t="s">
        <v>443</v>
      </c>
      <c r="C763" t="s">
        <v>262</v>
      </c>
      <c r="D763">
        <v>4362</v>
      </c>
      <c r="E763">
        <v>4363</v>
      </c>
      <c r="F763">
        <v>4361</v>
      </c>
      <c r="G763">
        <v>4361</v>
      </c>
      <c r="H763">
        <v>12200</v>
      </c>
    </row>
    <row r="764" spans="2:8">
      <c r="B764" t="s">
        <v>443</v>
      </c>
      <c r="C764" t="s">
        <v>263</v>
      </c>
      <c r="D764">
        <v>4360</v>
      </c>
      <c r="E764">
        <v>4360</v>
      </c>
      <c r="F764">
        <v>4359</v>
      </c>
      <c r="G764">
        <v>4360</v>
      </c>
      <c r="H764">
        <v>3800</v>
      </c>
    </row>
    <row r="765" spans="2:8">
      <c r="B765" t="s">
        <v>443</v>
      </c>
      <c r="C765" t="s">
        <v>264</v>
      </c>
      <c r="D765">
        <v>4359</v>
      </c>
      <c r="E765">
        <v>4360</v>
      </c>
      <c r="F765">
        <v>4357</v>
      </c>
      <c r="G765">
        <v>4357</v>
      </c>
      <c r="H765">
        <v>7500</v>
      </c>
    </row>
    <row r="766" spans="2:8">
      <c r="B766" t="s">
        <v>443</v>
      </c>
      <c r="C766" t="s">
        <v>265</v>
      </c>
      <c r="D766">
        <v>4357</v>
      </c>
      <c r="E766">
        <v>4357</v>
      </c>
      <c r="F766">
        <v>4355</v>
      </c>
      <c r="G766">
        <v>4356</v>
      </c>
      <c r="H766">
        <v>12300</v>
      </c>
    </row>
    <row r="767" spans="2:8">
      <c r="B767" t="s">
        <v>443</v>
      </c>
      <c r="C767" t="s">
        <v>266</v>
      </c>
      <c r="D767">
        <v>4356</v>
      </c>
      <c r="E767">
        <v>4357</v>
      </c>
      <c r="F767">
        <v>4355</v>
      </c>
      <c r="G767">
        <v>4355</v>
      </c>
      <c r="H767">
        <v>8800</v>
      </c>
    </row>
    <row r="768" spans="2:8">
      <c r="B768" t="s">
        <v>443</v>
      </c>
      <c r="C768" t="s">
        <v>267</v>
      </c>
      <c r="D768">
        <v>4357</v>
      </c>
      <c r="E768">
        <v>4357</v>
      </c>
      <c r="F768">
        <v>4355</v>
      </c>
      <c r="G768">
        <v>4356</v>
      </c>
      <c r="H768">
        <v>17800</v>
      </c>
    </row>
    <row r="769" spans="2:8">
      <c r="B769" t="s">
        <v>443</v>
      </c>
      <c r="C769" t="s">
        <v>268</v>
      </c>
      <c r="D769">
        <v>4355</v>
      </c>
      <c r="E769">
        <v>4356</v>
      </c>
      <c r="F769">
        <v>4355</v>
      </c>
      <c r="G769">
        <v>4356</v>
      </c>
      <c r="H769">
        <v>3900</v>
      </c>
    </row>
    <row r="770" spans="2:8">
      <c r="B770" t="s">
        <v>443</v>
      </c>
      <c r="C770" t="s">
        <v>269</v>
      </c>
      <c r="D770">
        <v>4356</v>
      </c>
      <c r="E770">
        <v>4357</v>
      </c>
      <c r="F770">
        <v>4356</v>
      </c>
      <c r="G770">
        <v>4357</v>
      </c>
      <c r="H770">
        <v>3500</v>
      </c>
    </row>
    <row r="771" spans="2:8">
      <c r="B771" t="s">
        <v>443</v>
      </c>
      <c r="C771" t="s">
        <v>270</v>
      </c>
      <c r="D771">
        <v>4357</v>
      </c>
      <c r="E771">
        <v>4357</v>
      </c>
      <c r="F771">
        <v>4356</v>
      </c>
      <c r="G771">
        <v>4356</v>
      </c>
      <c r="H771">
        <v>6900</v>
      </c>
    </row>
    <row r="772" spans="2:8">
      <c r="B772" t="s">
        <v>443</v>
      </c>
      <c r="C772" t="s">
        <v>271</v>
      </c>
      <c r="D772">
        <v>4356</v>
      </c>
      <c r="E772">
        <v>4356</v>
      </c>
      <c r="F772">
        <v>4355</v>
      </c>
      <c r="G772">
        <v>4356</v>
      </c>
      <c r="H772">
        <v>4800</v>
      </c>
    </row>
    <row r="773" spans="2:8">
      <c r="B773" t="s">
        <v>443</v>
      </c>
      <c r="C773" t="s">
        <v>272</v>
      </c>
      <c r="D773">
        <v>4356</v>
      </c>
      <c r="E773">
        <v>4359</v>
      </c>
      <c r="F773">
        <v>4356</v>
      </c>
      <c r="G773">
        <v>4359</v>
      </c>
      <c r="H773">
        <v>16000</v>
      </c>
    </row>
    <row r="774" spans="2:8">
      <c r="B774" t="s">
        <v>443</v>
      </c>
      <c r="C774" t="s">
        <v>273</v>
      </c>
      <c r="D774">
        <v>4359</v>
      </c>
      <c r="E774">
        <v>4360</v>
      </c>
      <c r="F774">
        <v>4358</v>
      </c>
      <c r="G774">
        <v>4358</v>
      </c>
      <c r="H774">
        <v>7300</v>
      </c>
    </row>
    <row r="775" spans="2:8">
      <c r="B775" t="s">
        <v>443</v>
      </c>
      <c r="C775" t="s">
        <v>274</v>
      </c>
      <c r="D775">
        <v>4358</v>
      </c>
      <c r="E775">
        <v>4359</v>
      </c>
      <c r="F775">
        <v>4358</v>
      </c>
      <c r="G775">
        <v>4359</v>
      </c>
      <c r="H775">
        <v>2400</v>
      </c>
    </row>
    <row r="776" spans="2:8">
      <c r="B776" t="s">
        <v>443</v>
      </c>
      <c r="C776" t="s">
        <v>275</v>
      </c>
      <c r="D776">
        <v>4360</v>
      </c>
      <c r="E776">
        <v>4361</v>
      </c>
      <c r="F776">
        <v>4360</v>
      </c>
      <c r="G776">
        <v>4360</v>
      </c>
      <c r="H776">
        <v>9300</v>
      </c>
    </row>
    <row r="777" spans="2:8">
      <c r="B777" t="s">
        <v>443</v>
      </c>
      <c r="C777" t="s">
        <v>276</v>
      </c>
      <c r="D777">
        <v>4361</v>
      </c>
      <c r="E777">
        <v>4362</v>
      </c>
      <c r="F777">
        <v>4360</v>
      </c>
      <c r="G777">
        <v>4360</v>
      </c>
      <c r="H777">
        <v>5900</v>
      </c>
    </row>
    <row r="778" spans="2:8">
      <c r="B778" t="s">
        <v>443</v>
      </c>
      <c r="C778" t="s">
        <v>277</v>
      </c>
      <c r="D778">
        <v>4361</v>
      </c>
      <c r="E778">
        <v>4361</v>
      </c>
      <c r="F778">
        <v>4359</v>
      </c>
      <c r="G778">
        <v>4360</v>
      </c>
      <c r="H778">
        <v>3700</v>
      </c>
    </row>
    <row r="779" spans="2:8">
      <c r="B779" t="s">
        <v>443</v>
      </c>
      <c r="C779" t="s">
        <v>278</v>
      </c>
      <c r="D779">
        <v>4359</v>
      </c>
      <c r="E779">
        <v>4360</v>
      </c>
      <c r="F779">
        <v>4359</v>
      </c>
      <c r="G779">
        <v>4359</v>
      </c>
      <c r="H779">
        <v>8000</v>
      </c>
    </row>
    <row r="780" spans="2:8">
      <c r="B780" t="s">
        <v>443</v>
      </c>
      <c r="C780" t="s">
        <v>279</v>
      </c>
      <c r="D780">
        <v>4358</v>
      </c>
      <c r="E780">
        <v>4360</v>
      </c>
      <c r="F780">
        <v>4357</v>
      </c>
      <c r="G780">
        <v>4360</v>
      </c>
      <c r="H780">
        <v>11400</v>
      </c>
    </row>
    <row r="781" spans="2:8">
      <c r="B781" t="s">
        <v>443</v>
      </c>
      <c r="C781" t="s">
        <v>280</v>
      </c>
      <c r="D781">
        <v>4358</v>
      </c>
      <c r="E781">
        <v>4360</v>
      </c>
      <c r="F781">
        <v>4358</v>
      </c>
      <c r="G781">
        <v>4359</v>
      </c>
      <c r="H781">
        <v>4300</v>
      </c>
    </row>
    <row r="782" spans="2:8">
      <c r="B782" t="s">
        <v>443</v>
      </c>
      <c r="C782" t="s">
        <v>281</v>
      </c>
      <c r="D782">
        <v>4359</v>
      </c>
      <c r="E782">
        <v>4360</v>
      </c>
      <c r="F782">
        <v>4359</v>
      </c>
      <c r="G782">
        <v>4359</v>
      </c>
      <c r="H782">
        <v>4600</v>
      </c>
    </row>
    <row r="783" spans="2:8">
      <c r="B783" t="s">
        <v>443</v>
      </c>
      <c r="C783" t="s">
        <v>282</v>
      </c>
      <c r="D783">
        <v>4359</v>
      </c>
      <c r="E783">
        <v>4359</v>
      </c>
      <c r="F783">
        <v>4359</v>
      </c>
      <c r="G783">
        <v>4359</v>
      </c>
      <c r="H783">
        <v>4300</v>
      </c>
    </row>
    <row r="784" spans="2:8">
      <c r="B784" t="s">
        <v>443</v>
      </c>
      <c r="C784" t="s">
        <v>283</v>
      </c>
      <c r="D784">
        <v>4359</v>
      </c>
      <c r="E784">
        <v>4361</v>
      </c>
      <c r="F784">
        <v>4359</v>
      </c>
      <c r="G784">
        <v>4360</v>
      </c>
      <c r="H784">
        <v>9100</v>
      </c>
    </row>
    <row r="785" spans="2:8">
      <c r="B785" t="s">
        <v>443</v>
      </c>
      <c r="C785" t="s">
        <v>284</v>
      </c>
      <c r="D785">
        <v>4360</v>
      </c>
      <c r="E785">
        <v>4360</v>
      </c>
      <c r="F785">
        <v>4359</v>
      </c>
      <c r="G785">
        <v>4359</v>
      </c>
      <c r="H785">
        <v>2900</v>
      </c>
    </row>
    <row r="786" spans="2:8">
      <c r="B786" t="s">
        <v>443</v>
      </c>
      <c r="C786" t="s">
        <v>285</v>
      </c>
      <c r="D786">
        <v>4359</v>
      </c>
      <c r="E786">
        <v>4361</v>
      </c>
      <c r="F786">
        <v>4359</v>
      </c>
      <c r="G786">
        <v>4361</v>
      </c>
      <c r="H786">
        <v>6000</v>
      </c>
    </row>
    <row r="787" spans="2:8">
      <c r="B787" t="s">
        <v>443</v>
      </c>
      <c r="C787" t="s">
        <v>286</v>
      </c>
      <c r="D787">
        <v>4361</v>
      </c>
      <c r="E787">
        <v>4363</v>
      </c>
      <c r="F787">
        <v>4360</v>
      </c>
      <c r="G787">
        <v>4363</v>
      </c>
      <c r="H787">
        <v>5600</v>
      </c>
    </row>
    <row r="788" spans="2:8">
      <c r="B788" t="s">
        <v>443</v>
      </c>
      <c r="C788" t="s">
        <v>287</v>
      </c>
      <c r="D788">
        <v>4363</v>
      </c>
      <c r="E788">
        <v>4364</v>
      </c>
      <c r="F788">
        <v>4363</v>
      </c>
      <c r="G788">
        <v>4364</v>
      </c>
      <c r="H788">
        <v>8400</v>
      </c>
    </row>
    <row r="789" spans="2:8">
      <c r="B789" t="s">
        <v>443</v>
      </c>
      <c r="C789" t="s">
        <v>288</v>
      </c>
      <c r="D789">
        <v>4363</v>
      </c>
      <c r="E789">
        <v>4364</v>
      </c>
      <c r="F789">
        <v>4361</v>
      </c>
      <c r="G789">
        <v>4364</v>
      </c>
      <c r="H789">
        <v>16100</v>
      </c>
    </row>
    <row r="790" spans="2:8">
      <c r="B790" t="s">
        <v>443</v>
      </c>
      <c r="C790" t="s">
        <v>289</v>
      </c>
      <c r="D790">
        <v>4364</v>
      </c>
      <c r="E790">
        <v>4366</v>
      </c>
      <c r="F790">
        <v>4364</v>
      </c>
      <c r="G790">
        <v>4365</v>
      </c>
      <c r="H790">
        <v>9800</v>
      </c>
    </row>
    <row r="791" spans="2:8">
      <c r="B791" t="s">
        <v>443</v>
      </c>
      <c r="C791" t="s">
        <v>290</v>
      </c>
      <c r="D791">
        <v>4365</v>
      </c>
      <c r="E791">
        <v>4365</v>
      </c>
      <c r="F791">
        <v>4362</v>
      </c>
      <c r="G791">
        <v>4362</v>
      </c>
      <c r="H791">
        <v>6400</v>
      </c>
    </row>
    <row r="792" spans="2:8">
      <c r="B792" t="s">
        <v>443</v>
      </c>
      <c r="C792" t="s">
        <v>291</v>
      </c>
      <c r="D792">
        <v>4362</v>
      </c>
      <c r="E792">
        <v>4363</v>
      </c>
      <c r="F792">
        <v>4362</v>
      </c>
      <c r="G792">
        <v>4362</v>
      </c>
      <c r="H792">
        <v>5200</v>
      </c>
    </row>
    <row r="793" spans="2:8">
      <c r="B793" t="s">
        <v>443</v>
      </c>
      <c r="C793" t="s">
        <v>292</v>
      </c>
      <c r="D793">
        <v>4363</v>
      </c>
      <c r="E793">
        <v>4365</v>
      </c>
      <c r="F793">
        <v>4363</v>
      </c>
      <c r="G793">
        <v>4365</v>
      </c>
      <c r="H793">
        <v>12300</v>
      </c>
    </row>
    <row r="794" spans="2:8">
      <c r="B794" t="s">
        <v>443</v>
      </c>
      <c r="C794" t="s">
        <v>293</v>
      </c>
      <c r="D794">
        <v>4366</v>
      </c>
      <c r="E794">
        <v>4366</v>
      </c>
      <c r="F794">
        <v>4365</v>
      </c>
      <c r="G794">
        <v>4366</v>
      </c>
      <c r="H794">
        <v>8100</v>
      </c>
    </row>
    <row r="795" spans="2:8">
      <c r="B795" t="s">
        <v>443</v>
      </c>
      <c r="C795" t="s">
        <v>294</v>
      </c>
      <c r="D795">
        <v>4366</v>
      </c>
      <c r="E795">
        <v>4369</v>
      </c>
      <c r="F795">
        <v>4366</v>
      </c>
      <c r="G795">
        <v>4368</v>
      </c>
      <c r="H795">
        <v>19200</v>
      </c>
    </row>
    <row r="796" spans="2:8">
      <c r="B796" t="s">
        <v>443</v>
      </c>
      <c r="C796" t="s">
        <v>295</v>
      </c>
      <c r="D796">
        <v>4368</v>
      </c>
      <c r="E796">
        <v>4371</v>
      </c>
      <c r="F796">
        <v>4368</v>
      </c>
      <c r="G796">
        <v>4371</v>
      </c>
      <c r="H796">
        <v>10800</v>
      </c>
    </row>
    <row r="797" spans="2:8">
      <c r="B797" t="s">
        <v>443</v>
      </c>
      <c r="C797" t="s">
        <v>296</v>
      </c>
      <c r="D797">
        <v>4371</v>
      </c>
      <c r="E797">
        <v>4374</v>
      </c>
      <c r="F797">
        <v>4371</v>
      </c>
      <c r="G797">
        <v>4373</v>
      </c>
      <c r="H797">
        <v>37300</v>
      </c>
    </row>
    <row r="798" spans="2:8">
      <c r="B798" t="s">
        <v>443</v>
      </c>
      <c r="C798" t="s">
        <v>297</v>
      </c>
      <c r="D798">
        <v>4374</v>
      </c>
      <c r="E798">
        <v>4374</v>
      </c>
      <c r="F798">
        <v>4373</v>
      </c>
      <c r="G798">
        <v>4374</v>
      </c>
      <c r="H798">
        <v>6600</v>
      </c>
    </row>
    <row r="799" spans="2:8">
      <c r="B799" t="s">
        <v>443</v>
      </c>
      <c r="C799" t="s">
        <v>298</v>
      </c>
      <c r="D799">
        <v>4373</v>
      </c>
      <c r="E799">
        <v>4373</v>
      </c>
      <c r="F799">
        <v>4373</v>
      </c>
      <c r="G799">
        <v>4373</v>
      </c>
      <c r="H799">
        <v>1000</v>
      </c>
    </row>
    <row r="800" spans="2:8">
      <c r="B800" t="s">
        <v>443</v>
      </c>
      <c r="C800" t="s">
        <v>299</v>
      </c>
      <c r="D800">
        <v>4373</v>
      </c>
      <c r="E800">
        <v>4374</v>
      </c>
      <c r="F800">
        <v>4372</v>
      </c>
      <c r="G800">
        <v>4374</v>
      </c>
      <c r="H800">
        <v>13700</v>
      </c>
    </row>
    <row r="801" spans="2:8">
      <c r="B801" t="s">
        <v>443</v>
      </c>
      <c r="C801" t="s">
        <v>300</v>
      </c>
      <c r="D801">
        <v>4374</v>
      </c>
      <c r="E801">
        <v>4375</v>
      </c>
      <c r="F801">
        <v>4373</v>
      </c>
      <c r="G801">
        <v>4373</v>
      </c>
      <c r="H801">
        <v>6500</v>
      </c>
    </row>
    <row r="802" spans="2:8">
      <c r="B802" t="s">
        <v>443</v>
      </c>
      <c r="C802" t="s">
        <v>301</v>
      </c>
      <c r="D802">
        <v>4373</v>
      </c>
      <c r="E802">
        <v>4375</v>
      </c>
      <c r="F802">
        <v>4372</v>
      </c>
      <c r="G802">
        <v>4375</v>
      </c>
      <c r="H802">
        <v>14100</v>
      </c>
    </row>
    <row r="803" spans="2:8">
      <c r="B803" t="s">
        <v>443</v>
      </c>
      <c r="C803" t="s">
        <v>302</v>
      </c>
      <c r="D803">
        <v>4375</v>
      </c>
      <c r="E803">
        <v>4378</v>
      </c>
      <c r="F803">
        <v>4375</v>
      </c>
      <c r="G803">
        <v>4378</v>
      </c>
      <c r="H803">
        <v>42300</v>
      </c>
    </row>
    <row r="804" spans="2:8">
      <c r="B804" t="s">
        <v>443</v>
      </c>
      <c r="C804" t="s">
        <v>303</v>
      </c>
      <c r="D804">
        <v>4378</v>
      </c>
      <c r="E804">
        <v>4378</v>
      </c>
      <c r="F804">
        <v>4376</v>
      </c>
      <c r="G804">
        <v>4378</v>
      </c>
      <c r="H804">
        <v>10200</v>
      </c>
    </row>
    <row r="805" spans="2:8">
      <c r="B805" t="s">
        <v>443</v>
      </c>
      <c r="C805" t="s">
        <v>304</v>
      </c>
      <c r="D805">
        <v>4378</v>
      </c>
      <c r="E805">
        <v>4380</v>
      </c>
      <c r="F805">
        <v>4378</v>
      </c>
      <c r="G805">
        <v>4379</v>
      </c>
      <c r="H805">
        <v>17600</v>
      </c>
    </row>
    <row r="806" spans="2:8">
      <c r="B806" t="s">
        <v>443</v>
      </c>
      <c r="C806" t="s">
        <v>305</v>
      </c>
      <c r="D806">
        <v>4380</v>
      </c>
      <c r="E806">
        <v>4383</v>
      </c>
      <c r="F806">
        <v>4380</v>
      </c>
      <c r="G806">
        <v>4383</v>
      </c>
      <c r="H806">
        <v>17100</v>
      </c>
    </row>
    <row r="807" spans="2:8">
      <c r="B807" t="s">
        <v>443</v>
      </c>
      <c r="C807" t="s">
        <v>306</v>
      </c>
      <c r="D807">
        <v>4382</v>
      </c>
      <c r="E807">
        <v>4386</v>
      </c>
      <c r="F807">
        <v>4382</v>
      </c>
      <c r="G807">
        <v>4386</v>
      </c>
      <c r="H807">
        <v>12200</v>
      </c>
    </row>
    <row r="808" spans="2:8">
      <c r="B808" t="s">
        <v>443</v>
      </c>
      <c r="C808" t="s">
        <v>307</v>
      </c>
      <c r="D808">
        <v>4386</v>
      </c>
      <c r="E808">
        <v>4389</v>
      </c>
      <c r="F808">
        <v>4386</v>
      </c>
      <c r="G808">
        <v>4388</v>
      </c>
      <c r="H808">
        <v>25900</v>
      </c>
    </row>
    <row r="809" spans="2:8">
      <c r="B809" t="s">
        <v>443</v>
      </c>
      <c r="C809" t="s">
        <v>308</v>
      </c>
      <c r="D809">
        <v>4389</v>
      </c>
      <c r="E809">
        <v>4390</v>
      </c>
      <c r="F809">
        <v>4389</v>
      </c>
      <c r="G809">
        <v>4390</v>
      </c>
      <c r="H809">
        <v>7400</v>
      </c>
    </row>
    <row r="810" spans="2:8">
      <c r="B810" t="s">
        <v>443</v>
      </c>
      <c r="C810" t="s">
        <v>309</v>
      </c>
      <c r="D810">
        <v>4390</v>
      </c>
      <c r="E810">
        <v>4392</v>
      </c>
      <c r="F810">
        <v>4389</v>
      </c>
      <c r="G810">
        <v>4391</v>
      </c>
      <c r="H810">
        <v>13600</v>
      </c>
    </row>
    <row r="811" spans="2:8">
      <c r="B811" t="s">
        <v>443</v>
      </c>
      <c r="C811" t="s">
        <v>310</v>
      </c>
      <c r="D811">
        <v>4391</v>
      </c>
      <c r="E811">
        <v>4392</v>
      </c>
      <c r="F811">
        <v>4389</v>
      </c>
      <c r="G811">
        <v>4389</v>
      </c>
      <c r="H811">
        <v>14900</v>
      </c>
    </row>
    <row r="812" spans="2:8">
      <c r="B812" t="s">
        <v>443</v>
      </c>
      <c r="C812" t="s">
        <v>311</v>
      </c>
      <c r="D812">
        <v>4388</v>
      </c>
      <c r="E812">
        <v>4389</v>
      </c>
      <c r="F812">
        <v>4388</v>
      </c>
      <c r="G812">
        <v>4389</v>
      </c>
      <c r="H812">
        <v>6200</v>
      </c>
    </row>
    <row r="813" spans="2:8">
      <c r="B813" t="s">
        <v>443</v>
      </c>
      <c r="C813" t="s">
        <v>312</v>
      </c>
      <c r="D813">
        <v>4390</v>
      </c>
      <c r="E813">
        <v>4391</v>
      </c>
      <c r="F813">
        <v>4388</v>
      </c>
      <c r="G813">
        <v>4388</v>
      </c>
      <c r="H813">
        <v>22900</v>
      </c>
    </row>
    <row r="814" spans="2:8">
      <c r="B814" t="s">
        <v>443</v>
      </c>
      <c r="C814" t="s">
        <v>313</v>
      </c>
      <c r="D814">
        <v>4388</v>
      </c>
      <c r="E814">
        <v>4390</v>
      </c>
      <c r="F814">
        <v>4388</v>
      </c>
      <c r="G814">
        <v>4388</v>
      </c>
      <c r="H814">
        <v>5000</v>
      </c>
    </row>
    <row r="815" spans="2:8">
      <c r="B815" t="s">
        <v>443</v>
      </c>
      <c r="C815" t="s">
        <v>314</v>
      </c>
      <c r="D815">
        <v>4389</v>
      </c>
      <c r="E815">
        <v>4392</v>
      </c>
      <c r="F815">
        <v>4389</v>
      </c>
      <c r="G815">
        <v>4392</v>
      </c>
      <c r="H815">
        <v>11300</v>
      </c>
    </row>
    <row r="816" spans="2:8">
      <c r="B816" t="s">
        <v>443</v>
      </c>
      <c r="C816" t="s">
        <v>315</v>
      </c>
      <c r="D816">
        <v>4391</v>
      </c>
      <c r="E816">
        <v>4392</v>
      </c>
      <c r="F816">
        <v>4389</v>
      </c>
      <c r="G816">
        <v>4390</v>
      </c>
      <c r="H816">
        <v>24200</v>
      </c>
    </row>
    <row r="817" spans="2:8">
      <c r="B817" t="s">
        <v>443</v>
      </c>
      <c r="C817" t="s">
        <v>316</v>
      </c>
      <c r="D817">
        <v>4389</v>
      </c>
      <c r="E817">
        <v>4389</v>
      </c>
      <c r="F817">
        <v>4389</v>
      </c>
      <c r="G817">
        <v>4389</v>
      </c>
      <c r="H817">
        <v>16600</v>
      </c>
    </row>
    <row r="818" spans="2:8">
      <c r="B818" t="s">
        <v>443</v>
      </c>
      <c r="C818" t="s">
        <v>317</v>
      </c>
      <c r="D818">
        <v>4387</v>
      </c>
      <c r="E818">
        <v>4389</v>
      </c>
      <c r="F818">
        <v>4377</v>
      </c>
      <c r="G818">
        <v>4377</v>
      </c>
      <c r="H818">
        <v>152700</v>
      </c>
    </row>
    <row r="819" spans="2:8">
      <c r="B819" t="s">
        <v>443</v>
      </c>
      <c r="C819" t="s">
        <v>318</v>
      </c>
      <c r="D819">
        <v>4379</v>
      </c>
      <c r="E819">
        <v>4379</v>
      </c>
      <c r="F819">
        <v>4374</v>
      </c>
      <c r="G819">
        <v>4376</v>
      </c>
      <c r="H819">
        <v>24900</v>
      </c>
    </row>
    <row r="820" spans="2:8">
      <c r="B820" t="s">
        <v>443</v>
      </c>
      <c r="C820" t="s">
        <v>319</v>
      </c>
      <c r="D820">
        <v>4376</v>
      </c>
      <c r="E820">
        <v>4380</v>
      </c>
      <c r="F820">
        <v>4376</v>
      </c>
      <c r="G820">
        <v>4379</v>
      </c>
      <c r="H820">
        <v>10300</v>
      </c>
    </row>
    <row r="821" spans="2:8">
      <c r="B821" t="s">
        <v>443</v>
      </c>
      <c r="C821" t="s">
        <v>320</v>
      </c>
      <c r="D821">
        <v>4379</v>
      </c>
      <c r="E821">
        <v>4382</v>
      </c>
      <c r="F821">
        <v>4378</v>
      </c>
      <c r="G821">
        <v>4378</v>
      </c>
      <c r="H821">
        <v>26300</v>
      </c>
    </row>
    <row r="822" spans="2:8">
      <c r="B822" t="s">
        <v>443</v>
      </c>
      <c r="C822" t="s">
        <v>321</v>
      </c>
      <c r="D822">
        <v>4379</v>
      </c>
      <c r="E822">
        <v>4380</v>
      </c>
      <c r="F822">
        <v>4376</v>
      </c>
      <c r="G822">
        <v>4376</v>
      </c>
      <c r="H822">
        <v>31300</v>
      </c>
    </row>
    <row r="823" spans="2:8">
      <c r="B823" t="s">
        <v>443</v>
      </c>
      <c r="C823" t="s">
        <v>322</v>
      </c>
      <c r="D823">
        <v>4377</v>
      </c>
      <c r="E823">
        <v>4383</v>
      </c>
      <c r="F823">
        <v>4377</v>
      </c>
      <c r="G823">
        <v>4378</v>
      </c>
      <c r="H823">
        <v>34100</v>
      </c>
    </row>
    <row r="824" spans="2:8">
      <c r="B824" t="s">
        <v>443</v>
      </c>
      <c r="C824" t="s">
        <v>323</v>
      </c>
      <c r="D824">
        <v>4378</v>
      </c>
      <c r="E824">
        <v>4380</v>
      </c>
      <c r="F824">
        <v>4377</v>
      </c>
      <c r="G824">
        <v>4379</v>
      </c>
      <c r="H824">
        <v>8800</v>
      </c>
    </row>
    <row r="825" spans="2:8">
      <c r="B825" t="s">
        <v>443</v>
      </c>
      <c r="C825" t="s">
        <v>324</v>
      </c>
      <c r="D825">
        <v>4379</v>
      </c>
      <c r="E825">
        <v>4380</v>
      </c>
      <c r="F825">
        <v>4378</v>
      </c>
      <c r="G825">
        <v>4380</v>
      </c>
      <c r="H825">
        <v>18400</v>
      </c>
    </row>
    <row r="826" spans="2:8">
      <c r="B826" t="s">
        <v>443</v>
      </c>
      <c r="C826" t="s">
        <v>325</v>
      </c>
      <c r="D826">
        <v>4380</v>
      </c>
      <c r="E826">
        <v>4380</v>
      </c>
      <c r="F826">
        <v>4379</v>
      </c>
      <c r="G826">
        <v>4380</v>
      </c>
      <c r="H826">
        <v>5200</v>
      </c>
    </row>
    <row r="827" spans="2:8">
      <c r="B827" t="s">
        <v>443</v>
      </c>
      <c r="C827" t="s">
        <v>326</v>
      </c>
      <c r="D827">
        <v>4379</v>
      </c>
      <c r="E827">
        <v>4380</v>
      </c>
      <c r="F827">
        <v>4378</v>
      </c>
      <c r="G827">
        <v>4378</v>
      </c>
      <c r="H827">
        <v>9900</v>
      </c>
    </row>
    <row r="828" spans="2:8">
      <c r="B828" t="s">
        <v>443</v>
      </c>
      <c r="C828" t="s">
        <v>327</v>
      </c>
      <c r="D828">
        <v>4378</v>
      </c>
      <c r="E828">
        <v>4380</v>
      </c>
      <c r="F828">
        <v>4377</v>
      </c>
      <c r="G828">
        <v>4379</v>
      </c>
      <c r="H828">
        <v>14300</v>
      </c>
    </row>
    <row r="829" spans="2:8">
      <c r="B829" t="s">
        <v>443</v>
      </c>
      <c r="C829" t="s">
        <v>328</v>
      </c>
      <c r="D829">
        <v>4380</v>
      </c>
      <c r="E829">
        <v>4380</v>
      </c>
      <c r="F829">
        <v>4379</v>
      </c>
      <c r="G829">
        <v>4379</v>
      </c>
      <c r="H829">
        <v>1800</v>
      </c>
    </row>
    <row r="830" spans="2:8">
      <c r="B830" t="s">
        <v>443</v>
      </c>
      <c r="C830" t="s">
        <v>329</v>
      </c>
      <c r="D830">
        <v>4379</v>
      </c>
      <c r="E830">
        <v>4379</v>
      </c>
      <c r="F830">
        <v>4377</v>
      </c>
      <c r="G830">
        <v>4377</v>
      </c>
      <c r="H830">
        <v>6100</v>
      </c>
    </row>
    <row r="831" spans="2:8">
      <c r="B831" t="s">
        <v>443</v>
      </c>
      <c r="C831" t="s">
        <v>330</v>
      </c>
      <c r="D831">
        <v>4377</v>
      </c>
      <c r="E831">
        <v>4377</v>
      </c>
      <c r="F831">
        <v>4377</v>
      </c>
      <c r="G831">
        <v>4377</v>
      </c>
      <c r="H831">
        <v>3700</v>
      </c>
    </row>
    <row r="832" spans="2:8">
      <c r="B832" t="s">
        <v>443</v>
      </c>
      <c r="C832" t="s">
        <v>331</v>
      </c>
      <c r="D832">
        <v>4378</v>
      </c>
      <c r="E832">
        <v>4379</v>
      </c>
      <c r="F832">
        <v>4378</v>
      </c>
      <c r="G832">
        <v>4379</v>
      </c>
      <c r="H832">
        <v>4300</v>
      </c>
    </row>
    <row r="833" spans="2:8">
      <c r="B833" t="s">
        <v>443</v>
      </c>
      <c r="C833" t="s">
        <v>332</v>
      </c>
      <c r="D833">
        <v>4379</v>
      </c>
      <c r="E833">
        <v>4379</v>
      </c>
      <c r="F833">
        <v>4377</v>
      </c>
      <c r="G833">
        <v>4377</v>
      </c>
      <c r="H833">
        <v>5300</v>
      </c>
    </row>
    <row r="834" spans="2:8">
      <c r="B834" t="s">
        <v>443</v>
      </c>
      <c r="C834" t="s">
        <v>333</v>
      </c>
      <c r="D834">
        <v>4377</v>
      </c>
      <c r="E834">
        <v>4380</v>
      </c>
      <c r="F834">
        <v>4377</v>
      </c>
      <c r="G834">
        <v>4379</v>
      </c>
      <c r="H834">
        <v>6400</v>
      </c>
    </row>
    <row r="835" spans="2:8">
      <c r="B835" t="s">
        <v>443</v>
      </c>
      <c r="C835" t="s">
        <v>334</v>
      </c>
      <c r="D835">
        <v>4378</v>
      </c>
      <c r="E835">
        <v>4379</v>
      </c>
      <c r="F835">
        <v>4378</v>
      </c>
      <c r="G835">
        <v>4379</v>
      </c>
      <c r="H835">
        <v>3500</v>
      </c>
    </row>
    <row r="836" spans="2:8">
      <c r="B836" t="s">
        <v>443</v>
      </c>
      <c r="C836" t="s">
        <v>335</v>
      </c>
      <c r="D836">
        <v>4378</v>
      </c>
      <c r="E836">
        <v>4384</v>
      </c>
      <c r="F836">
        <v>4378</v>
      </c>
      <c r="G836">
        <v>4383</v>
      </c>
      <c r="H836">
        <v>12300</v>
      </c>
    </row>
    <row r="837" spans="2:8">
      <c r="B837" t="s">
        <v>443</v>
      </c>
      <c r="C837" t="s">
        <v>336</v>
      </c>
      <c r="D837">
        <v>4383</v>
      </c>
      <c r="E837">
        <v>4384</v>
      </c>
      <c r="F837">
        <v>4383</v>
      </c>
      <c r="G837">
        <v>4384</v>
      </c>
      <c r="H837">
        <v>3600</v>
      </c>
    </row>
    <row r="838" spans="2:8">
      <c r="B838" t="s">
        <v>443</v>
      </c>
      <c r="C838" t="s">
        <v>337</v>
      </c>
      <c r="D838">
        <v>4383</v>
      </c>
      <c r="E838">
        <v>4386</v>
      </c>
      <c r="F838">
        <v>4382</v>
      </c>
      <c r="G838">
        <v>4383</v>
      </c>
      <c r="H838">
        <v>20200</v>
      </c>
    </row>
    <row r="839" spans="2:8">
      <c r="B839" t="s">
        <v>443</v>
      </c>
      <c r="C839" t="s">
        <v>338</v>
      </c>
      <c r="D839">
        <v>4382</v>
      </c>
      <c r="E839">
        <v>4383</v>
      </c>
      <c r="F839">
        <v>4380</v>
      </c>
      <c r="G839">
        <v>4380</v>
      </c>
      <c r="H839">
        <v>8300</v>
      </c>
    </row>
    <row r="840" spans="2:8">
      <c r="B840" t="s">
        <v>443</v>
      </c>
      <c r="C840" t="s">
        <v>339</v>
      </c>
      <c r="D840">
        <v>4381</v>
      </c>
      <c r="E840">
        <v>4381</v>
      </c>
      <c r="F840">
        <v>4380</v>
      </c>
      <c r="G840">
        <v>4380</v>
      </c>
      <c r="H840">
        <v>11300</v>
      </c>
    </row>
    <row r="841" spans="2:8">
      <c r="B841" t="s">
        <v>443</v>
      </c>
      <c r="C841" t="s">
        <v>340</v>
      </c>
      <c r="D841">
        <v>4381</v>
      </c>
      <c r="E841">
        <v>4381</v>
      </c>
      <c r="F841">
        <v>4379</v>
      </c>
      <c r="G841">
        <v>4380</v>
      </c>
      <c r="H841">
        <v>7100</v>
      </c>
    </row>
    <row r="842" spans="2:8">
      <c r="B842" t="s">
        <v>443</v>
      </c>
      <c r="C842" t="s">
        <v>341</v>
      </c>
      <c r="D842">
        <v>4380</v>
      </c>
      <c r="E842">
        <v>4382</v>
      </c>
      <c r="F842">
        <v>4380</v>
      </c>
      <c r="G842">
        <v>4382</v>
      </c>
      <c r="H842">
        <v>8500</v>
      </c>
    </row>
    <row r="843" spans="2:8">
      <c r="B843" t="s">
        <v>443</v>
      </c>
      <c r="C843" t="s">
        <v>342</v>
      </c>
      <c r="D843">
        <v>4382</v>
      </c>
      <c r="E843">
        <v>4382</v>
      </c>
      <c r="F843">
        <v>4379</v>
      </c>
      <c r="G843">
        <v>4380</v>
      </c>
      <c r="H843">
        <v>7100</v>
      </c>
    </row>
    <row r="844" spans="2:8">
      <c r="B844" t="s">
        <v>443</v>
      </c>
      <c r="C844" t="s">
        <v>343</v>
      </c>
      <c r="D844">
        <v>4380</v>
      </c>
      <c r="E844">
        <v>4383</v>
      </c>
      <c r="F844">
        <v>4379</v>
      </c>
      <c r="G844">
        <v>4383</v>
      </c>
      <c r="H844">
        <v>7000</v>
      </c>
    </row>
    <row r="845" spans="2:8">
      <c r="B845" t="s">
        <v>443</v>
      </c>
      <c r="C845" t="s">
        <v>344</v>
      </c>
      <c r="D845">
        <v>4383</v>
      </c>
      <c r="E845">
        <v>4387</v>
      </c>
      <c r="F845">
        <v>4383</v>
      </c>
      <c r="G845">
        <v>4387</v>
      </c>
      <c r="H845">
        <v>11700</v>
      </c>
    </row>
    <row r="846" spans="2:8">
      <c r="B846" t="s">
        <v>443</v>
      </c>
      <c r="C846" t="s">
        <v>345</v>
      </c>
      <c r="D846">
        <v>4386</v>
      </c>
      <c r="E846">
        <v>4386</v>
      </c>
      <c r="F846">
        <v>4384</v>
      </c>
      <c r="G846">
        <v>4384</v>
      </c>
      <c r="H846">
        <v>6300</v>
      </c>
    </row>
    <row r="847" spans="2:8">
      <c r="B847" t="s">
        <v>443</v>
      </c>
      <c r="C847" t="s">
        <v>346</v>
      </c>
      <c r="D847">
        <v>4384</v>
      </c>
      <c r="E847">
        <v>4384</v>
      </c>
      <c r="F847">
        <v>4383</v>
      </c>
      <c r="G847">
        <v>4384</v>
      </c>
      <c r="H847">
        <v>2100</v>
      </c>
    </row>
    <row r="848" spans="2:8">
      <c r="B848" t="s">
        <v>443</v>
      </c>
      <c r="C848" t="s">
        <v>347</v>
      </c>
      <c r="D848">
        <v>4384</v>
      </c>
      <c r="E848">
        <v>4388</v>
      </c>
      <c r="F848">
        <v>4384</v>
      </c>
      <c r="G848">
        <v>4387</v>
      </c>
      <c r="H848">
        <v>12100</v>
      </c>
    </row>
    <row r="849" spans="2:8">
      <c r="B849" t="s">
        <v>443</v>
      </c>
      <c r="C849" t="s">
        <v>348</v>
      </c>
      <c r="D849">
        <v>4387</v>
      </c>
      <c r="E849">
        <v>4387</v>
      </c>
      <c r="F849">
        <v>4386</v>
      </c>
      <c r="G849">
        <v>4386</v>
      </c>
      <c r="H849">
        <v>5000</v>
      </c>
    </row>
    <row r="850" spans="2:8">
      <c r="B850" t="s">
        <v>443</v>
      </c>
      <c r="C850" t="s">
        <v>349</v>
      </c>
      <c r="D850">
        <v>4386</v>
      </c>
      <c r="E850">
        <v>4386</v>
      </c>
      <c r="F850">
        <v>4385</v>
      </c>
      <c r="G850">
        <v>4385</v>
      </c>
      <c r="H850">
        <v>4800</v>
      </c>
    </row>
    <row r="851" spans="2:8">
      <c r="B851" t="s">
        <v>443</v>
      </c>
      <c r="C851" t="s">
        <v>350</v>
      </c>
      <c r="D851">
        <v>4385</v>
      </c>
      <c r="E851">
        <v>4386</v>
      </c>
      <c r="F851">
        <v>4384</v>
      </c>
      <c r="G851">
        <v>4386</v>
      </c>
      <c r="H851">
        <v>12600</v>
      </c>
    </row>
    <row r="852" spans="2:8">
      <c r="B852" t="s">
        <v>443</v>
      </c>
      <c r="C852" t="s">
        <v>351</v>
      </c>
      <c r="D852">
        <v>4386</v>
      </c>
      <c r="E852">
        <v>4387</v>
      </c>
      <c r="F852">
        <v>4386</v>
      </c>
      <c r="G852">
        <v>4386</v>
      </c>
      <c r="H852">
        <v>2000</v>
      </c>
    </row>
    <row r="853" spans="2:8">
      <c r="B853" t="s">
        <v>443</v>
      </c>
      <c r="C853" t="s">
        <v>352</v>
      </c>
      <c r="D853">
        <v>4386</v>
      </c>
      <c r="E853">
        <v>4386</v>
      </c>
      <c r="F853">
        <v>4385</v>
      </c>
      <c r="G853">
        <v>4385</v>
      </c>
      <c r="H853">
        <v>2400</v>
      </c>
    </row>
    <row r="854" spans="2:8">
      <c r="B854" t="s">
        <v>443</v>
      </c>
      <c r="C854" t="s">
        <v>353</v>
      </c>
      <c r="D854">
        <v>4385</v>
      </c>
      <c r="E854">
        <v>4387</v>
      </c>
      <c r="F854">
        <v>4385</v>
      </c>
      <c r="G854">
        <v>4387</v>
      </c>
      <c r="H854">
        <v>7900</v>
      </c>
    </row>
    <row r="855" spans="2:8">
      <c r="B855" t="s">
        <v>443</v>
      </c>
      <c r="C855" t="s">
        <v>354</v>
      </c>
      <c r="D855">
        <v>4386</v>
      </c>
      <c r="E855">
        <v>4386</v>
      </c>
      <c r="F855">
        <v>4385</v>
      </c>
      <c r="G855">
        <v>4386</v>
      </c>
      <c r="H855">
        <v>4300</v>
      </c>
    </row>
    <row r="856" spans="2:8">
      <c r="B856" t="s">
        <v>443</v>
      </c>
      <c r="C856" t="s">
        <v>355</v>
      </c>
      <c r="D856">
        <v>4386</v>
      </c>
      <c r="E856">
        <v>4387</v>
      </c>
      <c r="F856">
        <v>4385</v>
      </c>
      <c r="G856">
        <v>4387</v>
      </c>
      <c r="H856">
        <v>7900</v>
      </c>
    </row>
    <row r="857" spans="2:8">
      <c r="B857" t="s">
        <v>443</v>
      </c>
      <c r="C857" t="s">
        <v>356</v>
      </c>
      <c r="D857">
        <v>4386</v>
      </c>
      <c r="E857">
        <v>4388</v>
      </c>
      <c r="F857">
        <v>4386</v>
      </c>
      <c r="G857">
        <v>4388</v>
      </c>
      <c r="H857">
        <v>1700</v>
      </c>
    </row>
    <row r="858" spans="2:8">
      <c r="B858" t="s">
        <v>443</v>
      </c>
      <c r="C858" t="s">
        <v>357</v>
      </c>
      <c r="D858">
        <v>4388</v>
      </c>
      <c r="E858">
        <v>4388</v>
      </c>
      <c r="F858">
        <v>4387</v>
      </c>
      <c r="G858">
        <v>4387</v>
      </c>
      <c r="H858">
        <v>5400</v>
      </c>
    </row>
    <row r="859" spans="2:8">
      <c r="B859" t="s">
        <v>443</v>
      </c>
      <c r="C859" t="s">
        <v>358</v>
      </c>
      <c r="D859">
        <v>4387</v>
      </c>
      <c r="E859">
        <v>4389</v>
      </c>
      <c r="F859">
        <v>4386</v>
      </c>
      <c r="G859">
        <v>4388</v>
      </c>
      <c r="H859">
        <v>21700</v>
      </c>
    </row>
    <row r="860" spans="2:8">
      <c r="B860" t="s">
        <v>443</v>
      </c>
      <c r="C860" t="s">
        <v>359</v>
      </c>
      <c r="D860">
        <v>4387</v>
      </c>
      <c r="E860">
        <v>4388</v>
      </c>
      <c r="F860">
        <v>4387</v>
      </c>
      <c r="G860">
        <v>4388</v>
      </c>
      <c r="H860">
        <v>5800</v>
      </c>
    </row>
    <row r="861" spans="2:8">
      <c r="B861" t="s">
        <v>443</v>
      </c>
      <c r="C861" t="s">
        <v>360</v>
      </c>
      <c r="D861">
        <v>4388</v>
      </c>
      <c r="E861">
        <v>4388</v>
      </c>
      <c r="F861">
        <v>4387</v>
      </c>
      <c r="G861">
        <v>4387</v>
      </c>
      <c r="H861">
        <v>1600</v>
      </c>
    </row>
    <row r="862" spans="2:8">
      <c r="B862" t="s">
        <v>443</v>
      </c>
      <c r="C862" t="s">
        <v>361</v>
      </c>
      <c r="D862">
        <v>4387</v>
      </c>
      <c r="E862">
        <v>4387</v>
      </c>
      <c r="F862">
        <v>4386</v>
      </c>
      <c r="G862">
        <v>4387</v>
      </c>
      <c r="H862">
        <v>6100</v>
      </c>
    </row>
    <row r="863" spans="2:8">
      <c r="B863" t="s">
        <v>443</v>
      </c>
      <c r="C863" t="s">
        <v>362</v>
      </c>
      <c r="D863">
        <v>4388</v>
      </c>
      <c r="E863">
        <v>4388</v>
      </c>
      <c r="F863">
        <v>4387</v>
      </c>
      <c r="G863">
        <v>4388</v>
      </c>
      <c r="H863">
        <v>6700</v>
      </c>
    </row>
    <row r="864" spans="2:8">
      <c r="B864" t="s">
        <v>443</v>
      </c>
      <c r="C864" t="s">
        <v>363</v>
      </c>
      <c r="D864">
        <v>4388</v>
      </c>
      <c r="E864">
        <v>4388</v>
      </c>
      <c r="F864">
        <v>4387</v>
      </c>
      <c r="G864">
        <v>4387</v>
      </c>
      <c r="H864">
        <v>2600</v>
      </c>
    </row>
    <row r="865" spans="2:8">
      <c r="B865" t="s">
        <v>443</v>
      </c>
      <c r="C865" t="s">
        <v>364</v>
      </c>
      <c r="D865">
        <v>4387</v>
      </c>
      <c r="E865">
        <v>4388</v>
      </c>
      <c r="F865">
        <v>4387</v>
      </c>
      <c r="G865">
        <v>4388</v>
      </c>
      <c r="H865">
        <v>4500</v>
      </c>
    </row>
    <row r="866" spans="2:8">
      <c r="B866" t="s">
        <v>443</v>
      </c>
      <c r="C866" t="s">
        <v>365</v>
      </c>
      <c r="D866">
        <v>4387</v>
      </c>
      <c r="E866">
        <v>4387</v>
      </c>
      <c r="F866">
        <v>4384</v>
      </c>
      <c r="G866">
        <v>4384</v>
      </c>
      <c r="H866">
        <v>13200</v>
      </c>
    </row>
    <row r="867" spans="2:8">
      <c r="B867" t="s">
        <v>443</v>
      </c>
      <c r="C867" t="s">
        <v>366</v>
      </c>
      <c r="D867">
        <v>4383</v>
      </c>
      <c r="E867">
        <v>4383</v>
      </c>
      <c r="F867">
        <v>4382</v>
      </c>
      <c r="G867">
        <v>4383</v>
      </c>
      <c r="H867">
        <v>5100</v>
      </c>
    </row>
    <row r="868" spans="2:8">
      <c r="B868" t="s">
        <v>443</v>
      </c>
      <c r="C868" t="s">
        <v>367</v>
      </c>
      <c r="D868">
        <v>4383</v>
      </c>
      <c r="E868">
        <v>4383</v>
      </c>
      <c r="F868">
        <v>4382</v>
      </c>
      <c r="G868">
        <v>4383</v>
      </c>
      <c r="H868">
        <v>8400</v>
      </c>
    </row>
    <row r="869" spans="2:8">
      <c r="B869" t="s">
        <v>443</v>
      </c>
      <c r="C869" t="s">
        <v>368</v>
      </c>
      <c r="D869">
        <v>4384</v>
      </c>
      <c r="E869">
        <v>4385</v>
      </c>
      <c r="F869">
        <v>4383</v>
      </c>
      <c r="G869">
        <v>4383</v>
      </c>
      <c r="H869">
        <v>5300</v>
      </c>
    </row>
    <row r="870" spans="2:8">
      <c r="B870" t="s">
        <v>443</v>
      </c>
      <c r="C870" t="s">
        <v>369</v>
      </c>
      <c r="D870">
        <v>4384</v>
      </c>
      <c r="E870">
        <v>4385</v>
      </c>
      <c r="F870">
        <v>4383</v>
      </c>
      <c r="G870">
        <v>4383</v>
      </c>
      <c r="H870">
        <v>8000</v>
      </c>
    </row>
    <row r="871" spans="2:8">
      <c r="B871" t="s">
        <v>443</v>
      </c>
      <c r="C871" t="s">
        <v>370</v>
      </c>
      <c r="D871">
        <v>4383</v>
      </c>
      <c r="E871">
        <v>4385</v>
      </c>
      <c r="F871">
        <v>4383</v>
      </c>
      <c r="G871">
        <v>4385</v>
      </c>
      <c r="H871">
        <v>7200</v>
      </c>
    </row>
    <row r="872" spans="2:8">
      <c r="B872" t="s">
        <v>443</v>
      </c>
      <c r="C872" t="s">
        <v>371</v>
      </c>
      <c r="D872">
        <v>4385</v>
      </c>
      <c r="E872">
        <v>4385</v>
      </c>
      <c r="F872">
        <v>4383</v>
      </c>
      <c r="G872">
        <v>4384</v>
      </c>
      <c r="H872">
        <v>5200</v>
      </c>
    </row>
    <row r="873" spans="2:8">
      <c r="B873" t="s">
        <v>443</v>
      </c>
      <c r="C873" t="s">
        <v>372</v>
      </c>
      <c r="D873">
        <v>4383</v>
      </c>
      <c r="E873">
        <v>4383</v>
      </c>
      <c r="F873">
        <v>4383</v>
      </c>
      <c r="G873">
        <v>4383</v>
      </c>
      <c r="H873">
        <v>4600</v>
      </c>
    </row>
    <row r="874" spans="2:8">
      <c r="B874" t="s">
        <v>443</v>
      </c>
      <c r="C874" t="s">
        <v>373</v>
      </c>
      <c r="D874">
        <v>4383</v>
      </c>
      <c r="E874">
        <v>4384</v>
      </c>
      <c r="F874">
        <v>4383</v>
      </c>
      <c r="G874">
        <v>4383</v>
      </c>
      <c r="H874">
        <v>4500</v>
      </c>
    </row>
    <row r="875" spans="2:8">
      <c r="B875" t="s">
        <v>443</v>
      </c>
      <c r="C875" t="s">
        <v>374</v>
      </c>
      <c r="D875">
        <v>4383</v>
      </c>
      <c r="E875">
        <v>4383</v>
      </c>
      <c r="F875">
        <v>4383</v>
      </c>
      <c r="G875">
        <v>4383</v>
      </c>
      <c r="H875">
        <v>1600</v>
      </c>
    </row>
    <row r="876" spans="2:8">
      <c r="B876" t="s">
        <v>443</v>
      </c>
      <c r="C876" t="s">
        <v>375</v>
      </c>
      <c r="D876">
        <v>4382</v>
      </c>
      <c r="E876">
        <v>4383</v>
      </c>
      <c r="F876">
        <v>4381</v>
      </c>
      <c r="G876">
        <v>4381</v>
      </c>
      <c r="H876">
        <v>16000</v>
      </c>
    </row>
    <row r="877" spans="2:8">
      <c r="B877" t="s">
        <v>443</v>
      </c>
      <c r="C877" t="s">
        <v>376</v>
      </c>
      <c r="D877">
        <v>4382</v>
      </c>
      <c r="E877">
        <v>4383</v>
      </c>
      <c r="F877">
        <v>4382</v>
      </c>
      <c r="G877">
        <v>4383</v>
      </c>
      <c r="H877">
        <v>4900</v>
      </c>
    </row>
    <row r="878" spans="2:8">
      <c r="B878" t="s">
        <v>443</v>
      </c>
      <c r="C878" t="s">
        <v>377</v>
      </c>
      <c r="D878">
        <v>4383</v>
      </c>
      <c r="E878">
        <v>4383</v>
      </c>
      <c r="F878">
        <v>4381</v>
      </c>
      <c r="G878">
        <v>4381</v>
      </c>
      <c r="H878">
        <v>7500</v>
      </c>
    </row>
    <row r="879" spans="2:8">
      <c r="B879" t="s">
        <v>443</v>
      </c>
      <c r="C879" t="s">
        <v>378</v>
      </c>
      <c r="D879">
        <v>4380</v>
      </c>
      <c r="E879">
        <v>4382</v>
      </c>
      <c r="F879">
        <v>4380</v>
      </c>
      <c r="G879">
        <v>4381</v>
      </c>
      <c r="H879">
        <v>3500</v>
      </c>
    </row>
    <row r="880" spans="2:8">
      <c r="B880" t="s">
        <v>443</v>
      </c>
      <c r="C880" t="s">
        <v>379</v>
      </c>
      <c r="D880">
        <v>4381</v>
      </c>
      <c r="E880">
        <v>4382</v>
      </c>
      <c r="F880">
        <v>4380</v>
      </c>
      <c r="G880">
        <v>4380</v>
      </c>
      <c r="H880">
        <v>5800</v>
      </c>
    </row>
    <row r="881" spans="2:8">
      <c r="B881" t="s">
        <v>443</v>
      </c>
      <c r="C881" t="s">
        <v>380</v>
      </c>
      <c r="D881">
        <v>4381</v>
      </c>
      <c r="E881">
        <v>4383</v>
      </c>
      <c r="F881">
        <v>4380</v>
      </c>
      <c r="G881">
        <v>4383</v>
      </c>
      <c r="H881">
        <v>6100</v>
      </c>
    </row>
    <row r="882" spans="2:8">
      <c r="B882" t="s">
        <v>443</v>
      </c>
      <c r="C882" t="s">
        <v>381</v>
      </c>
      <c r="D882">
        <v>4383</v>
      </c>
      <c r="E882">
        <v>4383</v>
      </c>
      <c r="F882">
        <v>4382</v>
      </c>
      <c r="G882">
        <v>4382</v>
      </c>
      <c r="H882">
        <v>3900</v>
      </c>
    </row>
    <row r="883" spans="2:8">
      <c r="B883" t="s">
        <v>443</v>
      </c>
      <c r="C883" t="s">
        <v>382</v>
      </c>
      <c r="D883">
        <v>4381</v>
      </c>
      <c r="E883">
        <v>4382</v>
      </c>
      <c r="F883">
        <v>4381</v>
      </c>
      <c r="G883">
        <v>4381</v>
      </c>
      <c r="H883">
        <v>1600</v>
      </c>
    </row>
    <row r="884" spans="2:8">
      <c r="B884" t="s">
        <v>443</v>
      </c>
      <c r="C884" t="s">
        <v>383</v>
      </c>
      <c r="D884">
        <v>4381</v>
      </c>
      <c r="E884">
        <v>4381</v>
      </c>
      <c r="F884">
        <v>4381</v>
      </c>
      <c r="G884">
        <v>4381</v>
      </c>
      <c r="H884">
        <v>500</v>
      </c>
    </row>
    <row r="885" spans="2:8">
      <c r="B885" t="s">
        <v>443</v>
      </c>
      <c r="C885" t="s">
        <v>384</v>
      </c>
      <c r="D885">
        <v>4381</v>
      </c>
      <c r="E885">
        <v>4382</v>
      </c>
      <c r="F885">
        <v>4381</v>
      </c>
      <c r="G885">
        <v>4381</v>
      </c>
      <c r="H885">
        <v>12700</v>
      </c>
    </row>
    <row r="886" spans="2:8">
      <c r="B886" t="s">
        <v>443</v>
      </c>
      <c r="C886" t="s">
        <v>385</v>
      </c>
      <c r="D886">
        <v>4381</v>
      </c>
      <c r="E886">
        <v>4383</v>
      </c>
      <c r="F886">
        <v>4381</v>
      </c>
      <c r="G886">
        <v>4383</v>
      </c>
      <c r="H886">
        <v>5400</v>
      </c>
    </row>
    <row r="887" spans="2:8">
      <c r="B887" t="s">
        <v>443</v>
      </c>
      <c r="C887" t="s">
        <v>386</v>
      </c>
      <c r="D887">
        <v>4383</v>
      </c>
      <c r="E887">
        <v>4384</v>
      </c>
      <c r="F887">
        <v>4383</v>
      </c>
      <c r="G887">
        <v>4383</v>
      </c>
      <c r="H887">
        <v>700</v>
      </c>
    </row>
    <row r="888" spans="2:8">
      <c r="B888" t="s">
        <v>443</v>
      </c>
      <c r="C888" t="s">
        <v>387</v>
      </c>
      <c r="D888">
        <v>4383</v>
      </c>
      <c r="E888">
        <v>4384</v>
      </c>
      <c r="F888">
        <v>4383</v>
      </c>
      <c r="G888">
        <v>4384</v>
      </c>
      <c r="H888">
        <v>900</v>
      </c>
    </row>
    <row r="889" spans="2:8">
      <c r="B889" t="s">
        <v>443</v>
      </c>
      <c r="C889" t="s">
        <v>388</v>
      </c>
      <c r="D889">
        <v>4384</v>
      </c>
      <c r="E889">
        <v>4384</v>
      </c>
      <c r="F889">
        <v>4383</v>
      </c>
      <c r="G889">
        <v>4384</v>
      </c>
      <c r="H889">
        <v>4600</v>
      </c>
    </row>
    <row r="890" spans="2:8">
      <c r="B890" t="s">
        <v>443</v>
      </c>
      <c r="C890" t="s">
        <v>389</v>
      </c>
      <c r="D890">
        <v>4384</v>
      </c>
      <c r="E890">
        <v>4384</v>
      </c>
      <c r="F890">
        <v>4382</v>
      </c>
      <c r="G890">
        <v>4383</v>
      </c>
      <c r="H890">
        <v>32600</v>
      </c>
    </row>
    <row r="891" spans="2:8">
      <c r="B891" t="s">
        <v>443</v>
      </c>
      <c r="C891" t="s">
        <v>390</v>
      </c>
      <c r="D891">
        <v>4383</v>
      </c>
      <c r="E891">
        <v>4383</v>
      </c>
      <c r="F891">
        <v>4383</v>
      </c>
      <c r="G891">
        <v>4383</v>
      </c>
      <c r="H891">
        <v>4900</v>
      </c>
    </row>
    <row r="892" spans="2:8">
      <c r="B892" t="s">
        <v>443</v>
      </c>
      <c r="C892" t="s">
        <v>391</v>
      </c>
      <c r="D892">
        <v>4383</v>
      </c>
      <c r="E892">
        <v>4383</v>
      </c>
      <c r="F892">
        <v>4382</v>
      </c>
      <c r="G892">
        <v>4383</v>
      </c>
      <c r="H892">
        <v>2500</v>
      </c>
    </row>
    <row r="893" spans="2:8">
      <c r="B893" t="s">
        <v>443</v>
      </c>
      <c r="C893" t="s">
        <v>392</v>
      </c>
      <c r="D893">
        <v>4382</v>
      </c>
      <c r="E893">
        <v>4383</v>
      </c>
      <c r="F893">
        <v>4382</v>
      </c>
      <c r="G893">
        <v>4383</v>
      </c>
      <c r="H893">
        <v>700</v>
      </c>
    </row>
    <row r="894" spans="2:8">
      <c r="B894" t="s">
        <v>443</v>
      </c>
      <c r="C894" t="s">
        <v>393</v>
      </c>
      <c r="D894">
        <v>4382</v>
      </c>
      <c r="E894">
        <v>4382</v>
      </c>
      <c r="F894">
        <v>4382</v>
      </c>
      <c r="G894">
        <v>4382</v>
      </c>
      <c r="H894">
        <v>100</v>
      </c>
    </row>
    <row r="895" spans="2:8">
      <c r="B895" t="s">
        <v>443</v>
      </c>
      <c r="C895" t="s">
        <v>394</v>
      </c>
      <c r="D895">
        <v>4382</v>
      </c>
      <c r="E895">
        <v>4382</v>
      </c>
      <c r="F895">
        <v>4382</v>
      </c>
      <c r="G895">
        <v>4382</v>
      </c>
      <c r="H895">
        <v>7100</v>
      </c>
    </row>
    <row r="896" spans="2:8">
      <c r="B896" t="s">
        <v>443</v>
      </c>
      <c r="C896" t="s">
        <v>395</v>
      </c>
      <c r="D896">
        <v>4381</v>
      </c>
      <c r="E896">
        <v>4381</v>
      </c>
      <c r="F896">
        <v>4380</v>
      </c>
      <c r="G896">
        <v>4380</v>
      </c>
      <c r="H896">
        <v>23500</v>
      </c>
    </row>
    <row r="897" spans="2:8">
      <c r="B897" t="s">
        <v>443</v>
      </c>
      <c r="C897" t="s">
        <v>396</v>
      </c>
      <c r="D897">
        <v>4381</v>
      </c>
      <c r="E897">
        <v>4381</v>
      </c>
      <c r="F897">
        <v>4380</v>
      </c>
      <c r="G897">
        <v>4381</v>
      </c>
      <c r="H897">
        <v>6300</v>
      </c>
    </row>
    <row r="898" spans="2:8">
      <c r="B898" t="s">
        <v>443</v>
      </c>
      <c r="C898" t="s">
        <v>397</v>
      </c>
      <c r="D898">
        <v>4381</v>
      </c>
      <c r="E898">
        <v>4382</v>
      </c>
      <c r="F898">
        <v>4380</v>
      </c>
      <c r="G898">
        <v>4382</v>
      </c>
      <c r="H898">
        <v>5700</v>
      </c>
    </row>
    <row r="899" spans="2:8">
      <c r="B899" t="s">
        <v>443</v>
      </c>
      <c r="C899" t="s">
        <v>398</v>
      </c>
      <c r="D899">
        <v>4381</v>
      </c>
      <c r="E899">
        <v>4381</v>
      </c>
      <c r="F899">
        <v>4381</v>
      </c>
      <c r="G899">
        <v>4381</v>
      </c>
      <c r="H899">
        <v>3500</v>
      </c>
    </row>
    <row r="900" spans="2:8">
      <c r="B900" t="s">
        <v>443</v>
      </c>
      <c r="C900" t="s">
        <v>399</v>
      </c>
      <c r="D900">
        <v>4381</v>
      </c>
      <c r="E900">
        <v>4383</v>
      </c>
      <c r="F900">
        <v>4381</v>
      </c>
      <c r="G900">
        <v>4382</v>
      </c>
      <c r="H900">
        <v>5200</v>
      </c>
    </row>
    <row r="901" spans="2:8">
      <c r="B901" t="s">
        <v>443</v>
      </c>
      <c r="C901" t="s">
        <v>400</v>
      </c>
      <c r="D901">
        <v>4382</v>
      </c>
      <c r="E901">
        <v>4382</v>
      </c>
      <c r="F901">
        <v>4382</v>
      </c>
      <c r="G901">
        <v>4382</v>
      </c>
      <c r="H901">
        <v>300</v>
      </c>
    </row>
    <row r="902" spans="2:8">
      <c r="B902" t="s">
        <v>443</v>
      </c>
      <c r="C902" t="s">
        <v>401</v>
      </c>
      <c r="D902">
        <v>4382</v>
      </c>
      <c r="E902">
        <v>4382</v>
      </c>
      <c r="F902">
        <v>4381</v>
      </c>
      <c r="G902">
        <v>4382</v>
      </c>
      <c r="H902">
        <v>7400</v>
      </c>
    </row>
    <row r="903" spans="2:8">
      <c r="B903" t="s">
        <v>443</v>
      </c>
      <c r="C903" t="s">
        <v>402</v>
      </c>
      <c r="D903">
        <v>4383</v>
      </c>
      <c r="E903">
        <v>4383</v>
      </c>
      <c r="F903">
        <v>4382</v>
      </c>
      <c r="G903">
        <v>4383</v>
      </c>
      <c r="H903">
        <v>400</v>
      </c>
    </row>
    <row r="904" spans="2:8">
      <c r="B904" t="s">
        <v>443</v>
      </c>
      <c r="C904" t="s">
        <v>403</v>
      </c>
      <c r="D904">
        <v>4383</v>
      </c>
      <c r="E904">
        <v>4383</v>
      </c>
      <c r="F904">
        <v>4382</v>
      </c>
      <c r="G904">
        <v>4382</v>
      </c>
      <c r="H904">
        <v>1900</v>
      </c>
    </row>
    <row r="905" spans="2:8">
      <c r="B905" t="s">
        <v>443</v>
      </c>
      <c r="C905" t="s">
        <v>404</v>
      </c>
      <c r="D905">
        <v>4383</v>
      </c>
      <c r="E905">
        <v>4384</v>
      </c>
      <c r="F905">
        <v>4382</v>
      </c>
      <c r="G905">
        <v>4384</v>
      </c>
      <c r="H905">
        <v>20200</v>
      </c>
    </row>
    <row r="906" spans="2:8">
      <c r="B906" t="s">
        <v>443</v>
      </c>
      <c r="C906" t="s">
        <v>405</v>
      </c>
      <c r="D906">
        <v>4384</v>
      </c>
      <c r="E906">
        <v>4384</v>
      </c>
      <c r="F906">
        <v>4381</v>
      </c>
      <c r="G906">
        <v>4381</v>
      </c>
      <c r="H906">
        <v>21400</v>
      </c>
    </row>
    <row r="907" spans="2:8">
      <c r="B907" t="s">
        <v>443</v>
      </c>
      <c r="C907" t="s">
        <v>406</v>
      </c>
      <c r="D907">
        <v>4382</v>
      </c>
      <c r="E907">
        <v>4383</v>
      </c>
      <c r="F907">
        <v>4381</v>
      </c>
      <c r="G907">
        <v>4381</v>
      </c>
      <c r="H907">
        <v>3900</v>
      </c>
    </row>
    <row r="908" spans="2:8">
      <c r="B908" t="s">
        <v>443</v>
      </c>
      <c r="C908" t="s">
        <v>407</v>
      </c>
      <c r="D908">
        <v>4381</v>
      </c>
      <c r="E908">
        <v>4382</v>
      </c>
      <c r="F908">
        <v>4381</v>
      </c>
      <c r="G908">
        <v>4382</v>
      </c>
      <c r="H908">
        <v>11500</v>
      </c>
    </row>
    <row r="909" spans="2:8">
      <c r="B909" t="s">
        <v>443</v>
      </c>
      <c r="C909" t="s">
        <v>408</v>
      </c>
      <c r="D909">
        <v>4380</v>
      </c>
      <c r="E909">
        <v>4380</v>
      </c>
      <c r="F909">
        <v>4379</v>
      </c>
      <c r="G909">
        <v>4379</v>
      </c>
      <c r="H909">
        <v>22200</v>
      </c>
    </row>
    <row r="910" spans="2:8">
      <c r="B910" t="s">
        <v>443</v>
      </c>
      <c r="C910" t="s">
        <v>409</v>
      </c>
      <c r="D910">
        <v>4378</v>
      </c>
      <c r="E910">
        <v>4379</v>
      </c>
      <c r="F910">
        <v>4378</v>
      </c>
      <c r="G910">
        <v>4379</v>
      </c>
      <c r="H910">
        <v>11100</v>
      </c>
    </row>
    <row r="911" spans="2:8">
      <c r="B911" t="s">
        <v>443</v>
      </c>
      <c r="C911" t="s">
        <v>410</v>
      </c>
      <c r="D911">
        <v>4380</v>
      </c>
      <c r="E911">
        <v>4380</v>
      </c>
      <c r="F911">
        <v>4379</v>
      </c>
      <c r="G911">
        <v>4379</v>
      </c>
      <c r="H911">
        <v>2400</v>
      </c>
    </row>
    <row r="912" spans="2:8">
      <c r="B912" t="s">
        <v>443</v>
      </c>
      <c r="C912" t="s">
        <v>411</v>
      </c>
      <c r="D912">
        <v>4378</v>
      </c>
      <c r="E912">
        <v>4378</v>
      </c>
      <c r="F912">
        <v>4377</v>
      </c>
      <c r="G912">
        <v>4378</v>
      </c>
      <c r="H912">
        <v>7800</v>
      </c>
    </row>
    <row r="913" spans="2:8">
      <c r="B913" t="s">
        <v>443</v>
      </c>
      <c r="C913" t="s">
        <v>412</v>
      </c>
      <c r="D913" t="s">
        <v>8</v>
      </c>
      <c r="E913" t="s">
        <v>8</v>
      </c>
      <c r="F913" t="s">
        <v>8</v>
      </c>
      <c r="G913" t="s">
        <v>8</v>
      </c>
      <c r="H913">
        <v>0</v>
      </c>
    </row>
    <row r="914" spans="2:8">
      <c r="B914" t="s">
        <v>443</v>
      </c>
      <c r="C914" t="s">
        <v>413</v>
      </c>
      <c r="D914">
        <v>4379</v>
      </c>
      <c r="E914">
        <v>4379</v>
      </c>
      <c r="F914">
        <v>4378</v>
      </c>
      <c r="G914">
        <v>4378</v>
      </c>
      <c r="H914">
        <v>1600</v>
      </c>
    </row>
    <row r="915" spans="2:8">
      <c r="B915" t="s">
        <v>443</v>
      </c>
      <c r="C915" t="s">
        <v>414</v>
      </c>
      <c r="D915">
        <v>4378</v>
      </c>
      <c r="E915">
        <v>4378</v>
      </c>
      <c r="F915">
        <v>4377</v>
      </c>
      <c r="G915">
        <v>4377</v>
      </c>
      <c r="H915">
        <v>8900</v>
      </c>
    </row>
    <row r="916" spans="2:8">
      <c r="B916" t="s">
        <v>443</v>
      </c>
      <c r="C916" t="s">
        <v>415</v>
      </c>
      <c r="D916">
        <v>4377</v>
      </c>
      <c r="E916">
        <v>4377</v>
      </c>
      <c r="F916">
        <v>4376</v>
      </c>
      <c r="G916">
        <v>4376</v>
      </c>
      <c r="H916">
        <v>4000</v>
      </c>
    </row>
    <row r="917" spans="2:8">
      <c r="B917" t="s">
        <v>443</v>
      </c>
      <c r="C917" t="s">
        <v>416</v>
      </c>
      <c r="D917">
        <v>4376</v>
      </c>
      <c r="E917">
        <v>4376</v>
      </c>
      <c r="F917">
        <v>4374</v>
      </c>
      <c r="G917">
        <v>4374</v>
      </c>
      <c r="H917">
        <v>22900</v>
      </c>
    </row>
    <row r="918" spans="2:8">
      <c r="B918" t="s">
        <v>443</v>
      </c>
      <c r="C918" t="s">
        <v>417</v>
      </c>
      <c r="D918">
        <v>4374</v>
      </c>
      <c r="E918">
        <v>4374</v>
      </c>
      <c r="F918">
        <v>4370</v>
      </c>
      <c r="G918">
        <v>4370</v>
      </c>
      <c r="H918">
        <v>22200</v>
      </c>
    </row>
    <row r="919" spans="2:8">
      <c r="B919" t="s">
        <v>443</v>
      </c>
      <c r="C919" t="s">
        <v>418</v>
      </c>
      <c r="D919">
        <v>4370</v>
      </c>
      <c r="E919">
        <v>4373</v>
      </c>
      <c r="F919">
        <v>4370</v>
      </c>
      <c r="G919">
        <v>4372</v>
      </c>
      <c r="H919">
        <v>19400</v>
      </c>
    </row>
    <row r="920" spans="2:8">
      <c r="B920" t="s">
        <v>443</v>
      </c>
      <c r="C920" t="s">
        <v>419</v>
      </c>
      <c r="D920">
        <v>4372</v>
      </c>
      <c r="E920">
        <v>4375</v>
      </c>
      <c r="F920">
        <v>4372</v>
      </c>
      <c r="G920">
        <v>4375</v>
      </c>
      <c r="H920">
        <v>13500</v>
      </c>
    </row>
    <row r="921" spans="2:8">
      <c r="B921" t="s">
        <v>443</v>
      </c>
      <c r="C921" t="s">
        <v>420</v>
      </c>
      <c r="D921">
        <v>4376</v>
      </c>
      <c r="E921">
        <v>4376</v>
      </c>
      <c r="F921">
        <v>4375</v>
      </c>
      <c r="G921">
        <v>4375</v>
      </c>
      <c r="H921">
        <v>11100</v>
      </c>
    </row>
    <row r="922" spans="2:8">
      <c r="B922" t="s">
        <v>443</v>
      </c>
      <c r="C922" t="s">
        <v>421</v>
      </c>
      <c r="D922">
        <v>4376</v>
      </c>
      <c r="E922">
        <v>4376</v>
      </c>
      <c r="F922">
        <v>4372</v>
      </c>
      <c r="G922">
        <v>4375</v>
      </c>
      <c r="H922">
        <v>15900</v>
      </c>
    </row>
    <row r="923" spans="2:8">
      <c r="B923" t="s">
        <v>443</v>
      </c>
      <c r="C923" t="s">
        <v>422</v>
      </c>
      <c r="D923">
        <v>4373</v>
      </c>
      <c r="E923">
        <v>4374</v>
      </c>
      <c r="F923">
        <v>4373</v>
      </c>
      <c r="G923">
        <v>4374</v>
      </c>
      <c r="H923">
        <v>3500</v>
      </c>
    </row>
    <row r="924" spans="2:8">
      <c r="B924" t="s">
        <v>443</v>
      </c>
      <c r="C924" t="s">
        <v>423</v>
      </c>
      <c r="D924">
        <v>4374</v>
      </c>
      <c r="E924">
        <v>4374</v>
      </c>
      <c r="F924">
        <v>4374</v>
      </c>
      <c r="G924">
        <v>4374</v>
      </c>
      <c r="H924">
        <v>1000</v>
      </c>
    </row>
    <row r="925" spans="2:8">
      <c r="B925" t="s">
        <v>443</v>
      </c>
      <c r="C925" t="s">
        <v>424</v>
      </c>
      <c r="D925">
        <v>4374</v>
      </c>
      <c r="E925">
        <v>4375</v>
      </c>
      <c r="F925">
        <v>4373</v>
      </c>
      <c r="G925">
        <v>4375</v>
      </c>
      <c r="H925">
        <v>4500</v>
      </c>
    </row>
    <row r="926" spans="2:8">
      <c r="B926" t="s">
        <v>443</v>
      </c>
      <c r="C926" t="s">
        <v>425</v>
      </c>
      <c r="D926">
        <v>4375</v>
      </c>
      <c r="E926">
        <v>4375</v>
      </c>
      <c r="F926">
        <v>4374</v>
      </c>
      <c r="G926">
        <v>4374</v>
      </c>
      <c r="H926">
        <v>1100</v>
      </c>
    </row>
    <row r="927" spans="2:8">
      <c r="B927" t="s">
        <v>443</v>
      </c>
      <c r="C927" t="s">
        <v>426</v>
      </c>
      <c r="D927">
        <v>4375</v>
      </c>
      <c r="E927">
        <v>4375</v>
      </c>
      <c r="F927">
        <v>4373</v>
      </c>
      <c r="G927">
        <v>4374</v>
      </c>
      <c r="H927">
        <v>9400</v>
      </c>
    </row>
    <row r="928" spans="2:8">
      <c r="B928" t="s">
        <v>443</v>
      </c>
      <c r="C928" t="s">
        <v>427</v>
      </c>
      <c r="D928">
        <v>4374</v>
      </c>
      <c r="E928">
        <v>4375</v>
      </c>
      <c r="F928">
        <v>4374</v>
      </c>
      <c r="G928">
        <v>4375</v>
      </c>
      <c r="H928">
        <v>4500</v>
      </c>
    </row>
    <row r="929" spans="2:8">
      <c r="B929" t="s">
        <v>443</v>
      </c>
      <c r="C929" t="s">
        <v>428</v>
      </c>
      <c r="D929">
        <v>4374</v>
      </c>
      <c r="E929">
        <v>4374</v>
      </c>
      <c r="F929">
        <v>4373</v>
      </c>
      <c r="G929">
        <v>4373</v>
      </c>
      <c r="H929">
        <v>4300</v>
      </c>
    </row>
    <row r="930" spans="2:8">
      <c r="B930" t="s">
        <v>443</v>
      </c>
      <c r="C930" t="s">
        <v>429</v>
      </c>
      <c r="D930">
        <v>4374</v>
      </c>
      <c r="E930">
        <v>4374</v>
      </c>
      <c r="F930">
        <v>4373</v>
      </c>
      <c r="G930">
        <v>4374</v>
      </c>
      <c r="H930">
        <v>1100</v>
      </c>
    </row>
    <row r="931" spans="2:8">
      <c r="B931" t="s">
        <v>443</v>
      </c>
      <c r="C931" t="s">
        <v>430</v>
      </c>
      <c r="D931">
        <v>4374</v>
      </c>
      <c r="E931">
        <v>4375</v>
      </c>
      <c r="F931">
        <v>4373</v>
      </c>
      <c r="G931">
        <v>4375</v>
      </c>
      <c r="H931">
        <v>6400</v>
      </c>
    </row>
    <row r="932" spans="2:8">
      <c r="B932" t="s">
        <v>443</v>
      </c>
      <c r="C932" t="s">
        <v>431</v>
      </c>
      <c r="D932">
        <v>4374</v>
      </c>
      <c r="E932">
        <v>4374</v>
      </c>
      <c r="F932">
        <v>4373</v>
      </c>
      <c r="G932">
        <v>4373</v>
      </c>
      <c r="H932">
        <v>2500</v>
      </c>
    </row>
    <row r="933" spans="2:8">
      <c r="B933" t="s">
        <v>443</v>
      </c>
      <c r="C933" t="s">
        <v>9</v>
      </c>
      <c r="D933">
        <v>4374</v>
      </c>
      <c r="E933">
        <v>4374</v>
      </c>
      <c r="F933">
        <v>4373</v>
      </c>
      <c r="G933">
        <v>4373</v>
      </c>
      <c r="H933">
        <v>6700</v>
      </c>
    </row>
    <row r="934" spans="2:8">
      <c r="B934" t="s">
        <v>443</v>
      </c>
      <c r="C934" t="s">
        <v>10</v>
      </c>
      <c r="D934">
        <v>4375</v>
      </c>
      <c r="E934">
        <v>4375</v>
      </c>
      <c r="F934">
        <v>4374</v>
      </c>
      <c r="G934">
        <v>4374</v>
      </c>
      <c r="H934">
        <v>7700</v>
      </c>
    </row>
    <row r="935" spans="2:8">
      <c r="B935" t="s">
        <v>443</v>
      </c>
      <c r="C935" t="s">
        <v>11</v>
      </c>
      <c r="D935">
        <v>4374</v>
      </c>
      <c r="E935">
        <v>4374</v>
      </c>
      <c r="F935">
        <v>4374</v>
      </c>
      <c r="G935">
        <v>4374</v>
      </c>
      <c r="H935">
        <v>500</v>
      </c>
    </row>
    <row r="936" spans="2:8">
      <c r="B936" t="s">
        <v>443</v>
      </c>
      <c r="C936" t="s">
        <v>12</v>
      </c>
      <c r="D936">
        <v>4374</v>
      </c>
      <c r="E936">
        <v>4375</v>
      </c>
      <c r="F936">
        <v>4374</v>
      </c>
      <c r="G936">
        <v>4375</v>
      </c>
      <c r="H936">
        <v>1400</v>
      </c>
    </row>
    <row r="937" spans="2:8">
      <c r="B937" t="s">
        <v>443</v>
      </c>
      <c r="C937" t="s">
        <v>13</v>
      </c>
      <c r="D937">
        <v>4375</v>
      </c>
      <c r="E937">
        <v>4377</v>
      </c>
      <c r="F937">
        <v>4374</v>
      </c>
      <c r="G937">
        <v>4377</v>
      </c>
      <c r="H937">
        <v>17000</v>
      </c>
    </row>
    <row r="938" spans="2:8">
      <c r="B938" t="s">
        <v>443</v>
      </c>
      <c r="C938" t="s">
        <v>14</v>
      </c>
      <c r="D938">
        <v>4377</v>
      </c>
      <c r="E938">
        <v>4378</v>
      </c>
      <c r="F938">
        <v>4376</v>
      </c>
      <c r="G938">
        <v>4377</v>
      </c>
      <c r="H938">
        <v>3500</v>
      </c>
    </row>
    <row r="939" spans="2:8">
      <c r="B939" t="s">
        <v>443</v>
      </c>
      <c r="C939" t="s">
        <v>15</v>
      </c>
      <c r="D939">
        <v>4376</v>
      </c>
      <c r="E939">
        <v>4379</v>
      </c>
      <c r="F939">
        <v>4376</v>
      </c>
      <c r="G939">
        <v>4377</v>
      </c>
      <c r="H939">
        <v>8300</v>
      </c>
    </row>
    <row r="940" spans="2:8">
      <c r="B940" t="s">
        <v>443</v>
      </c>
      <c r="C940" t="s">
        <v>16</v>
      </c>
      <c r="D940">
        <v>4378</v>
      </c>
      <c r="E940">
        <v>4378</v>
      </c>
      <c r="F940">
        <v>4377</v>
      </c>
      <c r="G940">
        <v>4377</v>
      </c>
      <c r="H940">
        <v>2200</v>
      </c>
    </row>
    <row r="941" spans="2:8">
      <c r="B941" t="s">
        <v>443</v>
      </c>
      <c r="C941" t="s">
        <v>17</v>
      </c>
      <c r="D941">
        <v>4377</v>
      </c>
      <c r="E941">
        <v>4379</v>
      </c>
      <c r="F941">
        <v>4376</v>
      </c>
      <c r="G941">
        <v>4378</v>
      </c>
      <c r="H941">
        <v>7700</v>
      </c>
    </row>
    <row r="942" spans="2:8">
      <c r="B942" t="s">
        <v>443</v>
      </c>
      <c r="C942" t="s">
        <v>18</v>
      </c>
      <c r="D942">
        <v>4379</v>
      </c>
      <c r="E942">
        <v>4379</v>
      </c>
      <c r="F942">
        <v>4378</v>
      </c>
      <c r="G942">
        <v>4379</v>
      </c>
      <c r="H942">
        <v>4500</v>
      </c>
    </row>
    <row r="943" spans="2:8">
      <c r="B943" t="s">
        <v>443</v>
      </c>
      <c r="C943" t="s">
        <v>19</v>
      </c>
      <c r="D943">
        <v>4380</v>
      </c>
      <c r="E943">
        <v>4380</v>
      </c>
      <c r="F943">
        <v>4379</v>
      </c>
      <c r="G943">
        <v>4379</v>
      </c>
      <c r="H943">
        <v>5200</v>
      </c>
    </row>
    <row r="944" spans="2:8">
      <c r="B944" t="s">
        <v>443</v>
      </c>
      <c r="C944" t="s">
        <v>20</v>
      </c>
      <c r="D944">
        <v>4378</v>
      </c>
      <c r="E944">
        <v>4378</v>
      </c>
      <c r="F944">
        <v>4377</v>
      </c>
      <c r="G944">
        <v>4378</v>
      </c>
      <c r="H944">
        <v>5300</v>
      </c>
    </row>
    <row r="945" spans="2:8">
      <c r="B945" t="s">
        <v>443</v>
      </c>
      <c r="C945" t="s">
        <v>21</v>
      </c>
      <c r="D945">
        <v>4378</v>
      </c>
      <c r="E945">
        <v>4378</v>
      </c>
      <c r="F945">
        <v>4377</v>
      </c>
      <c r="G945">
        <v>4377</v>
      </c>
      <c r="H945">
        <v>1600</v>
      </c>
    </row>
    <row r="946" spans="2:8">
      <c r="B946" t="s">
        <v>443</v>
      </c>
      <c r="C946" t="s">
        <v>22</v>
      </c>
      <c r="D946">
        <v>4377</v>
      </c>
      <c r="E946">
        <v>4378</v>
      </c>
      <c r="F946">
        <v>4376</v>
      </c>
      <c r="G946">
        <v>4376</v>
      </c>
      <c r="H946">
        <v>12700</v>
      </c>
    </row>
    <row r="947" spans="2:8">
      <c r="B947" t="s">
        <v>443</v>
      </c>
      <c r="C947" t="s">
        <v>23</v>
      </c>
      <c r="D947">
        <v>4377</v>
      </c>
      <c r="E947">
        <v>4377</v>
      </c>
      <c r="F947">
        <v>4377</v>
      </c>
      <c r="G947">
        <v>4377</v>
      </c>
      <c r="H947">
        <v>3800</v>
      </c>
    </row>
    <row r="948" spans="2:8">
      <c r="B948" t="s">
        <v>443</v>
      </c>
      <c r="C948" t="s">
        <v>24</v>
      </c>
      <c r="D948">
        <v>4377</v>
      </c>
      <c r="E948">
        <v>4377</v>
      </c>
      <c r="F948">
        <v>4377</v>
      </c>
      <c r="G948">
        <v>4377</v>
      </c>
      <c r="H948">
        <v>1900</v>
      </c>
    </row>
    <row r="949" spans="2:8">
      <c r="B949" t="s">
        <v>443</v>
      </c>
      <c r="C949" t="s">
        <v>25</v>
      </c>
      <c r="D949">
        <v>4377</v>
      </c>
      <c r="E949">
        <v>4378</v>
      </c>
      <c r="F949">
        <v>4377</v>
      </c>
      <c r="G949">
        <v>4378</v>
      </c>
      <c r="H949">
        <v>7000</v>
      </c>
    </row>
    <row r="950" spans="2:8">
      <c r="B950" t="s">
        <v>443</v>
      </c>
      <c r="C950" t="s">
        <v>26</v>
      </c>
      <c r="D950">
        <v>4378</v>
      </c>
      <c r="E950">
        <v>4380</v>
      </c>
      <c r="F950">
        <v>4377</v>
      </c>
      <c r="G950">
        <v>4380</v>
      </c>
      <c r="H950">
        <v>7800</v>
      </c>
    </row>
    <row r="951" spans="2:8">
      <c r="B951" t="s">
        <v>443</v>
      </c>
      <c r="C951" t="s">
        <v>27</v>
      </c>
      <c r="D951">
        <v>4379</v>
      </c>
      <c r="E951">
        <v>4379</v>
      </c>
      <c r="F951">
        <v>4377</v>
      </c>
      <c r="G951">
        <v>4377</v>
      </c>
      <c r="H951">
        <v>8500</v>
      </c>
    </row>
    <row r="952" spans="2:8">
      <c r="B952" t="s">
        <v>443</v>
      </c>
      <c r="C952" t="s">
        <v>28</v>
      </c>
      <c r="D952">
        <v>4377</v>
      </c>
      <c r="E952">
        <v>4378</v>
      </c>
      <c r="F952">
        <v>4376</v>
      </c>
      <c r="G952">
        <v>4378</v>
      </c>
      <c r="H952">
        <v>4100</v>
      </c>
    </row>
    <row r="953" spans="2:8">
      <c r="B953" t="s">
        <v>443</v>
      </c>
      <c r="C953" t="s">
        <v>29</v>
      </c>
      <c r="D953">
        <v>4379</v>
      </c>
      <c r="E953">
        <v>4379</v>
      </c>
      <c r="F953">
        <v>4378</v>
      </c>
      <c r="G953">
        <v>4379</v>
      </c>
      <c r="H953">
        <v>8000</v>
      </c>
    </row>
    <row r="954" spans="2:8">
      <c r="B954" t="s">
        <v>443</v>
      </c>
      <c r="C954" t="s">
        <v>30</v>
      </c>
      <c r="D954">
        <v>4379</v>
      </c>
      <c r="E954">
        <v>4379</v>
      </c>
      <c r="F954">
        <v>4378</v>
      </c>
      <c r="G954">
        <v>4379</v>
      </c>
      <c r="H954">
        <v>7100</v>
      </c>
    </row>
    <row r="955" spans="2:8">
      <c r="B955" t="s">
        <v>443</v>
      </c>
      <c r="C955" t="s">
        <v>31</v>
      </c>
      <c r="D955">
        <v>4378</v>
      </c>
      <c r="E955">
        <v>4379</v>
      </c>
      <c r="F955">
        <v>4378</v>
      </c>
      <c r="G955">
        <v>4379</v>
      </c>
      <c r="H955">
        <v>3800</v>
      </c>
    </row>
    <row r="956" spans="2:8">
      <c r="B956" t="s">
        <v>443</v>
      </c>
      <c r="C956" t="s">
        <v>32</v>
      </c>
      <c r="D956">
        <v>4380</v>
      </c>
      <c r="E956">
        <v>4380</v>
      </c>
      <c r="F956">
        <v>4378</v>
      </c>
      <c r="G956">
        <v>4379</v>
      </c>
      <c r="H956">
        <v>4100</v>
      </c>
    </row>
    <row r="957" spans="2:8">
      <c r="B957" t="s">
        <v>443</v>
      </c>
      <c r="C957" t="s">
        <v>33</v>
      </c>
      <c r="D957">
        <v>4379</v>
      </c>
      <c r="E957">
        <v>4380</v>
      </c>
      <c r="F957">
        <v>4379</v>
      </c>
      <c r="G957">
        <v>4379</v>
      </c>
      <c r="H957">
        <v>4400</v>
      </c>
    </row>
    <row r="958" spans="2:8">
      <c r="B958" t="s">
        <v>443</v>
      </c>
      <c r="C958" t="s">
        <v>34</v>
      </c>
      <c r="D958">
        <v>4380</v>
      </c>
      <c r="E958">
        <v>4381</v>
      </c>
      <c r="F958">
        <v>4379</v>
      </c>
      <c r="G958">
        <v>4380</v>
      </c>
      <c r="H958">
        <v>11100</v>
      </c>
    </row>
    <row r="959" spans="2:8">
      <c r="B959" t="s">
        <v>443</v>
      </c>
      <c r="C959" t="s">
        <v>35</v>
      </c>
      <c r="D959">
        <v>4380</v>
      </c>
      <c r="E959">
        <v>4380</v>
      </c>
      <c r="F959">
        <v>4379</v>
      </c>
      <c r="G959">
        <v>4379</v>
      </c>
      <c r="H959">
        <v>2400</v>
      </c>
    </row>
    <row r="960" spans="2:8">
      <c r="B960" t="s">
        <v>443</v>
      </c>
      <c r="C960" t="s">
        <v>36</v>
      </c>
      <c r="D960">
        <v>4379</v>
      </c>
      <c r="E960">
        <v>4380</v>
      </c>
      <c r="F960">
        <v>4379</v>
      </c>
      <c r="G960">
        <v>4379</v>
      </c>
      <c r="H960">
        <v>1000</v>
      </c>
    </row>
    <row r="961" spans="2:8">
      <c r="B961" t="s">
        <v>443</v>
      </c>
      <c r="C961" t="s">
        <v>37</v>
      </c>
      <c r="D961">
        <v>4380</v>
      </c>
      <c r="E961">
        <v>4382</v>
      </c>
      <c r="F961">
        <v>4379</v>
      </c>
      <c r="G961">
        <v>4381</v>
      </c>
      <c r="H961">
        <v>32600</v>
      </c>
    </row>
    <row r="962" spans="2:8">
      <c r="B962" t="s">
        <v>443</v>
      </c>
      <c r="C962" t="s">
        <v>38</v>
      </c>
      <c r="D962">
        <v>4381</v>
      </c>
      <c r="E962">
        <v>4382</v>
      </c>
      <c r="F962">
        <v>4380</v>
      </c>
      <c r="G962">
        <v>4381</v>
      </c>
      <c r="H962">
        <v>11500</v>
      </c>
    </row>
    <row r="963" spans="2:8">
      <c r="B963" t="s">
        <v>443</v>
      </c>
      <c r="C963" t="s">
        <v>39</v>
      </c>
      <c r="D963">
        <v>4381</v>
      </c>
      <c r="E963">
        <v>4383</v>
      </c>
      <c r="F963">
        <v>4380</v>
      </c>
      <c r="G963">
        <v>4383</v>
      </c>
      <c r="H963">
        <v>19400</v>
      </c>
    </row>
    <row r="964" spans="2:8">
      <c r="B964" t="s">
        <v>443</v>
      </c>
      <c r="C964" t="s">
        <v>40</v>
      </c>
      <c r="D964">
        <v>4382</v>
      </c>
      <c r="E964">
        <v>4385</v>
      </c>
      <c r="F964">
        <v>4382</v>
      </c>
      <c r="G964">
        <v>4385</v>
      </c>
      <c r="H964">
        <v>18600</v>
      </c>
    </row>
    <row r="965" spans="2:8">
      <c r="B965" t="s">
        <v>443</v>
      </c>
      <c r="C965" t="s">
        <v>41</v>
      </c>
      <c r="D965">
        <v>4386</v>
      </c>
      <c r="E965">
        <v>4386</v>
      </c>
      <c r="F965">
        <v>4385</v>
      </c>
      <c r="G965">
        <v>4385</v>
      </c>
      <c r="H965">
        <v>1800</v>
      </c>
    </row>
    <row r="966" spans="2:8">
      <c r="B966" t="s">
        <v>443</v>
      </c>
      <c r="C966" t="s">
        <v>42</v>
      </c>
      <c r="D966">
        <v>4385</v>
      </c>
      <c r="E966">
        <v>4387</v>
      </c>
      <c r="F966">
        <v>4385</v>
      </c>
      <c r="G966">
        <v>4387</v>
      </c>
      <c r="H966">
        <v>13000</v>
      </c>
    </row>
    <row r="967" spans="2:8">
      <c r="B967" t="s">
        <v>443</v>
      </c>
      <c r="C967" t="s">
        <v>43</v>
      </c>
      <c r="D967">
        <v>4387</v>
      </c>
      <c r="E967">
        <v>4388</v>
      </c>
      <c r="F967">
        <v>4386</v>
      </c>
      <c r="G967">
        <v>4388</v>
      </c>
      <c r="H967">
        <v>12900</v>
      </c>
    </row>
    <row r="968" spans="2:8">
      <c r="B968" t="s">
        <v>443</v>
      </c>
      <c r="C968" t="s">
        <v>44</v>
      </c>
      <c r="D968">
        <v>4388</v>
      </c>
      <c r="E968">
        <v>4390</v>
      </c>
      <c r="F968">
        <v>4388</v>
      </c>
      <c r="G968">
        <v>4388</v>
      </c>
      <c r="H968">
        <v>13400</v>
      </c>
    </row>
    <row r="969" spans="2:8">
      <c r="B969" t="s">
        <v>443</v>
      </c>
      <c r="C969" t="s">
        <v>45</v>
      </c>
      <c r="D969">
        <v>4387</v>
      </c>
      <c r="E969">
        <v>4387</v>
      </c>
      <c r="F969">
        <v>4385</v>
      </c>
      <c r="G969">
        <v>4386</v>
      </c>
      <c r="H969">
        <v>7100</v>
      </c>
    </row>
    <row r="970" spans="2:8">
      <c r="B970" t="s">
        <v>443</v>
      </c>
      <c r="C970" t="s">
        <v>46</v>
      </c>
      <c r="D970">
        <v>4386</v>
      </c>
      <c r="E970">
        <v>4387</v>
      </c>
      <c r="F970">
        <v>4386</v>
      </c>
      <c r="G970">
        <v>4386</v>
      </c>
      <c r="H970">
        <v>10100</v>
      </c>
    </row>
    <row r="971" spans="2:8">
      <c r="B971" t="s">
        <v>443</v>
      </c>
      <c r="C971" t="s">
        <v>47</v>
      </c>
      <c r="D971">
        <v>4386</v>
      </c>
      <c r="E971">
        <v>4388</v>
      </c>
      <c r="F971">
        <v>4386</v>
      </c>
      <c r="G971">
        <v>4388</v>
      </c>
      <c r="H971">
        <v>4400</v>
      </c>
    </row>
    <row r="972" spans="2:8">
      <c r="B972" t="s">
        <v>443</v>
      </c>
      <c r="C972" t="s">
        <v>48</v>
      </c>
      <c r="D972">
        <v>4388</v>
      </c>
      <c r="E972">
        <v>4389</v>
      </c>
      <c r="F972">
        <v>4386</v>
      </c>
      <c r="G972">
        <v>4388</v>
      </c>
      <c r="H972">
        <v>12300</v>
      </c>
    </row>
    <row r="973" spans="2:8">
      <c r="B973" t="s">
        <v>443</v>
      </c>
      <c r="C973" t="s">
        <v>49</v>
      </c>
      <c r="D973">
        <v>4388</v>
      </c>
      <c r="E973">
        <v>4388</v>
      </c>
      <c r="F973">
        <v>4387</v>
      </c>
      <c r="G973">
        <v>4388</v>
      </c>
      <c r="H973">
        <v>12200</v>
      </c>
    </row>
    <row r="974" spans="2:8">
      <c r="B974" t="s">
        <v>443</v>
      </c>
      <c r="C974" t="s">
        <v>50</v>
      </c>
      <c r="D974">
        <v>4388</v>
      </c>
      <c r="E974">
        <v>4388</v>
      </c>
      <c r="F974">
        <v>4384</v>
      </c>
      <c r="G974">
        <v>4384</v>
      </c>
      <c r="H974">
        <v>13500</v>
      </c>
    </row>
    <row r="975" spans="2:8">
      <c r="B975" t="s">
        <v>443</v>
      </c>
      <c r="C975" t="s">
        <v>51</v>
      </c>
      <c r="D975">
        <v>4385</v>
      </c>
      <c r="E975">
        <v>4386</v>
      </c>
      <c r="F975">
        <v>4384</v>
      </c>
      <c r="G975">
        <v>4385</v>
      </c>
      <c r="H975">
        <v>8400</v>
      </c>
    </row>
    <row r="976" spans="2:8">
      <c r="B976" t="s">
        <v>443</v>
      </c>
      <c r="C976" t="s">
        <v>52</v>
      </c>
      <c r="D976">
        <v>4385</v>
      </c>
      <c r="E976">
        <v>4386</v>
      </c>
      <c r="F976">
        <v>4385</v>
      </c>
      <c r="G976">
        <v>4386</v>
      </c>
      <c r="H976">
        <v>3500</v>
      </c>
    </row>
    <row r="977" spans="2:8">
      <c r="B977" t="s">
        <v>443</v>
      </c>
      <c r="C977" t="s">
        <v>53</v>
      </c>
      <c r="D977">
        <v>4385</v>
      </c>
      <c r="E977">
        <v>4385</v>
      </c>
      <c r="F977">
        <v>4384</v>
      </c>
      <c r="G977">
        <v>4385</v>
      </c>
      <c r="H977">
        <v>8300</v>
      </c>
    </row>
    <row r="978" spans="2:8">
      <c r="B978" t="s">
        <v>443</v>
      </c>
      <c r="C978" t="s">
        <v>54</v>
      </c>
      <c r="D978">
        <v>4384</v>
      </c>
      <c r="E978">
        <v>4386</v>
      </c>
      <c r="F978">
        <v>4384</v>
      </c>
      <c r="G978">
        <v>4385</v>
      </c>
      <c r="H978">
        <v>19500</v>
      </c>
    </row>
    <row r="979" spans="2:8">
      <c r="B979" t="s">
        <v>443</v>
      </c>
      <c r="C979" t="s">
        <v>55</v>
      </c>
      <c r="D979">
        <v>4385</v>
      </c>
      <c r="E979">
        <v>4386</v>
      </c>
      <c r="F979">
        <v>4383</v>
      </c>
      <c r="G979">
        <v>4384</v>
      </c>
      <c r="H979">
        <v>20400</v>
      </c>
    </row>
    <row r="980" spans="2:8">
      <c r="B980" t="s">
        <v>443</v>
      </c>
      <c r="C980" t="s">
        <v>56</v>
      </c>
      <c r="D980">
        <v>4383</v>
      </c>
      <c r="E980">
        <v>4384</v>
      </c>
      <c r="F980">
        <v>4382</v>
      </c>
      <c r="G980">
        <v>4383</v>
      </c>
      <c r="H980">
        <v>9200</v>
      </c>
    </row>
    <row r="981" spans="2:8">
      <c r="B981" t="s">
        <v>443</v>
      </c>
      <c r="C981" t="s">
        <v>57</v>
      </c>
      <c r="D981">
        <v>4383</v>
      </c>
      <c r="E981">
        <v>4384</v>
      </c>
      <c r="F981">
        <v>4383</v>
      </c>
      <c r="G981">
        <v>4383</v>
      </c>
      <c r="H981">
        <v>7000</v>
      </c>
    </row>
    <row r="982" spans="2:8">
      <c r="B982" t="s">
        <v>443</v>
      </c>
      <c r="C982" t="s">
        <v>58</v>
      </c>
      <c r="D982">
        <v>4383</v>
      </c>
      <c r="E982">
        <v>4386</v>
      </c>
      <c r="F982">
        <v>4383</v>
      </c>
      <c r="G982">
        <v>4385</v>
      </c>
      <c r="H982">
        <v>20300</v>
      </c>
    </row>
    <row r="983" spans="2:8">
      <c r="B983" t="s">
        <v>443</v>
      </c>
      <c r="C983" t="s">
        <v>59</v>
      </c>
      <c r="D983">
        <v>4385</v>
      </c>
      <c r="E983">
        <v>4387</v>
      </c>
      <c r="F983">
        <v>4384</v>
      </c>
      <c r="G983">
        <v>4386</v>
      </c>
      <c r="H983">
        <v>12100</v>
      </c>
    </row>
    <row r="984" spans="2:8">
      <c r="B984" t="s">
        <v>443</v>
      </c>
      <c r="C984" t="s">
        <v>60</v>
      </c>
      <c r="D984">
        <v>4387</v>
      </c>
      <c r="E984">
        <v>4387</v>
      </c>
      <c r="F984">
        <v>4385</v>
      </c>
      <c r="G984">
        <v>4385</v>
      </c>
      <c r="H984">
        <v>6500</v>
      </c>
    </row>
    <row r="985" spans="2:8">
      <c r="B985" t="s">
        <v>443</v>
      </c>
      <c r="C985" t="s">
        <v>61</v>
      </c>
      <c r="D985">
        <v>4385</v>
      </c>
      <c r="E985">
        <v>4386</v>
      </c>
      <c r="F985">
        <v>4385</v>
      </c>
      <c r="G985">
        <v>4385</v>
      </c>
      <c r="H985">
        <v>3800</v>
      </c>
    </row>
    <row r="986" spans="2:8">
      <c r="B986" t="s">
        <v>443</v>
      </c>
      <c r="C986" t="s">
        <v>62</v>
      </c>
      <c r="D986">
        <v>4386</v>
      </c>
      <c r="E986">
        <v>4386</v>
      </c>
      <c r="F986">
        <v>4383</v>
      </c>
      <c r="G986">
        <v>4383</v>
      </c>
      <c r="H986">
        <v>29200</v>
      </c>
    </row>
    <row r="987" spans="2:8">
      <c r="B987" t="s">
        <v>443</v>
      </c>
      <c r="C987" t="s">
        <v>63</v>
      </c>
      <c r="D987">
        <v>4384</v>
      </c>
      <c r="E987">
        <v>4384</v>
      </c>
      <c r="F987">
        <v>4382</v>
      </c>
      <c r="G987">
        <v>4382</v>
      </c>
      <c r="H987">
        <v>13100</v>
      </c>
    </row>
    <row r="988" spans="2:8">
      <c r="B988" t="s">
        <v>443</v>
      </c>
      <c r="C988" t="s">
        <v>64</v>
      </c>
      <c r="D988">
        <v>4383</v>
      </c>
      <c r="E988">
        <v>4384</v>
      </c>
      <c r="F988">
        <v>4382</v>
      </c>
      <c r="G988">
        <v>4384</v>
      </c>
      <c r="H988">
        <v>13300</v>
      </c>
    </row>
    <row r="989" spans="2:8">
      <c r="B989" t="s">
        <v>443</v>
      </c>
      <c r="C989" t="s">
        <v>65</v>
      </c>
      <c r="D989">
        <v>4384</v>
      </c>
      <c r="E989">
        <v>4385</v>
      </c>
      <c r="F989">
        <v>4383</v>
      </c>
      <c r="G989">
        <v>4383</v>
      </c>
      <c r="H989">
        <v>13600</v>
      </c>
    </row>
    <row r="990" spans="2:8">
      <c r="B990" t="s">
        <v>443</v>
      </c>
      <c r="C990" t="s">
        <v>66</v>
      </c>
      <c r="D990">
        <v>4383</v>
      </c>
      <c r="E990">
        <v>4385</v>
      </c>
      <c r="F990">
        <v>4382</v>
      </c>
      <c r="G990">
        <v>4383</v>
      </c>
      <c r="H990">
        <v>24200</v>
      </c>
    </row>
    <row r="991" spans="2:8">
      <c r="B991" t="s">
        <v>443</v>
      </c>
      <c r="C991" t="s">
        <v>164</v>
      </c>
      <c r="D991">
        <v>4382</v>
      </c>
      <c r="E991">
        <v>4383</v>
      </c>
      <c r="F991">
        <v>4381</v>
      </c>
      <c r="G991">
        <v>4382</v>
      </c>
      <c r="H991">
        <v>14500</v>
      </c>
    </row>
    <row r="992" spans="2:8">
      <c r="B992" t="s">
        <v>443</v>
      </c>
      <c r="C992" t="s">
        <v>165</v>
      </c>
      <c r="D992">
        <v>4381</v>
      </c>
      <c r="E992">
        <v>4383</v>
      </c>
      <c r="F992">
        <v>4380</v>
      </c>
      <c r="G992">
        <v>4380</v>
      </c>
      <c r="H992">
        <v>29100</v>
      </c>
    </row>
    <row r="993" spans="2:8">
      <c r="B993" t="s">
        <v>443</v>
      </c>
      <c r="C993" t="s">
        <v>67</v>
      </c>
      <c r="D993" t="s">
        <v>8</v>
      </c>
      <c r="E993" t="s">
        <v>8</v>
      </c>
      <c r="F993" t="s">
        <v>8</v>
      </c>
      <c r="G993" t="s">
        <v>8</v>
      </c>
      <c r="H993">
        <v>0</v>
      </c>
    </row>
    <row r="994" spans="2:8">
      <c r="B994" t="s">
        <v>443</v>
      </c>
      <c r="C994" t="s">
        <v>68</v>
      </c>
      <c r="D994" t="s">
        <v>8</v>
      </c>
      <c r="E994" t="s">
        <v>8</v>
      </c>
      <c r="F994" t="s">
        <v>8</v>
      </c>
      <c r="G994" t="s">
        <v>8</v>
      </c>
      <c r="H994">
        <v>0</v>
      </c>
    </row>
    <row r="995" spans="2:8">
      <c r="B995" t="s">
        <v>443</v>
      </c>
      <c r="C995" t="s">
        <v>69</v>
      </c>
      <c r="D995" t="s">
        <v>8</v>
      </c>
      <c r="E995" t="s">
        <v>8</v>
      </c>
      <c r="F995" t="s">
        <v>8</v>
      </c>
      <c r="G995" t="s">
        <v>8</v>
      </c>
      <c r="H995">
        <v>0</v>
      </c>
    </row>
    <row r="996" spans="2:8">
      <c r="B996" t="s">
        <v>443</v>
      </c>
      <c r="C996" t="s">
        <v>70</v>
      </c>
      <c r="D996" t="s">
        <v>8</v>
      </c>
      <c r="E996" t="s">
        <v>8</v>
      </c>
      <c r="F996" t="s">
        <v>8</v>
      </c>
      <c r="G996" t="s">
        <v>8</v>
      </c>
      <c r="H996">
        <v>0</v>
      </c>
    </row>
    <row r="997" spans="2:8">
      <c r="B997" t="s">
        <v>443</v>
      </c>
      <c r="C997" t="s">
        <v>71</v>
      </c>
      <c r="D997" t="s">
        <v>8</v>
      </c>
      <c r="E997" t="s">
        <v>8</v>
      </c>
      <c r="F997" t="s">
        <v>8</v>
      </c>
      <c r="G997" t="s">
        <v>8</v>
      </c>
      <c r="H997">
        <v>0</v>
      </c>
    </row>
    <row r="998" spans="2:8">
      <c r="B998" t="s">
        <v>443</v>
      </c>
      <c r="C998" t="s">
        <v>72</v>
      </c>
      <c r="D998">
        <v>4385</v>
      </c>
      <c r="E998">
        <v>4385</v>
      </c>
      <c r="F998">
        <v>4385</v>
      </c>
      <c r="G998">
        <v>4385</v>
      </c>
      <c r="H998">
        <v>1973000</v>
      </c>
    </row>
    <row r="999" spans="2:8">
      <c r="B999" t="s">
        <v>463</v>
      </c>
      <c r="C999" t="s">
        <v>166</v>
      </c>
      <c r="D999">
        <v>4390</v>
      </c>
      <c r="E999">
        <v>4422</v>
      </c>
      <c r="F999">
        <v>4388</v>
      </c>
      <c r="G999">
        <v>4397</v>
      </c>
      <c r="H999">
        <v>585000</v>
      </c>
    </row>
    <row r="1000" spans="2:8">
      <c r="B1000" t="s">
        <v>463</v>
      </c>
      <c r="C1000" t="s">
        <v>167</v>
      </c>
      <c r="D1000">
        <v>4396</v>
      </c>
      <c r="E1000">
        <v>4406</v>
      </c>
      <c r="F1000">
        <v>4391</v>
      </c>
      <c r="G1000">
        <v>4401</v>
      </c>
      <c r="H1000">
        <v>75900</v>
      </c>
    </row>
    <row r="1001" spans="2:8">
      <c r="B1001" t="s">
        <v>463</v>
      </c>
      <c r="C1001" t="s">
        <v>168</v>
      </c>
      <c r="D1001">
        <v>4399</v>
      </c>
      <c r="E1001">
        <v>4399</v>
      </c>
      <c r="F1001">
        <v>4388</v>
      </c>
      <c r="G1001">
        <v>4392</v>
      </c>
      <c r="H1001">
        <v>43700</v>
      </c>
    </row>
    <row r="1002" spans="2:8">
      <c r="B1002" t="s">
        <v>463</v>
      </c>
      <c r="C1002" t="s">
        <v>169</v>
      </c>
      <c r="D1002">
        <v>4392</v>
      </c>
      <c r="E1002">
        <v>4398</v>
      </c>
      <c r="F1002">
        <v>4389</v>
      </c>
      <c r="G1002">
        <v>4398</v>
      </c>
      <c r="H1002">
        <v>30900</v>
      </c>
    </row>
    <row r="1003" spans="2:8">
      <c r="B1003" t="s">
        <v>463</v>
      </c>
      <c r="C1003" t="s">
        <v>170</v>
      </c>
      <c r="D1003">
        <v>4399</v>
      </c>
      <c r="E1003">
        <v>4410</v>
      </c>
      <c r="F1003">
        <v>4399</v>
      </c>
      <c r="G1003">
        <v>4409</v>
      </c>
      <c r="H1003">
        <v>41000</v>
      </c>
    </row>
    <row r="1004" spans="2:8">
      <c r="B1004" t="s">
        <v>463</v>
      </c>
      <c r="C1004" t="s">
        <v>171</v>
      </c>
      <c r="D1004">
        <v>4409</v>
      </c>
      <c r="E1004">
        <v>4418</v>
      </c>
      <c r="F1004">
        <v>4409</v>
      </c>
      <c r="G1004">
        <v>4417</v>
      </c>
      <c r="H1004">
        <v>46700</v>
      </c>
    </row>
    <row r="1005" spans="2:8">
      <c r="B1005" t="s">
        <v>463</v>
      </c>
      <c r="C1005" t="s">
        <v>172</v>
      </c>
      <c r="D1005">
        <v>4417</v>
      </c>
      <c r="E1005">
        <v>4418</v>
      </c>
      <c r="F1005">
        <v>4407</v>
      </c>
      <c r="G1005">
        <v>4407</v>
      </c>
      <c r="H1005">
        <v>45000</v>
      </c>
    </row>
    <row r="1006" spans="2:8">
      <c r="B1006" t="s">
        <v>463</v>
      </c>
      <c r="C1006" t="s">
        <v>173</v>
      </c>
      <c r="D1006">
        <v>4406</v>
      </c>
      <c r="E1006">
        <v>4415</v>
      </c>
      <c r="F1006">
        <v>4402</v>
      </c>
      <c r="G1006">
        <v>4415</v>
      </c>
      <c r="H1006">
        <v>51700</v>
      </c>
    </row>
    <row r="1007" spans="2:8">
      <c r="B1007" t="s">
        <v>463</v>
      </c>
      <c r="C1007" t="s">
        <v>174</v>
      </c>
      <c r="D1007">
        <v>4415</v>
      </c>
      <c r="E1007">
        <v>4419</v>
      </c>
      <c r="F1007">
        <v>4414</v>
      </c>
      <c r="G1007">
        <v>4415</v>
      </c>
      <c r="H1007">
        <v>64300</v>
      </c>
    </row>
    <row r="1008" spans="2:8">
      <c r="B1008" t="s">
        <v>463</v>
      </c>
      <c r="C1008" t="s">
        <v>175</v>
      </c>
      <c r="D1008">
        <v>4414</v>
      </c>
      <c r="E1008">
        <v>4418</v>
      </c>
      <c r="F1008">
        <v>4412</v>
      </c>
      <c r="G1008">
        <v>4416</v>
      </c>
      <c r="H1008">
        <v>47600</v>
      </c>
    </row>
    <row r="1009" spans="2:8">
      <c r="B1009" t="s">
        <v>463</v>
      </c>
      <c r="C1009" t="s">
        <v>176</v>
      </c>
      <c r="D1009">
        <v>4416</v>
      </c>
      <c r="E1009">
        <v>4417</v>
      </c>
      <c r="F1009">
        <v>4412</v>
      </c>
      <c r="G1009">
        <v>4417</v>
      </c>
      <c r="H1009">
        <v>50100</v>
      </c>
    </row>
    <row r="1010" spans="2:8">
      <c r="B1010" t="s">
        <v>463</v>
      </c>
      <c r="C1010" t="s">
        <v>177</v>
      </c>
      <c r="D1010">
        <v>4417</v>
      </c>
      <c r="E1010">
        <v>4423</v>
      </c>
      <c r="F1010">
        <v>4416</v>
      </c>
      <c r="G1010">
        <v>4418</v>
      </c>
      <c r="H1010">
        <v>65400</v>
      </c>
    </row>
    <row r="1011" spans="2:8">
      <c r="B1011" t="s">
        <v>463</v>
      </c>
      <c r="C1011" t="s">
        <v>178</v>
      </c>
      <c r="D1011">
        <v>4419</v>
      </c>
      <c r="E1011">
        <v>4421</v>
      </c>
      <c r="F1011">
        <v>4415</v>
      </c>
      <c r="G1011">
        <v>4418</v>
      </c>
      <c r="H1011">
        <v>21800</v>
      </c>
    </row>
    <row r="1012" spans="2:8">
      <c r="B1012" t="s">
        <v>463</v>
      </c>
      <c r="C1012" t="s">
        <v>179</v>
      </c>
      <c r="D1012">
        <v>4419</v>
      </c>
      <c r="E1012">
        <v>4422</v>
      </c>
      <c r="F1012">
        <v>4418</v>
      </c>
      <c r="G1012">
        <v>4422</v>
      </c>
      <c r="H1012">
        <v>33100</v>
      </c>
    </row>
    <row r="1013" spans="2:8">
      <c r="B1013" t="s">
        <v>463</v>
      </c>
      <c r="C1013" t="s">
        <v>180</v>
      </c>
      <c r="D1013">
        <v>4423</v>
      </c>
      <c r="E1013">
        <v>4423</v>
      </c>
      <c r="F1013">
        <v>4416</v>
      </c>
      <c r="G1013">
        <v>4416</v>
      </c>
      <c r="H1013">
        <v>29700</v>
      </c>
    </row>
    <row r="1014" spans="2:8">
      <c r="B1014" t="s">
        <v>463</v>
      </c>
      <c r="C1014" t="s">
        <v>181</v>
      </c>
      <c r="D1014">
        <v>4418</v>
      </c>
      <c r="E1014">
        <v>4418</v>
      </c>
      <c r="F1014">
        <v>4409</v>
      </c>
      <c r="G1014">
        <v>4412</v>
      </c>
      <c r="H1014">
        <v>40200</v>
      </c>
    </row>
    <row r="1015" spans="2:8">
      <c r="B1015" t="s">
        <v>463</v>
      </c>
      <c r="C1015" t="s">
        <v>182</v>
      </c>
      <c r="D1015">
        <v>4412</v>
      </c>
      <c r="E1015">
        <v>4417</v>
      </c>
      <c r="F1015">
        <v>4410</v>
      </c>
      <c r="G1015">
        <v>4415</v>
      </c>
      <c r="H1015">
        <v>13200</v>
      </c>
    </row>
    <row r="1016" spans="2:8">
      <c r="B1016" t="s">
        <v>463</v>
      </c>
      <c r="C1016" t="s">
        <v>183</v>
      </c>
      <c r="D1016">
        <v>4416</v>
      </c>
      <c r="E1016">
        <v>4420</v>
      </c>
      <c r="F1016">
        <v>4415</v>
      </c>
      <c r="G1016">
        <v>4417</v>
      </c>
      <c r="H1016">
        <v>16400</v>
      </c>
    </row>
    <row r="1017" spans="2:8">
      <c r="B1017" t="s">
        <v>463</v>
      </c>
      <c r="C1017" t="s">
        <v>184</v>
      </c>
      <c r="D1017">
        <v>4417</v>
      </c>
      <c r="E1017">
        <v>4420</v>
      </c>
      <c r="F1017">
        <v>4416</v>
      </c>
      <c r="G1017">
        <v>4420</v>
      </c>
      <c r="H1017">
        <v>29800</v>
      </c>
    </row>
    <row r="1018" spans="2:8">
      <c r="B1018" t="s">
        <v>463</v>
      </c>
      <c r="C1018" t="s">
        <v>185</v>
      </c>
      <c r="D1018">
        <v>4419</v>
      </c>
      <c r="E1018">
        <v>4420</v>
      </c>
      <c r="F1018">
        <v>4416</v>
      </c>
      <c r="G1018">
        <v>4419</v>
      </c>
      <c r="H1018">
        <v>22800</v>
      </c>
    </row>
    <row r="1019" spans="2:8">
      <c r="B1019" t="s">
        <v>463</v>
      </c>
      <c r="C1019" t="s">
        <v>186</v>
      </c>
      <c r="D1019">
        <v>4420</v>
      </c>
      <c r="E1019">
        <v>4420</v>
      </c>
      <c r="F1019">
        <v>4417</v>
      </c>
      <c r="G1019">
        <v>4419</v>
      </c>
      <c r="H1019">
        <v>14200</v>
      </c>
    </row>
    <row r="1020" spans="2:8">
      <c r="B1020" t="s">
        <v>463</v>
      </c>
      <c r="C1020" t="s">
        <v>187</v>
      </c>
      <c r="D1020">
        <v>4418</v>
      </c>
      <c r="E1020">
        <v>4419</v>
      </c>
      <c r="F1020">
        <v>4417</v>
      </c>
      <c r="G1020">
        <v>4417</v>
      </c>
      <c r="H1020">
        <v>8400</v>
      </c>
    </row>
    <row r="1021" spans="2:8">
      <c r="B1021" t="s">
        <v>463</v>
      </c>
      <c r="C1021" t="s">
        <v>188</v>
      </c>
      <c r="D1021">
        <v>4418</v>
      </c>
      <c r="E1021">
        <v>4420</v>
      </c>
      <c r="F1021">
        <v>4417</v>
      </c>
      <c r="G1021">
        <v>4418</v>
      </c>
      <c r="H1021">
        <v>29800</v>
      </c>
    </row>
    <row r="1022" spans="2:8">
      <c r="B1022" t="s">
        <v>463</v>
      </c>
      <c r="C1022" t="s">
        <v>189</v>
      </c>
      <c r="D1022">
        <v>4417</v>
      </c>
      <c r="E1022">
        <v>4417</v>
      </c>
      <c r="F1022">
        <v>4409</v>
      </c>
      <c r="G1022">
        <v>4417</v>
      </c>
      <c r="H1022">
        <v>42700</v>
      </c>
    </row>
    <row r="1023" spans="2:8">
      <c r="B1023" t="s">
        <v>463</v>
      </c>
      <c r="C1023" t="s">
        <v>190</v>
      </c>
      <c r="D1023">
        <v>4416</v>
      </c>
      <c r="E1023">
        <v>4418</v>
      </c>
      <c r="F1023">
        <v>4414</v>
      </c>
      <c r="G1023">
        <v>4416</v>
      </c>
      <c r="H1023">
        <v>13900</v>
      </c>
    </row>
    <row r="1024" spans="2:8">
      <c r="B1024" t="s">
        <v>463</v>
      </c>
      <c r="C1024" t="s">
        <v>191</v>
      </c>
      <c r="D1024">
        <v>4417</v>
      </c>
      <c r="E1024">
        <v>4420</v>
      </c>
      <c r="F1024">
        <v>4417</v>
      </c>
      <c r="G1024">
        <v>4418</v>
      </c>
      <c r="H1024">
        <v>14300</v>
      </c>
    </row>
    <row r="1025" spans="2:8">
      <c r="B1025" t="s">
        <v>463</v>
      </c>
      <c r="C1025" t="s">
        <v>192</v>
      </c>
      <c r="D1025">
        <v>4419</v>
      </c>
      <c r="E1025">
        <v>4420</v>
      </c>
      <c r="F1025">
        <v>4412</v>
      </c>
      <c r="G1025">
        <v>4414</v>
      </c>
      <c r="H1025">
        <v>17700</v>
      </c>
    </row>
    <row r="1026" spans="2:8">
      <c r="B1026" t="s">
        <v>463</v>
      </c>
      <c r="C1026" t="s">
        <v>193</v>
      </c>
      <c r="D1026">
        <v>4414</v>
      </c>
      <c r="E1026">
        <v>4415</v>
      </c>
      <c r="F1026">
        <v>4412</v>
      </c>
      <c r="G1026">
        <v>4412</v>
      </c>
      <c r="H1026">
        <v>6200</v>
      </c>
    </row>
    <row r="1027" spans="2:8">
      <c r="B1027" t="s">
        <v>463</v>
      </c>
      <c r="C1027" t="s">
        <v>194</v>
      </c>
      <c r="D1027">
        <v>4412</v>
      </c>
      <c r="E1027">
        <v>4413</v>
      </c>
      <c r="F1027">
        <v>4411</v>
      </c>
      <c r="G1027">
        <v>4412</v>
      </c>
      <c r="H1027">
        <v>9900</v>
      </c>
    </row>
    <row r="1028" spans="2:8">
      <c r="B1028" t="s">
        <v>463</v>
      </c>
      <c r="C1028" t="s">
        <v>195</v>
      </c>
      <c r="D1028">
        <v>4413</v>
      </c>
      <c r="E1028">
        <v>4414</v>
      </c>
      <c r="F1028">
        <v>4411</v>
      </c>
      <c r="G1028">
        <v>4413</v>
      </c>
      <c r="H1028">
        <v>14200</v>
      </c>
    </row>
    <row r="1029" spans="2:8">
      <c r="B1029" t="s">
        <v>463</v>
      </c>
      <c r="C1029" t="s">
        <v>196</v>
      </c>
      <c r="D1029">
        <v>4413</v>
      </c>
      <c r="E1029">
        <v>4413</v>
      </c>
      <c r="F1029">
        <v>4410</v>
      </c>
      <c r="G1029">
        <v>4413</v>
      </c>
      <c r="H1029">
        <v>17300</v>
      </c>
    </row>
    <row r="1030" spans="2:8">
      <c r="B1030" t="s">
        <v>463</v>
      </c>
      <c r="C1030" t="s">
        <v>197</v>
      </c>
      <c r="D1030">
        <v>4414</v>
      </c>
      <c r="E1030">
        <v>4418</v>
      </c>
      <c r="F1030">
        <v>4413</v>
      </c>
      <c r="G1030">
        <v>4418</v>
      </c>
      <c r="H1030">
        <v>32500</v>
      </c>
    </row>
    <row r="1031" spans="2:8">
      <c r="B1031" t="s">
        <v>463</v>
      </c>
      <c r="C1031" t="s">
        <v>198</v>
      </c>
      <c r="D1031">
        <v>4419</v>
      </c>
      <c r="E1031">
        <v>4419</v>
      </c>
      <c r="F1031">
        <v>4416</v>
      </c>
      <c r="G1031">
        <v>4419</v>
      </c>
      <c r="H1031">
        <v>7300</v>
      </c>
    </row>
    <row r="1032" spans="2:8">
      <c r="B1032" t="s">
        <v>463</v>
      </c>
      <c r="C1032" t="s">
        <v>199</v>
      </c>
      <c r="D1032">
        <v>4418</v>
      </c>
      <c r="E1032">
        <v>4419</v>
      </c>
      <c r="F1032">
        <v>4418</v>
      </c>
      <c r="G1032">
        <v>4419</v>
      </c>
      <c r="H1032">
        <v>12900</v>
      </c>
    </row>
    <row r="1033" spans="2:8">
      <c r="B1033" t="s">
        <v>463</v>
      </c>
      <c r="C1033" t="s">
        <v>200</v>
      </c>
      <c r="D1033">
        <v>4419</v>
      </c>
      <c r="E1033">
        <v>4425</v>
      </c>
      <c r="F1033">
        <v>4419</v>
      </c>
      <c r="G1033">
        <v>4422</v>
      </c>
      <c r="H1033">
        <v>60400</v>
      </c>
    </row>
    <row r="1034" spans="2:8">
      <c r="B1034" t="s">
        <v>463</v>
      </c>
      <c r="C1034" t="s">
        <v>201</v>
      </c>
      <c r="D1034">
        <v>4422</v>
      </c>
      <c r="E1034">
        <v>4422</v>
      </c>
      <c r="F1034">
        <v>4416</v>
      </c>
      <c r="G1034">
        <v>4421</v>
      </c>
      <c r="H1034">
        <v>16400</v>
      </c>
    </row>
    <row r="1035" spans="2:8">
      <c r="B1035" t="s">
        <v>463</v>
      </c>
      <c r="C1035" t="s">
        <v>202</v>
      </c>
      <c r="D1035">
        <v>4421</v>
      </c>
      <c r="E1035">
        <v>4424</v>
      </c>
      <c r="F1035">
        <v>4421</v>
      </c>
      <c r="G1035">
        <v>4424</v>
      </c>
      <c r="H1035">
        <v>9400</v>
      </c>
    </row>
    <row r="1036" spans="2:8">
      <c r="B1036" t="s">
        <v>463</v>
      </c>
      <c r="C1036" t="s">
        <v>203</v>
      </c>
      <c r="D1036">
        <v>4424</v>
      </c>
      <c r="E1036">
        <v>4427</v>
      </c>
      <c r="F1036">
        <v>4424</v>
      </c>
      <c r="G1036">
        <v>4427</v>
      </c>
      <c r="H1036">
        <v>22600</v>
      </c>
    </row>
    <row r="1037" spans="2:8">
      <c r="B1037" t="s">
        <v>463</v>
      </c>
      <c r="C1037" t="s">
        <v>204</v>
      </c>
      <c r="D1037">
        <v>4427</v>
      </c>
      <c r="E1037">
        <v>4428</v>
      </c>
      <c r="F1037">
        <v>4427</v>
      </c>
      <c r="G1037">
        <v>4428</v>
      </c>
      <c r="H1037">
        <v>12000</v>
      </c>
    </row>
    <row r="1038" spans="2:8">
      <c r="B1038" t="s">
        <v>463</v>
      </c>
      <c r="C1038" t="s">
        <v>205</v>
      </c>
      <c r="D1038">
        <v>4427</v>
      </c>
      <c r="E1038">
        <v>4429</v>
      </c>
      <c r="F1038">
        <v>4426</v>
      </c>
      <c r="G1038">
        <v>4429</v>
      </c>
      <c r="H1038">
        <v>23100</v>
      </c>
    </row>
    <row r="1039" spans="2:8">
      <c r="B1039" t="s">
        <v>463</v>
      </c>
      <c r="C1039" t="s">
        <v>206</v>
      </c>
      <c r="D1039">
        <v>4429</v>
      </c>
      <c r="E1039">
        <v>4430</v>
      </c>
      <c r="F1039">
        <v>4428</v>
      </c>
      <c r="G1039">
        <v>4430</v>
      </c>
      <c r="H1039">
        <v>17600</v>
      </c>
    </row>
    <row r="1040" spans="2:8">
      <c r="B1040" t="s">
        <v>463</v>
      </c>
      <c r="C1040" t="s">
        <v>207</v>
      </c>
      <c r="D1040">
        <v>4430</v>
      </c>
      <c r="E1040">
        <v>4432</v>
      </c>
      <c r="F1040">
        <v>4428</v>
      </c>
      <c r="G1040">
        <v>4432</v>
      </c>
      <c r="H1040">
        <v>12400</v>
      </c>
    </row>
    <row r="1041" spans="2:8">
      <c r="B1041" t="s">
        <v>463</v>
      </c>
      <c r="C1041" t="s">
        <v>208</v>
      </c>
      <c r="D1041">
        <v>4433</v>
      </c>
      <c r="E1041">
        <v>4434</v>
      </c>
      <c r="F1041">
        <v>4431</v>
      </c>
      <c r="G1041">
        <v>4432</v>
      </c>
      <c r="H1041">
        <v>33200</v>
      </c>
    </row>
    <row r="1042" spans="2:8">
      <c r="B1042" t="s">
        <v>463</v>
      </c>
      <c r="C1042" t="s">
        <v>209</v>
      </c>
      <c r="D1042">
        <v>4433</v>
      </c>
      <c r="E1042">
        <v>4434</v>
      </c>
      <c r="F1042">
        <v>4432</v>
      </c>
      <c r="G1042">
        <v>4433</v>
      </c>
      <c r="H1042">
        <v>4300</v>
      </c>
    </row>
    <row r="1043" spans="2:8">
      <c r="B1043" t="s">
        <v>463</v>
      </c>
      <c r="C1043" t="s">
        <v>210</v>
      </c>
      <c r="D1043">
        <v>4433</v>
      </c>
      <c r="E1043">
        <v>4435</v>
      </c>
      <c r="F1043">
        <v>4432</v>
      </c>
      <c r="G1043">
        <v>4433</v>
      </c>
      <c r="H1043">
        <v>18600</v>
      </c>
    </row>
    <row r="1044" spans="2:8">
      <c r="B1044" t="s">
        <v>463</v>
      </c>
      <c r="C1044" t="s">
        <v>211</v>
      </c>
      <c r="D1044">
        <v>4433</v>
      </c>
      <c r="E1044">
        <v>4435</v>
      </c>
      <c r="F1044">
        <v>4433</v>
      </c>
      <c r="G1044">
        <v>4434</v>
      </c>
      <c r="H1044">
        <v>12300</v>
      </c>
    </row>
    <row r="1045" spans="2:8">
      <c r="B1045" t="s">
        <v>463</v>
      </c>
      <c r="C1045" t="s">
        <v>212</v>
      </c>
      <c r="D1045">
        <v>4434</v>
      </c>
      <c r="E1045">
        <v>4434</v>
      </c>
      <c r="F1045">
        <v>4428</v>
      </c>
      <c r="G1045">
        <v>4430</v>
      </c>
      <c r="H1045">
        <v>20300</v>
      </c>
    </row>
    <row r="1046" spans="2:8">
      <c r="B1046" t="s">
        <v>463</v>
      </c>
      <c r="C1046" t="s">
        <v>213</v>
      </c>
      <c r="D1046">
        <v>4430</v>
      </c>
      <c r="E1046">
        <v>4433</v>
      </c>
      <c r="F1046">
        <v>4429</v>
      </c>
      <c r="G1046">
        <v>4432</v>
      </c>
      <c r="H1046">
        <v>12100</v>
      </c>
    </row>
    <row r="1047" spans="2:8">
      <c r="B1047" t="s">
        <v>463</v>
      </c>
      <c r="C1047" t="s">
        <v>214</v>
      </c>
      <c r="D1047">
        <v>4432</v>
      </c>
      <c r="E1047">
        <v>4432</v>
      </c>
      <c r="F1047">
        <v>4429</v>
      </c>
      <c r="G1047">
        <v>4430</v>
      </c>
      <c r="H1047">
        <v>6700</v>
      </c>
    </row>
    <row r="1048" spans="2:8">
      <c r="B1048" t="s">
        <v>463</v>
      </c>
      <c r="C1048" t="s">
        <v>215</v>
      </c>
      <c r="D1048">
        <v>4428</v>
      </c>
      <c r="E1048">
        <v>4431</v>
      </c>
      <c r="F1048">
        <v>4427</v>
      </c>
      <c r="G1048">
        <v>4431</v>
      </c>
      <c r="H1048">
        <v>8200</v>
      </c>
    </row>
    <row r="1049" spans="2:8">
      <c r="B1049" t="s">
        <v>463</v>
      </c>
      <c r="C1049" t="s">
        <v>216</v>
      </c>
      <c r="D1049">
        <v>4430</v>
      </c>
      <c r="E1049">
        <v>4430</v>
      </c>
      <c r="F1049">
        <v>4428</v>
      </c>
      <c r="G1049">
        <v>4429</v>
      </c>
      <c r="H1049">
        <v>8700</v>
      </c>
    </row>
    <row r="1050" spans="2:8">
      <c r="B1050" t="s">
        <v>463</v>
      </c>
      <c r="C1050" t="s">
        <v>217</v>
      </c>
      <c r="D1050">
        <v>4429</v>
      </c>
      <c r="E1050">
        <v>4429</v>
      </c>
      <c r="F1050">
        <v>4428</v>
      </c>
      <c r="G1050">
        <v>4429</v>
      </c>
      <c r="H1050">
        <v>8800</v>
      </c>
    </row>
    <row r="1051" spans="2:8">
      <c r="B1051" t="s">
        <v>463</v>
      </c>
      <c r="C1051" t="s">
        <v>218</v>
      </c>
      <c r="D1051">
        <v>4429</v>
      </c>
      <c r="E1051">
        <v>4434</v>
      </c>
      <c r="F1051">
        <v>4429</v>
      </c>
      <c r="G1051">
        <v>4433</v>
      </c>
      <c r="H1051">
        <v>15800</v>
      </c>
    </row>
    <row r="1052" spans="2:8">
      <c r="B1052" t="s">
        <v>463</v>
      </c>
      <c r="C1052" t="s">
        <v>219</v>
      </c>
      <c r="D1052">
        <v>4434</v>
      </c>
      <c r="E1052">
        <v>4434</v>
      </c>
      <c r="F1052">
        <v>4431</v>
      </c>
      <c r="G1052">
        <v>4431</v>
      </c>
      <c r="H1052">
        <v>5100</v>
      </c>
    </row>
    <row r="1053" spans="2:8">
      <c r="B1053" t="s">
        <v>463</v>
      </c>
      <c r="C1053" t="s">
        <v>220</v>
      </c>
      <c r="D1053">
        <v>4431</v>
      </c>
      <c r="E1053">
        <v>4433</v>
      </c>
      <c r="F1053">
        <v>4431</v>
      </c>
      <c r="G1053">
        <v>4433</v>
      </c>
      <c r="H1053">
        <v>4900</v>
      </c>
    </row>
    <row r="1054" spans="2:8">
      <c r="B1054" t="s">
        <v>463</v>
      </c>
      <c r="C1054" t="s">
        <v>221</v>
      </c>
      <c r="D1054">
        <v>4432</v>
      </c>
      <c r="E1054">
        <v>4433</v>
      </c>
      <c r="F1054">
        <v>4431</v>
      </c>
      <c r="G1054">
        <v>4431</v>
      </c>
      <c r="H1054">
        <v>10300</v>
      </c>
    </row>
    <row r="1055" spans="2:8">
      <c r="B1055" t="s">
        <v>463</v>
      </c>
      <c r="C1055" t="s">
        <v>222</v>
      </c>
      <c r="D1055">
        <v>4431</v>
      </c>
      <c r="E1055">
        <v>4433</v>
      </c>
      <c r="F1055">
        <v>4429</v>
      </c>
      <c r="G1055">
        <v>4433</v>
      </c>
      <c r="H1055">
        <v>10300</v>
      </c>
    </row>
    <row r="1056" spans="2:8">
      <c r="B1056" t="s">
        <v>463</v>
      </c>
      <c r="C1056" t="s">
        <v>223</v>
      </c>
      <c r="D1056">
        <v>4433</v>
      </c>
      <c r="E1056">
        <v>4434</v>
      </c>
      <c r="F1056">
        <v>4432</v>
      </c>
      <c r="G1056">
        <v>4433</v>
      </c>
      <c r="H1056">
        <v>7300</v>
      </c>
    </row>
    <row r="1057" spans="2:8">
      <c r="B1057" t="s">
        <v>463</v>
      </c>
      <c r="C1057" t="s">
        <v>224</v>
      </c>
      <c r="D1057">
        <v>4433</v>
      </c>
      <c r="E1057">
        <v>4434</v>
      </c>
      <c r="F1057">
        <v>4431</v>
      </c>
      <c r="G1057">
        <v>4434</v>
      </c>
      <c r="H1057">
        <v>14500</v>
      </c>
    </row>
    <row r="1058" spans="2:8">
      <c r="B1058" t="s">
        <v>463</v>
      </c>
      <c r="C1058" t="s">
        <v>225</v>
      </c>
      <c r="D1058">
        <v>4435</v>
      </c>
      <c r="E1058">
        <v>4436</v>
      </c>
      <c r="F1058">
        <v>4435</v>
      </c>
      <c r="G1058">
        <v>4436</v>
      </c>
      <c r="H1058">
        <v>12800</v>
      </c>
    </row>
    <row r="1059" spans="2:8">
      <c r="B1059" t="s">
        <v>463</v>
      </c>
      <c r="C1059" t="s">
        <v>226</v>
      </c>
      <c r="D1059">
        <v>4435</v>
      </c>
      <c r="E1059">
        <v>4436</v>
      </c>
      <c r="F1059">
        <v>4429</v>
      </c>
      <c r="G1059">
        <v>4429</v>
      </c>
      <c r="H1059">
        <v>17400</v>
      </c>
    </row>
    <row r="1060" spans="2:8">
      <c r="B1060" t="s">
        <v>463</v>
      </c>
      <c r="C1060" t="s">
        <v>227</v>
      </c>
      <c r="D1060">
        <v>4429</v>
      </c>
      <c r="E1060">
        <v>4429</v>
      </c>
      <c r="F1060">
        <v>4424</v>
      </c>
      <c r="G1060">
        <v>4426</v>
      </c>
      <c r="H1060">
        <v>23700</v>
      </c>
    </row>
    <row r="1061" spans="2:8">
      <c r="B1061" t="s">
        <v>463</v>
      </c>
      <c r="C1061" t="s">
        <v>228</v>
      </c>
      <c r="D1061">
        <v>4427</v>
      </c>
      <c r="E1061">
        <v>4429</v>
      </c>
      <c r="F1061">
        <v>4427</v>
      </c>
      <c r="G1061">
        <v>4428</v>
      </c>
      <c r="H1061">
        <v>8600</v>
      </c>
    </row>
    <row r="1062" spans="2:8">
      <c r="B1062" t="s">
        <v>463</v>
      </c>
      <c r="C1062" t="s">
        <v>229</v>
      </c>
      <c r="D1062">
        <v>4428</v>
      </c>
      <c r="E1062">
        <v>4428</v>
      </c>
      <c r="F1062">
        <v>4427</v>
      </c>
      <c r="G1062">
        <v>4427</v>
      </c>
      <c r="H1062">
        <v>8400</v>
      </c>
    </row>
    <row r="1063" spans="2:8">
      <c r="B1063" t="s">
        <v>463</v>
      </c>
      <c r="C1063" t="s">
        <v>230</v>
      </c>
      <c r="D1063">
        <v>4428</v>
      </c>
      <c r="E1063">
        <v>4431</v>
      </c>
      <c r="F1063">
        <v>4428</v>
      </c>
      <c r="G1063">
        <v>4430</v>
      </c>
      <c r="H1063">
        <v>13900</v>
      </c>
    </row>
    <row r="1064" spans="2:8">
      <c r="B1064" t="s">
        <v>463</v>
      </c>
      <c r="C1064" t="s">
        <v>231</v>
      </c>
      <c r="D1064">
        <v>4431</v>
      </c>
      <c r="E1064">
        <v>4431</v>
      </c>
      <c r="F1064">
        <v>4426</v>
      </c>
      <c r="G1064">
        <v>4431</v>
      </c>
      <c r="H1064">
        <v>16700</v>
      </c>
    </row>
    <row r="1065" spans="2:8">
      <c r="B1065" t="s">
        <v>463</v>
      </c>
      <c r="C1065" t="s">
        <v>232</v>
      </c>
      <c r="D1065">
        <v>4431</v>
      </c>
      <c r="E1065">
        <v>4434</v>
      </c>
      <c r="F1065">
        <v>4431</v>
      </c>
      <c r="G1065">
        <v>4432</v>
      </c>
      <c r="H1065">
        <v>13000</v>
      </c>
    </row>
    <row r="1066" spans="2:8">
      <c r="B1066" t="s">
        <v>463</v>
      </c>
      <c r="C1066" t="s">
        <v>233</v>
      </c>
      <c r="D1066">
        <v>4434</v>
      </c>
      <c r="E1066">
        <v>4434</v>
      </c>
      <c r="F1066">
        <v>4431</v>
      </c>
      <c r="G1066">
        <v>4432</v>
      </c>
      <c r="H1066">
        <v>9200</v>
      </c>
    </row>
    <row r="1067" spans="2:8">
      <c r="B1067" t="s">
        <v>463</v>
      </c>
      <c r="C1067" t="s">
        <v>234</v>
      </c>
      <c r="D1067">
        <v>4433</v>
      </c>
      <c r="E1067">
        <v>4434</v>
      </c>
      <c r="F1067">
        <v>4432</v>
      </c>
      <c r="G1067">
        <v>4434</v>
      </c>
      <c r="H1067">
        <v>9100</v>
      </c>
    </row>
    <row r="1068" spans="2:8">
      <c r="B1068" t="s">
        <v>463</v>
      </c>
      <c r="C1068" t="s">
        <v>235</v>
      </c>
      <c r="D1068">
        <v>4434</v>
      </c>
      <c r="E1068">
        <v>4438</v>
      </c>
      <c r="F1068">
        <v>4433</v>
      </c>
      <c r="G1068">
        <v>4438</v>
      </c>
      <c r="H1068">
        <v>182100</v>
      </c>
    </row>
    <row r="1069" spans="2:8">
      <c r="B1069" t="s">
        <v>463</v>
      </c>
      <c r="C1069" t="s">
        <v>236</v>
      </c>
      <c r="D1069">
        <v>4437</v>
      </c>
      <c r="E1069">
        <v>4438</v>
      </c>
      <c r="F1069">
        <v>4436</v>
      </c>
      <c r="G1069">
        <v>4437</v>
      </c>
      <c r="H1069">
        <v>8500</v>
      </c>
    </row>
    <row r="1070" spans="2:8">
      <c r="B1070" t="s">
        <v>463</v>
      </c>
      <c r="C1070" t="s">
        <v>237</v>
      </c>
      <c r="D1070">
        <v>4438</v>
      </c>
      <c r="E1070">
        <v>4440</v>
      </c>
      <c r="F1070">
        <v>4437</v>
      </c>
      <c r="G1070">
        <v>4438</v>
      </c>
      <c r="H1070">
        <v>29800</v>
      </c>
    </row>
    <row r="1071" spans="2:8">
      <c r="B1071" t="s">
        <v>463</v>
      </c>
      <c r="C1071" t="s">
        <v>238</v>
      </c>
      <c r="D1071">
        <v>4437</v>
      </c>
      <c r="E1071">
        <v>4439</v>
      </c>
      <c r="F1071">
        <v>4436</v>
      </c>
      <c r="G1071">
        <v>4436</v>
      </c>
      <c r="H1071">
        <v>23500</v>
      </c>
    </row>
    <row r="1072" spans="2:8">
      <c r="B1072" t="s">
        <v>463</v>
      </c>
      <c r="C1072" t="s">
        <v>239</v>
      </c>
      <c r="D1072">
        <v>4437</v>
      </c>
      <c r="E1072">
        <v>4439</v>
      </c>
      <c r="F1072">
        <v>4436</v>
      </c>
      <c r="G1072">
        <v>4439</v>
      </c>
      <c r="H1072">
        <v>21300</v>
      </c>
    </row>
    <row r="1073" spans="2:8">
      <c r="B1073" t="s">
        <v>463</v>
      </c>
      <c r="C1073" t="s">
        <v>240</v>
      </c>
      <c r="D1073">
        <v>4439</v>
      </c>
      <c r="E1073">
        <v>4440</v>
      </c>
      <c r="F1073">
        <v>4439</v>
      </c>
      <c r="G1073">
        <v>4439</v>
      </c>
      <c r="H1073">
        <v>16300</v>
      </c>
    </row>
    <row r="1074" spans="2:8">
      <c r="B1074" t="s">
        <v>463</v>
      </c>
      <c r="C1074" t="s">
        <v>241</v>
      </c>
      <c r="D1074">
        <v>4439</v>
      </c>
      <c r="E1074">
        <v>4441</v>
      </c>
      <c r="F1074">
        <v>4438</v>
      </c>
      <c r="G1074">
        <v>4441</v>
      </c>
      <c r="H1074">
        <v>18800</v>
      </c>
    </row>
    <row r="1075" spans="2:8">
      <c r="B1075" t="s">
        <v>463</v>
      </c>
      <c r="C1075" t="s">
        <v>242</v>
      </c>
      <c r="D1075">
        <v>4441</v>
      </c>
      <c r="E1075">
        <v>4443</v>
      </c>
      <c r="F1075">
        <v>4440</v>
      </c>
      <c r="G1075">
        <v>4441</v>
      </c>
      <c r="H1075">
        <v>24300</v>
      </c>
    </row>
    <row r="1076" spans="2:8">
      <c r="B1076" t="s">
        <v>463</v>
      </c>
      <c r="C1076" t="s">
        <v>243</v>
      </c>
      <c r="D1076">
        <v>4441</v>
      </c>
      <c r="E1076">
        <v>4444</v>
      </c>
      <c r="F1076">
        <v>4440</v>
      </c>
      <c r="G1076">
        <v>4442</v>
      </c>
      <c r="H1076">
        <v>10100</v>
      </c>
    </row>
    <row r="1077" spans="2:8">
      <c r="B1077" t="s">
        <v>463</v>
      </c>
      <c r="C1077" t="s">
        <v>244</v>
      </c>
      <c r="D1077">
        <v>4442</v>
      </c>
      <c r="E1077">
        <v>4443</v>
      </c>
      <c r="F1077">
        <v>4442</v>
      </c>
      <c r="G1077">
        <v>4442</v>
      </c>
      <c r="H1077">
        <v>22700</v>
      </c>
    </row>
    <row r="1078" spans="2:8">
      <c r="B1078" t="s">
        <v>463</v>
      </c>
      <c r="C1078" t="s">
        <v>245</v>
      </c>
      <c r="D1078">
        <v>4442</v>
      </c>
      <c r="E1078">
        <v>4446</v>
      </c>
      <c r="F1078">
        <v>4442</v>
      </c>
      <c r="G1078">
        <v>4446</v>
      </c>
      <c r="H1078">
        <v>41800</v>
      </c>
    </row>
    <row r="1079" spans="2:8">
      <c r="B1079" t="s">
        <v>463</v>
      </c>
      <c r="C1079" t="s">
        <v>246</v>
      </c>
      <c r="D1079">
        <v>4445</v>
      </c>
      <c r="E1079">
        <v>4450</v>
      </c>
      <c r="F1079">
        <v>4445</v>
      </c>
      <c r="G1079">
        <v>4449</v>
      </c>
      <c r="H1079">
        <v>37100</v>
      </c>
    </row>
    <row r="1080" spans="2:8">
      <c r="B1080" t="s">
        <v>463</v>
      </c>
      <c r="C1080" t="s">
        <v>247</v>
      </c>
      <c r="D1080">
        <v>4450</v>
      </c>
      <c r="E1080">
        <v>4452</v>
      </c>
      <c r="F1080">
        <v>4449</v>
      </c>
      <c r="G1080">
        <v>4449</v>
      </c>
      <c r="H1080">
        <v>52000</v>
      </c>
    </row>
    <row r="1081" spans="2:8">
      <c r="B1081" t="s">
        <v>463</v>
      </c>
      <c r="C1081" t="s">
        <v>248</v>
      </c>
      <c r="D1081">
        <v>4448</v>
      </c>
      <c r="E1081">
        <v>4450</v>
      </c>
      <c r="F1081">
        <v>4448</v>
      </c>
      <c r="G1081">
        <v>4450</v>
      </c>
      <c r="H1081">
        <v>5700</v>
      </c>
    </row>
    <row r="1082" spans="2:8">
      <c r="B1082" t="s">
        <v>463</v>
      </c>
      <c r="C1082" t="s">
        <v>249</v>
      </c>
      <c r="D1082">
        <v>4450</v>
      </c>
      <c r="E1082">
        <v>4452</v>
      </c>
      <c r="F1082">
        <v>4449</v>
      </c>
      <c r="G1082">
        <v>4452</v>
      </c>
      <c r="H1082">
        <v>22800</v>
      </c>
    </row>
    <row r="1083" spans="2:8">
      <c r="B1083" t="s">
        <v>463</v>
      </c>
      <c r="C1083" t="s">
        <v>250</v>
      </c>
      <c r="D1083">
        <v>4451</v>
      </c>
      <c r="E1083">
        <v>4452</v>
      </c>
      <c r="F1083">
        <v>4446</v>
      </c>
      <c r="G1083">
        <v>4447</v>
      </c>
      <c r="H1083">
        <v>19800</v>
      </c>
    </row>
    <row r="1084" spans="2:8">
      <c r="B1084" t="s">
        <v>463</v>
      </c>
      <c r="C1084" t="s">
        <v>251</v>
      </c>
      <c r="D1084">
        <v>4448</v>
      </c>
      <c r="E1084">
        <v>4450</v>
      </c>
      <c r="F1084">
        <v>4448</v>
      </c>
      <c r="G1084">
        <v>4450</v>
      </c>
      <c r="H1084">
        <v>14300</v>
      </c>
    </row>
    <row r="1085" spans="2:8">
      <c r="B1085" t="s">
        <v>463</v>
      </c>
      <c r="C1085" t="s">
        <v>252</v>
      </c>
      <c r="D1085">
        <v>4450</v>
      </c>
      <c r="E1085">
        <v>4450</v>
      </c>
      <c r="F1085">
        <v>4447</v>
      </c>
      <c r="G1085">
        <v>4448</v>
      </c>
      <c r="H1085">
        <v>6200</v>
      </c>
    </row>
    <row r="1086" spans="2:8">
      <c r="B1086" t="s">
        <v>463</v>
      </c>
      <c r="C1086" t="s">
        <v>253</v>
      </c>
      <c r="D1086">
        <v>4449</v>
      </c>
      <c r="E1086">
        <v>4450</v>
      </c>
      <c r="F1086">
        <v>4447</v>
      </c>
      <c r="G1086">
        <v>4448</v>
      </c>
      <c r="H1086">
        <v>9300</v>
      </c>
    </row>
    <row r="1087" spans="2:8">
      <c r="B1087" t="s">
        <v>463</v>
      </c>
      <c r="C1087" t="s">
        <v>254</v>
      </c>
      <c r="D1087">
        <v>4448</v>
      </c>
      <c r="E1087">
        <v>4449</v>
      </c>
      <c r="F1087">
        <v>4448</v>
      </c>
      <c r="G1087">
        <v>4449</v>
      </c>
      <c r="H1087">
        <v>2600</v>
      </c>
    </row>
    <row r="1088" spans="2:8">
      <c r="B1088" t="s">
        <v>463</v>
      </c>
      <c r="C1088" t="s">
        <v>255</v>
      </c>
      <c r="D1088">
        <v>4448</v>
      </c>
      <c r="E1088">
        <v>4450</v>
      </c>
      <c r="F1088">
        <v>4448</v>
      </c>
      <c r="G1088">
        <v>4450</v>
      </c>
      <c r="H1088">
        <v>5100</v>
      </c>
    </row>
    <row r="1089" spans="2:8">
      <c r="B1089" t="s">
        <v>463</v>
      </c>
      <c r="C1089" t="s">
        <v>256</v>
      </c>
      <c r="D1089">
        <v>4450</v>
      </c>
      <c r="E1089">
        <v>4452</v>
      </c>
      <c r="F1089">
        <v>4449</v>
      </c>
      <c r="G1089">
        <v>4452</v>
      </c>
      <c r="H1089">
        <v>10900</v>
      </c>
    </row>
    <row r="1090" spans="2:8">
      <c r="B1090" t="s">
        <v>463</v>
      </c>
      <c r="C1090" t="s">
        <v>257</v>
      </c>
      <c r="D1090">
        <v>4452</v>
      </c>
      <c r="E1090">
        <v>4455</v>
      </c>
      <c r="F1090">
        <v>4451</v>
      </c>
      <c r="G1090">
        <v>4453</v>
      </c>
      <c r="H1090">
        <v>27800</v>
      </c>
    </row>
    <row r="1091" spans="2:8">
      <c r="B1091" t="s">
        <v>463</v>
      </c>
      <c r="C1091" t="s">
        <v>258</v>
      </c>
      <c r="D1091">
        <v>4453</v>
      </c>
      <c r="E1091">
        <v>4453</v>
      </c>
      <c r="F1091">
        <v>4451</v>
      </c>
      <c r="G1091">
        <v>4453</v>
      </c>
      <c r="H1091">
        <v>7100</v>
      </c>
    </row>
    <row r="1092" spans="2:8">
      <c r="B1092" t="s">
        <v>463</v>
      </c>
      <c r="C1092" t="s">
        <v>259</v>
      </c>
      <c r="D1092">
        <v>4452</v>
      </c>
      <c r="E1092">
        <v>4452</v>
      </c>
      <c r="F1092">
        <v>4446</v>
      </c>
      <c r="G1092">
        <v>4448</v>
      </c>
      <c r="H1092">
        <v>55100</v>
      </c>
    </row>
    <row r="1093" spans="2:8">
      <c r="B1093" t="s">
        <v>463</v>
      </c>
      <c r="C1093" t="s">
        <v>260</v>
      </c>
      <c r="D1093">
        <v>4448</v>
      </c>
      <c r="E1093">
        <v>4448</v>
      </c>
      <c r="F1093">
        <v>4445</v>
      </c>
      <c r="G1093">
        <v>4447</v>
      </c>
      <c r="H1093">
        <v>17800</v>
      </c>
    </row>
    <row r="1094" spans="2:8">
      <c r="B1094" t="s">
        <v>463</v>
      </c>
      <c r="C1094" t="s">
        <v>261</v>
      </c>
      <c r="D1094">
        <v>4446</v>
      </c>
      <c r="E1094">
        <v>4446</v>
      </c>
      <c r="F1094">
        <v>4442</v>
      </c>
      <c r="G1094">
        <v>4443</v>
      </c>
      <c r="H1094">
        <v>8500</v>
      </c>
    </row>
    <row r="1095" spans="2:8">
      <c r="B1095" t="s">
        <v>463</v>
      </c>
      <c r="C1095" t="s">
        <v>262</v>
      </c>
      <c r="D1095">
        <v>4443</v>
      </c>
      <c r="E1095">
        <v>4446</v>
      </c>
      <c r="F1095">
        <v>4443</v>
      </c>
      <c r="G1095">
        <v>4446</v>
      </c>
      <c r="H1095">
        <v>6100</v>
      </c>
    </row>
    <row r="1096" spans="2:8">
      <c r="B1096" t="s">
        <v>463</v>
      </c>
      <c r="C1096" t="s">
        <v>263</v>
      </c>
      <c r="D1096">
        <v>4444</v>
      </c>
      <c r="E1096">
        <v>4445</v>
      </c>
      <c r="F1096">
        <v>4441</v>
      </c>
      <c r="G1096">
        <v>4441</v>
      </c>
      <c r="H1096">
        <v>29000</v>
      </c>
    </row>
    <row r="1097" spans="2:8">
      <c r="B1097" t="s">
        <v>463</v>
      </c>
      <c r="C1097" t="s">
        <v>264</v>
      </c>
      <c r="D1097">
        <v>4442</v>
      </c>
      <c r="E1097">
        <v>4445</v>
      </c>
      <c r="F1097">
        <v>4442</v>
      </c>
      <c r="G1097">
        <v>4444</v>
      </c>
      <c r="H1097">
        <v>23100</v>
      </c>
    </row>
    <row r="1098" spans="2:8">
      <c r="B1098" t="s">
        <v>463</v>
      </c>
      <c r="C1098" t="s">
        <v>265</v>
      </c>
      <c r="D1098">
        <v>4444</v>
      </c>
      <c r="E1098">
        <v>4445</v>
      </c>
      <c r="F1098">
        <v>4442</v>
      </c>
      <c r="G1098">
        <v>4443</v>
      </c>
      <c r="H1098">
        <v>11300</v>
      </c>
    </row>
    <row r="1099" spans="2:8">
      <c r="B1099" t="s">
        <v>463</v>
      </c>
      <c r="C1099" t="s">
        <v>266</v>
      </c>
      <c r="D1099">
        <v>4442</v>
      </c>
      <c r="E1099">
        <v>4444</v>
      </c>
      <c r="F1099">
        <v>4440</v>
      </c>
      <c r="G1099">
        <v>4440</v>
      </c>
      <c r="H1099">
        <v>5700</v>
      </c>
    </row>
    <row r="1100" spans="2:8">
      <c r="B1100" t="s">
        <v>463</v>
      </c>
      <c r="C1100" t="s">
        <v>267</v>
      </c>
      <c r="D1100">
        <v>4440</v>
      </c>
      <c r="E1100">
        <v>4440</v>
      </c>
      <c r="F1100">
        <v>4438</v>
      </c>
      <c r="G1100">
        <v>4439</v>
      </c>
      <c r="H1100">
        <v>6800</v>
      </c>
    </row>
    <row r="1101" spans="2:8">
      <c r="B1101" t="s">
        <v>463</v>
      </c>
      <c r="C1101" t="s">
        <v>268</v>
      </c>
      <c r="D1101">
        <v>4440</v>
      </c>
      <c r="E1101">
        <v>4441</v>
      </c>
      <c r="F1101">
        <v>4440</v>
      </c>
      <c r="G1101">
        <v>4440</v>
      </c>
      <c r="H1101">
        <v>8200</v>
      </c>
    </row>
    <row r="1102" spans="2:8">
      <c r="B1102" t="s">
        <v>463</v>
      </c>
      <c r="C1102" t="s">
        <v>269</v>
      </c>
      <c r="D1102">
        <v>4439</v>
      </c>
      <c r="E1102">
        <v>4440</v>
      </c>
      <c r="F1102">
        <v>4437</v>
      </c>
      <c r="G1102">
        <v>4439</v>
      </c>
      <c r="H1102">
        <v>7700</v>
      </c>
    </row>
    <row r="1103" spans="2:8">
      <c r="B1103" t="s">
        <v>463</v>
      </c>
      <c r="C1103" t="s">
        <v>270</v>
      </c>
      <c r="D1103">
        <v>4438</v>
      </c>
      <c r="E1103">
        <v>4440</v>
      </c>
      <c r="F1103">
        <v>4438</v>
      </c>
      <c r="G1103">
        <v>4439</v>
      </c>
      <c r="H1103">
        <v>3900</v>
      </c>
    </row>
    <row r="1104" spans="2:8">
      <c r="B1104" t="s">
        <v>463</v>
      </c>
      <c r="C1104" t="s">
        <v>271</v>
      </c>
      <c r="D1104">
        <v>4440</v>
      </c>
      <c r="E1104">
        <v>4441</v>
      </c>
      <c r="F1104">
        <v>4439</v>
      </c>
      <c r="G1104">
        <v>4439</v>
      </c>
      <c r="H1104">
        <v>12000</v>
      </c>
    </row>
    <row r="1105" spans="2:8">
      <c r="B1105" t="s">
        <v>463</v>
      </c>
      <c r="C1105" t="s">
        <v>272</v>
      </c>
      <c r="D1105">
        <v>4438</v>
      </c>
      <c r="E1105">
        <v>4439</v>
      </c>
      <c r="F1105">
        <v>4437</v>
      </c>
      <c r="G1105">
        <v>4439</v>
      </c>
      <c r="H1105">
        <v>13800</v>
      </c>
    </row>
    <row r="1106" spans="2:8">
      <c r="B1106" t="s">
        <v>463</v>
      </c>
      <c r="C1106" t="s">
        <v>273</v>
      </c>
      <c r="D1106">
        <v>4439</v>
      </c>
      <c r="E1106">
        <v>4440</v>
      </c>
      <c r="F1106">
        <v>4439</v>
      </c>
      <c r="G1106">
        <v>4440</v>
      </c>
      <c r="H1106">
        <v>3800</v>
      </c>
    </row>
    <row r="1107" spans="2:8">
      <c r="B1107" t="s">
        <v>463</v>
      </c>
      <c r="C1107" t="s">
        <v>274</v>
      </c>
      <c r="D1107">
        <v>4440</v>
      </c>
      <c r="E1107">
        <v>4441</v>
      </c>
      <c r="F1107">
        <v>4438</v>
      </c>
      <c r="G1107">
        <v>4439</v>
      </c>
      <c r="H1107">
        <v>7500</v>
      </c>
    </row>
    <row r="1108" spans="2:8">
      <c r="B1108" t="s">
        <v>463</v>
      </c>
      <c r="C1108" t="s">
        <v>275</v>
      </c>
      <c r="D1108">
        <v>4440</v>
      </c>
      <c r="E1108">
        <v>4440</v>
      </c>
      <c r="F1108">
        <v>4432</v>
      </c>
      <c r="G1108">
        <v>4432</v>
      </c>
      <c r="H1108">
        <v>22000</v>
      </c>
    </row>
    <row r="1109" spans="2:8">
      <c r="B1109" t="s">
        <v>463</v>
      </c>
      <c r="C1109" t="s">
        <v>276</v>
      </c>
      <c r="D1109">
        <v>4432</v>
      </c>
      <c r="E1109">
        <v>4433</v>
      </c>
      <c r="F1109">
        <v>4431</v>
      </c>
      <c r="G1109">
        <v>4431</v>
      </c>
      <c r="H1109">
        <v>13800</v>
      </c>
    </row>
    <row r="1110" spans="2:8">
      <c r="B1110" t="s">
        <v>463</v>
      </c>
      <c r="C1110" t="s">
        <v>277</v>
      </c>
      <c r="D1110">
        <v>4431</v>
      </c>
      <c r="E1110">
        <v>4431</v>
      </c>
      <c r="F1110">
        <v>4428</v>
      </c>
      <c r="G1110">
        <v>4429</v>
      </c>
      <c r="H1110">
        <v>20400</v>
      </c>
    </row>
    <row r="1111" spans="2:8">
      <c r="B1111" t="s">
        <v>463</v>
      </c>
      <c r="C1111" t="s">
        <v>278</v>
      </c>
      <c r="D1111">
        <v>4429</v>
      </c>
      <c r="E1111">
        <v>4431</v>
      </c>
      <c r="F1111">
        <v>4428</v>
      </c>
      <c r="G1111">
        <v>4429</v>
      </c>
      <c r="H1111">
        <v>14300</v>
      </c>
    </row>
    <row r="1112" spans="2:8">
      <c r="B1112" t="s">
        <v>463</v>
      </c>
      <c r="C1112" t="s">
        <v>279</v>
      </c>
      <c r="D1112">
        <v>4428</v>
      </c>
      <c r="E1112">
        <v>4428</v>
      </c>
      <c r="F1112">
        <v>4428</v>
      </c>
      <c r="G1112">
        <v>4428</v>
      </c>
      <c r="H1112">
        <v>3000</v>
      </c>
    </row>
    <row r="1113" spans="2:8">
      <c r="B1113" t="s">
        <v>463</v>
      </c>
      <c r="C1113" t="s">
        <v>280</v>
      </c>
      <c r="D1113">
        <v>4429</v>
      </c>
      <c r="E1113">
        <v>4432</v>
      </c>
      <c r="F1113">
        <v>4429</v>
      </c>
      <c r="G1113">
        <v>4432</v>
      </c>
      <c r="H1113">
        <v>8500</v>
      </c>
    </row>
    <row r="1114" spans="2:8">
      <c r="B1114" t="s">
        <v>463</v>
      </c>
      <c r="C1114" t="s">
        <v>281</v>
      </c>
      <c r="D1114">
        <v>4432</v>
      </c>
      <c r="E1114">
        <v>4432</v>
      </c>
      <c r="F1114">
        <v>4430</v>
      </c>
      <c r="G1114">
        <v>4431</v>
      </c>
      <c r="H1114">
        <v>8400</v>
      </c>
    </row>
    <row r="1115" spans="2:8">
      <c r="B1115" t="s">
        <v>463</v>
      </c>
      <c r="C1115" t="s">
        <v>282</v>
      </c>
      <c r="D1115">
        <v>4432</v>
      </c>
      <c r="E1115">
        <v>4433</v>
      </c>
      <c r="F1115">
        <v>4432</v>
      </c>
      <c r="G1115">
        <v>4433</v>
      </c>
      <c r="H1115">
        <v>1000</v>
      </c>
    </row>
    <row r="1116" spans="2:8">
      <c r="B1116" t="s">
        <v>463</v>
      </c>
      <c r="C1116" t="s">
        <v>283</v>
      </c>
      <c r="D1116">
        <v>4433</v>
      </c>
      <c r="E1116">
        <v>4433</v>
      </c>
      <c r="F1116">
        <v>4433</v>
      </c>
      <c r="G1116">
        <v>4433</v>
      </c>
      <c r="H1116">
        <v>3800</v>
      </c>
    </row>
    <row r="1117" spans="2:8">
      <c r="B1117" t="s">
        <v>463</v>
      </c>
      <c r="C1117" t="s">
        <v>284</v>
      </c>
      <c r="D1117">
        <v>4432</v>
      </c>
      <c r="E1117">
        <v>4432</v>
      </c>
      <c r="F1117">
        <v>4429</v>
      </c>
      <c r="G1117">
        <v>4430</v>
      </c>
      <c r="H1117">
        <v>12400</v>
      </c>
    </row>
    <row r="1118" spans="2:8">
      <c r="B1118" t="s">
        <v>463</v>
      </c>
      <c r="C1118" t="s">
        <v>285</v>
      </c>
      <c r="D1118">
        <v>4430</v>
      </c>
      <c r="E1118">
        <v>4431</v>
      </c>
      <c r="F1118">
        <v>4429</v>
      </c>
      <c r="G1118">
        <v>4429</v>
      </c>
      <c r="H1118">
        <v>12700</v>
      </c>
    </row>
    <row r="1119" spans="2:8">
      <c r="B1119" t="s">
        <v>463</v>
      </c>
      <c r="C1119" t="s">
        <v>286</v>
      </c>
      <c r="D1119">
        <v>4429</v>
      </c>
      <c r="E1119">
        <v>4436</v>
      </c>
      <c r="F1119">
        <v>4429</v>
      </c>
      <c r="G1119">
        <v>4436</v>
      </c>
      <c r="H1119">
        <v>13300</v>
      </c>
    </row>
    <row r="1120" spans="2:8">
      <c r="B1120" t="s">
        <v>463</v>
      </c>
      <c r="C1120" t="s">
        <v>287</v>
      </c>
      <c r="D1120">
        <v>4435</v>
      </c>
      <c r="E1120">
        <v>4438</v>
      </c>
      <c r="F1120">
        <v>4434</v>
      </c>
      <c r="G1120">
        <v>4436</v>
      </c>
      <c r="H1120">
        <v>14800</v>
      </c>
    </row>
    <row r="1121" spans="2:8">
      <c r="B1121" t="s">
        <v>463</v>
      </c>
      <c r="C1121" t="s">
        <v>288</v>
      </c>
      <c r="D1121">
        <v>4436</v>
      </c>
      <c r="E1121">
        <v>4441</v>
      </c>
      <c r="F1121">
        <v>4436</v>
      </c>
      <c r="G1121">
        <v>4440</v>
      </c>
      <c r="H1121">
        <v>15300</v>
      </c>
    </row>
    <row r="1122" spans="2:8">
      <c r="B1122" t="s">
        <v>463</v>
      </c>
      <c r="C1122" t="s">
        <v>289</v>
      </c>
      <c r="D1122">
        <v>4440</v>
      </c>
      <c r="E1122">
        <v>4442</v>
      </c>
      <c r="F1122">
        <v>4439</v>
      </c>
      <c r="G1122">
        <v>4442</v>
      </c>
      <c r="H1122">
        <v>4700</v>
      </c>
    </row>
    <row r="1123" spans="2:8">
      <c r="B1123" t="s">
        <v>463</v>
      </c>
      <c r="C1123" t="s">
        <v>290</v>
      </c>
      <c r="D1123">
        <v>4441</v>
      </c>
      <c r="E1123">
        <v>4443</v>
      </c>
      <c r="F1123">
        <v>4441</v>
      </c>
      <c r="G1123">
        <v>4441</v>
      </c>
      <c r="H1123">
        <v>6700</v>
      </c>
    </row>
    <row r="1124" spans="2:8">
      <c r="B1124" t="s">
        <v>463</v>
      </c>
      <c r="C1124" t="s">
        <v>291</v>
      </c>
      <c r="D1124">
        <v>4443</v>
      </c>
      <c r="E1124">
        <v>4445</v>
      </c>
      <c r="F1124">
        <v>4442</v>
      </c>
      <c r="G1124">
        <v>4444</v>
      </c>
      <c r="H1124">
        <v>19200</v>
      </c>
    </row>
    <row r="1125" spans="2:8">
      <c r="B1125" t="s">
        <v>463</v>
      </c>
      <c r="C1125" t="s">
        <v>292</v>
      </c>
      <c r="D1125">
        <v>4444</v>
      </c>
      <c r="E1125">
        <v>4444</v>
      </c>
      <c r="F1125">
        <v>4442</v>
      </c>
      <c r="G1125">
        <v>4442</v>
      </c>
      <c r="H1125">
        <v>8900</v>
      </c>
    </row>
    <row r="1126" spans="2:8">
      <c r="B1126" t="s">
        <v>463</v>
      </c>
      <c r="C1126" t="s">
        <v>293</v>
      </c>
      <c r="D1126">
        <v>4443</v>
      </c>
      <c r="E1126">
        <v>4444</v>
      </c>
      <c r="F1126">
        <v>4442</v>
      </c>
      <c r="G1126">
        <v>4444</v>
      </c>
      <c r="H1126">
        <v>5400</v>
      </c>
    </row>
    <row r="1127" spans="2:8">
      <c r="B1127" t="s">
        <v>463</v>
      </c>
      <c r="C1127" t="s">
        <v>294</v>
      </c>
      <c r="D1127">
        <v>4444</v>
      </c>
      <c r="E1127">
        <v>4444</v>
      </c>
      <c r="F1127">
        <v>4443</v>
      </c>
      <c r="G1127">
        <v>4444</v>
      </c>
      <c r="H1127">
        <v>7100</v>
      </c>
    </row>
    <row r="1128" spans="2:8">
      <c r="B1128" t="s">
        <v>463</v>
      </c>
      <c r="C1128" t="s">
        <v>295</v>
      </c>
      <c r="D1128">
        <v>4444</v>
      </c>
      <c r="E1128">
        <v>4444</v>
      </c>
      <c r="F1128">
        <v>4441</v>
      </c>
      <c r="G1128">
        <v>4442</v>
      </c>
      <c r="H1128">
        <v>15600</v>
      </c>
    </row>
    <row r="1129" spans="2:8">
      <c r="B1129" t="s">
        <v>463</v>
      </c>
      <c r="C1129" t="s">
        <v>296</v>
      </c>
      <c r="D1129">
        <v>4443</v>
      </c>
      <c r="E1129">
        <v>4444</v>
      </c>
      <c r="F1129">
        <v>4443</v>
      </c>
      <c r="G1129">
        <v>4444</v>
      </c>
      <c r="H1129">
        <v>17900</v>
      </c>
    </row>
    <row r="1130" spans="2:8">
      <c r="B1130" t="s">
        <v>463</v>
      </c>
      <c r="C1130" t="s">
        <v>297</v>
      </c>
      <c r="D1130">
        <v>4445</v>
      </c>
      <c r="E1130">
        <v>4445</v>
      </c>
      <c r="F1130">
        <v>4444</v>
      </c>
      <c r="G1130">
        <v>4445</v>
      </c>
      <c r="H1130">
        <v>4400</v>
      </c>
    </row>
    <row r="1131" spans="2:8">
      <c r="B1131" t="s">
        <v>463</v>
      </c>
      <c r="C1131" t="s">
        <v>298</v>
      </c>
      <c r="D1131">
        <v>4445</v>
      </c>
      <c r="E1131">
        <v>4446</v>
      </c>
      <c r="F1131">
        <v>4445</v>
      </c>
      <c r="G1131">
        <v>4446</v>
      </c>
      <c r="H1131">
        <v>23200</v>
      </c>
    </row>
    <row r="1132" spans="2:8">
      <c r="B1132" t="s">
        <v>463</v>
      </c>
      <c r="C1132" t="s">
        <v>299</v>
      </c>
      <c r="D1132">
        <v>4445</v>
      </c>
      <c r="E1132">
        <v>4446</v>
      </c>
      <c r="F1132">
        <v>4442</v>
      </c>
      <c r="G1132">
        <v>4442</v>
      </c>
      <c r="H1132">
        <v>25900</v>
      </c>
    </row>
    <row r="1133" spans="2:8">
      <c r="B1133" t="s">
        <v>463</v>
      </c>
      <c r="C1133" t="s">
        <v>300</v>
      </c>
      <c r="D1133">
        <v>4442</v>
      </c>
      <c r="E1133">
        <v>4442</v>
      </c>
      <c r="F1133">
        <v>4440</v>
      </c>
      <c r="G1133">
        <v>4441</v>
      </c>
      <c r="H1133">
        <v>8400</v>
      </c>
    </row>
    <row r="1134" spans="2:8">
      <c r="B1134" t="s">
        <v>463</v>
      </c>
      <c r="C1134" t="s">
        <v>301</v>
      </c>
      <c r="D1134">
        <v>4442</v>
      </c>
      <c r="E1134">
        <v>4444</v>
      </c>
      <c r="F1134">
        <v>4441</v>
      </c>
      <c r="G1134">
        <v>4443</v>
      </c>
      <c r="H1134">
        <v>11400</v>
      </c>
    </row>
    <row r="1135" spans="2:8">
      <c r="B1135" t="s">
        <v>463</v>
      </c>
      <c r="C1135" t="s">
        <v>302</v>
      </c>
      <c r="D1135">
        <v>4443</v>
      </c>
      <c r="E1135">
        <v>4443</v>
      </c>
      <c r="F1135">
        <v>4442</v>
      </c>
      <c r="G1135">
        <v>4443</v>
      </c>
      <c r="H1135">
        <v>7600</v>
      </c>
    </row>
    <row r="1136" spans="2:8">
      <c r="B1136" t="s">
        <v>463</v>
      </c>
      <c r="C1136" t="s">
        <v>303</v>
      </c>
      <c r="D1136">
        <v>4443</v>
      </c>
      <c r="E1136">
        <v>4443</v>
      </c>
      <c r="F1136">
        <v>4442</v>
      </c>
      <c r="G1136">
        <v>4443</v>
      </c>
      <c r="H1136">
        <v>4200</v>
      </c>
    </row>
    <row r="1137" spans="2:8">
      <c r="B1137" t="s">
        <v>463</v>
      </c>
      <c r="C1137" t="s">
        <v>304</v>
      </c>
      <c r="D1137">
        <v>4443</v>
      </c>
      <c r="E1137">
        <v>4443</v>
      </c>
      <c r="F1137">
        <v>4439</v>
      </c>
      <c r="G1137">
        <v>4439</v>
      </c>
      <c r="H1137">
        <v>9100</v>
      </c>
    </row>
    <row r="1138" spans="2:8">
      <c r="B1138" t="s">
        <v>463</v>
      </c>
      <c r="C1138" t="s">
        <v>305</v>
      </c>
      <c r="D1138">
        <v>4440</v>
      </c>
      <c r="E1138">
        <v>4441</v>
      </c>
      <c r="F1138">
        <v>4437</v>
      </c>
      <c r="G1138">
        <v>4438</v>
      </c>
      <c r="H1138">
        <v>4400</v>
      </c>
    </row>
    <row r="1139" spans="2:8">
      <c r="B1139" t="s">
        <v>463</v>
      </c>
      <c r="C1139" t="s">
        <v>306</v>
      </c>
      <c r="D1139">
        <v>4437</v>
      </c>
      <c r="E1139">
        <v>4442</v>
      </c>
      <c r="F1139">
        <v>4437</v>
      </c>
      <c r="G1139">
        <v>4441</v>
      </c>
      <c r="H1139">
        <v>13800</v>
      </c>
    </row>
    <row r="1140" spans="2:8">
      <c r="B1140" t="s">
        <v>463</v>
      </c>
      <c r="C1140" t="s">
        <v>307</v>
      </c>
      <c r="D1140">
        <v>4441</v>
      </c>
      <c r="E1140">
        <v>4441</v>
      </c>
      <c r="F1140">
        <v>4439</v>
      </c>
      <c r="G1140">
        <v>4440</v>
      </c>
      <c r="H1140">
        <v>8000</v>
      </c>
    </row>
    <row r="1141" spans="2:8">
      <c r="B1141" t="s">
        <v>463</v>
      </c>
      <c r="C1141" t="s">
        <v>308</v>
      </c>
      <c r="D1141">
        <v>4441</v>
      </c>
      <c r="E1141">
        <v>4442</v>
      </c>
      <c r="F1141">
        <v>4440</v>
      </c>
      <c r="G1141">
        <v>4440</v>
      </c>
      <c r="H1141">
        <v>8600</v>
      </c>
    </row>
    <row r="1142" spans="2:8">
      <c r="B1142" t="s">
        <v>463</v>
      </c>
      <c r="C1142" t="s">
        <v>309</v>
      </c>
      <c r="D1142">
        <v>4440</v>
      </c>
      <c r="E1142">
        <v>4442</v>
      </c>
      <c r="F1142">
        <v>4439</v>
      </c>
      <c r="G1142">
        <v>4440</v>
      </c>
      <c r="H1142">
        <v>8200</v>
      </c>
    </row>
    <row r="1143" spans="2:8">
      <c r="B1143" t="s">
        <v>463</v>
      </c>
      <c r="C1143" t="s">
        <v>310</v>
      </c>
      <c r="D1143">
        <v>4440</v>
      </c>
      <c r="E1143">
        <v>4442</v>
      </c>
      <c r="F1143">
        <v>4440</v>
      </c>
      <c r="G1143">
        <v>4442</v>
      </c>
      <c r="H1143">
        <v>3700</v>
      </c>
    </row>
    <row r="1144" spans="2:8">
      <c r="B1144" t="s">
        <v>463</v>
      </c>
      <c r="C1144" t="s">
        <v>311</v>
      </c>
      <c r="D1144">
        <v>4441</v>
      </c>
      <c r="E1144">
        <v>4443</v>
      </c>
      <c r="F1144">
        <v>4441</v>
      </c>
      <c r="G1144">
        <v>4441</v>
      </c>
      <c r="H1144">
        <v>5100</v>
      </c>
    </row>
    <row r="1145" spans="2:8">
      <c r="B1145" t="s">
        <v>463</v>
      </c>
      <c r="C1145" t="s">
        <v>312</v>
      </c>
      <c r="D1145">
        <v>4441</v>
      </c>
      <c r="E1145">
        <v>4443</v>
      </c>
      <c r="F1145">
        <v>4441</v>
      </c>
      <c r="G1145">
        <v>4443</v>
      </c>
      <c r="H1145">
        <v>9800</v>
      </c>
    </row>
    <row r="1146" spans="2:8">
      <c r="B1146" t="s">
        <v>463</v>
      </c>
      <c r="C1146" t="s">
        <v>313</v>
      </c>
      <c r="D1146">
        <v>4442</v>
      </c>
      <c r="E1146">
        <v>4444</v>
      </c>
      <c r="F1146">
        <v>4442</v>
      </c>
      <c r="G1146">
        <v>4444</v>
      </c>
      <c r="H1146">
        <v>2900</v>
      </c>
    </row>
    <row r="1147" spans="2:8">
      <c r="B1147" t="s">
        <v>463</v>
      </c>
      <c r="C1147" t="s">
        <v>314</v>
      </c>
      <c r="D1147">
        <v>4444</v>
      </c>
      <c r="E1147">
        <v>4446</v>
      </c>
      <c r="F1147">
        <v>4444</v>
      </c>
      <c r="G1147">
        <v>4445</v>
      </c>
      <c r="H1147">
        <v>17100</v>
      </c>
    </row>
    <row r="1148" spans="2:8">
      <c r="B1148" t="s">
        <v>463</v>
      </c>
      <c r="C1148" t="s">
        <v>315</v>
      </c>
      <c r="D1148">
        <v>4445</v>
      </c>
      <c r="E1148">
        <v>4449</v>
      </c>
      <c r="F1148">
        <v>4444</v>
      </c>
      <c r="G1148">
        <v>4447</v>
      </c>
      <c r="H1148">
        <v>31500</v>
      </c>
    </row>
    <row r="1149" spans="2:8">
      <c r="B1149" t="s">
        <v>463</v>
      </c>
      <c r="C1149" t="s">
        <v>316</v>
      </c>
      <c r="D1149">
        <v>4448</v>
      </c>
      <c r="E1149">
        <v>4448</v>
      </c>
      <c r="F1149">
        <v>4448</v>
      </c>
      <c r="G1149">
        <v>4448</v>
      </c>
      <c r="H1149">
        <v>40500</v>
      </c>
    </row>
    <row r="1150" spans="2:8">
      <c r="B1150" t="s">
        <v>463</v>
      </c>
      <c r="C1150" t="s">
        <v>317</v>
      </c>
      <c r="D1150">
        <v>4450</v>
      </c>
      <c r="E1150">
        <v>4455</v>
      </c>
      <c r="F1150">
        <v>4441</v>
      </c>
      <c r="G1150">
        <v>4455</v>
      </c>
      <c r="H1150">
        <v>147700</v>
      </c>
    </row>
    <row r="1151" spans="2:8">
      <c r="B1151" t="s">
        <v>463</v>
      </c>
      <c r="C1151" t="s">
        <v>318</v>
      </c>
      <c r="D1151">
        <v>4455</v>
      </c>
      <c r="E1151">
        <v>4468</v>
      </c>
      <c r="F1151">
        <v>4454</v>
      </c>
      <c r="G1151">
        <v>4465</v>
      </c>
      <c r="H1151">
        <v>107900</v>
      </c>
    </row>
    <row r="1152" spans="2:8">
      <c r="B1152" t="s">
        <v>463</v>
      </c>
      <c r="C1152" t="s">
        <v>319</v>
      </c>
      <c r="D1152">
        <v>4464</v>
      </c>
      <c r="E1152">
        <v>4468</v>
      </c>
      <c r="F1152">
        <v>4458</v>
      </c>
      <c r="G1152">
        <v>4466</v>
      </c>
      <c r="H1152">
        <v>44000</v>
      </c>
    </row>
    <row r="1153" spans="2:8">
      <c r="B1153" t="s">
        <v>463</v>
      </c>
      <c r="C1153" t="s">
        <v>320</v>
      </c>
      <c r="D1153">
        <v>4467</v>
      </c>
      <c r="E1153">
        <v>4477</v>
      </c>
      <c r="F1153">
        <v>4466</v>
      </c>
      <c r="G1153">
        <v>4476</v>
      </c>
      <c r="H1153">
        <v>87300</v>
      </c>
    </row>
    <row r="1154" spans="2:8">
      <c r="B1154" t="s">
        <v>463</v>
      </c>
      <c r="C1154" t="s">
        <v>321</v>
      </c>
      <c r="D1154">
        <v>4476</v>
      </c>
      <c r="E1154">
        <v>4480</v>
      </c>
      <c r="F1154">
        <v>4473</v>
      </c>
      <c r="G1154">
        <v>4474</v>
      </c>
      <c r="H1154">
        <v>61000</v>
      </c>
    </row>
    <row r="1155" spans="2:8">
      <c r="B1155" t="s">
        <v>463</v>
      </c>
      <c r="C1155" t="s">
        <v>322</v>
      </c>
      <c r="D1155">
        <v>4473</v>
      </c>
      <c r="E1155">
        <v>4474</v>
      </c>
      <c r="F1155">
        <v>4470</v>
      </c>
      <c r="G1155">
        <v>4473</v>
      </c>
      <c r="H1155">
        <v>29600</v>
      </c>
    </row>
    <row r="1156" spans="2:8">
      <c r="B1156" t="s">
        <v>463</v>
      </c>
      <c r="C1156" t="s">
        <v>323</v>
      </c>
      <c r="D1156">
        <v>4473</v>
      </c>
      <c r="E1156">
        <v>4475</v>
      </c>
      <c r="F1156">
        <v>4470</v>
      </c>
      <c r="G1156">
        <v>4472</v>
      </c>
      <c r="H1156">
        <v>54500</v>
      </c>
    </row>
    <row r="1157" spans="2:8">
      <c r="B1157" t="s">
        <v>463</v>
      </c>
      <c r="C1157" t="s">
        <v>324</v>
      </c>
      <c r="D1157">
        <v>4471</v>
      </c>
      <c r="E1157">
        <v>4471</v>
      </c>
      <c r="F1157">
        <v>4466</v>
      </c>
      <c r="G1157">
        <v>4468</v>
      </c>
      <c r="H1157">
        <v>24000</v>
      </c>
    </row>
    <row r="1158" spans="2:8">
      <c r="B1158" t="s">
        <v>463</v>
      </c>
      <c r="C1158" t="s">
        <v>325</v>
      </c>
      <c r="D1158">
        <v>4468</v>
      </c>
      <c r="E1158">
        <v>4469</v>
      </c>
      <c r="F1158">
        <v>4463</v>
      </c>
      <c r="G1158">
        <v>4464</v>
      </c>
      <c r="H1158">
        <v>30300</v>
      </c>
    </row>
    <row r="1159" spans="2:8">
      <c r="B1159" t="s">
        <v>463</v>
      </c>
      <c r="C1159" t="s">
        <v>326</v>
      </c>
      <c r="D1159">
        <v>4464</v>
      </c>
      <c r="E1159">
        <v>4464</v>
      </c>
      <c r="F1159">
        <v>4457</v>
      </c>
      <c r="G1159">
        <v>4462</v>
      </c>
      <c r="H1159">
        <v>32100</v>
      </c>
    </row>
    <row r="1160" spans="2:8">
      <c r="B1160" t="s">
        <v>463</v>
      </c>
      <c r="C1160" t="s">
        <v>327</v>
      </c>
      <c r="D1160">
        <v>4462</v>
      </c>
      <c r="E1160">
        <v>4464</v>
      </c>
      <c r="F1160">
        <v>4461</v>
      </c>
      <c r="G1160">
        <v>4464</v>
      </c>
      <c r="H1160">
        <v>31900</v>
      </c>
    </row>
    <row r="1161" spans="2:8">
      <c r="B1161" t="s">
        <v>463</v>
      </c>
      <c r="C1161" t="s">
        <v>328</v>
      </c>
      <c r="D1161">
        <v>4463</v>
      </c>
      <c r="E1161">
        <v>4463</v>
      </c>
      <c r="F1161">
        <v>4458</v>
      </c>
      <c r="G1161">
        <v>4460</v>
      </c>
      <c r="H1161">
        <v>15900</v>
      </c>
    </row>
    <row r="1162" spans="2:8">
      <c r="B1162" t="s">
        <v>463</v>
      </c>
      <c r="C1162" t="s">
        <v>329</v>
      </c>
      <c r="D1162">
        <v>4460</v>
      </c>
      <c r="E1162">
        <v>4461</v>
      </c>
      <c r="F1162">
        <v>4458</v>
      </c>
      <c r="G1162">
        <v>4459</v>
      </c>
      <c r="H1162">
        <v>13600</v>
      </c>
    </row>
    <row r="1163" spans="2:8">
      <c r="B1163" t="s">
        <v>463</v>
      </c>
      <c r="C1163" t="s">
        <v>330</v>
      </c>
      <c r="D1163">
        <v>4459</v>
      </c>
      <c r="E1163">
        <v>4461</v>
      </c>
      <c r="F1163">
        <v>4459</v>
      </c>
      <c r="G1163">
        <v>4459</v>
      </c>
      <c r="H1163">
        <v>9100</v>
      </c>
    </row>
    <row r="1164" spans="2:8">
      <c r="B1164" t="s">
        <v>463</v>
      </c>
      <c r="C1164" t="s">
        <v>331</v>
      </c>
      <c r="D1164">
        <v>4459</v>
      </c>
      <c r="E1164">
        <v>4462</v>
      </c>
      <c r="F1164">
        <v>4458</v>
      </c>
      <c r="G1164">
        <v>4460</v>
      </c>
      <c r="H1164">
        <v>17300</v>
      </c>
    </row>
    <row r="1165" spans="2:8">
      <c r="B1165" t="s">
        <v>463</v>
      </c>
      <c r="C1165" t="s">
        <v>332</v>
      </c>
      <c r="D1165">
        <v>4460</v>
      </c>
      <c r="E1165">
        <v>4461</v>
      </c>
      <c r="F1165">
        <v>4460</v>
      </c>
      <c r="G1165">
        <v>4461</v>
      </c>
      <c r="H1165">
        <v>3600</v>
      </c>
    </row>
    <row r="1166" spans="2:8">
      <c r="B1166" t="s">
        <v>463</v>
      </c>
      <c r="C1166" t="s">
        <v>333</v>
      </c>
      <c r="D1166">
        <v>4462</v>
      </c>
      <c r="E1166">
        <v>4467</v>
      </c>
      <c r="F1166">
        <v>4462</v>
      </c>
      <c r="G1166">
        <v>4465</v>
      </c>
      <c r="H1166">
        <v>23800</v>
      </c>
    </row>
    <row r="1167" spans="2:8">
      <c r="B1167" t="s">
        <v>463</v>
      </c>
      <c r="C1167" t="s">
        <v>334</v>
      </c>
      <c r="D1167">
        <v>4465</v>
      </c>
      <c r="E1167">
        <v>4465</v>
      </c>
      <c r="F1167">
        <v>4464</v>
      </c>
      <c r="G1167">
        <v>4464</v>
      </c>
      <c r="H1167">
        <v>11500</v>
      </c>
    </row>
    <row r="1168" spans="2:8">
      <c r="B1168" t="s">
        <v>463</v>
      </c>
      <c r="C1168" t="s">
        <v>335</v>
      </c>
      <c r="D1168">
        <v>4464</v>
      </c>
      <c r="E1168">
        <v>4467</v>
      </c>
      <c r="F1168">
        <v>4464</v>
      </c>
      <c r="G1168">
        <v>4466</v>
      </c>
      <c r="H1168">
        <v>9400</v>
      </c>
    </row>
    <row r="1169" spans="2:8">
      <c r="B1169" t="s">
        <v>463</v>
      </c>
      <c r="C1169" t="s">
        <v>336</v>
      </c>
      <c r="D1169">
        <v>4467</v>
      </c>
      <c r="E1169">
        <v>4469</v>
      </c>
      <c r="F1169">
        <v>4467</v>
      </c>
      <c r="G1169">
        <v>4469</v>
      </c>
      <c r="H1169">
        <v>21000</v>
      </c>
    </row>
    <row r="1170" spans="2:8">
      <c r="B1170" t="s">
        <v>463</v>
      </c>
      <c r="C1170" t="s">
        <v>337</v>
      </c>
      <c r="D1170">
        <v>4468</v>
      </c>
      <c r="E1170">
        <v>4470</v>
      </c>
      <c r="F1170">
        <v>4468</v>
      </c>
      <c r="G1170">
        <v>4468</v>
      </c>
      <c r="H1170">
        <v>7000</v>
      </c>
    </row>
    <row r="1171" spans="2:8">
      <c r="B1171" t="s">
        <v>463</v>
      </c>
      <c r="C1171" t="s">
        <v>338</v>
      </c>
      <c r="D1171">
        <v>4469</v>
      </c>
      <c r="E1171">
        <v>4470</v>
      </c>
      <c r="F1171">
        <v>4469</v>
      </c>
      <c r="G1171">
        <v>4469</v>
      </c>
      <c r="H1171">
        <v>5600</v>
      </c>
    </row>
    <row r="1172" spans="2:8">
      <c r="B1172" t="s">
        <v>463</v>
      </c>
      <c r="C1172" t="s">
        <v>339</v>
      </c>
      <c r="D1172">
        <v>4469</v>
      </c>
      <c r="E1172">
        <v>4471</v>
      </c>
      <c r="F1172">
        <v>4468</v>
      </c>
      <c r="G1172">
        <v>4468</v>
      </c>
      <c r="H1172">
        <v>21700</v>
      </c>
    </row>
    <row r="1173" spans="2:8">
      <c r="B1173" t="s">
        <v>463</v>
      </c>
      <c r="C1173" t="s">
        <v>340</v>
      </c>
      <c r="D1173">
        <v>4468</v>
      </c>
      <c r="E1173">
        <v>4471</v>
      </c>
      <c r="F1173">
        <v>4468</v>
      </c>
      <c r="G1173">
        <v>4471</v>
      </c>
      <c r="H1173">
        <v>12700</v>
      </c>
    </row>
    <row r="1174" spans="2:8">
      <c r="B1174" t="s">
        <v>463</v>
      </c>
      <c r="C1174" t="s">
        <v>341</v>
      </c>
      <c r="D1174">
        <v>4471</v>
      </c>
      <c r="E1174">
        <v>4471</v>
      </c>
      <c r="F1174">
        <v>4469</v>
      </c>
      <c r="G1174">
        <v>4469</v>
      </c>
      <c r="H1174">
        <v>7300</v>
      </c>
    </row>
    <row r="1175" spans="2:8">
      <c r="B1175" t="s">
        <v>463</v>
      </c>
      <c r="C1175" t="s">
        <v>342</v>
      </c>
      <c r="D1175">
        <v>4470</v>
      </c>
      <c r="E1175">
        <v>4470</v>
      </c>
      <c r="F1175">
        <v>4468</v>
      </c>
      <c r="G1175">
        <v>4469</v>
      </c>
      <c r="H1175">
        <v>18400</v>
      </c>
    </row>
    <row r="1176" spans="2:8">
      <c r="B1176" t="s">
        <v>463</v>
      </c>
      <c r="C1176" t="s">
        <v>343</v>
      </c>
      <c r="D1176">
        <v>4469</v>
      </c>
      <c r="E1176">
        <v>4470</v>
      </c>
      <c r="F1176">
        <v>4468</v>
      </c>
      <c r="G1176">
        <v>4468</v>
      </c>
      <c r="H1176">
        <v>10200</v>
      </c>
    </row>
    <row r="1177" spans="2:8">
      <c r="B1177" t="s">
        <v>463</v>
      </c>
      <c r="C1177" t="s">
        <v>344</v>
      </c>
      <c r="D1177">
        <v>4468</v>
      </c>
      <c r="E1177">
        <v>4469</v>
      </c>
      <c r="F1177">
        <v>4467</v>
      </c>
      <c r="G1177">
        <v>4469</v>
      </c>
      <c r="H1177">
        <v>10300</v>
      </c>
    </row>
    <row r="1178" spans="2:8">
      <c r="B1178" t="s">
        <v>463</v>
      </c>
      <c r="C1178" t="s">
        <v>345</v>
      </c>
      <c r="D1178">
        <v>4468</v>
      </c>
      <c r="E1178">
        <v>4469</v>
      </c>
      <c r="F1178">
        <v>4468</v>
      </c>
      <c r="G1178">
        <v>4469</v>
      </c>
      <c r="H1178">
        <v>400</v>
      </c>
    </row>
    <row r="1179" spans="2:8">
      <c r="B1179" t="s">
        <v>463</v>
      </c>
      <c r="C1179" t="s">
        <v>346</v>
      </c>
      <c r="D1179">
        <v>4468</v>
      </c>
      <c r="E1179">
        <v>4473</v>
      </c>
      <c r="F1179">
        <v>4468</v>
      </c>
      <c r="G1179">
        <v>4472</v>
      </c>
      <c r="H1179">
        <v>42900</v>
      </c>
    </row>
    <row r="1180" spans="2:8">
      <c r="B1180" t="s">
        <v>463</v>
      </c>
      <c r="C1180" t="s">
        <v>347</v>
      </c>
      <c r="D1180">
        <v>4472</v>
      </c>
      <c r="E1180">
        <v>4472</v>
      </c>
      <c r="F1180">
        <v>4468</v>
      </c>
      <c r="G1180">
        <v>4468</v>
      </c>
      <c r="H1180">
        <v>12400</v>
      </c>
    </row>
    <row r="1181" spans="2:8">
      <c r="B1181" t="s">
        <v>463</v>
      </c>
      <c r="C1181" t="s">
        <v>348</v>
      </c>
      <c r="D1181">
        <v>4469</v>
      </c>
      <c r="E1181">
        <v>4470</v>
      </c>
      <c r="F1181">
        <v>4466</v>
      </c>
      <c r="G1181">
        <v>4469</v>
      </c>
      <c r="H1181">
        <v>22500</v>
      </c>
    </row>
    <row r="1182" spans="2:8">
      <c r="B1182" t="s">
        <v>463</v>
      </c>
      <c r="C1182" t="s">
        <v>349</v>
      </c>
      <c r="D1182">
        <v>4468</v>
      </c>
      <c r="E1182">
        <v>4468</v>
      </c>
      <c r="F1182">
        <v>4466</v>
      </c>
      <c r="G1182">
        <v>4467</v>
      </c>
      <c r="H1182">
        <v>16100</v>
      </c>
    </row>
    <row r="1183" spans="2:8">
      <c r="B1183" t="s">
        <v>463</v>
      </c>
      <c r="C1183" t="s">
        <v>350</v>
      </c>
      <c r="D1183">
        <v>4468</v>
      </c>
      <c r="E1183">
        <v>4470</v>
      </c>
      <c r="F1183">
        <v>4468</v>
      </c>
      <c r="G1183">
        <v>4469</v>
      </c>
      <c r="H1183">
        <v>7400</v>
      </c>
    </row>
    <row r="1184" spans="2:8">
      <c r="B1184" t="s">
        <v>463</v>
      </c>
      <c r="C1184" t="s">
        <v>351</v>
      </c>
      <c r="D1184">
        <v>4469</v>
      </c>
      <c r="E1184">
        <v>4469</v>
      </c>
      <c r="F1184">
        <v>4465</v>
      </c>
      <c r="G1184">
        <v>4467</v>
      </c>
      <c r="H1184">
        <v>12600</v>
      </c>
    </row>
    <row r="1185" spans="2:8">
      <c r="B1185" t="s">
        <v>463</v>
      </c>
      <c r="C1185" t="s">
        <v>352</v>
      </c>
      <c r="D1185">
        <v>4467</v>
      </c>
      <c r="E1185">
        <v>4467</v>
      </c>
      <c r="F1185">
        <v>4465</v>
      </c>
      <c r="G1185">
        <v>4466</v>
      </c>
      <c r="H1185">
        <v>8100</v>
      </c>
    </row>
    <row r="1186" spans="2:8">
      <c r="B1186" t="s">
        <v>463</v>
      </c>
      <c r="C1186" t="s">
        <v>353</v>
      </c>
      <c r="D1186">
        <v>4466</v>
      </c>
      <c r="E1186">
        <v>4468</v>
      </c>
      <c r="F1186">
        <v>4465</v>
      </c>
      <c r="G1186">
        <v>4468</v>
      </c>
      <c r="H1186">
        <v>8500</v>
      </c>
    </row>
    <row r="1187" spans="2:8">
      <c r="B1187" t="s">
        <v>463</v>
      </c>
      <c r="C1187" t="s">
        <v>354</v>
      </c>
      <c r="D1187">
        <v>4468</v>
      </c>
      <c r="E1187">
        <v>4469</v>
      </c>
      <c r="F1187">
        <v>4468</v>
      </c>
      <c r="G1187">
        <v>4468</v>
      </c>
      <c r="H1187">
        <v>7200</v>
      </c>
    </row>
    <row r="1188" spans="2:8">
      <c r="B1188" t="s">
        <v>463</v>
      </c>
      <c r="C1188" t="s">
        <v>355</v>
      </c>
      <c r="D1188">
        <v>4469</v>
      </c>
      <c r="E1188">
        <v>4471</v>
      </c>
      <c r="F1188">
        <v>4468</v>
      </c>
      <c r="G1188">
        <v>4470</v>
      </c>
      <c r="H1188">
        <v>12000</v>
      </c>
    </row>
    <row r="1189" spans="2:8">
      <c r="B1189" t="s">
        <v>463</v>
      </c>
      <c r="C1189" t="s">
        <v>356</v>
      </c>
      <c r="D1189">
        <v>4471</v>
      </c>
      <c r="E1189">
        <v>4472</v>
      </c>
      <c r="F1189">
        <v>4469</v>
      </c>
      <c r="G1189">
        <v>4471</v>
      </c>
      <c r="H1189">
        <v>25300</v>
      </c>
    </row>
    <row r="1190" spans="2:8">
      <c r="B1190" t="s">
        <v>463</v>
      </c>
      <c r="C1190" t="s">
        <v>357</v>
      </c>
      <c r="D1190">
        <v>4471</v>
      </c>
      <c r="E1190">
        <v>4471</v>
      </c>
      <c r="F1190">
        <v>4468</v>
      </c>
      <c r="G1190">
        <v>4468</v>
      </c>
      <c r="H1190">
        <v>13200</v>
      </c>
    </row>
    <row r="1191" spans="2:8">
      <c r="B1191" t="s">
        <v>463</v>
      </c>
      <c r="C1191" t="s">
        <v>358</v>
      </c>
      <c r="D1191">
        <v>4468</v>
      </c>
      <c r="E1191">
        <v>4469</v>
      </c>
      <c r="F1191">
        <v>4468</v>
      </c>
      <c r="G1191">
        <v>4469</v>
      </c>
      <c r="H1191">
        <v>4200</v>
      </c>
    </row>
    <row r="1192" spans="2:8">
      <c r="B1192" t="s">
        <v>463</v>
      </c>
      <c r="C1192" t="s">
        <v>359</v>
      </c>
      <c r="D1192">
        <v>4470</v>
      </c>
      <c r="E1192">
        <v>4471</v>
      </c>
      <c r="F1192">
        <v>4469</v>
      </c>
      <c r="G1192">
        <v>4471</v>
      </c>
      <c r="H1192">
        <v>10200</v>
      </c>
    </row>
    <row r="1193" spans="2:8">
      <c r="B1193" t="s">
        <v>463</v>
      </c>
      <c r="C1193" t="s">
        <v>360</v>
      </c>
      <c r="D1193">
        <v>4471</v>
      </c>
      <c r="E1193">
        <v>4471</v>
      </c>
      <c r="F1193">
        <v>4470</v>
      </c>
      <c r="G1193">
        <v>4471</v>
      </c>
      <c r="H1193">
        <v>2100</v>
      </c>
    </row>
    <row r="1194" spans="2:8">
      <c r="B1194" t="s">
        <v>463</v>
      </c>
      <c r="C1194" t="s">
        <v>361</v>
      </c>
      <c r="D1194">
        <v>4471</v>
      </c>
      <c r="E1194">
        <v>4472</v>
      </c>
      <c r="F1194">
        <v>4470</v>
      </c>
      <c r="G1194">
        <v>4471</v>
      </c>
      <c r="H1194">
        <v>5600</v>
      </c>
    </row>
    <row r="1195" spans="2:8">
      <c r="B1195" t="s">
        <v>463</v>
      </c>
      <c r="C1195" t="s">
        <v>362</v>
      </c>
      <c r="D1195">
        <v>4471</v>
      </c>
      <c r="E1195">
        <v>4471</v>
      </c>
      <c r="F1195">
        <v>4468</v>
      </c>
      <c r="G1195">
        <v>4469</v>
      </c>
      <c r="H1195">
        <v>23800</v>
      </c>
    </row>
    <row r="1196" spans="2:8">
      <c r="B1196" t="s">
        <v>463</v>
      </c>
      <c r="C1196" t="s">
        <v>363</v>
      </c>
      <c r="D1196">
        <v>4469</v>
      </c>
      <c r="E1196">
        <v>4469</v>
      </c>
      <c r="F1196">
        <v>4467</v>
      </c>
      <c r="G1196">
        <v>4468</v>
      </c>
      <c r="H1196">
        <v>11100</v>
      </c>
    </row>
    <row r="1197" spans="2:8">
      <c r="B1197" t="s">
        <v>463</v>
      </c>
      <c r="C1197" t="s">
        <v>364</v>
      </c>
      <c r="D1197">
        <v>4467</v>
      </c>
      <c r="E1197">
        <v>4468</v>
      </c>
      <c r="F1197">
        <v>4464</v>
      </c>
      <c r="G1197">
        <v>4466</v>
      </c>
      <c r="H1197">
        <v>24500</v>
      </c>
    </row>
    <row r="1198" spans="2:8">
      <c r="B1198" t="s">
        <v>463</v>
      </c>
      <c r="C1198" t="s">
        <v>365</v>
      </c>
      <c r="D1198">
        <v>4465</v>
      </c>
      <c r="E1198">
        <v>4467</v>
      </c>
      <c r="F1198">
        <v>4465</v>
      </c>
      <c r="G1198">
        <v>4467</v>
      </c>
      <c r="H1198">
        <v>7100</v>
      </c>
    </row>
    <row r="1199" spans="2:8">
      <c r="B1199" t="s">
        <v>463</v>
      </c>
      <c r="C1199" t="s">
        <v>366</v>
      </c>
      <c r="D1199">
        <v>4467</v>
      </c>
      <c r="E1199">
        <v>4467</v>
      </c>
      <c r="F1199">
        <v>4467</v>
      </c>
      <c r="G1199">
        <v>4467</v>
      </c>
      <c r="H1199">
        <v>4500</v>
      </c>
    </row>
    <row r="1200" spans="2:8">
      <c r="B1200" t="s">
        <v>463</v>
      </c>
      <c r="C1200" t="s">
        <v>367</v>
      </c>
      <c r="D1200">
        <v>4467</v>
      </c>
      <c r="E1200">
        <v>4467</v>
      </c>
      <c r="F1200">
        <v>4465</v>
      </c>
      <c r="G1200">
        <v>4466</v>
      </c>
      <c r="H1200">
        <v>13000</v>
      </c>
    </row>
    <row r="1201" spans="2:8">
      <c r="B1201" t="s">
        <v>463</v>
      </c>
      <c r="C1201" t="s">
        <v>368</v>
      </c>
      <c r="D1201">
        <v>4466</v>
      </c>
      <c r="E1201">
        <v>4467</v>
      </c>
      <c r="F1201">
        <v>4466</v>
      </c>
      <c r="G1201">
        <v>4467</v>
      </c>
      <c r="H1201">
        <v>300</v>
      </c>
    </row>
    <row r="1202" spans="2:8">
      <c r="B1202" t="s">
        <v>463</v>
      </c>
      <c r="C1202" t="s">
        <v>369</v>
      </c>
      <c r="D1202">
        <v>4467</v>
      </c>
      <c r="E1202">
        <v>4467</v>
      </c>
      <c r="F1202">
        <v>4466</v>
      </c>
      <c r="G1202">
        <v>4466</v>
      </c>
      <c r="H1202">
        <v>7000</v>
      </c>
    </row>
    <row r="1203" spans="2:8">
      <c r="B1203" t="s">
        <v>463</v>
      </c>
      <c r="C1203" t="s">
        <v>370</v>
      </c>
      <c r="D1203">
        <v>4465</v>
      </c>
      <c r="E1203">
        <v>4468</v>
      </c>
      <c r="F1203">
        <v>4465</v>
      </c>
      <c r="G1203">
        <v>4466</v>
      </c>
      <c r="H1203">
        <v>26600</v>
      </c>
    </row>
    <row r="1204" spans="2:8">
      <c r="B1204" t="s">
        <v>463</v>
      </c>
      <c r="C1204" t="s">
        <v>371</v>
      </c>
      <c r="D1204">
        <v>4465</v>
      </c>
      <c r="E1204">
        <v>4465</v>
      </c>
      <c r="F1204">
        <v>4464</v>
      </c>
      <c r="G1204">
        <v>4464</v>
      </c>
      <c r="H1204">
        <v>9300</v>
      </c>
    </row>
    <row r="1205" spans="2:8">
      <c r="B1205" t="s">
        <v>463</v>
      </c>
      <c r="C1205" t="s">
        <v>372</v>
      </c>
      <c r="D1205">
        <v>4464</v>
      </c>
      <c r="E1205">
        <v>4464</v>
      </c>
      <c r="F1205">
        <v>4460</v>
      </c>
      <c r="G1205">
        <v>4461</v>
      </c>
      <c r="H1205">
        <v>14300</v>
      </c>
    </row>
    <row r="1206" spans="2:8">
      <c r="B1206" t="s">
        <v>463</v>
      </c>
      <c r="C1206" t="s">
        <v>373</v>
      </c>
      <c r="D1206">
        <v>4462</v>
      </c>
      <c r="E1206">
        <v>4462</v>
      </c>
      <c r="F1206">
        <v>4458</v>
      </c>
      <c r="G1206">
        <v>4458</v>
      </c>
      <c r="H1206">
        <v>17500</v>
      </c>
    </row>
    <row r="1207" spans="2:8">
      <c r="B1207" t="s">
        <v>463</v>
      </c>
      <c r="C1207" t="s">
        <v>374</v>
      </c>
      <c r="D1207">
        <v>4459</v>
      </c>
      <c r="E1207">
        <v>4461</v>
      </c>
      <c r="F1207">
        <v>4458</v>
      </c>
      <c r="G1207">
        <v>4460</v>
      </c>
      <c r="H1207">
        <v>9300</v>
      </c>
    </row>
    <row r="1208" spans="2:8">
      <c r="B1208" t="s">
        <v>463</v>
      </c>
      <c r="C1208" t="s">
        <v>375</v>
      </c>
      <c r="D1208">
        <v>4460</v>
      </c>
      <c r="E1208">
        <v>4460</v>
      </c>
      <c r="F1208">
        <v>4459</v>
      </c>
      <c r="G1208">
        <v>4460</v>
      </c>
      <c r="H1208">
        <v>8800</v>
      </c>
    </row>
    <row r="1209" spans="2:8">
      <c r="B1209" t="s">
        <v>463</v>
      </c>
      <c r="C1209" t="s">
        <v>376</v>
      </c>
      <c r="D1209">
        <v>4459</v>
      </c>
      <c r="E1209">
        <v>4461</v>
      </c>
      <c r="F1209">
        <v>4459</v>
      </c>
      <c r="G1209">
        <v>4459</v>
      </c>
      <c r="H1209">
        <v>12500</v>
      </c>
    </row>
    <row r="1210" spans="2:8">
      <c r="B1210" t="s">
        <v>463</v>
      </c>
      <c r="C1210" t="s">
        <v>377</v>
      </c>
      <c r="D1210">
        <v>4459</v>
      </c>
      <c r="E1210">
        <v>4460</v>
      </c>
      <c r="F1210">
        <v>4457</v>
      </c>
      <c r="G1210">
        <v>4457</v>
      </c>
      <c r="H1210">
        <v>14000</v>
      </c>
    </row>
    <row r="1211" spans="2:8">
      <c r="B1211" t="s">
        <v>463</v>
      </c>
      <c r="C1211" t="s">
        <v>378</v>
      </c>
      <c r="D1211">
        <v>4457</v>
      </c>
      <c r="E1211">
        <v>4458</v>
      </c>
      <c r="F1211">
        <v>4455</v>
      </c>
      <c r="G1211">
        <v>4457</v>
      </c>
      <c r="H1211">
        <v>12000</v>
      </c>
    </row>
    <row r="1212" spans="2:8">
      <c r="B1212" t="s">
        <v>463</v>
      </c>
      <c r="C1212" t="s">
        <v>379</v>
      </c>
      <c r="D1212">
        <v>4458</v>
      </c>
      <c r="E1212">
        <v>4459</v>
      </c>
      <c r="F1212">
        <v>4457</v>
      </c>
      <c r="G1212">
        <v>4457</v>
      </c>
      <c r="H1212">
        <v>7600</v>
      </c>
    </row>
    <row r="1213" spans="2:8">
      <c r="B1213" t="s">
        <v>463</v>
      </c>
      <c r="C1213" t="s">
        <v>380</v>
      </c>
      <c r="D1213">
        <v>4457</v>
      </c>
      <c r="E1213">
        <v>4463</v>
      </c>
      <c r="F1213">
        <v>4457</v>
      </c>
      <c r="G1213">
        <v>4462</v>
      </c>
      <c r="H1213">
        <v>19300</v>
      </c>
    </row>
    <row r="1214" spans="2:8">
      <c r="B1214" t="s">
        <v>463</v>
      </c>
      <c r="C1214" t="s">
        <v>381</v>
      </c>
      <c r="D1214">
        <v>4462</v>
      </c>
      <c r="E1214">
        <v>4463</v>
      </c>
      <c r="F1214">
        <v>4461</v>
      </c>
      <c r="G1214">
        <v>4461</v>
      </c>
      <c r="H1214">
        <v>9700</v>
      </c>
    </row>
    <row r="1215" spans="2:8">
      <c r="B1215" t="s">
        <v>463</v>
      </c>
      <c r="C1215" t="s">
        <v>382</v>
      </c>
      <c r="D1215">
        <v>4462</v>
      </c>
      <c r="E1215">
        <v>4463</v>
      </c>
      <c r="F1215">
        <v>4460</v>
      </c>
      <c r="G1215">
        <v>4462</v>
      </c>
      <c r="H1215">
        <v>3400</v>
      </c>
    </row>
    <row r="1216" spans="2:8">
      <c r="B1216" t="s">
        <v>463</v>
      </c>
      <c r="C1216" t="s">
        <v>383</v>
      </c>
      <c r="D1216">
        <v>4463</v>
      </c>
      <c r="E1216">
        <v>4465</v>
      </c>
      <c r="F1216">
        <v>4463</v>
      </c>
      <c r="G1216">
        <v>4464</v>
      </c>
      <c r="H1216">
        <v>19200</v>
      </c>
    </row>
    <row r="1217" spans="2:8">
      <c r="B1217" t="s">
        <v>463</v>
      </c>
      <c r="C1217" t="s">
        <v>384</v>
      </c>
      <c r="D1217">
        <v>4465</v>
      </c>
      <c r="E1217">
        <v>4466</v>
      </c>
      <c r="F1217">
        <v>4462</v>
      </c>
      <c r="G1217">
        <v>4463</v>
      </c>
      <c r="H1217">
        <v>17200</v>
      </c>
    </row>
    <row r="1218" spans="2:8">
      <c r="B1218" t="s">
        <v>463</v>
      </c>
      <c r="C1218" t="s">
        <v>385</v>
      </c>
      <c r="D1218">
        <v>4463</v>
      </c>
      <c r="E1218">
        <v>4465</v>
      </c>
      <c r="F1218">
        <v>4463</v>
      </c>
      <c r="G1218">
        <v>4465</v>
      </c>
      <c r="H1218">
        <v>3700</v>
      </c>
    </row>
    <row r="1219" spans="2:8">
      <c r="B1219" t="s">
        <v>463</v>
      </c>
      <c r="C1219" t="s">
        <v>386</v>
      </c>
      <c r="D1219">
        <v>4465</v>
      </c>
      <c r="E1219">
        <v>4466</v>
      </c>
      <c r="F1219">
        <v>4464</v>
      </c>
      <c r="G1219">
        <v>4465</v>
      </c>
      <c r="H1219">
        <v>7000</v>
      </c>
    </row>
    <row r="1220" spans="2:8">
      <c r="B1220" t="s">
        <v>463</v>
      </c>
      <c r="C1220" t="s">
        <v>387</v>
      </c>
      <c r="D1220">
        <v>4466</v>
      </c>
      <c r="E1220">
        <v>4466</v>
      </c>
      <c r="F1220">
        <v>4465</v>
      </c>
      <c r="G1220">
        <v>4465</v>
      </c>
      <c r="H1220">
        <v>3400</v>
      </c>
    </row>
    <row r="1221" spans="2:8">
      <c r="B1221" t="s">
        <v>463</v>
      </c>
      <c r="C1221" t="s">
        <v>388</v>
      </c>
      <c r="D1221">
        <v>4464</v>
      </c>
      <c r="E1221">
        <v>4465</v>
      </c>
      <c r="F1221">
        <v>4464</v>
      </c>
      <c r="G1221">
        <v>4465</v>
      </c>
      <c r="H1221">
        <v>1600</v>
      </c>
    </row>
    <row r="1222" spans="2:8">
      <c r="B1222" t="s">
        <v>463</v>
      </c>
      <c r="C1222" t="s">
        <v>389</v>
      </c>
      <c r="D1222">
        <v>4465</v>
      </c>
      <c r="E1222">
        <v>4465</v>
      </c>
      <c r="F1222">
        <v>4463</v>
      </c>
      <c r="G1222">
        <v>4464</v>
      </c>
      <c r="H1222">
        <v>16100</v>
      </c>
    </row>
    <row r="1223" spans="2:8">
      <c r="B1223" t="s">
        <v>463</v>
      </c>
      <c r="C1223" t="s">
        <v>390</v>
      </c>
      <c r="D1223">
        <v>4465</v>
      </c>
      <c r="E1223">
        <v>4465</v>
      </c>
      <c r="F1223">
        <v>4464</v>
      </c>
      <c r="G1223">
        <v>4465</v>
      </c>
      <c r="H1223">
        <v>6000</v>
      </c>
    </row>
    <row r="1224" spans="2:8">
      <c r="B1224" t="s">
        <v>463</v>
      </c>
      <c r="C1224" t="s">
        <v>391</v>
      </c>
      <c r="D1224">
        <v>4465</v>
      </c>
      <c r="E1224">
        <v>4465</v>
      </c>
      <c r="F1224">
        <v>4463</v>
      </c>
      <c r="G1224">
        <v>4463</v>
      </c>
      <c r="H1224">
        <v>9000</v>
      </c>
    </row>
    <row r="1225" spans="2:8">
      <c r="B1225" t="s">
        <v>463</v>
      </c>
      <c r="C1225" t="s">
        <v>392</v>
      </c>
      <c r="D1225">
        <v>4463</v>
      </c>
      <c r="E1225">
        <v>4463</v>
      </c>
      <c r="F1225">
        <v>4462</v>
      </c>
      <c r="G1225">
        <v>4463</v>
      </c>
      <c r="H1225">
        <v>6100</v>
      </c>
    </row>
    <row r="1226" spans="2:8">
      <c r="B1226" t="s">
        <v>463</v>
      </c>
      <c r="C1226" t="s">
        <v>393</v>
      </c>
      <c r="D1226">
        <v>4464</v>
      </c>
      <c r="E1226">
        <v>4465</v>
      </c>
      <c r="F1226">
        <v>4463</v>
      </c>
      <c r="G1226">
        <v>4464</v>
      </c>
      <c r="H1226">
        <v>7400</v>
      </c>
    </row>
    <row r="1227" spans="2:8">
      <c r="B1227" t="s">
        <v>463</v>
      </c>
      <c r="C1227" t="s">
        <v>394</v>
      </c>
      <c r="D1227">
        <v>4464</v>
      </c>
      <c r="E1227">
        <v>4465</v>
      </c>
      <c r="F1227">
        <v>4464</v>
      </c>
      <c r="G1227">
        <v>4465</v>
      </c>
      <c r="H1227">
        <v>2900</v>
      </c>
    </row>
    <row r="1228" spans="2:8">
      <c r="B1228" t="s">
        <v>463</v>
      </c>
      <c r="C1228" t="s">
        <v>395</v>
      </c>
      <c r="D1228">
        <v>4465</v>
      </c>
      <c r="E1228">
        <v>4466</v>
      </c>
      <c r="F1228">
        <v>4465</v>
      </c>
      <c r="G1228">
        <v>4465</v>
      </c>
      <c r="H1228">
        <v>9800</v>
      </c>
    </row>
    <row r="1229" spans="2:8">
      <c r="B1229" t="s">
        <v>463</v>
      </c>
      <c r="C1229" t="s">
        <v>396</v>
      </c>
      <c r="D1229">
        <v>4466</v>
      </c>
      <c r="E1229">
        <v>4467</v>
      </c>
      <c r="F1229">
        <v>4466</v>
      </c>
      <c r="G1229">
        <v>4466</v>
      </c>
      <c r="H1229">
        <v>8100</v>
      </c>
    </row>
    <row r="1230" spans="2:8">
      <c r="B1230" t="s">
        <v>463</v>
      </c>
      <c r="C1230" t="s">
        <v>397</v>
      </c>
      <c r="D1230">
        <v>4467</v>
      </c>
      <c r="E1230">
        <v>4468</v>
      </c>
      <c r="F1230">
        <v>4467</v>
      </c>
      <c r="G1230">
        <v>4468</v>
      </c>
      <c r="H1230">
        <v>14700</v>
      </c>
    </row>
    <row r="1231" spans="2:8">
      <c r="B1231" t="s">
        <v>463</v>
      </c>
      <c r="C1231" t="s">
        <v>398</v>
      </c>
      <c r="D1231">
        <v>4468</v>
      </c>
      <c r="E1231">
        <v>4468</v>
      </c>
      <c r="F1231">
        <v>4465</v>
      </c>
      <c r="G1231">
        <v>4465</v>
      </c>
      <c r="H1231">
        <v>8600</v>
      </c>
    </row>
    <row r="1232" spans="2:8">
      <c r="B1232" t="s">
        <v>463</v>
      </c>
      <c r="C1232" t="s">
        <v>399</v>
      </c>
      <c r="D1232">
        <v>4465</v>
      </c>
      <c r="E1232">
        <v>4466</v>
      </c>
      <c r="F1232">
        <v>4465</v>
      </c>
      <c r="G1232">
        <v>4466</v>
      </c>
      <c r="H1232">
        <v>4300</v>
      </c>
    </row>
    <row r="1233" spans="2:8">
      <c r="B1233" t="s">
        <v>463</v>
      </c>
      <c r="C1233" t="s">
        <v>400</v>
      </c>
      <c r="D1233">
        <v>4467</v>
      </c>
      <c r="E1233">
        <v>4467</v>
      </c>
      <c r="F1233">
        <v>4466</v>
      </c>
      <c r="G1233">
        <v>4467</v>
      </c>
      <c r="H1233">
        <v>1800</v>
      </c>
    </row>
    <row r="1234" spans="2:8">
      <c r="B1234" t="s">
        <v>463</v>
      </c>
      <c r="C1234" t="s">
        <v>401</v>
      </c>
      <c r="D1234">
        <v>4466</v>
      </c>
      <c r="E1234">
        <v>4467</v>
      </c>
      <c r="F1234">
        <v>4466</v>
      </c>
      <c r="G1234">
        <v>4467</v>
      </c>
      <c r="H1234">
        <v>3300</v>
      </c>
    </row>
    <row r="1235" spans="2:8">
      <c r="B1235" t="s">
        <v>463</v>
      </c>
      <c r="C1235" t="s">
        <v>402</v>
      </c>
      <c r="D1235">
        <v>4467</v>
      </c>
      <c r="E1235">
        <v>4467</v>
      </c>
      <c r="F1235">
        <v>4466</v>
      </c>
      <c r="G1235">
        <v>4467</v>
      </c>
      <c r="H1235">
        <v>3700</v>
      </c>
    </row>
    <row r="1236" spans="2:8">
      <c r="B1236" t="s">
        <v>463</v>
      </c>
      <c r="C1236" t="s">
        <v>403</v>
      </c>
      <c r="D1236">
        <v>4466</v>
      </c>
      <c r="E1236">
        <v>4467</v>
      </c>
      <c r="F1236">
        <v>4466</v>
      </c>
      <c r="G1236">
        <v>4467</v>
      </c>
      <c r="H1236">
        <v>15800</v>
      </c>
    </row>
    <row r="1237" spans="2:8">
      <c r="B1237" t="s">
        <v>463</v>
      </c>
      <c r="C1237" t="s">
        <v>404</v>
      </c>
      <c r="D1237">
        <v>4468</v>
      </c>
      <c r="E1237">
        <v>4470</v>
      </c>
      <c r="F1237">
        <v>4468</v>
      </c>
      <c r="G1237">
        <v>4470</v>
      </c>
      <c r="H1237">
        <v>12800</v>
      </c>
    </row>
    <row r="1238" spans="2:8">
      <c r="B1238" t="s">
        <v>463</v>
      </c>
      <c r="C1238" t="s">
        <v>405</v>
      </c>
      <c r="D1238">
        <v>4470</v>
      </c>
      <c r="E1238">
        <v>4471</v>
      </c>
      <c r="F1238">
        <v>4469</v>
      </c>
      <c r="G1238">
        <v>4470</v>
      </c>
      <c r="H1238">
        <v>21300</v>
      </c>
    </row>
    <row r="1239" spans="2:8">
      <c r="B1239" t="s">
        <v>463</v>
      </c>
      <c r="C1239" t="s">
        <v>406</v>
      </c>
      <c r="D1239">
        <v>4471</v>
      </c>
      <c r="E1239">
        <v>4471</v>
      </c>
      <c r="F1239">
        <v>4469</v>
      </c>
      <c r="G1239">
        <v>4470</v>
      </c>
      <c r="H1239">
        <v>4200</v>
      </c>
    </row>
    <row r="1240" spans="2:8">
      <c r="B1240" t="s">
        <v>463</v>
      </c>
      <c r="C1240" t="s">
        <v>407</v>
      </c>
      <c r="D1240">
        <v>4470</v>
      </c>
      <c r="E1240">
        <v>4470</v>
      </c>
      <c r="F1240">
        <v>4467</v>
      </c>
      <c r="G1240">
        <v>4467</v>
      </c>
      <c r="H1240">
        <v>15000</v>
      </c>
    </row>
    <row r="1241" spans="2:8">
      <c r="B1241" t="s">
        <v>463</v>
      </c>
      <c r="C1241" t="s">
        <v>408</v>
      </c>
      <c r="D1241">
        <v>4467</v>
      </c>
      <c r="E1241">
        <v>4469</v>
      </c>
      <c r="F1241">
        <v>4466</v>
      </c>
      <c r="G1241">
        <v>4468</v>
      </c>
      <c r="H1241">
        <v>11000</v>
      </c>
    </row>
    <row r="1242" spans="2:8">
      <c r="B1242" t="s">
        <v>463</v>
      </c>
      <c r="C1242" t="s">
        <v>409</v>
      </c>
      <c r="D1242">
        <v>4468</v>
      </c>
      <c r="E1242">
        <v>4468</v>
      </c>
      <c r="F1242">
        <v>4467</v>
      </c>
      <c r="G1242">
        <v>4468</v>
      </c>
      <c r="H1242">
        <v>10200</v>
      </c>
    </row>
    <row r="1243" spans="2:8">
      <c r="B1243" t="s">
        <v>463</v>
      </c>
      <c r="C1243" t="s">
        <v>410</v>
      </c>
      <c r="D1243">
        <v>4468</v>
      </c>
      <c r="E1243">
        <v>4468</v>
      </c>
      <c r="F1243">
        <v>4466</v>
      </c>
      <c r="G1243">
        <v>4468</v>
      </c>
      <c r="H1243">
        <v>4900</v>
      </c>
    </row>
    <row r="1244" spans="2:8">
      <c r="B1244" t="s">
        <v>463</v>
      </c>
      <c r="C1244" t="s">
        <v>411</v>
      </c>
      <c r="D1244">
        <v>4468</v>
      </c>
      <c r="E1244">
        <v>4468</v>
      </c>
      <c r="F1244">
        <v>4467</v>
      </c>
      <c r="G1244">
        <v>4468</v>
      </c>
      <c r="H1244">
        <v>8500</v>
      </c>
    </row>
    <row r="1245" spans="2:8">
      <c r="B1245" t="s">
        <v>463</v>
      </c>
      <c r="C1245" t="s">
        <v>412</v>
      </c>
      <c r="D1245">
        <v>4468</v>
      </c>
      <c r="E1245">
        <v>4468</v>
      </c>
      <c r="F1245">
        <v>4467</v>
      </c>
      <c r="G1245">
        <v>4467</v>
      </c>
      <c r="H1245">
        <v>6200</v>
      </c>
    </row>
    <row r="1246" spans="2:8">
      <c r="B1246" t="s">
        <v>463</v>
      </c>
      <c r="C1246" t="s">
        <v>413</v>
      </c>
      <c r="D1246">
        <v>4466</v>
      </c>
      <c r="E1246">
        <v>4469</v>
      </c>
      <c r="F1246">
        <v>4466</v>
      </c>
      <c r="G1246">
        <v>4469</v>
      </c>
      <c r="H1246">
        <v>13200</v>
      </c>
    </row>
    <row r="1247" spans="2:8">
      <c r="B1247" t="s">
        <v>463</v>
      </c>
      <c r="C1247" t="s">
        <v>414</v>
      </c>
      <c r="D1247">
        <v>4469</v>
      </c>
      <c r="E1247">
        <v>4470</v>
      </c>
      <c r="F1247">
        <v>4469</v>
      </c>
      <c r="G1247">
        <v>4470</v>
      </c>
      <c r="H1247">
        <v>14700</v>
      </c>
    </row>
    <row r="1248" spans="2:8">
      <c r="B1248" t="s">
        <v>463</v>
      </c>
      <c r="C1248" t="s">
        <v>415</v>
      </c>
      <c r="D1248">
        <v>4471</v>
      </c>
      <c r="E1248">
        <v>4471</v>
      </c>
      <c r="F1248">
        <v>4469</v>
      </c>
      <c r="G1248">
        <v>4471</v>
      </c>
      <c r="H1248">
        <v>14100</v>
      </c>
    </row>
    <row r="1249" spans="2:8">
      <c r="B1249" t="s">
        <v>463</v>
      </c>
      <c r="C1249" t="s">
        <v>416</v>
      </c>
      <c r="D1249">
        <v>4471</v>
      </c>
      <c r="E1249">
        <v>4471</v>
      </c>
      <c r="F1249">
        <v>4469</v>
      </c>
      <c r="G1249">
        <v>4470</v>
      </c>
      <c r="H1249">
        <v>8300</v>
      </c>
    </row>
    <row r="1250" spans="2:8">
      <c r="B1250" t="s">
        <v>463</v>
      </c>
      <c r="C1250" t="s">
        <v>417</v>
      </c>
      <c r="D1250">
        <v>4471</v>
      </c>
      <c r="E1250">
        <v>4473</v>
      </c>
      <c r="F1250">
        <v>4471</v>
      </c>
      <c r="G1250">
        <v>4472</v>
      </c>
      <c r="H1250">
        <v>13900</v>
      </c>
    </row>
    <row r="1251" spans="2:8">
      <c r="B1251" t="s">
        <v>463</v>
      </c>
      <c r="C1251" t="s">
        <v>418</v>
      </c>
      <c r="D1251">
        <v>4472</v>
      </c>
      <c r="E1251">
        <v>4473</v>
      </c>
      <c r="F1251">
        <v>4472</v>
      </c>
      <c r="G1251">
        <v>4472</v>
      </c>
      <c r="H1251">
        <v>14200</v>
      </c>
    </row>
    <row r="1252" spans="2:8">
      <c r="B1252" t="s">
        <v>463</v>
      </c>
      <c r="C1252" t="s">
        <v>419</v>
      </c>
      <c r="D1252">
        <v>4472</v>
      </c>
      <c r="E1252">
        <v>4473</v>
      </c>
      <c r="F1252">
        <v>4471</v>
      </c>
      <c r="G1252">
        <v>4472</v>
      </c>
      <c r="H1252">
        <v>22400</v>
      </c>
    </row>
    <row r="1253" spans="2:8">
      <c r="B1253" t="s">
        <v>463</v>
      </c>
      <c r="C1253" t="s">
        <v>420</v>
      </c>
      <c r="D1253">
        <v>4472</v>
      </c>
      <c r="E1253">
        <v>4476</v>
      </c>
      <c r="F1253">
        <v>4472</v>
      </c>
      <c r="G1253">
        <v>4474</v>
      </c>
      <c r="H1253">
        <v>62400</v>
      </c>
    </row>
    <row r="1254" spans="2:8">
      <c r="B1254" t="s">
        <v>463</v>
      </c>
      <c r="C1254" t="s">
        <v>421</v>
      </c>
      <c r="D1254">
        <v>4474</v>
      </c>
      <c r="E1254">
        <v>4474</v>
      </c>
      <c r="F1254">
        <v>4473</v>
      </c>
      <c r="G1254">
        <v>4474</v>
      </c>
      <c r="H1254">
        <v>5100</v>
      </c>
    </row>
    <row r="1255" spans="2:8">
      <c r="B1255" t="s">
        <v>463</v>
      </c>
      <c r="C1255" t="s">
        <v>422</v>
      </c>
      <c r="D1255">
        <v>4474</v>
      </c>
      <c r="E1255">
        <v>4475</v>
      </c>
      <c r="F1255">
        <v>4473</v>
      </c>
      <c r="G1255">
        <v>4474</v>
      </c>
      <c r="H1255">
        <v>9000</v>
      </c>
    </row>
    <row r="1256" spans="2:8">
      <c r="B1256" t="s">
        <v>463</v>
      </c>
      <c r="C1256" t="s">
        <v>423</v>
      </c>
      <c r="D1256">
        <v>4474</v>
      </c>
      <c r="E1256">
        <v>4474</v>
      </c>
      <c r="F1256">
        <v>4474</v>
      </c>
      <c r="G1256">
        <v>4474</v>
      </c>
      <c r="H1256">
        <v>4300</v>
      </c>
    </row>
    <row r="1257" spans="2:8">
      <c r="B1257" t="s">
        <v>463</v>
      </c>
      <c r="C1257" t="s">
        <v>424</v>
      </c>
      <c r="D1257">
        <v>4475</v>
      </c>
      <c r="E1257">
        <v>4475</v>
      </c>
      <c r="F1257">
        <v>4472</v>
      </c>
      <c r="G1257">
        <v>4472</v>
      </c>
      <c r="H1257">
        <v>14000</v>
      </c>
    </row>
    <row r="1258" spans="2:8">
      <c r="B1258" t="s">
        <v>463</v>
      </c>
      <c r="C1258" t="s">
        <v>425</v>
      </c>
      <c r="D1258">
        <v>4474</v>
      </c>
      <c r="E1258">
        <v>4474</v>
      </c>
      <c r="F1258">
        <v>4471</v>
      </c>
      <c r="G1258">
        <v>4471</v>
      </c>
      <c r="H1258">
        <v>14700</v>
      </c>
    </row>
    <row r="1259" spans="2:8">
      <c r="B1259" t="s">
        <v>463</v>
      </c>
      <c r="C1259" t="s">
        <v>426</v>
      </c>
      <c r="D1259">
        <v>4472</v>
      </c>
      <c r="E1259">
        <v>4472</v>
      </c>
      <c r="F1259">
        <v>4468</v>
      </c>
      <c r="G1259">
        <v>4470</v>
      </c>
      <c r="H1259">
        <v>14900</v>
      </c>
    </row>
    <row r="1260" spans="2:8">
      <c r="B1260" t="s">
        <v>463</v>
      </c>
      <c r="C1260" t="s">
        <v>427</v>
      </c>
      <c r="D1260">
        <v>4470</v>
      </c>
      <c r="E1260">
        <v>4470</v>
      </c>
      <c r="F1260">
        <v>4469</v>
      </c>
      <c r="G1260">
        <v>4469</v>
      </c>
      <c r="H1260">
        <v>4500</v>
      </c>
    </row>
    <row r="1261" spans="2:8">
      <c r="B1261" t="s">
        <v>463</v>
      </c>
      <c r="C1261" t="s">
        <v>428</v>
      </c>
      <c r="D1261">
        <v>4468</v>
      </c>
      <c r="E1261">
        <v>4468</v>
      </c>
      <c r="F1261">
        <v>4467</v>
      </c>
      <c r="G1261">
        <v>4467</v>
      </c>
      <c r="H1261">
        <v>8100</v>
      </c>
    </row>
    <row r="1262" spans="2:8">
      <c r="B1262" t="s">
        <v>463</v>
      </c>
      <c r="C1262" t="s">
        <v>429</v>
      </c>
      <c r="D1262">
        <v>4467</v>
      </c>
      <c r="E1262">
        <v>4468</v>
      </c>
      <c r="F1262">
        <v>4466</v>
      </c>
      <c r="G1262">
        <v>4466</v>
      </c>
      <c r="H1262">
        <v>9400</v>
      </c>
    </row>
    <row r="1263" spans="2:8">
      <c r="B1263" t="s">
        <v>463</v>
      </c>
      <c r="C1263" t="s">
        <v>430</v>
      </c>
      <c r="D1263">
        <v>4467</v>
      </c>
      <c r="E1263">
        <v>4468</v>
      </c>
      <c r="F1263">
        <v>4467</v>
      </c>
      <c r="G1263">
        <v>4468</v>
      </c>
      <c r="H1263">
        <v>5000</v>
      </c>
    </row>
    <row r="1264" spans="2:8">
      <c r="B1264" t="s">
        <v>463</v>
      </c>
      <c r="C1264" t="s">
        <v>431</v>
      </c>
      <c r="D1264">
        <v>4467</v>
      </c>
      <c r="E1264">
        <v>4468</v>
      </c>
      <c r="F1264">
        <v>4467</v>
      </c>
      <c r="G1264">
        <v>4468</v>
      </c>
      <c r="H1264">
        <v>2400</v>
      </c>
    </row>
    <row r="1265" spans="2:8">
      <c r="B1265" t="s">
        <v>463</v>
      </c>
      <c r="C1265" t="s">
        <v>9</v>
      </c>
      <c r="D1265">
        <v>4467</v>
      </c>
      <c r="E1265">
        <v>4468</v>
      </c>
      <c r="F1265">
        <v>4464</v>
      </c>
      <c r="G1265">
        <v>4464</v>
      </c>
      <c r="H1265">
        <v>26400</v>
      </c>
    </row>
    <row r="1266" spans="2:8">
      <c r="B1266" t="s">
        <v>463</v>
      </c>
      <c r="C1266" t="s">
        <v>10</v>
      </c>
      <c r="D1266">
        <v>4464</v>
      </c>
      <c r="E1266">
        <v>4465</v>
      </c>
      <c r="F1266">
        <v>4463</v>
      </c>
      <c r="G1266">
        <v>4465</v>
      </c>
      <c r="H1266">
        <v>9100</v>
      </c>
    </row>
    <row r="1267" spans="2:8">
      <c r="B1267" t="s">
        <v>463</v>
      </c>
      <c r="C1267" t="s">
        <v>11</v>
      </c>
      <c r="D1267">
        <v>4465</v>
      </c>
      <c r="E1267">
        <v>4465</v>
      </c>
      <c r="F1267">
        <v>4464</v>
      </c>
      <c r="G1267">
        <v>4464</v>
      </c>
      <c r="H1267">
        <v>9200</v>
      </c>
    </row>
    <row r="1268" spans="2:8">
      <c r="B1268" t="s">
        <v>463</v>
      </c>
      <c r="C1268" t="s">
        <v>12</v>
      </c>
      <c r="D1268">
        <v>4465</v>
      </c>
      <c r="E1268">
        <v>4465</v>
      </c>
      <c r="F1268">
        <v>4464</v>
      </c>
      <c r="G1268">
        <v>4464</v>
      </c>
      <c r="H1268">
        <v>7200</v>
      </c>
    </row>
    <row r="1269" spans="2:8">
      <c r="B1269" t="s">
        <v>463</v>
      </c>
      <c r="C1269" t="s">
        <v>13</v>
      </c>
      <c r="D1269">
        <v>4465</v>
      </c>
      <c r="E1269">
        <v>4465</v>
      </c>
      <c r="F1269">
        <v>4464</v>
      </c>
      <c r="G1269">
        <v>4465</v>
      </c>
      <c r="H1269">
        <v>1700</v>
      </c>
    </row>
    <row r="1270" spans="2:8">
      <c r="B1270" t="s">
        <v>463</v>
      </c>
      <c r="C1270" t="s">
        <v>14</v>
      </c>
      <c r="D1270">
        <v>4464</v>
      </c>
      <c r="E1270">
        <v>4464</v>
      </c>
      <c r="F1270">
        <v>4463</v>
      </c>
      <c r="G1270">
        <v>4463</v>
      </c>
      <c r="H1270">
        <v>21100</v>
      </c>
    </row>
    <row r="1271" spans="2:8">
      <c r="B1271" t="s">
        <v>463</v>
      </c>
      <c r="C1271" t="s">
        <v>15</v>
      </c>
      <c r="D1271">
        <v>4463</v>
      </c>
      <c r="E1271">
        <v>4464</v>
      </c>
      <c r="F1271">
        <v>4462</v>
      </c>
      <c r="G1271">
        <v>4464</v>
      </c>
      <c r="H1271">
        <v>7900</v>
      </c>
    </row>
    <row r="1272" spans="2:8">
      <c r="B1272" t="s">
        <v>463</v>
      </c>
      <c r="C1272" t="s">
        <v>16</v>
      </c>
      <c r="D1272">
        <v>4463</v>
      </c>
      <c r="E1272">
        <v>4464</v>
      </c>
      <c r="F1272">
        <v>4462</v>
      </c>
      <c r="G1272">
        <v>4463</v>
      </c>
      <c r="H1272">
        <v>8200</v>
      </c>
    </row>
    <row r="1273" spans="2:8">
      <c r="B1273" t="s">
        <v>463</v>
      </c>
      <c r="C1273" t="s">
        <v>17</v>
      </c>
      <c r="D1273">
        <v>4463</v>
      </c>
      <c r="E1273">
        <v>4464</v>
      </c>
      <c r="F1273">
        <v>4463</v>
      </c>
      <c r="G1273">
        <v>4464</v>
      </c>
      <c r="H1273">
        <v>5800</v>
      </c>
    </row>
    <row r="1274" spans="2:8">
      <c r="B1274" t="s">
        <v>463</v>
      </c>
      <c r="C1274" t="s">
        <v>18</v>
      </c>
      <c r="D1274">
        <v>4464</v>
      </c>
      <c r="E1274">
        <v>4465</v>
      </c>
      <c r="F1274">
        <v>4464</v>
      </c>
      <c r="G1274">
        <v>4464</v>
      </c>
      <c r="H1274">
        <v>10100</v>
      </c>
    </row>
    <row r="1275" spans="2:8">
      <c r="B1275" t="s">
        <v>463</v>
      </c>
      <c r="C1275" t="s">
        <v>19</v>
      </c>
      <c r="D1275">
        <v>4464</v>
      </c>
      <c r="E1275">
        <v>4465</v>
      </c>
      <c r="F1275">
        <v>4463</v>
      </c>
      <c r="G1275">
        <v>4465</v>
      </c>
      <c r="H1275">
        <v>9700</v>
      </c>
    </row>
    <row r="1276" spans="2:8">
      <c r="B1276" t="s">
        <v>463</v>
      </c>
      <c r="C1276" t="s">
        <v>20</v>
      </c>
      <c r="D1276">
        <v>4465</v>
      </c>
      <c r="E1276">
        <v>4466</v>
      </c>
      <c r="F1276">
        <v>4465</v>
      </c>
      <c r="G1276">
        <v>4465</v>
      </c>
      <c r="H1276">
        <v>2800</v>
      </c>
    </row>
    <row r="1277" spans="2:8">
      <c r="B1277" t="s">
        <v>463</v>
      </c>
      <c r="C1277" t="s">
        <v>21</v>
      </c>
      <c r="D1277">
        <v>4466</v>
      </c>
      <c r="E1277">
        <v>4467</v>
      </c>
      <c r="F1277">
        <v>4466</v>
      </c>
      <c r="G1277">
        <v>4467</v>
      </c>
      <c r="H1277">
        <v>8700</v>
      </c>
    </row>
    <row r="1278" spans="2:8">
      <c r="B1278" t="s">
        <v>463</v>
      </c>
      <c r="C1278" t="s">
        <v>22</v>
      </c>
      <c r="D1278">
        <v>4468</v>
      </c>
      <c r="E1278">
        <v>4469</v>
      </c>
      <c r="F1278">
        <v>4466</v>
      </c>
      <c r="G1278">
        <v>4467</v>
      </c>
      <c r="H1278">
        <v>13600</v>
      </c>
    </row>
    <row r="1279" spans="2:8">
      <c r="B1279" t="s">
        <v>463</v>
      </c>
      <c r="C1279" t="s">
        <v>23</v>
      </c>
      <c r="D1279">
        <v>4466</v>
      </c>
      <c r="E1279">
        <v>4470</v>
      </c>
      <c r="F1279">
        <v>4466</v>
      </c>
      <c r="G1279">
        <v>4470</v>
      </c>
      <c r="H1279">
        <v>8900</v>
      </c>
    </row>
    <row r="1280" spans="2:8">
      <c r="B1280" t="s">
        <v>463</v>
      </c>
      <c r="C1280" t="s">
        <v>24</v>
      </c>
      <c r="D1280">
        <v>4469</v>
      </c>
      <c r="E1280">
        <v>4469</v>
      </c>
      <c r="F1280">
        <v>4467</v>
      </c>
      <c r="G1280">
        <v>4468</v>
      </c>
      <c r="H1280">
        <v>6600</v>
      </c>
    </row>
    <row r="1281" spans="2:8">
      <c r="B1281" t="s">
        <v>463</v>
      </c>
      <c r="C1281" t="s">
        <v>25</v>
      </c>
      <c r="D1281">
        <v>4467</v>
      </c>
      <c r="E1281">
        <v>4469</v>
      </c>
      <c r="F1281">
        <v>4466</v>
      </c>
      <c r="G1281">
        <v>4469</v>
      </c>
      <c r="H1281">
        <v>6100</v>
      </c>
    </row>
    <row r="1282" spans="2:8">
      <c r="B1282" t="s">
        <v>463</v>
      </c>
      <c r="C1282" t="s">
        <v>26</v>
      </c>
      <c r="D1282">
        <v>4469</v>
      </c>
      <c r="E1282">
        <v>4469</v>
      </c>
      <c r="F1282">
        <v>4469</v>
      </c>
      <c r="G1282">
        <v>4469</v>
      </c>
      <c r="H1282">
        <v>4100</v>
      </c>
    </row>
    <row r="1283" spans="2:8">
      <c r="B1283" t="s">
        <v>463</v>
      </c>
      <c r="C1283" t="s">
        <v>27</v>
      </c>
      <c r="D1283">
        <v>4468</v>
      </c>
      <c r="E1283">
        <v>4469</v>
      </c>
      <c r="F1283">
        <v>4468</v>
      </c>
      <c r="G1283">
        <v>4468</v>
      </c>
      <c r="H1283">
        <v>3500</v>
      </c>
    </row>
    <row r="1284" spans="2:8">
      <c r="B1284" t="s">
        <v>463</v>
      </c>
      <c r="C1284" t="s">
        <v>28</v>
      </c>
      <c r="D1284">
        <v>4469</v>
      </c>
      <c r="E1284">
        <v>4470</v>
      </c>
      <c r="F1284">
        <v>4468</v>
      </c>
      <c r="G1284">
        <v>4468</v>
      </c>
      <c r="H1284">
        <v>10600</v>
      </c>
    </row>
    <row r="1285" spans="2:8">
      <c r="B1285" t="s">
        <v>463</v>
      </c>
      <c r="C1285" t="s">
        <v>29</v>
      </c>
      <c r="D1285">
        <v>4469</v>
      </c>
      <c r="E1285">
        <v>4469</v>
      </c>
      <c r="F1285">
        <v>4467</v>
      </c>
      <c r="G1285">
        <v>4467</v>
      </c>
      <c r="H1285">
        <v>3000</v>
      </c>
    </row>
    <row r="1286" spans="2:8">
      <c r="B1286" t="s">
        <v>463</v>
      </c>
      <c r="C1286" t="s">
        <v>30</v>
      </c>
      <c r="D1286">
        <v>4468</v>
      </c>
      <c r="E1286">
        <v>4468</v>
      </c>
      <c r="F1286">
        <v>4467</v>
      </c>
      <c r="G1286">
        <v>4467</v>
      </c>
      <c r="H1286">
        <v>4400</v>
      </c>
    </row>
    <row r="1287" spans="2:8">
      <c r="B1287" t="s">
        <v>463</v>
      </c>
      <c r="C1287" t="s">
        <v>31</v>
      </c>
      <c r="D1287">
        <v>4467</v>
      </c>
      <c r="E1287">
        <v>4467</v>
      </c>
      <c r="F1287">
        <v>4467</v>
      </c>
      <c r="G1287">
        <v>4467</v>
      </c>
      <c r="H1287">
        <v>1800</v>
      </c>
    </row>
    <row r="1288" spans="2:8">
      <c r="B1288" t="s">
        <v>463</v>
      </c>
      <c r="C1288" t="s">
        <v>32</v>
      </c>
      <c r="D1288">
        <v>4467</v>
      </c>
      <c r="E1288">
        <v>4468</v>
      </c>
      <c r="F1288">
        <v>4466</v>
      </c>
      <c r="G1288">
        <v>4466</v>
      </c>
      <c r="H1288">
        <v>11200</v>
      </c>
    </row>
    <row r="1289" spans="2:8">
      <c r="B1289" t="s">
        <v>463</v>
      </c>
      <c r="C1289" t="s">
        <v>33</v>
      </c>
      <c r="D1289">
        <v>4467</v>
      </c>
      <c r="E1289">
        <v>4468</v>
      </c>
      <c r="F1289">
        <v>4467</v>
      </c>
      <c r="G1289">
        <v>4467</v>
      </c>
      <c r="H1289">
        <v>7200</v>
      </c>
    </row>
    <row r="1290" spans="2:8">
      <c r="B1290" t="s">
        <v>463</v>
      </c>
      <c r="C1290" t="s">
        <v>34</v>
      </c>
      <c r="D1290">
        <v>4467</v>
      </c>
      <c r="E1290">
        <v>4467</v>
      </c>
      <c r="F1290">
        <v>4466</v>
      </c>
      <c r="G1290">
        <v>4467</v>
      </c>
      <c r="H1290">
        <v>5000</v>
      </c>
    </row>
    <row r="1291" spans="2:8">
      <c r="B1291" t="s">
        <v>463</v>
      </c>
      <c r="C1291" t="s">
        <v>35</v>
      </c>
      <c r="D1291">
        <v>4467</v>
      </c>
      <c r="E1291">
        <v>4467</v>
      </c>
      <c r="F1291">
        <v>4464</v>
      </c>
      <c r="G1291">
        <v>4465</v>
      </c>
      <c r="H1291">
        <v>15500</v>
      </c>
    </row>
    <row r="1292" spans="2:8">
      <c r="B1292" t="s">
        <v>463</v>
      </c>
      <c r="C1292" t="s">
        <v>36</v>
      </c>
      <c r="D1292">
        <v>4466</v>
      </c>
      <c r="E1292">
        <v>4467</v>
      </c>
      <c r="F1292">
        <v>4466</v>
      </c>
      <c r="G1292">
        <v>4467</v>
      </c>
      <c r="H1292">
        <v>4400</v>
      </c>
    </row>
    <row r="1293" spans="2:8">
      <c r="B1293" t="s">
        <v>463</v>
      </c>
      <c r="C1293" t="s">
        <v>37</v>
      </c>
      <c r="D1293">
        <v>4467</v>
      </c>
      <c r="E1293">
        <v>4469</v>
      </c>
      <c r="F1293">
        <v>4467</v>
      </c>
      <c r="G1293">
        <v>4469</v>
      </c>
      <c r="H1293">
        <v>14200</v>
      </c>
    </row>
    <row r="1294" spans="2:8">
      <c r="B1294" t="s">
        <v>463</v>
      </c>
      <c r="C1294" t="s">
        <v>38</v>
      </c>
      <c r="D1294">
        <v>4469</v>
      </c>
      <c r="E1294">
        <v>4469</v>
      </c>
      <c r="F1294">
        <v>4464</v>
      </c>
      <c r="G1294">
        <v>4464</v>
      </c>
      <c r="H1294">
        <v>17800</v>
      </c>
    </row>
    <row r="1295" spans="2:8">
      <c r="B1295" t="s">
        <v>463</v>
      </c>
      <c r="C1295" t="s">
        <v>39</v>
      </c>
      <c r="D1295">
        <v>4464</v>
      </c>
      <c r="E1295">
        <v>4465</v>
      </c>
      <c r="F1295">
        <v>4463</v>
      </c>
      <c r="G1295">
        <v>4464</v>
      </c>
      <c r="H1295">
        <v>7000</v>
      </c>
    </row>
    <row r="1296" spans="2:8">
      <c r="B1296" t="s">
        <v>463</v>
      </c>
      <c r="C1296" t="s">
        <v>40</v>
      </c>
      <c r="D1296">
        <v>4464</v>
      </c>
      <c r="E1296">
        <v>4465</v>
      </c>
      <c r="F1296">
        <v>4463</v>
      </c>
      <c r="G1296">
        <v>4465</v>
      </c>
      <c r="H1296">
        <v>7300</v>
      </c>
    </row>
    <row r="1297" spans="2:8">
      <c r="B1297" t="s">
        <v>463</v>
      </c>
      <c r="C1297" t="s">
        <v>41</v>
      </c>
      <c r="D1297">
        <v>4466</v>
      </c>
      <c r="E1297">
        <v>4466</v>
      </c>
      <c r="F1297">
        <v>4464</v>
      </c>
      <c r="G1297">
        <v>4464</v>
      </c>
      <c r="H1297">
        <v>9400</v>
      </c>
    </row>
    <row r="1298" spans="2:8">
      <c r="B1298" t="s">
        <v>463</v>
      </c>
      <c r="C1298" t="s">
        <v>42</v>
      </c>
      <c r="D1298">
        <v>4464</v>
      </c>
      <c r="E1298">
        <v>4466</v>
      </c>
      <c r="F1298">
        <v>4464</v>
      </c>
      <c r="G1298">
        <v>4466</v>
      </c>
      <c r="H1298">
        <v>8500</v>
      </c>
    </row>
    <row r="1299" spans="2:8">
      <c r="B1299" t="s">
        <v>463</v>
      </c>
      <c r="C1299" t="s">
        <v>43</v>
      </c>
      <c r="D1299">
        <v>4467</v>
      </c>
      <c r="E1299">
        <v>4469</v>
      </c>
      <c r="F1299">
        <v>4467</v>
      </c>
      <c r="G1299">
        <v>4469</v>
      </c>
      <c r="H1299">
        <v>9400</v>
      </c>
    </row>
    <row r="1300" spans="2:8">
      <c r="B1300" t="s">
        <v>463</v>
      </c>
      <c r="C1300" t="s">
        <v>44</v>
      </c>
      <c r="D1300">
        <v>4468</v>
      </c>
      <c r="E1300">
        <v>4469</v>
      </c>
      <c r="F1300">
        <v>4467</v>
      </c>
      <c r="G1300">
        <v>4469</v>
      </c>
      <c r="H1300">
        <v>17600</v>
      </c>
    </row>
    <row r="1301" spans="2:8">
      <c r="B1301" t="s">
        <v>463</v>
      </c>
      <c r="C1301" t="s">
        <v>45</v>
      </c>
      <c r="D1301">
        <v>4469</v>
      </c>
      <c r="E1301">
        <v>4471</v>
      </c>
      <c r="F1301">
        <v>4469</v>
      </c>
      <c r="G1301">
        <v>4470</v>
      </c>
      <c r="H1301">
        <v>30800</v>
      </c>
    </row>
    <row r="1302" spans="2:8">
      <c r="B1302" t="s">
        <v>463</v>
      </c>
      <c r="C1302" t="s">
        <v>46</v>
      </c>
      <c r="D1302">
        <v>4471</v>
      </c>
      <c r="E1302">
        <v>4471</v>
      </c>
      <c r="F1302">
        <v>4469</v>
      </c>
      <c r="G1302">
        <v>4471</v>
      </c>
      <c r="H1302">
        <v>16700</v>
      </c>
    </row>
    <row r="1303" spans="2:8">
      <c r="B1303" t="s">
        <v>463</v>
      </c>
      <c r="C1303" t="s">
        <v>47</v>
      </c>
      <c r="D1303">
        <v>4470</v>
      </c>
      <c r="E1303">
        <v>4471</v>
      </c>
      <c r="F1303">
        <v>4470</v>
      </c>
      <c r="G1303">
        <v>4470</v>
      </c>
      <c r="H1303">
        <v>13500</v>
      </c>
    </row>
    <row r="1304" spans="2:8">
      <c r="B1304" t="s">
        <v>463</v>
      </c>
      <c r="C1304" t="s">
        <v>48</v>
      </c>
      <c r="D1304">
        <v>4471</v>
      </c>
      <c r="E1304">
        <v>4472</v>
      </c>
      <c r="F1304">
        <v>4470</v>
      </c>
      <c r="G1304">
        <v>4471</v>
      </c>
      <c r="H1304">
        <v>8600</v>
      </c>
    </row>
    <row r="1305" spans="2:8">
      <c r="B1305" t="s">
        <v>463</v>
      </c>
      <c r="C1305" t="s">
        <v>49</v>
      </c>
      <c r="D1305">
        <v>4471</v>
      </c>
      <c r="E1305">
        <v>4473</v>
      </c>
      <c r="F1305">
        <v>4470</v>
      </c>
      <c r="G1305">
        <v>4470</v>
      </c>
      <c r="H1305">
        <v>42100</v>
      </c>
    </row>
    <row r="1306" spans="2:8">
      <c r="B1306" t="s">
        <v>463</v>
      </c>
      <c r="C1306" t="s">
        <v>50</v>
      </c>
      <c r="D1306">
        <v>4470</v>
      </c>
      <c r="E1306">
        <v>4471</v>
      </c>
      <c r="F1306">
        <v>4470</v>
      </c>
      <c r="G1306">
        <v>4471</v>
      </c>
      <c r="H1306">
        <v>6300</v>
      </c>
    </row>
    <row r="1307" spans="2:8">
      <c r="B1307" t="s">
        <v>463</v>
      </c>
      <c r="C1307" t="s">
        <v>51</v>
      </c>
      <c r="D1307">
        <v>4471</v>
      </c>
      <c r="E1307">
        <v>4471</v>
      </c>
      <c r="F1307">
        <v>4470</v>
      </c>
      <c r="G1307">
        <v>4471</v>
      </c>
      <c r="H1307">
        <v>8000</v>
      </c>
    </row>
    <row r="1308" spans="2:8">
      <c r="B1308" t="s">
        <v>463</v>
      </c>
      <c r="C1308" t="s">
        <v>52</v>
      </c>
      <c r="D1308">
        <v>4471</v>
      </c>
      <c r="E1308">
        <v>4472</v>
      </c>
      <c r="F1308">
        <v>4469</v>
      </c>
      <c r="G1308">
        <v>4470</v>
      </c>
      <c r="H1308">
        <v>29100</v>
      </c>
    </row>
    <row r="1309" spans="2:8">
      <c r="B1309" t="s">
        <v>463</v>
      </c>
      <c r="C1309" t="s">
        <v>53</v>
      </c>
      <c r="D1309">
        <v>4471</v>
      </c>
      <c r="E1309">
        <v>4474</v>
      </c>
      <c r="F1309">
        <v>4471</v>
      </c>
      <c r="G1309">
        <v>4474</v>
      </c>
      <c r="H1309">
        <v>22400</v>
      </c>
    </row>
    <row r="1310" spans="2:8">
      <c r="B1310" t="s">
        <v>463</v>
      </c>
      <c r="C1310" t="s">
        <v>54</v>
      </c>
      <c r="D1310">
        <v>4474</v>
      </c>
      <c r="E1310">
        <v>4474</v>
      </c>
      <c r="F1310">
        <v>4471</v>
      </c>
      <c r="G1310">
        <v>4471</v>
      </c>
      <c r="H1310">
        <v>14700</v>
      </c>
    </row>
    <row r="1311" spans="2:8">
      <c r="B1311" t="s">
        <v>463</v>
      </c>
      <c r="C1311" t="s">
        <v>55</v>
      </c>
      <c r="D1311">
        <v>4471</v>
      </c>
      <c r="E1311">
        <v>4472</v>
      </c>
      <c r="F1311">
        <v>4470</v>
      </c>
      <c r="G1311">
        <v>4472</v>
      </c>
      <c r="H1311">
        <v>9900</v>
      </c>
    </row>
    <row r="1312" spans="2:8">
      <c r="B1312" t="s">
        <v>463</v>
      </c>
      <c r="C1312" t="s">
        <v>56</v>
      </c>
      <c r="D1312">
        <v>4472</v>
      </c>
      <c r="E1312">
        <v>4472</v>
      </c>
      <c r="F1312">
        <v>4470</v>
      </c>
      <c r="G1312">
        <v>4470</v>
      </c>
      <c r="H1312">
        <v>25000</v>
      </c>
    </row>
    <row r="1313" spans="2:8">
      <c r="B1313" t="s">
        <v>463</v>
      </c>
      <c r="C1313" t="s">
        <v>57</v>
      </c>
      <c r="D1313">
        <v>4471</v>
      </c>
      <c r="E1313">
        <v>4471</v>
      </c>
      <c r="F1313">
        <v>4470</v>
      </c>
      <c r="G1313">
        <v>4471</v>
      </c>
      <c r="H1313">
        <v>6700</v>
      </c>
    </row>
    <row r="1314" spans="2:8">
      <c r="B1314" t="s">
        <v>463</v>
      </c>
      <c r="C1314" t="s">
        <v>58</v>
      </c>
      <c r="D1314">
        <v>4471</v>
      </c>
      <c r="E1314">
        <v>4471</v>
      </c>
      <c r="F1314">
        <v>4467</v>
      </c>
      <c r="G1314">
        <v>4468</v>
      </c>
      <c r="H1314">
        <v>13300</v>
      </c>
    </row>
    <row r="1315" spans="2:8">
      <c r="B1315" t="s">
        <v>463</v>
      </c>
      <c r="C1315" t="s">
        <v>59</v>
      </c>
      <c r="D1315">
        <v>4469</v>
      </c>
      <c r="E1315">
        <v>4471</v>
      </c>
      <c r="F1315">
        <v>4469</v>
      </c>
      <c r="G1315">
        <v>4471</v>
      </c>
      <c r="H1315">
        <v>6100</v>
      </c>
    </row>
    <row r="1316" spans="2:8">
      <c r="B1316" t="s">
        <v>463</v>
      </c>
      <c r="C1316" t="s">
        <v>60</v>
      </c>
      <c r="D1316">
        <v>4470</v>
      </c>
      <c r="E1316">
        <v>4471</v>
      </c>
      <c r="F1316">
        <v>4470</v>
      </c>
      <c r="G1316">
        <v>4470</v>
      </c>
      <c r="H1316">
        <v>11700</v>
      </c>
    </row>
    <row r="1317" spans="2:8">
      <c r="B1317" t="s">
        <v>463</v>
      </c>
      <c r="C1317" t="s">
        <v>61</v>
      </c>
      <c r="D1317">
        <v>4470</v>
      </c>
      <c r="E1317">
        <v>4471</v>
      </c>
      <c r="F1317">
        <v>4470</v>
      </c>
      <c r="G1317">
        <v>4471</v>
      </c>
      <c r="H1317">
        <v>4700</v>
      </c>
    </row>
    <row r="1318" spans="2:8">
      <c r="B1318" t="s">
        <v>463</v>
      </c>
      <c r="C1318" t="s">
        <v>62</v>
      </c>
      <c r="D1318">
        <v>4470</v>
      </c>
      <c r="E1318">
        <v>4472</v>
      </c>
      <c r="F1318">
        <v>4470</v>
      </c>
      <c r="G1318">
        <v>4471</v>
      </c>
      <c r="H1318">
        <v>13600</v>
      </c>
    </row>
    <row r="1319" spans="2:8">
      <c r="B1319" t="s">
        <v>463</v>
      </c>
      <c r="C1319" t="s">
        <v>63</v>
      </c>
      <c r="D1319">
        <v>4471</v>
      </c>
      <c r="E1319">
        <v>4472</v>
      </c>
      <c r="F1319">
        <v>4470</v>
      </c>
      <c r="G1319">
        <v>4471</v>
      </c>
      <c r="H1319">
        <v>11200</v>
      </c>
    </row>
    <row r="1320" spans="2:8">
      <c r="B1320" t="s">
        <v>463</v>
      </c>
      <c r="C1320" t="s">
        <v>64</v>
      </c>
      <c r="D1320">
        <v>4471</v>
      </c>
      <c r="E1320">
        <v>4471</v>
      </c>
      <c r="F1320">
        <v>4468</v>
      </c>
      <c r="G1320">
        <v>4469</v>
      </c>
      <c r="H1320">
        <v>22400</v>
      </c>
    </row>
    <row r="1321" spans="2:8">
      <c r="B1321" t="s">
        <v>463</v>
      </c>
      <c r="C1321" t="s">
        <v>65</v>
      </c>
      <c r="D1321">
        <v>4470</v>
      </c>
      <c r="E1321">
        <v>4471</v>
      </c>
      <c r="F1321">
        <v>4469</v>
      </c>
      <c r="G1321">
        <v>4470</v>
      </c>
      <c r="H1321">
        <v>22900</v>
      </c>
    </row>
    <row r="1322" spans="2:8">
      <c r="B1322" t="s">
        <v>463</v>
      </c>
      <c r="C1322" t="s">
        <v>66</v>
      </c>
      <c r="D1322">
        <v>4470</v>
      </c>
      <c r="E1322">
        <v>4471</v>
      </c>
      <c r="F1322">
        <v>4470</v>
      </c>
      <c r="G1322">
        <v>4470</v>
      </c>
      <c r="H1322">
        <v>14600</v>
      </c>
    </row>
    <row r="1323" spans="2:8">
      <c r="B1323" t="s">
        <v>463</v>
      </c>
      <c r="C1323" t="s">
        <v>164</v>
      </c>
      <c r="D1323">
        <v>4469</v>
      </c>
      <c r="E1323">
        <v>4473</v>
      </c>
      <c r="F1323">
        <v>4469</v>
      </c>
      <c r="G1323">
        <v>4471</v>
      </c>
      <c r="H1323">
        <v>41700</v>
      </c>
    </row>
    <row r="1324" spans="2:8">
      <c r="B1324" t="s">
        <v>463</v>
      </c>
      <c r="C1324" t="s">
        <v>165</v>
      </c>
      <c r="D1324">
        <v>4472</v>
      </c>
      <c r="E1324">
        <v>4476</v>
      </c>
      <c r="F1324">
        <v>4471</v>
      </c>
      <c r="G1324">
        <v>4473</v>
      </c>
      <c r="H1324">
        <v>70900</v>
      </c>
    </row>
    <row r="1325" spans="2:8">
      <c r="B1325" t="s">
        <v>463</v>
      </c>
      <c r="C1325" t="s">
        <v>67</v>
      </c>
      <c r="D1325" t="s">
        <v>8</v>
      </c>
      <c r="E1325" t="s">
        <v>8</v>
      </c>
      <c r="F1325" t="s">
        <v>8</v>
      </c>
      <c r="G1325" t="s">
        <v>8</v>
      </c>
      <c r="H1325">
        <v>0</v>
      </c>
    </row>
    <row r="1326" spans="2:8">
      <c r="B1326" t="s">
        <v>463</v>
      </c>
      <c r="C1326" t="s">
        <v>68</v>
      </c>
      <c r="D1326" t="s">
        <v>8</v>
      </c>
      <c r="E1326" t="s">
        <v>8</v>
      </c>
      <c r="F1326" t="s">
        <v>8</v>
      </c>
      <c r="G1326" t="s">
        <v>8</v>
      </c>
      <c r="H1326">
        <v>0</v>
      </c>
    </row>
    <row r="1327" spans="2:8">
      <c r="B1327" t="s">
        <v>463</v>
      </c>
      <c r="C1327" t="s">
        <v>69</v>
      </c>
      <c r="D1327" t="s">
        <v>8</v>
      </c>
      <c r="E1327" t="s">
        <v>8</v>
      </c>
      <c r="F1327" t="s">
        <v>8</v>
      </c>
      <c r="G1327" t="s">
        <v>8</v>
      </c>
      <c r="H1327">
        <v>0</v>
      </c>
    </row>
    <row r="1328" spans="2:8">
      <c r="B1328" t="s">
        <v>463</v>
      </c>
      <c r="C1328" t="s">
        <v>70</v>
      </c>
      <c r="D1328" t="s">
        <v>8</v>
      </c>
      <c r="E1328" t="s">
        <v>8</v>
      </c>
      <c r="F1328" t="s">
        <v>8</v>
      </c>
      <c r="G1328" t="s">
        <v>8</v>
      </c>
      <c r="H1328">
        <v>0</v>
      </c>
    </row>
    <row r="1329" spans="2:8">
      <c r="B1329" t="s">
        <v>463</v>
      </c>
      <c r="C1329" t="s">
        <v>71</v>
      </c>
      <c r="D1329" t="s">
        <v>8</v>
      </c>
      <c r="E1329" t="s">
        <v>8</v>
      </c>
      <c r="F1329" t="s">
        <v>8</v>
      </c>
      <c r="G1329" t="s">
        <v>8</v>
      </c>
      <c r="H1329">
        <v>0</v>
      </c>
    </row>
    <row r="1330" spans="2:8">
      <c r="B1330" t="s">
        <v>463</v>
      </c>
      <c r="C1330" t="s">
        <v>72</v>
      </c>
      <c r="D1330">
        <v>4482</v>
      </c>
      <c r="E1330">
        <v>4482</v>
      </c>
      <c r="F1330">
        <v>4482</v>
      </c>
      <c r="G1330">
        <v>4482</v>
      </c>
      <c r="H1330">
        <v>2316100</v>
      </c>
    </row>
    <row r="1331" spans="2:8">
      <c r="B1331" t="s">
        <v>587</v>
      </c>
      <c r="C1331" t="s">
        <v>166</v>
      </c>
      <c r="D1331" t="s">
        <v>8</v>
      </c>
      <c r="E1331" t="s">
        <v>8</v>
      </c>
      <c r="F1331" t="s">
        <v>8</v>
      </c>
      <c r="G1331" t="s">
        <v>8</v>
      </c>
      <c r="H1331">
        <v>0</v>
      </c>
    </row>
    <row r="1332" spans="2:8">
      <c r="B1332" t="s">
        <v>587</v>
      </c>
      <c r="C1332" t="s">
        <v>167</v>
      </c>
      <c r="D1332" t="s">
        <v>8</v>
      </c>
      <c r="E1332" t="s">
        <v>8</v>
      </c>
      <c r="F1332" t="s">
        <v>8</v>
      </c>
      <c r="G1332" t="s">
        <v>8</v>
      </c>
      <c r="H1332">
        <v>0</v>
      </c>
    </row>
    <row r="1333" spans="2:8">
      <c r="B1333" t="s">
        <v>587</v>
      </c>
      <c r="C1333" t="s">
        <v>168</v>
      </c>
      <c r="D1333" t="s">
        <v>8</v>
      </c>
      <c r="E1333" t="s">
        <v>8</v>
      </c>
      <c r="F1333" t="s">
        <v>8</v>
      </c>
      <c r="G1333" t="s">
        <v>8</v>
      </c>
      <c r="H1333">
        <v>0</v>
      </c>
    </row>
    <row r="1334" spans="2:8">
      <c r="B1334" t="s">
        <v>587</v>
      </c>
      <c r="C1334" t="s">
        <v>169</v>
      </c>
      <c r="D1334">
        <v>4402</v>
      </c>
      <c r="E1334">
        <v>4440</v>
      </c>
      <c r="F1334">
        <v>4390</v>
      </c>
      <c r="G1334">
        <v>4430</v>
      </c>
      <c r="H1334">
        <v>1085200</v>
      </c>
    </row>
    <row r="1335" spans="2:8">
      <c r="B1335" t="s">
        <v>587</v>
      </c>
      <c r="C1335" t="s">
        <v>170</v>
      </c>
      <c r="D1335">
        <v>4430</v>
      </c>
      <c r="E1335">
        <v>4434</v>
      </c>
      <c r="F1335">
        <v>4414</v>
      </c>
      <c r="G1335">
        <v>4426</v>
      </c>
      <c r="H1335">
        <v>92100</v>
      </c>
    </row>
    <row r="1336" spans="2:8">
      <c r="B1336" t="s">
        <v>587</v>
      </c>
      <c r="C1336" t="s">
        <v>171</v>
      </c>
      <c r="D1336">
        <v>4427</v>
      </c>
      <c r="E1336">
        <v>4431</v>
      </c>
      <c r="F1336">
        <v>4410</v>
      </c>
      <c r="G1336">
        <v>4413</v>
      </c>
      <c r="H1336">
        <v>90700</v>
      </c>
    </row>
    <row r="1337" spans="2:8">
      <c r="B1337" t="s">
        <v>587</v>
      </c>
      <c r="C1337" t="s">
        <v>172</v>
      </c>
      <c r="D1337">
        <v>4413</v>
      </c>
      <c r="E1337">
        <v>4423</v>
      </c>
      <c r="F1337">
        <v>4410</v>
      </c>
      <c r="G1337">
        <v>4414</v>
      </c>
      <c r="H1337">
        <v>103000</v>
      </c>
    </row>
    <row r="1338" spans="2:8">
      <c r="B1338" t="s">
        <v>587</v>
      </c>
      <c r="C1338" t="s">
        <v>173</v>
      </c>
      <c r="D1338">
        <v>4414</v>
      </c>
      <c r="E1338">
        <v>4418</v>
      </c>
      <c r="F1338">
        <v>4402</v>
      </c>
      <c r="G1338">
        <v>4405</v>
      </c>
      <c r="H1338">
        <v>108200</v>
      </c>
    </row>
    <row r="1339" spans="2:8">
      <c r="B1339" t="s">
        <v>587</v>
      </c>
      <c r="C1339" t="s">
        <v>174</v>
      </c>
      <c r="D1339">
        <v>4405</v>
      </c>
      <c r="E1339">
        <v>4411</v>
      </c>
      <c r="F1339">
        <v>4400</v>
      </c>
      <c r="G1339">
        <v>4407</v>
      </c>
      <c r="H1339">
        <v>104600</v>
      </c>
    </row>
    <row r="1340" spans="2:8">
      <c r="B1340" t="s">
        <v>587</v>
      </c>
      <c r="C1340" t="s">
        <v>175</v>
      </c>
      <c r="D1340">
        <v>4406</v>
      </c>
      <c r="E1340">
        <v>4417</v>
      </c>
      <c r="F1340">
        <v>4404</v>
      </c>
      <c r="G1340">
        <v>4415</v>
      </c>
      <c r="H1340">
        <v>67600</v>
      </c>
    </row>
    <row r="1341" spans="2:8">
      <c r="B1341" t="s">
        <v>587</v>
      </c>
      <c r="C1341" t="s">
        <v>176</v>
      </c>
      <c r="D1341">
        <v>4415</v>
      </c>
      <c r="E1341">
        <v>4416</v>
      </c>
      <c r="F1341">
        <v>4399</v>
      </c>
      <c r="G1341">
        <v>4401</v>
      </c>
      <c r="H1341">
        <v>124300</v>
      </c>
    </row>
    <row r="1342" spans="2:8">
      <c r="B1342" t="s">
        <v>587</v>
      </c>
      <c r="C1342" t="s">
        <v>177</v>
      </c>
      <c r="D1342">
        <v>4402</v>
      </c>
      <c r="E1342">
        <v>4411</v>
      </c>
      <c r="F1342">
        <v>4401</v>
      </c>
      <c r="G1342">
        <v>4403</v>
      </c>
      <c r="H1342">
        <v>34600</v>
      </c>
    </row>
    <row r="1343" spans="2:8">
      <c r="B1343" t="s">
        <v>587</v>
      </c>
      <c r="C1343" t="s">
        <v>178</v>
      </c>
      <c r="D1343">
        <v>4402</v>
      </c>
      <c r="E1343">
        <v>4410</v>
      </c>
      <c r="F1343">
        <v>4401</v>
      </c>
      <c r="G1343">
        <v>4403</v>
      </c>
      <c r="H1343">
        <v>31700</v>
      </c>
    </row>
    <row r="1344" spans="2:8">
      <c r="B1344" t="s">
        <v>587</v>
      </c>
      <c r="C1344" t="s">
        <v>179</v>
      </c>
      <c r="D1344">
        <v>4403</v>
      </c>
      <c r="E1344">
        <v>4410</v>
      </c>
      <c r="F1344">
        <v>4400</v>
      </c>
      <c r="G1344">
        <v>4410</v>
      </c>
      <c r="H1344">
        <v>65900</v>
      </c>
    </row>
    <row r="1345" spans="2:8">
      <c r="B1345" t="s">
        <v>587</v>
      </c>
      <c r="C1345" t="s">
        <v>180</v>
      </c>
      <c r="D1345">
        <v>4410</v>
      </c>
      <c r="E1345">
        <v>4421</v>
      </c>
      <c r="F1345">
        <v>4409</v>
      </c>
      <c r="G1345">
        <v>4419</v>
      </c>
      <c r="H1345">
        <v>71900</v>
      </c>
    </row>
    <row r="1346" spans="2:8">
      <c r="B1346" t="s">
        <v>587</v>
      </c>
      <c r="C1346" t="s">
        <v>181</v>
      </c>
      <c r="D1346">
        <v>4418</v>
      </c>
      <c r="E1346">
        <v>4420</v>
      </c>
      <c r="F1346">
        <v>4407</v>
      </c>
      <c r="G1346">
        <v>4408</v>
      </c>
      <c r="H1346">
        <v>50000</v>
      </c>
    </row>
    <row r="1347" spans="2:8">
      <c r="B1347" t="s">
        <v>587</v>
      </c>
      <c r="C1347" t="s">
        <v>182</v>
      </c>
      <c r="D1347">
        <v>4408</v>
      </c>
      <c r="E1347">
        <v>4412</v>
      </c>
      <c r="F1347">
        <v>4406</v>
      </c>
      <c r="G1347">
        <v>4410</v>
      </c>
      <c r="H1347">
        <v>28500</v>
      </c>
    </row>
    <row r="1348" spans="2:8">
      <c r="B1348" t="s">
        <v>587</v>
      </c>
      <c r="C1348" t="s">
        <v>183</v>
      </c>
      <c r="D1348">
        <v>4410</v>
      </c>
      <c r="E1348">
        <v>4410</v>
      </c>
      <c r="F1348">
        <v>4405</v>
      </c>
      <c r="G1348">
        <v>4409</v>
      </c>
      <c r="H1348">
        <v>20500</v>
      </c>
    </row>
    <row r="1349" spans="2:8">
      <c r="B1349" t="s">
        <v>587</v>
      </c>
      <c r="C1349" t="s">
        <v>184</v>
      </c>
      <c r="D1349">
        <v>4408</v>
      </c>
      <c r="E1349">
        <v>4411</v>
      </c>
      <c r="F1349">
        <v>4403</v>
      </c>
      <c r="G1349">
        <v>4408</v>
      </c>
      <c r="H1349">
        <v>45700</v>
      </c>
    </row>
    <row r="1350" spans="2:8">
      <c r="B1350" t="s">
        <v>587</v>
      </c>
      <c r="C1350" t="s">
        <v>185</v>
      </c>
      <c r="D1350">
        <v>4408</v>
      </c>
      <c r="E1350">
        <v>4414</v>
      </c>
      <c r="F1350">
        <v>4408</v>
      </c>
      <c r="G1350">
        <v>4409</v>
      </c>
      <c r="H1350">
        <v>53900</v>
      </c>
    </row>
    <row r="1351" spans="2:8">
      <c r="B1351" t="s">
        <v>587</v>
      </c>
      <c r="C1351" t="s">
        <v>186</v>
      </c>
      <c r="D1351">
        <v>4408</v>
      </c>
      <c r="E1351">
        <v>4408</v>
      </c>
      <c r="F1351">
        <v>4397</v>
      </c>
      <c r="G1351">
        <v>4399</v>
      </c>
      <c r="H1351">
        <v>196000</v>
      </c>
    </row>
    <row r="1352" spans="2:8">
      <c r="B1352" t="s">
        <v>587</v>
      </c>
      <c r="C1352" t="s">
        <v>187</v>
      </c>
      <c r="D1352">
        <v>4400</v>
      </c>
      <c r="E1352">
        <v>4405</v>
      </c>
      <c r="F1352">
        <v>4398</v>
      </c>
      <c r="G1352">
        <v>4400</v>
      </c>
      <c r="H1352">
        <v>35200</v>
      </c>
    </row>
    <row r="1353" spans="2:8">
      <c r="B1353" t="s">
        <v>587</v>
      </c>
      <c r="C1353" t="s">
        <v>188</v>
      </c>
      <c r="D1353">
        <v>4399</v>
      </c>
      <c r="E1353">
        <v>4401</v>
      </c>
      <c r="F1353">
        <v>4397</v>
      </c>
      <c r="G1353">
        <v>4399</v>
      </c>
      <c r="H1353">
        <v>34600</v>
      </c>
    </row>
    <row r="1354" spans="2:8">
      <c r="B1354" t="s">
        <v>587</v>
      </c>
      <c r="C1354" t="s">
        <v>189</v>
      </c>
      <c r="D1354">
        <v>4400</v>
      </c>
      <c r="E1354">
        <v>4403</v>
      </c>
      <c r="F1354">
        <v>4398</v>
      </c>
      <c r="G1354">
        <v>4403</v>
      </c>
      <c r="H1354">
        <v>31500</v>
      </c>
    </row>
    <row r="1355" spans="2:8">
      <c r="B1355" t="s">
        <v>587</v>
      </c>
      <c r="C1355" t="s">
        <v>190</v>
      </c>
      <c r="D1355">
        <v>4402</v>
      </c>
      <c r="E1355">
        <v>4402</v>
      </c>
      <c r="F1355">
        <v>4396</v>
      </c>
      <c r="G1355">
        <v>4401</v>
      </c>
      <c r="H1355">
        <v>47900</v>
      </c>
    </row>
    <row r="1356" spans="2:8">
      <c r="B1356" t="s">
        <v>587</v>
      </c>
      <c r="C1356" t="s">
        <v>191</v>
      </c>
      <c r="D1356">
        <v>4402</v>
      </c>
      <c r="E1356">
        <v>4404</v>
      </c>
      <c r="F1356">
        <v>4398</v>
      </c>
      <c r="G1356">
        <v>4402</v>
      </c>
      <c r="H1356">
        <v>32500</v>
      </c>
    </row>
    <row r="1357" spans="2:8">
      <c r="B1357" t="s">
        <v>587</v>
      </c>
      <c r="C1357" t="s">
        <v>192</v>
      </c>
      <c r="D1357">
        <v>4401</v>
      </c>
      <c r="E1357">
        <v>4403</v>
      </c>
      <c r="F1357">
        <v>4398</v>
      </c>
      <c r="G1357">
        <v>4400</v>
      </c>
      <c r="H1357">
        <v>35300</v>
      </c>
    </row>
    <row r="1358" spans="2:8">
      <c r="B1358" t="s">
        <v>587</v>
      </c>
      <c r="C1358" t="s">
        <v>193</v>
      </c>
      <c r="D1358">
        <v>4401</v>
      </c>
      <c r="E1358">
        <v>4402</v>
      </c>
      <c r="F1358">
        <v>4397</v>
      </c>
      <c r="G1358">
        <v>4401</v>
      </c>
      <c r="H1358">
        <v>85500</v>
      </c>
    </row>
    <row r="1359" spans="2:8">
      <c r="B1359" t="s">
        <v>587</v>
      </c>
      <c r="C1359" t="s">
        <v>194</v>
      </c>
      <c r="D1359">
        <v>4401</v>
      </c>
      <c r="E1359">
        <v>4404</v>
      </c>
      <c r="F1359">
        <v>4401</v>
      </c>
      <c r="G1359">
        <v>4402</v>
      </c>
      <c r="H1359">
        <v>39800</v>
      </c>
    </row>
    <row r="1360" spans="2:8">
      <c r="B1360" t="s">
        <v>587</v>
      </c>
      <c r="C1360" t="s">
        <v>195</v>
      </c>
      <c r="D1360">
        <v>4402</v>
      </c>
      <c r="E1360">
        <v>4410</v>
      </c>
      <c r="F1360">
        <v>4402</v>
      </c>
      <c r="G1360">
        <v>4408</v>
      </c>
      <c r="H1360">
        <v>53200</v>
      </c>
    </row>
    <row r="1361" spans="2:8">
      <c r="B1361" t="s">
        <v>587</v>
      </c>
      <c r="C1361" t="s">
        <v>196</v>
      </c>
      <c r="D1361">
        <v>4408</v>
      </c>
      <c r="E1361">
        <v>4409</v>
      </c>
      <c r="F1361">
        <v>4405</v>
      </c>
      <c r="G1361">
        <v>4407</v>
      </c>
      <c r="H1361">
        <v>25100</v>
      </c>
    </row>
    <row r="1362" spans="2:8">
      <c r="B1362" t="s">
        <v>587</v>
      </c>
      <c r="C1362" t="s">
        <v>197</v>
      </c>
      <c r="D1362">
        <v>4407</v>
      </c>
      <c r="E1362">
        <v>4413</v>
      </c>
      <c r="F1362">
        <v>4406</v>
      </c>
      <c r="G1362">
        <v>4413</v>
      </c>
      <c r="H1362">
        <v>66600</v>
      </c>
    </row>
    <row r="1363" spans="2:8">
      <c r="B1363" t="s">
        <v>587</v>
      </c>
      <c r="C1363" t="s">
        <v>198</v>
      </c>
      <c r="D1363">
        <v>4413</v>
      </c>
      <c r="E1363">
        <v>4413</v>
      </c>
      <c r="F1363">
        <v>4407</v>
      </c>
      <c r="G1363">
        <v>4408</v>
      </c>
      <c r="H1363">
        <v>34600</v>
      </c>
    </row>
    <row r="1364" spans="2:8">
      <c r="B1364" t="s">
        <v>587</v>
      </c>
      <c r="C1364" t="s">
        <v>199</v>
      </c>
      <c r="D1364">
        <v>4409</v>
      </c>
      <c r="E1364">
        <v>4412</v>
      </c>
      <c r="F1364">
        <v>4405</v>
      </c>
      <c r="G1364">
        <v>4409</v>
      </c>
      <c r="H1364">
        <v>39200</v>
      </c>
    </row>
    <row r="1365" spans="2:8">
      <c r="B1365" t="s">
        <v>587</v>
      </c>
      <c r="C1365" t="s">
        <v>200</v>
      </c>
      <c r="D1365">
        <v>4408</v>
      </c>
      <c r="E1365">
        <v>4411</v>
      </c>
      <c r="F1365">
        <v>4403</v>
      </c>
      <c r="G1365">
        <v>4405</v>
      </c>
      <c r="H1365">
        <v>50400</v>
      </c>
    </row>
    <row r="1366" spans="2:8">
      <c r="B1366" t="s">
        <v>587</v>
      </c>
      <c r="C1366" t="s">
        <v>201</v>
      </c>
      <c r="D1366">
        <v>4404</v>
      </c>
      <c r="E1366">
        <v>4410</v>
      </c>
      <c r="F1366">
        <v>4404</v>
      </c>
      <c r="G1366">
        <v>4408</v>
      </c>
      <c r="H1366">
        <v>24100</v>
      </c>
    </row>
    <row r="1367" spans="2:8">
      <c r="B1367" t="s">
        <v>587</v>
      </c>
      <c r="C1367" t="s">
        <v>202</v>
      </c>
      <c r="D1367">
        <v>4408</v>
      </c>
      <c r="E1367">
        <v>4411</v>
      </c>
      <c r="F1367">
        <v>4406</v>
      </c>
      <c r="G1367">
        <v>4410</v>
      </c>
      <c r="H1367">
        <v>34200</v>
      </c>
    </row>
    <row r="1368" spans="2:8">
      <c r="B1368" t="s">
        <v>587</v>
      </c>
      <c r="C1368" t="s">
        <v>203</v>
      </c>
      <c r="D1368">
        <v>4411</v>
      </c>
      <c r="E1368">
        <v>4416</v>
      </c>
      <c r="F1368">
        <v>4410</v>
      </c>
      <c r="G1368">
        <v>4416</v>
      </c>
      <c r="H1368">
        <v>66900</v>
      </c>
    </row>
    <row r="1369" spans="2:8">
      <c r="B1369" t="s">
        <v>587</v>
      </c>
      <c r="C1369" t="s">
        <v>204</v>
      </c>
      <c r="D1369">
        <v>4415</v>
      </c>
      <c r="E1369">
        <v>4418</v>
      </c>
      <c r="F1369">
        <v>4413</v>
      </c>
      <c r="G1369">
        <v>4418</v>
      </c>
      <c r="H1369">
        <v>41300</v>
      </c>
    </row>
    <row r="1370" spans="2:8">
      <c r="B1370" t="s">
        <v>587</v>
      </c>
      <c r="C1370" t="s">
        <v>205</v>
      </c>
      <c r="D1370">
        <v>4418</v>
      </c>
      <c r="E1370">
        <v>4421</v>
      </c>
      <c r="F1370">
        <v>4417</v>
      </c>
      <c r="G1370">
        <v>4420</v>
      </c>
      <c r="H1370">
        <v>68800</v>
      </c>
    </row>
    <row r="1371" spans="2:8">
      <c r="B1371" t="s">
        <v>587</v>
      </c>
      <c r="C1371" t="s">
        <v>206</v>
      </c>
      <c r="D1371">
        <v>4421</v>
      </c>
      <c r="E1371">
        <v>4427</v>
      </c>
      <c r="F1371">
        <v>4420</v>
      </c>
      <c r="G1371">
        <v>4426</v>
      </c>
      <c r="H1371">
        <v>57800</v>
      </c>
    </row>
    <row r="1372" spans="2:8">
      <c r="B1372" t="s">
        <v>587</v>
      </c>
      <c r="C1372" t="s">
        <v>207</v>
      </c>
      <c r="D1372">
        <v>4425</v>
      </c>
      <c r="E1372">
        <v>4428</v>
      </c>
      <c r="F1372">
        <v>4424</v>
      </c>
      <c r="G1372">
        <v>4428</v>
      </c>
      <c r="H1372">
        <v>33700</v>
      </c>
    </row>
    <row r="1373" spans="2:8">
      <c r="B1373" t="s">
        <v>587</v>
      </c>
      <c r="C1373" t="s">
        <v>208</v>
      </c>
      <c r="D1373">
        <v>4427</v>
      </c>
      <c r="E1373">
        <v>4427</v>
      </c>
      <c r="F1373">
        <v>4420</v>
      </c>
      <c r="G1373">
        <v>4421</v>
      </c>
      <c r="H1373">
        <v>34400</v>
      </c>
    </row>
    <row r="1374" spans="2:8">
      <c r="B1374" t="s">
        <v>587</v>
      </c>
      <c r="C1374" t="s">
        <v>209</v>
      </c>
      <c r="D1374">
        <v>4421</v>
      </c>
      <c r="E1374">
        <v>4423</v>
      </c>
      <c r="F1374">
        <v>4420</v>
      </c>
      <c r="G1374">
        <v>4423</v>
      </c>
      <c r="H1374">
        <v>54300</v>
      </c>
    </row>
    <row r="1375" spans="2:8">
      <c r="B1375" t="s">
        <v>587</v>
      </c>
      <c r="C1375" t="s">
        <v>210</v>
      </c>
      <c r="D1375">
        <v>4422</v>
      </c>
      <c r="E1375">
        <v>4422</v>
      </c>
      <c r="F1375">
        <v>4418</v>
      </c>
      <c r="G1375">
        <v>4418</v>
      </c>
      <c r="H1375">
        <v>35500</v>
      </c>
    </row>
    <row r="1376" spans="2:8">
      <c r="B1376" t="s">
        <v>587</v>
      </c>
      <c r="C1376" t="s">
        <v>211</v>
      </c>
      <c r="D1376">
        <v>4418</v>
      </c>
      <c r="E1376">
        <v>4418</v>
      </c>
      <c r="F1376">
        <v>4412</v>
      </c>
      <c r="G1376">
        <v>4412</v>
      </c>
      <c r="H1376">
        <v>36400</v>
      </c>
    </row>
    <row r="1377" spans="2:8">
      <c r="B1377" t="s">
        <v>587</v>
      </c>
      <c r="C1377" t="s">
        <v>212</v>
      </c>
      <c r="D1377">
        <v>4413</v>
      </c>
      <c r="E1377">
        <v>4414</v>
      </c>
      <c r="F1377">
        <v>4405</v>
      </c>
      <c r="G1377">
        <v>4408</v>
      </c>
      <c r="H1377">
        <v>67800</v>
      </c>
    </row>
    <row r="1378" spans="2:8">
      <c r="B1378" t="s">
        <v>587</v>
      </c>
      <c r="C1378" t="s">
        <v>213</v>
      </c>
      <c r="D1378">
        <v>4407</v>
      </c>
      <c r="E1378">
        <v>4407</v>
      </c>
      <c r="F1378">
        <v>4402</v>
      </c>
      <c r="G1378">
        <v>4403</v>
      </c>
      <c r="H1378">
        <v>52100</v>
      </c>
    </row>
    <row r="1379" spans="2:8">
      <c r="B1379" t="s">
        <v>587</v>
      </c>
      <c r="C1379" t="s">
        <v>214</v>
      </c>
      <c r="D1379">
        <v>4403</v>
      </c>
      <c r="E1379">
        <v>4404</v>
      </c>
      <c r="F1379">
        <v>4402</v>
      </c>
      <c r="G1379">
        <v>4403</v>
      </c>
      <c r="H1379">
        <v>19500</v>
      </c>
    </row>
    <row r="1380" spans="2:8">
      <c r="B1380" t="s">
        <v>587</v>
      </c>
      <c r="C1380" t="s">
        <v>215</v>
      </c>
      <c r="D1380">
        <v>4404</v>
      </c>
      <c r="E1380">
        <v>4404</v>
      </c>
      <c r="F1380">
        <v>4401</v>
      </c>
      <c r="G1380">
        <v>4403</v>
      </c>
      <c r="H1380">
        <v>55600</v>
      </c>
    </row>
    <row r="1381" spans="2:8">
      <c r="B1381" t="s">
        <v>587</v>
      </c>
      <c r="C1381" t="s">
        <v>216</v>
      </c>
      <c r="D1381">
        <v>4402</v>
      </c>
      <c r="E1381">
        <v>4402</v>
      </c>
      <c r="F1381">
        <v>4396</v>
      </c>
      <c r="G1381">
        <v>4397</v>
      </c>
      <c r="H1381">
        <v>102900</v>
      </c>
    </row>
    <row r="1382" spans="2:8">
      <c r="B1382" t="s">
        <v>587</v>
      </c>
      <c r="C1382" t="s">
        <v>217</v>
      </c>
      <c r="D1382">
        <v>4398</v>
      </c>
      <c r="E1382">
        <v>4398</v>
      </c>
      <c r="F1382">
        <v>4396</v>
      </c>
      <c r="G1382">
        <v>4398</v>
      </c>
      <c r="H1382">
        <v>22100</v>
      </c>
    </row>
    <row r="1383" spans="2:8">
      <c r="B1383" t="s">
        <v>587</v>
      </c>
      <c r="C1383" t="s">
        <v>218</v>
      </c>
      <c r="D1383">
        <v>4398</v>
      </c>
      <c r="E1383">
        <v>4401</v>
      </c>
      <c r="F1383">
        <v>4396</v>
      </c>
      <c r="G1383">
        <v>4398</v>
      </c>
      <c r="H1383">
        <v>81400</v>
      </c>
    </row>
    <row r="1384" spans="2:8">
      <c r="B1384" t="s">
        <v>587</v>
      </c>
      <c r="C1384" t="s">
        <v>219</v>
      </c>
      <c r="D1384">
        <v>4398</v>
      </c>
      <c r="E1384">
        <v>4401</v>
      </c>
      <c r="F1384">
        <v>4397</v>
      </c>
      <c r="G1384">
        <v>4400</v>
      </c>
      <c r="H1384">
        <v>43000</v>
      </c>
    </row>
    <row r="1385" spans="2:8">
      <c r="B1385" t="s">
        <v>587</v>
      </c>
      <c r="C1385" t="s">
        <v>220</v>
      </c>
      <c r="D1385">
        <v>4400</v>
      </c>
      <c r="E1385">
        <v>4401</v>
      </c>
      <c r="F1385">
        <v>4399</v>
      </c>
      <c r="G1385">
        <v>4400</v>
      </c>
      <c r="H1385">
        <v>9700</v>
      </c>
    </row>
    <row r="1386" spans="2:8">
      <c r="B1386" t="s">
        <v>587</v>
      </c>
      <c r="C1386" t="s">
        <v>221</v>
      </c>
      <c r="D1386">
        <v>4400</v>
      </c>
      <c r="E1386">
        <v>4401</v>
      </c>
      <c r="F1386">
        <v>4395</v>
      </c>
      <c r="G1386">
        <v>4399</v>
      </c>
      <c r="H1386">
        <v>66900</v>
      </c>
    </row>
    <row r="1387" spans="2:8">
      <c r="B1387" t="s">
        <v>587</v>
      </c>
      <c r="C1387" t="s">
        <v>222</v>
      </c>
      <c r="D1387">
        <v>4399</v>
      </c>
      <c r="E1387">
        <v>4404</v>
      </c>
      <c r="F1387">
        <v>4398</v>
      </c>
      <c r="G1387">
        <v>4401</v>
      </c>
      <c r="H1387">
        <v>36600</v>
      </c>
    </row>
    <row r="1388" spans="2:8">
      <c r="B1388" t="s">
        <v>587</v>
      </c>
      <c r="C1388" t="s">
        <v>223</v>
      </c>
      <c r="D1388">
        <v>4401</v>
      </c>
      <c r="E1388">
        <v>4404</v>
      </c>
      <c r="F1388">
        <v>4399</v>
      </c>
      <c r="G1388">
        <v>4403</v>
      </c>
      <c r="H1388">
        <v>31600</v>
      </c>
    </row>
    <row r="1389" spans="2:8">
      <c r="B1389" t="s">
        <v>587</v>
      </c>
      <c r="C1389" t="s">
        <v>224</v>
      </c>
      <c r="D1389">
        <v>4402</v>
      </c>
      <c r="E1389">
        <v>4408</v>
      </c>
      <c r="F1389">
        <v>4402</v>
      </c>
      <c r="G1389">
        <v>4406</v>
      </c>
      <c r="H1389">
        <v>36200</v>
      </c>
    </row>
    <row r="1390" spans="2:8">
      <c r="B1390" t="s">
        <v>587</v>
      </c>
      <c r="C1390" t="s">
        <v>225</v>
      </c>
      <c r="D1390">
        <v>4407</v>
      </c>
      <c r="E1390">
        <v>4409</v>
      </c>
      <c r="F1390">
        <v>4405</v>
      </c>
      <c r="G1390">
        <v>4405</v>
      </c>
      <c r="H1390">
        <v>29500</v>
      </c>
    </row>
    <row r="1391" spans="2:8">
      <c r="B1391" t="s">
        <v>587</v>
      </c>
      <c r="C1391" t="s">
        <v>226</v>
      </c>
      <c r="D1391">
        <v>4406</v>
      </c>
      <c r="E1391">
        <v>4411</v>
      </c>
      <c r="F1391">
        <v>4406</v>
      </c>
      <c r="G1391">
        <v>4411</v>
      </c>
      <c r="H1391">
        <v>59100</v>
      </c>
    </row>
    <row r="1392" spans="2:8">
      <c r="B1392" t="s">
        <v>587</v>
      </c>
      <c r="C1392" t="s">
        <v>227</v>
      </c>
      <c r="D1392">
        <v>4412</v>
      </c>
      <c r="E1392">
        <v>4412</v>
      </c>
      <c r="F1392">
        <v>4410</v>
      </c>
      <c r="G1392">
        <v>4411</v>
      </c>
      <c r="H1392">
        <v>15800</v>
      </c>
    </row>
    <row r="1393" spans="2:8">
      <c r="B1393" t="s">
        <v>587</v>
      </c>
      <c r="C1393" t="s">
        <v>228</v>
      </c>
      <c r="D1393">
        <v>4410</v>
      </c>
      <c r="E1393">
        <v>4413</v>
      </c>
      <c r="F1393">
        <v>4409</v>
      </c>
      <c r="G1393">
        <v>4413</v>
      </c>
      <c r="H1393">
        <v>26300</v>
      </c>
    </row>
    <row r="1394" spans="2:8">
      <c r="B1394" t="s">
        <v>587</v>
      </c>
      <c r="C1394" t="s">
        <v>229</v>
      </c>
      <c r="D1394">
        <v>4414</v>
      </c>
      <c r="E1394">
        <v>4417</v>
      </c>
      <c r="F1394">
        <v>4414</v>
      </c>
      <c r="G1394">
        <v>4416</v>
      </c>
      <c r="H1394">
        <v>25000</v>
      </c>
    </row>
    <row r="1395" spans="2:8">
      <c r="B1395" t="s">
        <v>587</v>
      </c>
      <c r="C1395" t="s">
        <v>230</v>
      </c>
      <c r="D1395">
        <v>4416</v>
      </c>
      <c r="E1395">
        <v>4422</v>
      </c>
      <c r="F1395">
        <v>4416</v>
      </c>
      <c r="G1395">
        <v>4422</v>
      </c>
      <c r="H1395">
        <v>44400</v>
      </c>
    </row>
    <row r="1396" spans="2:8">
      <c r="B1396" t="s">
        <v>587</v>
      </c>
      <c r="C1396" t="s">
        <v>231</v>
      </c>
      <c r="D1396">
        <v>4421</v>
      </c>
      <c r="E1396">
        <v>4427</v>
      </c>
      <c r="F1396">
        <v>4421</v>
      </c>
      <c r="G1396">
        <v>4426</v>
      </c>
      <c r="H1396">
        <v>85900</v>
      </c>
    </row>
    <row r="1397" spans="2:8">
      <c r="B1397" t="s">
        <v>587</v>
      </c>
      <c r="C1397" t="s">
        <v>232</v>
      </c>
      <c r="D1397">
        <v>4425</v>
      </c>
      <c r="E1397">
        <v>4428</v>
      </c>
      <c r="F1397">
        <v>4423</v>
      </c>
      <c r="G1397">
        <v>4427</v>
      </c>
      <c r="H1397">
        <v>50300</v>
      </c>
    </row>
    <row r="1398" spans="2:8">
      <c r="B1398" t="s">
        <v>587</v>
      </c>
      <c r="C1398" t="s">
        <v>233</v>
      </c>
      <c r="D1398">
        <v>4427</v>
      </c>
      <c r="E1398">
        <v>4430</v>
      </c>
      <c r="F1398">
        <v>4426</v>
      </c>
      <c r="G1398">
        <v>4429</v>
      </c>
      <c r="H1398">
        <v>36500</v>
      </c>
    </row>
    <row r="1399" spans="2:8">
      <c r="B1399" t="s">
        <v>587</v>
      </c>
      <c r="C1399" t="s">
        <v>234</v>
      </c>
      <c r="D1399">
        <v>4429</v>
      </c>
      <c r="E1399">
        <v>4430</v>
      </c>
      <c r="F1399">
        <v>4415</v>
      </c>
      <c r="G1399">
        <v>4415</v>
      </c>
      <c r="H1399">
        <v>49500</v>
      </c>
    </row>
    <row r="1400" spans="2:8">
      <c r="B1400" t="s">
        <v>587</v>
      </c>
      <c r="C1400" t="s">
        <v>235</v>
      </c>
      <c r="D1400">
        <v>4415</v>
      </c>
      <c r="E1400">
        <v>4417</v>
      </c>
      <c r="F1400">
        <v>4410</v>
      </c>
      <c r="G1400">
        <v>4410</v>
      </c>
      <c r="H1400">
        <v>42900</v>
      </c>
    </row>
    <row r="1401" spans="2:8">
      <c r="B1401" t="s">
        <v>587</v>
      </c>
      <c r="C1401" t="s">
        <v>236</v>
      </c>
      <c r="D1401">
        <v>4410</v>
      </c>
      <c r="E1401">
        <v>4411</v>
      </c>
      <c r="F1401">
        <v>4402</v>
      </c>
      <c r="G1401">
        <v>4403</v>
      </c>
      <c r="H1401">
        <v>33000</v>
      </c>
    </row>
    <row r="1402" spans="2:8">
      <c r="B1402" t="s">
        <v>587</v>
      </c>
      <c r="C1402" t="s">
        <v>237</v>
      </c>
      <c r="D1402">
        <v>4403</v>
      </c>
      <c r="E1402">
        <v>4406</v>
      </c>
      <c r="F1402">
        <v>4402</v>
      </c>
      <c r="G1402">
        <v>4404</v>
      </c>
      <c r="H1402">
        <v>18700</v>
      </c>
    </row>
    <row r="1403" spans="2:8">
      <c r="B1403" t="s">
        <v>587</v>
      </c>
      <c r="C1403" t="s">
        <v>238</v>
      </c>
      <c r="D1403">
        <v>4404</v>
      </c>
      <c r="E1403">
        <v>4405</v>
      </c>
      <c r="F1403">
        <v>4402</v>
      </c>
      <c r="G1403">
        <v>4402</v>
      </c>
      <c r="H1403">
        <v>24200</v>
      </c>
    </row>
    <row r="1404" spans="2:8">
      <c r="B1404" t="s">
        <v>587</v>
      </c>
      <c r="C1404" t="s">
        <v>239</v>
      </c>
      <c r="D1404">
        <v>4403</v>
      </c>
      <c r="E1404">
        <v>4405</v>
      </c>
      <c r="F1404">
        <v>4402</v>
      </c>
      <c r="G1404">
        <v>4404</v>
      </c>
      <c r="H1404">
        <v>23200</v>
      </c>
    </row>
    <row r="1405" spans="2:8">
      <c r="B1405" t="s">
        <v>587</v>
      </c>
      <c r="C1405" t="s">
        <v>240</v>
      </c>
      <c r="D1405">
        <v>4404</v>
      </c>
      <c r="E1405">
        <v>4406</v>
      </c>
      <c r="F1405">
        <v>4404</v>
      </c>
      <c r="G1405">
        <v>4405</v>
      </c>
      <c r="H1405">
        <v>19000</v>
      </c>
    </row>
    <row r="1406" spans="2:8">
      <c r="B1406" t="s">
        <v>587</v>
      </c>
      <c r="C1406" t="s">
        <v>241</v>
      </c>
      <c r="D1406">
        <v>4405</v>
      </c>
      <c r="E1406">
        <v>4408</v>
      </c>
      <c r="F1406">
        <v>4405</v>
      </c>
      <c r="G1406">
        <v>4408</v>
      </c>
      <c r="H1406">
        <v>17800</v>
      </c>
    </row>
    <row r="1407" spans="2:8">
      <c r="B1407" t="s">
        <v>587</v>
      </c>
      <c r="C1407" t="s">
        <v>242</v>
      </c>
      <c r="D1407">
        <v>4408</v>
      </c>
      <c r="E1407">
        <v>4408</v>
      </c>
      <c r="F1407">
        <v>4404</v>
      </c>
      <c r="G1407">
        <v>4405</v>
      </c>
      <c r="H1407">
        <v>42700</v>
      </c>
    </row>
    <row r="1408" spans="2:8">
      <c r="B1408" t="s">
        <v>587</v>
      </c>
      <c r="C1408" t="s">
        <v>243</v>
      </c>
      <c r="D1408">
        <v>4406</v>
      </c>
      <c r="E1408">
        <v>4407</v>
      </c>
      <c r="F1408">
        <v>4405</v>
      </c>
      <c r="G1408">
        <v>4405</v>
      </c>
      <c r="H1408">
        <v>11900</v>
      </c>
    </row>
    <row r="1409" spans="2:8">
      <c r="B1409" t="s">
        <v>587</v>
      </c>
      <c r="C1409" t="s">
        <v>244</v>
      </c>
      <c r="D1409">
        <v>4405</v>
      </c>
      <c r="E1409">
        <v>4406</v>
      </c>
      <c r="F1409">
        <v>4403</v>
      </c>
      <c r="G1409">
        <v>4404</v>
      </c>
      <c r="H1409">
        <v>29800</v>
      </c>
    </row>
    <row r="1410" spans="2:8">
      <c r="B1410" t="s">
        <v>587</v>
      </c>
      <c r="C1410" t="s">
        <v>245</v>
      </c>
      <c r="D1410">
        <v>4403</v>
      </c>
      <c r="E1410">
        <v>4404</v>
      </c>
      <c r="F1410">
        <v>4400</v>
      </c>
      <c r="G1410">
        <v>4403</v>
      </c>
      <c r="H1410">
        <v>50700</v>
      </c>
    </row>
    <row r="1411" spans="2:8">
      <c r="B1411" t="s">
        <v>587</v>
      </c>
      <c r="C1411" t="s">
        <v>246</v>
      </c>
      <c r="D1411">
        <v>4403</v>
      </c>
      <c r="E1411">
        <v>4403</v>
      </c>
      <c r="F1411">
        <v>4398</v>
      </c>
      <c r="G1411">
        <v>4399</v>
      </c>
      <c r="H1411">
        <v>76600</v>
      </c>
    </row>
    <row r="1412" spans="2:8">
      <c r="B1412" t="s">
        <v>587</v>
      </c>
      <c r="C1412" t="s">
        <v>247</v>
      </c>
      <c r="D1412">
        <v>4399</v>
      </c>
      <c r="E1412">
        <v>4404</v>
      </c>
      <c r="F1412">
        <v>4398</v>
      </c>
      <c r="G1412">
        <v>4404</v>
      </c>
      <c r="H1412">
        <v>26100</v>
      </c>
    </row>
    <row r="1413" spans="2:8">
      <c r="B1413" t="s">
        <v>587</v>
      </c>
      <c r="C1413" t="s">
        <v>248</v>
      </c>
      <c r="D1413">
        <v>4403</v>
      </c>
      <c r="E1413">
        <v>4403</v>
      </c>
      <c r="F1413">
        <v>4398</v>
      </c>
      <c r="G1413">
        <v>4399</v>
      </c>
      <c r="H1413">
        <v>32000</v>
      </c>
    </row>
    <row r="1414" spans="2:8">
      <c r="B1414" t="s">
        <v>587</v>
      </c>
      <c r="C1414" t="s">
        <v>249</v>
      </c>
      <c r="D1414">
        <v>4399</v>
      </c>
      <c r="E1414">
        <v>4400</v>
      </c>
      <c r="F1414">
        <v>4395</v>
      </c>
      <c r="G1414">
        <v>4395</v>
      </c>
      <c r="H1414">
        <v>55800</v>
      </c>
    </row>
    <row r="1415" spans="2:8">
      <c r="B1415" t="s">
        <v>587</v>
      </c>
      <c r="C1415" t="s">
        <v>250</v>
      </c>
      <c r="D1415">
        <v>4395</v>
      </c>
      <c r="E1415">
        <v>4396</v>
      </c>
      <c r="F1415">
        <v>4391</v>
      </c>
      <c r="G1415">
        <v>4392</v>
      </c>
      <c r="H1415">
        <v>114500</v>
      </c>
    </row>
    <row r="1416" spans="2:8">
      <c r="B1416" t="s">
        <v>587</v>
      </c>
      <c r="C1416" t="s">
        <v>251</v>
      </c>
      <c r="D1416">
        <v>4391</v>
      </c>
      <c r="E1416">
        <v>4394</v>
      </c>
      <c r="F1416">
        <v>4390</v>
      </c>
      <c r="G1416">
        <v>4390</v>
      </c>
      <c r="H1416">
        <v>55200</v>
      </c>
    </row>
    <row r="1417" spans="2:8">
      <c r="B1417" t="s">
        <v>587</v>
      </c>
      <c r="C1417" t="s">
        <v>252</v>
      </c>
      <c r="D1417">
        <v>4390</v>
      </c>
      <c r="E1417">
        <v>4391</v>
      </c>
      <c r="F1417">
        <v>4386</v>
      </c>
      <c r="G1417">
        <v>4388</v>
      </c>
      <c r="H1417">
        <v>111900</v>
      </c>
    </row>
    <row r="1418" spans="2:8">
      <c r="B1418" t="s">
        <v>587</v>
      </c>
      <c r="C1418" t="s">
        <v>253</v>
      </c>
      <c r="D1418">
        <v>4389</v>
      </c>
      <c r="E1418">
        <v>4394</v>
      </c>
      <c r="F1418">
        <v>4388</v>
      </c>
      <c r="G1418">
        <v>4392</v>
      </c>
      <c r="H1418">
        <v>23500</v>
      </c>
    </row>
    <row r="1419" spans="2:8">
      <c r="B1419" t="s">
        <v>587</v>
      </c>
      <c r="C1419" t="s">
        <v>254</v>
      </c>
      <c r="D1419">
        <v>4393</v>
      </c>
      <c r="E1419">
        <v>4395</v>
      </c>
      <c r="F1419">
        <v>4392</v>
      </c>
      <c r="G1419">
        <v>4393</v>
      </c>
      <c r="H1419">
        <v>26100</v>
      </c>
    </row>
    <row r="1420" spans="2:8">
      <c r="B1420" t="s">
        <v>587</v>
      </c>
      <c r="C1420" t="s">
        <v>255</v>
      </c>
      <c r="D1420">
        <v>4393</v>
      </c>
      <c r="E1420">
        <v>4394</v>
      </c>
      <c r="F1420">
        <v>4389</v>
      </c>
      <c r="G1420">
        <v>4390</v>
      </c>
      <c r="H1420">
        <v>28500</v>
      </c>
    </row>
    <row r="1421" spans="2:8">
      <c r="B1421" t="s">
        <v>587</v>
      </c>
      <c r="C1421" t="s">
        <v>256</v>
      </c>
      <c r="D1421">
        <v>4390</v>
      </c>
      <c r="E1421">
        <v>4392</v>
      </c>
      <c r="F1421">
        <v>4386</v>
      </c>
      <c r="G1421">
        <v>4390</v>
      </c>
      <c r="H1421">
        <v>62400</v>
      </c>
    </row>
    <row r="1422" spans="2:8">
      <c r="B1422" t="s">
        <v>587</v>
      </c>
      <c r="C1422" t="s">
        <v>257</v>
      </c>
      <c r="D1422">
        <v>4391</v>
      </c>
      <c r="E1422">
        <v>4392</v>
      </c>
      <c r="F1422">
        <v>4388</v>
      </c>
      <c r="G1422">
        <v>4390</v>
      </c>
      <c r="H1422">
        <v>35300</v>
      </c>
    </row>
    <row r="1423" spans="2:8">
      <c r="B1423" t="s">
        <v>587</v>
      </c>
      <c r="C1423" t="s">
        <v>258</v>
      </c>
      <c r="D1423">
        <v>4390</v>
      </c>
      <c r="E1423">
        <v>4390</v>
      </c>
      <c r="F1423">
        <v>4388</v>
      </c>
      <c r="G1423">
        <v>4389</v>
      </c>
      <c r="H1423">
        <v>19900</v>
      </c>
    </row>
    <row r="1424" spans="2:8">
      <c r="B1424" t="s">
        <v>587</v>
      </c>
      <c r="C1424" t="s">
        <v>259</v>
      </c>
      <c r="D1424">
        <v>4389</v>
      </c>
      <c r="E1424">
        <v>4391</v>
      </c>
      <c r="F1424">
        <v>4389</v>
      </c>
      <c r="G1424">
        <v>4391</v>
      </c>
      <c r="H1424">
        <v>21400</v>
      </c>
    </row>
    <row r="1425" spans="2:8">
      <c r="B1425" t="s">
        <v>587</v>
      </c>
      <c r="C1425" t="s">
        <v>260</v>
      </c>
      <c r="D1425">
        <v>4391</v>
      </c>
      <c r="E1425">
        <v>4392</v>
      </c>
      <c r="F1425">
        <v>4386</v>
      </c>
      <c r="G1425">
        <v>4388</v>
      </c>
      <c r="H1425">
        <v>47000</v>
      </c>
    </row>
    <row r="1426" spans="2:8">
      <c r="B1426" t="s">
        <v>587</v>
      </c>
      <c r="C1426" t="s">
        <v>261</v>
      </c>
      <c r="D1426">
        <v>4389</v>
      </c>
      <c r="E1426">
        <v>4389</v>
      </c>
      <c r="F1426">
        <v>4384</v>
      </c>
      <c r="G1426">
        <v>4385</v>
      </c>
      <c r="H1426">
        <v>43200</v>
      </c>
    </row>
    <row r="1427" spans="2:8">
      <c r="B1427" t="s">
        <v>587</v>
      </c>
      <c r="C1427" t="s">
        <v>262</v>
      </c>
      <c r="D1427">
        <v>4384</v>
      </c>
      <c r="E1427">
        <v>4386</v>
      </c>
      <c r="F1427">
        <v>4384</v>
      </c>
      <c r="G1427">
        <v>4385</v>
      </c>
      <c r="H1427">
        <v>20900</v>
      </c>
    </row>
    <row r="1428" spans="2:8">
      <c r="B1428" t="s">
        <v>587</v>
      </c>
      <c r="C1428" t="s">
        <v>263</v>
      </c>
      <c r="D1428">
        <v>4386</v>
      </c>
      <c r="E1428">
        <v>4388</v>
      </c>
      <c r="F1428">
        <v>4385</v>
      </c>
      <c r="G1428">
        <v>4388</v>
      </c>
      <c r="H1428">
        <v>23700</v>
      </c>
    </row>
    <row r="1429" spans="2:8">
      <c r="B1429" t="s">
        <v>587</v>
      </c>
      <c r="C1429" t="s">
        <v>264</v>
      </c>
      <c r="D1429">
        <v>4388</v>
      </c>
      <c r="E1429">
        <v>4393</v>
      </c>
      <c r="F1429">
        <v>4388</v>
      </c>
      <c r="G1429">
        <v>4391</v>
      </c>
      <c r="H1429">
        <v>22800</v>
      </c>
    </row>
    <row r="1430" spans="2:8">
      <c r="B1430" t="s">
        <v>587</v>
      </c>
      <c r="C1430" t="s">
        <v>265</v>
      </c>
      <c r="D1430">
        <v>4392</v>
      </c>
      <c r="E1430">
        <v>4396</v>
      </c>
      <c r="F1430">
        <v>4391</v>
      </c>
      <c r="G1430">
        <v>4396</v>
      </c>
      <c r="H1430">
        <v>28800</v>
      </c>
    </row>
    <row r="1431" spans="2:8">
      <c r="B1431" t="s">
        <v>587</v>
      </c>
      <c r="C1431" t="s">
        <v>266</v>
      </c>
      <c r="D1431">
        <v>4396</v>
      </c>
      <c r="E1431">
        <v>4398</v>
      </c>
      <c r="F1431">
        <v>4395</v>
      </c>
      <c r="G1431">
        <v>4395</v>
      </c>
      <c r="H1431">
        <v>23700</v>
      </c>
    </row>
    <row r="1432" spans="2:8">
      <c r="B1432" t="s">
        <v>587</v>
      </c>
      <c r="C1432" t="s">
        <v>267</v>
      </c>
      <c r="D1432">
        <v>4396</v>
      </c>
      <c r="E1432">
        <v>4397</v>
      </c>
      <c r="F1432">
        <v>4395</v>
      </c>
      <c r="G1432">
        <v>4397</v>
      </c>
      <c r="H1432">
        <v>12600</v>
      </c>
    </row>
    <row r="1433" spans="2:8">
      <c r="B1433" t="s">
        <v>587</v>
      </c>
      <c r="C1433" t="s">
        <v>268</v>
      </c>
      <c r="D1433">
        <v>4398</v>
      </c>
      <c r="E1433">
        <v>4403</v>
      </c>
      <c r="F1433">
        <v>4398</v>
      </c>
      <c r="G1433">
        <v>4402</v>
      </c>
      <c r="H1433">
        <v>49400</v>
      </c>
    </row>
    <row r="1434" spans="2:8">
      <c r="B1434" t="s">
        <v>587</v>
      </c>
      <c r="C1434" t="s">
        <v>269</v>
      </c>
      <c r="D1434">
        <v>4401</v>
      </c>
      <c r="E1434">
        <v>4404</v>
      </c>
      <c r="F1434">
        <v>4400</v>
      </c>
      <c r="G1434">
        <v>4403</v>
      </c>
      <c r="H1434">
        <v>20800</v>
      </c>
    </row>
    <row r="1435" spans="2:8">
      <c r="B1435" t="s">
        <v>587</v>
      </c>
      <c r="C1435" t="s">
        <v>270</v>
      </c>
      <c r="D1435">
        <v>4403</v>
      </c>
      <c r="E1435">
        <v>4404</v>
      </c>
      <c r="F1435">
        <v>4399</v>
      </c>
      <c r="G1435">
        <v>4399</v>
      </c>
      <c r="H1435">
        <v>14900</v>
      </c>
    </row>
    <row r="1436" spans="2:8">
      <c r="B1436" t="s">
        <v>587</v>
      </c>
      <c r="C1436" t="s">
        <v>271</v>
      </c>
      <c r="D1436">
        <v>4399</v>
      </c>
      <c r="E1436">
        <v>4399</v>
      </c>
      <c r="F1436">
        <v>4396</v>
      </c>
      <c r="G1436">
        <v>4398</v>
      </c>
      <c r="H1436">
        <v>11300</v>
      </c>
    </row>
    <row r="1437" spans="2:8">
      <c r="B1437" t="s">
        <v>587</v>
      </c>
      <c r="C1437" t="s">
        <v>272</v>
      </c>
      <c r="D1437">
        <v>4397</v>
      </c>
      <c r="E1437">
        <v>4399</v>
      </c>
      <c r="F1437">
        <v>4395</v>
      </c>
      <c r="G1437">
        <v>4398</v>
      </c>
      <c r="H1437">
        <v>15600</v>
      </c>
    </row>
    <row r="1438" spans="2:8">
      <c r="B1438" t="s">
        <v>587</v>
      </c>
      <c r="C1438" t="s">
        <v>273</v>
      </c>
      <c r="D1438">
        <v>4399</v>
      </c>
      <c r="E1438">
        <v>4399</v>
      </c>
      <c r="F1438">
        <v>4393</v>
      </c>
      <c r="G1438">
        <v>4393</v>
      </c>
      <c r="H1438">
        <v>17700</v>
      </c>
    </row>
    <row r="1439" spans="2:8">
      <c r="B1439" t="s">
        <v>587</v>
      </c>
      <c r="C1439" t="s">
        <v>274</v>
      </c>
      <c r="D1439">
        <v>4394</v>
      </c>
      <c r="E1439">
        <v>4394</v>
      </c>
      <c r="F1439">
        <v>4391</v>
      </c>
      <c r="G1439">
        <v>4392</v>
      </c>
      <c r="H1439">
        <v>20300</v>
      </c>
    </row>
    <row r="1440" spans="2:8">
      <c r="B1440" t="s">
        <v>587</v>
      </c>
      <c r="C1440" t="s">
        <v>275</v>
      </c>
      <c r="D1440">
        <v>4392</v>
      </c>
      <c r="E1440">
        <v>4395</v>
      </c>
      <c r="F1440">
        <v>4392</v>
      </c>
      <c r="G1440">
        <v>4395</v>
      </c>
      <c r="H1440">
        <v>17800</v>
      </c>
    </row>
    <row r="1441" spans="2:8">
      <c r="B1441" t="s">
        <v>587</v>
      </c>
      <c r="C1441" t="s">
        <v>276</v>
      </c>
      <c r="D1441">
        <v>4394</v>
      </c>
      <c r="E1441">
        <v>4395</v>
      </c>
      <c r="F1441">
        <v>4393</v>
      </c>
      <c r="G1441">
        <v>4393</v>
      </c>
      <c r="H1441">
        <v>10300</v>
      </c>
    </row>
    <row r="1442" spans="2:8">
      <c r="B1442" t="s">
        <v>587</v>
      </c>
      <c r="C1442" t="s">
        <v>277</v>
      </c>
      <c r="D1442">
        <v>4394</v>
      </c>
      <c r="E1442">
        <v>4397</v>
      </c>
      <c r="F1442">
        <v>4394</v>
      </c>
      <c r="G1442">
        <v>4394</v>
      </c>
      <c r="H1442">
        <v>14100</v>
      </c>
    </row>
    <row r="1443" spans="2:8">
      <c r="B1443" t="s">
        <v>587</v>
      </c>
      <c r="C1443" t="s">
        <v>278</v>
      </c>
      <c r="D1443">
        <v>4394</v>
      </c>
      <c r="E1443">
        <v>4394</v>
      </c>
      <c r="F1443">
        <v>4393</v>
      </c>
      <c r="G1443">
        <v>4394</v>
      </c>
      <c r="H1443">
        <v>5500</v>
      </c>
    </row>
    <row r="1444" spans="2:8">
      <c r="B1444" t="s">
        <v>587</v>
      </c>
      <c r="C1444" t="s">
        <v>279</v>
      </c>
      <c r="D1444">
        <v>4394</v>
      </c>
      <c r="E1444">
        <v>4398</v>
      </c>
      <c r="F1444">
        <v>4394</v>
      </c>
      <c r="G1444">
        <v>4394</v>
      </c>
      <c r="H1444">
        <v>29600</v>
      </c>
    </row>
    <row r="1445" spans="2:8">
      <c r="B1445" t="s">
        <v>587</v>
      </c>
      <c r="C1445" t="s">
        <v>280</v>
      </c>
      <c r="D1445">
        <v>4394</v>
      </c>
      <c r="E1445">
        <v>4395</v>
      </c>
      <c r="F1445">
        <v>4393</v>
      </c>
      <c r="G1445">
        <v>4395</v>
      </c>
      <c r="H1445">
        <v>7800</v>
      </c>
    </row>
    <row r="1446" spans="2:8">
      <c r="B1446" t="s">
        <v>587</v>
      </c>
      <c r="C1446" t="s">
        <v>281</v>
      </c>
      <c r="D1446">
        <v>4394</v>
      </c>
      <c r="E1446">
        <v>4394</v>
      </c>
      <c r="F1446">
        <v>4391</v>
      </c>
      <c r="G1446">
        <v>4391</v>
      </c>
      <c r="H1446">
        <v>23700</v>
      </c>
    </row>
    <row r="1447" spans="2:8">
      <c r="B1447" t="s">
        <v>587</v>
      </c>
      <c r="C1447" t="s">
        <v>282</v>
      </c>
      <c r="D1447">
        <v>4392</v>
      </c>
      <c r="E1447">
        <v>4392</v>
      </c>
      <c r="F1447">
        <v>4387</v>
      </c>
      <c r="G1447">
        <v>4391</v>
      </c>
      <c r="H1447">
        <v>55200</v>
      </c>
    </row>
    <row r="1448" spans="2:8">
      <c r="B1448" t="s">
        <v>587</v>
      </c>
      <c r="C1448" t="s">
        <v>283</v>
      </c>
      <c r="D1448">
        <v>4390</v>
      </c>
      <c r="E1448">
        <v>4392</v>
      </c>
      <c r="F1448">
        <v>4390</v>
      </c>
      <c r="G1448">
        <v>4391</v>
      </c>
      <c r="H1448">
        <v>12300</v>
      </c>
    </row>
    <row r="1449" spans="2:8">
      <c r="B1449" t="s">
        <v>587</v>
      </c>
      <c r="C1449" t="s">
        <v>284</v>
      </c>
      <c r="D1449">
        <v>4391</v>
      </c>
      <c r="E1449">
        <v>4392</v>
      </c>
      <c r="F1449">
        <v>4390</v>
      </c>
      <c r="G1449">
        <v>4390</v>
      </c>
      <c r="H1449">
        <v>8000</v>
      </c>
    </row>
    <row r="1450" spans="2:8">
      <c r="B1450" t="s">
        <v>587</v>
      </c>
      <c r="C1450" t="s">
        <v>285</v>
      </c>
      <c r="D1450">
        <v>4391</v>
      </c>
      <c r="E1450">
        <v>4394</v>
      </c>
      <c r="F1450">
        <v>4390</v>
      </c>
      <c r="G1450">
        <v>4392</v>
      </c>
      <c r="H1450">
        <v>17200</v>
      </c>
    </row>
    <row r="1451" spans="2:8">
      <c r="B1451" t="s">
        <v>587</v>
      </c>
      <c r="C1451" t="s">
        <v>286</v>
      </c>
      <c r="D1451">
        <v>4391</v>
      </c>
      <c r="E1451">
        <v>4392</v>
      </c>
      <c r="F1451">
        <v>4389</v>
      </c>
      <c r="G1451">
        <v>4391</v>
      </c>
      <c r="H1451">
        <v>18900</v>
      </c>
    </row>
    <row r="1452" spans="2:8">
      <c r="B1452" t="s">
        <v>587</v>
      </c>
      <c r="C1452" t="s">
        <v>287</v>
      </c>
      <c r="D1452">
        <v>4392</v>
      </c>
      <c r="E1452">
        <v>4394</v>
      </c>
      <c r="F1452">
        <v>4392</v>
      </c>
      <c r="G1452">
        <v>4393</v>
      </c>
      <c r="H1452">
        <v>8900</v>
      </c>
    </row>
    <row r="1453" spans="2:8">
      <c r="B1453" t="s">
        <v>587</v>
      </c>
      <c r="C1453" t="s">
        <v>288</v>
      </c>
      <c r="D1453">
        <v>4393</v>
      </c>
      <c r="E1453">
        <v>4395</v>
      </c>
      <c r="F1453">
        <v>4393</v>
      </c>
      <c r="G1453">
        <v>4395</v>
      </c>
      <c r="H1453">
        <v>9500</v>
      </c>
    </row>
    <row r="1454" spans="2:8">
      <c r="B1454" t="s">
        <v>587</v>
      </c>
      <c r="C1454" t="s">
        <v>289</v>
      </c>
      <c r="D1454">
        <v>4395</v>
      </c>
      <c r="E1454">
        <v>4396</v>
      </c>
      <c r="F1454">
        <v>4393</v>
      </c>
      <c r="G1454">
        <v>4395</v>
      </c>
      <c r="H1454">
        <v>8900</v>
      </c>
    </row>
    <row r="1455" spans="2:8">
      <c r="B1455" t="s">
        <v>587</v>
      </c>
      <c r="C1455" t="s">
        <v>290</v>
      </c>
      <c r="D1455">
        <v>4393</v>
      </c>
      <c r="E1455">
        <v>4395</v>
      </c>
      <c r="F1455">
        <v>4393</v>
      </c>
      <c r="G1455">
        <v>4393</v>
      </c>
      <c r="H1455">
        <v>9500</v>
      </c>
    </row>
    <row r="1456" spans="2:8">
      <c r="B1456" t="s">
        <v>587</v>
      </c>
      <c r="C1456" t="s">
        <v>291</v>
      </c>
      <c r="D1456">
        <v>4393</v>
      </c>
      <c r="E1456">
        <v>4395</v>
      </c>
      <c r="F1456">
        <v>4393</v>
      </c>
      <c r="G1456">
        <v>4395</v>
      </c>
      <c r="H1456">
        <v>9600</v>
      </c>
    </row>
    <row r="1457" spans="2:8">
      <c r="B1457" t="s">
        <v>587</v>
      </c>
      <c r="C1457" t="s">
        <v>292</v>
      </c>
      <c r="D1457">
        <v>4394</v>
      </c>
      <c r="E1457">
        <v>4395</v>
      </c>
      <c r="F1457">
        <v>4392</v>
      </c>
      <c r="G1457">
        <v>4394</v>
      </c>
      <c r="H1457">
        <v>9600</v>
      </c>
    </row>
    <row r="1458" spans="2:8">
      <c r="B1458" t="s">
        <v>587</v>
      </c>
      <c r="C1458" t="s">
        <v>293</v>
      </c>
      <c r="D1458">
        <v>4394</v>
      </c>
      <c r="E1458">
        <v>4395</v>
      </c>
      <c r="F1458">
        <v>4393</v>
      </c>
      <c r="G1458">
        <v>4395</v>
      </c>
      <c r="H1458">
        <v>4200</v>
      </c>
    </row>
    <row r="1459" spans="2:8">
      <c r="B1459" t="s">
        <v>587</v>
      </c>
      <c r="C1459" t="s">
        <v>294</v>
      </c>
      <c r="D1459">
        <v>4395</v>
      </c>
      <c r="E1459">
        <v>4395</v>
      </c>
      <c r="F1459">
        <v>4390</v>
      </c>
      <c r="G1459">
        <v>4391</v>
      </c>
      <c r="H1459">
        <v>51400</v>
      </c>
    </row>
    <row r="1460" spans="2:8">
      <c r="B1460" t="s">
        <v>587</v>
      </c>
      <c r="C1460" t="s">
        <v>295</v>
      </c>
      <c r="D1460">
        <v>4391</v>
      </c>
      <c r="E1460">
        <v>4392</v>
      </c>
      <c r="F1460">
        <v>4385</v>
      </c>
      <c r="G1460">
        <v>4386</v>
      </c>
      <c r="H1460">
        <v>68400</v>
      </c>
    </row>
    <row r="1461" spans="2:8">
      <c r="B1461" t="s">
        <v>587</v>
      </c>
      <c r="C1461" t="s">
        <v>296</v>
      </c>
      <c r="D1461">
        <v>4385</v>
      </c>
      <c r="E1461">
        <v>4387</v>
      </c>
      <c r="F1461">
        <v>4384</v>
      </c>
      <c r="G1461">
        <v>4386</v>
      </c>
      <c r="H1461">
        <v>35200</v>
      </c>
    </row>
    <row r="1462" spans="2:8">
      <c r="B1462" t="s">
        <v>587</v>
      </c>
      <c r="C1462" t="s">
        <v>297</v>
      </c>
      <c r="D1462">
        <v>4386</v>
      </c>
      <c r="E1462">
        <v>4388</v>
      </c>
      <c r="F1462">
        <v>4385</v>
      </c>
      <c r="G1462">
        <v>4387</v>
      </c>
      <c r="H1462">
        <v>23000</v>
      </c>
    </row>
    <row r="1463" spans="2:8">
      <c r="B1463" t="s">
        <v>587</v>
      </c>
      <c r="C1463" t="s">
        <v>298</v>
      </c>
      <c r="D1463">
        <v>4387</v>
      </c>
      <c r="E1463">
        <v>4390</v>
      </c>
      <c r="F1463">
        <v>4387</v>
      </c>
      <c r="G1463">
        <v>4390</v>
      </c>
      <c r="H1463">
        <v>12700</v>
      </c>
    </row>
    <row r="1464" spans="2:8">
      <c r="B1464" t="s">
        <v>587</v>
      </c>
      <c r="C1464" t="s">
        <v>299</v>
      </c>
      <c r="D1464">
        <v>4388</v>
      </c>
      <c r="E1464">
        <v>4391</v>
      </c>
      <c r="F1464">
        <v>4388</v>
      </c>
      <c r="G1464">
        <v>4391</v>
      </c>
      <c r="H1464">
        <v>8900</v>
      </c>
    </row>
    <row r="1465" spans="2:8">
      <c r="B1465" t="s">
        <v>587</v>
      </c>
      <c r="C1465" t="s">
        <v>300</v>
      </c>
      <c r="D1465">
        <v>4390</v>
      </c>
      <c r="E1465">
        <v>4391</v>
      </c>
      <c r="F1465">
        <v>4386</v>
      </c>
      <c r="G1465">
        <v>4386</v>
      </c>
      <c r="H1465">
        <v>42600</v>
      </c>
    </row>
    <row r="1466" spans="2:8">
      <c r="B1466" t="s">
        <v>587</v>
      </c>
      <c r="C1466" t="s">
        <v>301</v>
      </c>
      <c r="D1466">
        <v>4387</v>
      </c>
      <c r="E1466">
        <v>4387</v>
      </c>
      <c r="F1466">
        <v>4382</v>
      </c>
      <c r="G1466">
        <v>4383</v>
      </c>
      <c r="H1466">
        <v>91400</v>
      </c>
    </row>
    <row r="1467" spans="2:8">
      <c r="B1467" t="s">
        <v>587</v>
      </c>
      <c r="C1467" t="s">
        <v>302</v>
      </c>
      <c r="D1467">
        <v>4382</v>
      </c>
      <c r="E1467">
        <v>4384</v>
      </c>
      <c r="F1467">
        <v>4381</v>
      </c>
      <c r="G1467">
        <v>4384</v>
      </c>
      <c r="H1467">
        <v>45800</v>
      </c>
    </row>
    <row r="1468" spans="2:8">
      <c r="B1468" t="s">
        <v>587</v>
      </c>
      <c r="C1468" t="s">
        <v>303</v>
      </c>
      <c r="D1468">
        <v>4384</v>
      </c>
      <c r="E1468">
        <v>4384</v>
      </c>
      <c r="F1468">
        <v>4382</v>
      </c>
      <c r="G1468">
        <v>4384</v>
      </c>
      <c r="H1468">
        <v>23500</v>
      </c>
    </row>
    <row r="1469" spans="2:8">
      <c r="B1469" t="s">
        <v>587</v>
      </c>
      <c r="C1469" t="s">
        <v>304</v>
      </c>
      <c r="D1469">
        <v>4384</v>
      </c>
      <c r="E1469">
        <v>4386</v>
      </c>
      <c r="F1469">
        <v>4383</v>
      </c>
      <c r="G1469">
        <v>4386</v>
      </c>
      <c r="H1469">
        <v>35200</v>
      </c>
    </row>
    <row r="1470" spans="2:8">
      <c r="B1470" t="s">
        <v>587</v>
      </c>
      <c r="C1470" t="s">
        <v>305</v>
      </c>
      <c r="D1470">
        <v>4386</v>
      </c>
      <c r="E1470">
        <v>4388</v>
      </c>
      <c r="F1470">
        <v>4385</v>
      </c>
      <c r="G1470">
        <v>4387</v>
      </c>
      <c r="H1470">
        <v>18900</v>
      </c>
    </row>
    <row r="1471" spans="2:8">
      <c r="B1471" t="s">
        <v>587</v>
      </c>
      <c r="C1471" t="s">
        <v>306</v>
      </c>
      <c r="D1471">
        <v>4388</v>
      </c>
      <c r="E1471">
        <v>4389</v>
      </c>
      <c r="F1471">
        <v>4387</v>
      </c>
      <c r="G1471">
        <v>4388</v>
      </c>
      <c r="H1471">
        <v>9100</v>
      </c>
    </row>
    <row r="1472" spans="2:8">
      <c r="B1472" t="s">
        <v>587</v>
      </c>
      <c r="C1472" t="s">
        <v>307</v>
      </c>
      <c r="D1472">
        <v>4389</v>
      </c>
      <c r="E1472">
        <v>4390</v>
      </c>
      <c r="F1472">
        <v>4387</v>
      </c>
      <c r="G1472">
        <v>4387</v>
      </c>
      <c r="H1472">
        <v>19900</v>
      </c>
    </row>
    <row r="1473" spans="2:8">
      <c r="B1473" t="s">
        <v>587</v>
      </c>
      <c r="C1473" t="s">
        <v>308</v>
      </c>
      <c r="D1473">
        <v>4387</v>
      </c>
      <c r="E1473">
        <v>4388</v>
      </c>
      <c r="F1473">
        <v>4385</v>
      </c>
      <c r="G1473">
        <v>4387</v>
      </c>
      <c r="H1473">
        <v>40700</v>
      </c>
    </row>
    <row r="1474" spans="2:8">
      <c r="B1474" t="s">
        <v>587</v>
      </c>
      <c r="C1474" t="s">
        <v>309</v>
      </c>
      <c r="D1474">
        <v>4386</v>
      </c>
      <c r="E1474">
        <v>4387</v>
      </c>
      <c r="F1474">
        <v>4384</v>
      </c>
      <c r="G1474">
        <v>4386</v>
      </c>
      <c r="H1474">
        <v>28600</v>
      </c>
    </row>
    <row r="1475" spans="2:8">
      <c r="B1475" t="s">
        <v>587</v>
      </c>
      <c r="C1475" t="s">
        <v>310</v>
      </c>
      <c r="D1475">
        <v>4387</v>
      </c>
      <c r="E1475">
        <v>4388</v>
      </c>
      <c r="F1475">
        <v>4385</v>
      </c>
      <c r="G1475">
        <v>4387</v>
      </c>
      <c r="H1475">
        <v>25100</v>
      </c>
    </row>
    <row r="1476" spans="2:8">
      <c r="B1476" t="s">
        <v>587</v>
      </c>
      <c r="C1476" t="s">
        <v>311</v>
      </c>
      <c r="D1476">
        <v>4388</v>
      </c>
      <c r="E1476">
        <v>4389</v>
      </c>
      <c r="F1476">
        <v>4386</v>
      </c>
      <c r="G1476">
        <v>4387</v>
      </c>
      <c r="H1476">
        <v>27800</v>
      </c>
    </row>
    <row r="1477" spans="2:8">
      <c r="B1477" t="s">
        <v>587</v>
      </c>
      <c r="C1477" t="s">
        <v>312</v>
      </c>
      <c r="D1477">
        <v>4386</v>
      </c>
      <c r="E1477">
        <v>4387</v>
      </c>
      <c r="F1477">
        <v>4384</v>
      </c>
      <c r="G1477">
        <v>4385</v>
      </c>
      <c r="H1477">
        <v>33000</v>
      </c>
    </row>
    <row r="1478" spans="2:8">
      <c r="B1478" t="s">
        <v>587</v>
      </c>
      <c r="C1478" t="s">
        <v>313</v>
      </c>
      <c r="D1478">
        <v>4385</v>
      </c>
      <c r="E1478">
        <v>4385</v>
      </c>
      <c r="F1478">
        <v>4382</v>
      </c>
      <c r="G1478">
        <v>4383</v>
      </c>
      <c r="H1478">
        <v>50200</v>
      </c>
    </row>
    <row r="1479" spans="2:8">
      <c r="B1479" t="s">
        <v>587</v>
      </c>
      <c r="C1479" t="s">
        <v>314</v>
      </c>
      <c r="D1479">
        <v>4382</v>
      </c>
      <c r="E1479">
        <v>4383</v>
      </c>
      <c r="F1479">
        <v>4382</v>
      </c>
      <c r="G1479">
        <v>4383</v>
      </c>
      <c r="H1479">
        <v>18100</v>
      </c>
    </row>
    <row r="1480" spans="2:8">
      <c r="B1480" t="s">
        <v>587</v>
      </c>
      <c r="C1480" t="s">
        <v>315</v>
      </c>
      <c r="D1480">
        <v>4382</v>
      </c>
      <c r="E1480">
        <v>4384</v>
      </c>
      <c r="F1480">
        <v>4382</v>
      </c>
      <c r="G1480">
        <v>4383</v>
      </c>
      <c r="H1480">
        <v>13800</v>
      </c>
    </row>
    <row r="1481" spans="2:8">
      <c r="B1481" t="s">
        <v>587</v>
      </c>
      <c r="C1481" t="s">
        <v>316</v>
      </c>
      <c r="D1481">
        <v>4383</v>
      </c>
      <c r="E1481">
        <v>4383</v>
      </c>
      <c r="F1481">
        <v>4383</v>
      </c>
      <c r="G1481">
        <v>4383</v>
      </c>
      <c r="H1481">
        <v>13800</v>
      </c>
    </row>
    <row r="1482" spans="2:8">
      <c r="B1482" t="s">
        <v>587</v>
      </c>
      <c r="C1482" t="s">
        <v>317</v>
      </c>
      <c r="D1482">
        <v>4392</v>
      </c>
      <c r="E1482">
        <v>4396</v>
      </c>
      <c r="F1482">
        <v>4390</v>
      </c>
      <c r="G1482">
        <v>4395</v>
      </c>
      <c r="H1482">
        <v>177500</v>
      </c>
    </row>
    <row r="1483" spans="2:8">
      <c r="B1483" t="s">
        <v>587</v>
      </c>
      <c r="C1483" t="s">
        <v>318</v>
      </c>
      <c r="D1483">
        <v>4396</v>
      </c>
      <c r="E1483">
        <v>4404</v>
      </c>
      <c r="F1483">
        <v>4396</v>
      </c>
      <c r="G1483">
        <v>4402</v>
      </c>
      <c r="H1483">
        <v>124200</v>
      </c>
    </row>
    <row r="1484" spans="2:8">
      <c r="B1484" t="s">
        <v>587</v>
      </c>
      <c r="C1484" t="s">
        <v>319</v>
      </c>
      <c r="D1484">
        <v>4402</v>
      </c>
      <c r="E1484">
        <v>4411</v>
      </c>
      <c r="F1484">
        <v>4401</v>
      </c>
      <c r="G1484">
        <v>4410</v>
      </c>
      <c r="H1484">
        <v>83200</v>
      </c>
    </row>
    <row r="1485" spans="2:8">
      <c r="B1485" t="s">
        <v>587</v>
      </c>
      <c r="C1485" t="s">
        <v>320</v>
      </c>
      <c r="D1485">
        <v>4410</v>
      </c>
      <c r="E1485">
        <v>4413</v>
      </c>
      <c r="F1485">
        <v>4409</v>
      </c>
      <c r="G1485">
        <v>4411</v>
      </c>
      <c r="H1485">
        <v>38300</v>
      </c>
    </row>
    <row r="1486" spans="2:8">
      <c r="B1486" t="s">
        <v>587</v>
      </c>
      <c r="C1486" t="s">
        <v>321</v>
      </c>
      <c r="D1486">
        <v>4412</v>
      </c>
      <c r="E1486">
        <v>4413</v>
      </c>
      <c r="F1486">
        <v>4408</v>
      </c>
      <c r="G1486">
        <v>4410</v>
      </c>
      <c r="H1486">
        <v>65400</v>
      </c>
    </row>
    <row r="1487" spans="2:8">
      <c r="B1487" t="s">
        <v>587</v>
      </c>
      <c r="C1487" t="s">
        <v>322</v>
      </c>
      <c r="D1487">
        <v>4410</v>
      </c>
      <c r="E1487">
        <v>4415</v>
      </c>
      <c r="F1487">
        <v>4407</v>
      </c>
      <c r="G1487">
        <v>4415</v>
      </c>
      <c r="H1487">
        <v>58100</v>
      </c>
    </row>
    <row r="1488" spans="2:8">
      <c r="B1488" t="s">
        <v>587</v>
      </c>
      <c r="C1488" t="s">
        <v>323</v>
      </c>
      <c r="D1488">
        <v>4414</v>
      </c>
      <c r="E1488">
        <v>4415</v>
      </c>
      <c r="F1488">
        <v>4412</v>
      </c>
      <c r="G1488">
        <v>4414</v>
      </c>
      <c r="H1488">
        <v>30000</v>
      </c>
    </row>
    <row r="1489" spans="2:8">
      <c r="B1489" t="s">
        <v>587</v>
      </c>
      <c r="C1489" t="s">
        <v>324</v>
      </c>
      <c r="D1489">
        <v>4415</v>
      </c>
      <c r="E1489">
        <v>4416</v>
      </c>
      <c r="F1489">
        <v>4410</v>
      </c>
      <c r="G1489">
        <v>4414</v>
      </c>
      <c r="H1489">
        <v>30300</v>
      </c>
    </row>
    <row r="1490" spans="2:8">
      <c r="B1490" t="s">
        <v>587</v>
      </c>
      <c r="C1490" t="s">
        <v>325</v>
      </c>
      <c r="D1490">
        <v>4413</v>
      </c>
      <c r="E1490">
        <v>4415</v>
      </c>
      <c r="F1490">
        <v>4413</v>
      </c>
      <c r="G1490">
        <v>4413</v>
      </c>
      <c r="H1490">
        <v>19600</v>
      </c>
    </row>
    <row r="1491" spans="2:8">
      <c r="B1491" t="s">
        <v>587</v>
      </c>
      <c r="C1491" t="s">
        <v>326</v>
      </c>
      <c r="D1491">
        <v>4413</v>
      </c>
      <c r="E1491">
        <v>4415</v>
      </c>
      <c r="F1491">
        <v>4413</v>
      </c>
      <c r="G1491">
        <v>4414</v>
      </c>
      <c r="H1491">
        <v>13700</v>
      </c>
    </row>
    <row r="1492" spans="2:8">
      <c r="B1492" t="s">
        <v>587</v>
      </c>
      <c r="C1492" t="s">
        <v>327</v>
      </c>
      <c r="D1492">
        <v>4414</v>
      </c>
      <c r="E1492">
        <v>4416</v>
      </c>
      <c r="F1492">
        <v>4414</v>
      </c>
      <c r="G1492">
        <v>4414</v>
      </c>
      <c r="H1492">
        <v>31800</v>
      </c>
    </row>
    <row r="1493" spans="2:8">
      <c r="B1493" t="s">
        <v>587</v>
      </c>
      <c r="C1493" t="s">
        <v>328</v>
      </c>
      <c r="D1493">
        <v>4414</v>
      </c>
      <c r="E1493">
        <v>4414</v>
      </c>
      <c r="F1493">
        <v>4412</v>
      </c>
      <c r="G1493">
        <v>4413</v>
      </c>
      <c r="H1493">
        <v>21600</v>
      </c>
    </row>
    <row r="1494" spans="2:8">
      <c r="B1494" t="s">
        <v>587</v>
      </c>
      <c r="C1494" t="s">
        <v>329</v>
      </c>
      <c r="D1494">
        <v>4413</v>
      </c>
      <c r="E1494">
        <v>4413</v>
      </c>
      <c r="F1494">
        <v>4408</v>
      </c>
      <c r="G1494">
        <v>4412</v>
      </c>
      <c r="H1494">
        <v>46300</v>
      </c>
    </row>
    <row r="1495" spans="2:8">
      <c r="B1495" t="s">
        <v>587</v>
      </c>
      <c r="C1495" t="s">
        <v>330</v>
      </c>
      <c r="D1495">
        <v>4411</v>
      </c>
      <c r="E1495">
        <v>4414</v>
      </c>
      <c r="F1495">
        <v>4411</v>
      </c>
      <c r="G1495">
        <v>4412</v>
      </c>
      <c r="H1495">
        <v>38400</v>
      </c>
    </row>
    <row r="1496" spans="2:8">
      <c r="B1496" t="s">
        <v>587</v>
      </c>
      <c r="C1496" t="s">
        <v>331</v>
      </c>
      <c r="D1496">
        <v>4414</v>
      </c>
      <c r="E1496">
        <v>4414</v>
      </c>
      <c r="F1496">
        <v>4412</v>
      </c>
      <c r="G1496">
        <v>4414</v>
      </c>
      <c r="H1496">
        <v>13900</v>
      </c>
    </row>
    <row r="1497" spans="2:8">
      <c r="B1497" t="s">
        <v>587</v>
      </c>
      <c r="C1497" t="s">
        <v>332</v>
      </c>
      <c r="D1497">
        <v>4414</v>
      </c>
      <c r="E1497">
        <v>4415</v>
      </c>
      <c r="F1497">
        <v>4413</v>
      </c>
      <c r="G1497">
        <v>4414</v>
      </c>
      <c r="H1497">
        <v>14100</v>
      </c>
    </row>
    <row r="1498" spans="2:8">
      <c r="B1498" t="s">
        <v>587</v>
      </c>
      <c r="C1498" t="s">
        <v>333</v>
      </c>
      <c r="D1498">
        <v>4413</v>
      </c>
      <c r="E1498">
        <v>4415</v>
      </c>
      <c r="F1498">
        <v>4413</v>
      </c>
      <c r="G1498">
        <v>4415</v>
      </c>
      <c r="H1498">
        <v>15200</v>
      </c>
    </row>
    <row r="1499" spans="2:8">
      <c r="B1499" t="s">
        <v>587</v>
      </c>
      <c r="C1499" t="s">
        <v>334</v>
      </c>
      <c r="D1499">
        <v>4416</v>
      </c>
      <c r="E1499">
        <v>4416</v>
      </c>
      <c r="F1499">
        <v>4415</v>
      </c>
      <c r="G1499">
        <v>4416</v>
      </c>
      <c r="H1499">
        <v>7600</v>
      </c>
    </row>
    <row r="1500" spans="2:8">
      <c r="B1500" t="s">
        <v>587</v>
      </c>
      <c r="C1500" t="s">
        <v>335</v>
      </c>
      <c r="D1500">
        <v>4416</v>
      </c>
      <c r="E1500">
        <v>4416</v>
      </c>
      <c r="F1500">
        <v>4413</v>
      </c>
      <c r="G1500">
        <v>4415</v>
      </c>
      <c r="H1500">
        <v>23200</v>
      </c>
    </row>
    <row r="1501" spans="2:8">
      <c r="B1501" t="s">
        <v>587</v>
      </c>
      <c r="C1501" t="s">
        <v>336</v>
      </c>
      <c r="D1501">
        <v>4414</v>
      </c>
      <c r="E1501">
        <v>4415</v>
      </c>
      <c r="F1501">
        <v>4413</v>
      </c>
      <c r="G1501">
        <v>4415</v>
      </c>
      <c r="H1501">
        <v>17600</v>
      </c>
    </row>
    <row r="1502" spans="2:8">
      <c r="B1502" t="s">
        <v>587</v>
      </c>
      <c r="C1502" t="s">
        <v>337</v>
      </c>
      <c r="D1502">
        <v>4415</v>
      </c>
      <c r="E1502">
        <v>4416</v>
      </c>
      <c r="F1502">
        <v>4414</v>
      </c>
      <c r="G1502">
        <v>4414</v>
      </c>
      <c r="H1502">
        <v>10200</v>
      </c>
    </row>
    <row r="1503" spans="2:8">
      <c r="B1503" t="s">
        <v>587</v>
      </c>
      <c r="C1503" t="s">
        <v>338</v>
      </c>
      <c r="D1503">
        <v>4414</v>
      </c>
      <c r="E1503">
        <v>4418</v>
      </c>
      <c r="F1503">
        <v>4414</v>
      </c>
      <c r="G1503">
        <v>4416</v>
      </c>
      <c r="H1503">
        <v>37600</v>
      </c>
    </row>
    <row r="1504" spans="2:8">
      <c r="B1504" t="s">
        <v>587</v>
      </c>
      <c r="C1504" t="s">
        <v>339</v>
      </c>
      <c r="D1504">
        <v>4415</v>
      </c>
      <c r="E1504">
        <v>4419</v>
      </c>
      <c r="F1504">
        <v>4415</v>
      </c>
      <c r="G1504">
        <v>4419</v>
      </c>
      <c r="H1504">
        <v>20400</v>
      </c>
    </row>
    <row r="1505" spans="2:8">
      <c r="B1505" t="s">
        <v>587</v>
      </c>
      <c r="C1505" t="s">
        <v>340</v>
      </c>
      <c r="D1505">
        <v>4419</v>
      </c>
      <c r="E1505">
        <v>4420</v>
      </c>
      <c r="F1505">
        <v>4419</v>
      </c>
      <c r="G1505">
        <v>4420</v>
      </c>
      <c r="H1505">
        <v>24200</v>
      </c>
    </row>
    <row r="1506" spans="2:8">
      <c r="B1506" t="s">
        <v>587</v>
      </c>
      <c r="C1506" t="s">
        <v>341</v>
      </c>
      <c r="D1506">
        <v>4420</v>
      </c>
      <c r="E1506">
        <v>4420</v>
      </c>
      <c r="F1506">
        <v>4418</v>
      </c>
      <c r="G1506">
        <v>4419</v>
      </c>
      <c r="H1506">
        <v>28000</v>
      </c>
    </row>
    <row r="1507" spans="2:8">
      <c r="B1507" t="s">
        <v>587</v>
      </c>
      <c r="C1507" t="s">
        <v>342</v>
      </c>
      <c r="D1507">
        <v>4419</v>
      </c>
      <c r="E1507">
        <v>4423</v>
      </c>
      <c r="F1507">
        <v>4419</v>
      </c>
      <c r="G1507">
        <v>4422</v>
      </c>
      <c r="H1507">
        <v>41600</v>
      </c>
    </row>
    <row r="1508" spans="2:8">
      <c r="B1508" t="s">
        <v>587</v>
      </c>
      <c r="C1508" t="s">
        <v>343</v>
      </c>
      <c r="D1508">
        <v>4422</v>
      </c>
      <c r="E1508">
        <v>4423</v>
      </c>
      <c r="F1508">
        <v>4419</v>
      </c>
      <c r="G1508">
        <v>4420</v>
      </c>
      <c r="H1508">
        <v>30000</v>
      </c>
    </row>
    <row r="1509" spans="2:8">
      <c r="B1509" t="s">
        <v>587</v>
      </c>
      <c r="C1509" t="s">
        <v>344</v>
      </c>
      <c r="D1509">
        <v>4419</v>
      </c>
      <c r="E1509">
        <v>4421</v>
      </c>
      <c r="F1509">
        <v>4417</v>
      </c>
      <c r="G1509">
        <v>4421</v>
      </c>
      <c r="H1509">
        <v>12900</v>
      </c>
    </row>
    <row r="1510" spans="2:8">
      <c r="B1510" t="s">
        <v>587</v>
      </c>
      <c r="C1510" t="s">
        <v>345</v>
      </c>
      <c r="D1510">
        <v>4422</v>
      </c>
      <c r="E1510">
        <v>4423</v>
      </c>
      <c r="F1510">
        <v>4421</v>
      </c>
      <c r="G1510">
        <v>4422</v>
      </c>
      <c r="H1510">
        <v>14200</v>
      </c>
    </row>
    <row r="1511" spans="2:8">
      <c r="B1511" t="s">
        <v>587</v>
      </c>
      <c r="C1511" t="s">
        <v>346</v>
      </c>
      <c r="D1511">
        <v>4423</v>
      </c>
      <c r="E1511">
        <v>4423</v>
      </c>
      <c r="F1511">
        <v>4421</v>
      </c>
      <c r="G1511">
        <v>4421</v>
      </c>
      <c r="H1511">
        <v>7300</v>
      </c>
    </row>
    <row r="1512" spans="2:8">
      <c r="B1512" t="s">
        <v>587</v>
      </c>
      <c r="C1512" t="s">
        <v>347</v>
      </c>
      <c r="D1512">
        <v>4421</v>
      </c>
      <c r="E1512">
        <v>4423</v>
      </c>
      <c r="F1512">
        <v>4417</v>
      </c>
      <c r="G1512">
        <v>4418</v>
      </c>
      <c r="H1512">
        <v>40500</v>
      </c>
    </row>
    <row r="1513" spans="2:8">
      <c r="B1513" t="s">
        <v>587</v>
      </c>
      <c r="C1513" t="s">
        <v>348</v>
      </c>
      <c r="D1513">
        <v>4419</v>
      </c>
      <c r="E1513">
        <v>4421</v>
      </c>
      <c r="F1513">
        <v>4418</v>
      </c>
      <c r="G1513">
        <v>4421</v>
      </c>
      <c r="H1513">
        <v>9500</v>
      </c>
    </row>
    <row r="1514" spans="2:8">
      <c r="B1514" t="s">
        <v>587</v>
      </c>
      <c r="C1514" t="s">
        <v>349</v>
      </c>
      <c r="D1514">
        <v>4421</v>
      </c>
      <c r="E1514">
        <v>4425</v>
      </c>
      <c r="F1514">
        <v>4417</v>
      </c>
      <c r="G1514">
        <v>4424</v>
      </c>
      <c r="H1514">
        <v>63500</v>
      </c>
    </row>
    <row r="1515" spans="2:8">
      <c r="B1515" t="s">
        <v>587</v>
      </c>
      <c r="C1515" t="s">
        <v>350</v>
      </c>
      <c r="D1515">
        <v>4424</v>
      </c>
      <c r="E1515">
        <v>4426</v>
      </c>
      <c r="F1515">
        <v>4421</v>
      </c>
      <c r="G1515">
        <v>4422</v>
      </c>
      <c r="H1515">
        <v>21000</v>
      </c>
    </row>
    <row r="1516" spans="2:8">
      <c r="B1516" t="s">
        <v>587</v>
      </c>
      <c r="C1516" t="s">
        <v>351</v>
      </c>
      <c r="D1516">
        <v>4422</v>
      </c>
      <c r="E1516">
        <v>4423</v>
      </c>
      <c r="F1516">
        <v>4418</v>
      </c>
      <c r="G1516">
        <v>4420</v>
      </c>
      <c r="H1516">
        <v>31800</v>
      </c>
    </row>
    <row r="1517" spans="2:8">
      <c r="B1517" t="s">
        <v>587</v>
      </c>
      <c r="C1517" t="s">
        <v>352</v>
      </c>
      <c r="D1517">
        <v>4421</v>
      </c>
      <c r="E1517">
        <v>4424</v>
      </c>
      <c r="F1517">
        <v>4421</v>
      </c>
      <c r="G1517">
        <v>4424</v>
      </c>
      <c r="H1517">
        <v>21600</v>
      </c>
    </row>
    <row r="1518" spans="2:8">
      <c r="B1518" t="s">
        <v>587</v>
      </c>
      <c r="C1518" t="s">
        <v>353</v>
      </c>
      <c r="D1518">
        <v>4423</v>
      </c>
      <c r="E1518">
        <v>4424</v>
      </c>
      <c r="F1518">
        <v>4421</v>
      </c>
      <c r="G1518">
        <v>4422</v>
      </c>
      <c r="H1518">
        <v>11000</v>
      </c>
    </row>
    <row r="1519" spans="2:8">
      <c r="B1519" t="s">
        <v>587</v>
      </c>
      <c r="C1519" t="s">
        <v>354</v>
      </c>
      <c r="D1519">
        <v>4422</v>
      </c>
      <c r="E1519">
        <v>4423</v>
      </c>
      <c r="F1519">
        <v>4421</v>
      </c>
      <c r="G1519">
        <v>4423</v>
      </c>
      <c r="H1519">
        <v>11000</v>
      </c>
    </row>
    <row r="1520" spans="2:8">
      <c r="B1520" t="s">
        <v>587</v>
      </c>
      <c r="C1520" t="s">
        <v>355</v>
      </c>
      <c r="D1520">
        <v>4424</v>
      </c>
      <c r="E1520">
        <v>4427</v>
      </c>
      <c r="F1520">
        <v>4423</v>
      </c>
      <c r="G1520">
        <v>4423</v>
      </c>
      <c r="H1520">
        <v>81200</v>
      </c>
    </row>
    <row r="1521" spans="2:8">
      <c r="B1521" t="s">
        <v>587</v>
      </c>
      <c r="C1521" t="s">
        <v>356</v>
      </c>
      <c r="D1521">
        <v>4423</v>
      </c>
      <c r="E1521">
        <v>4424</v>
      </c>
      <c r="F1521">
        <v>4422</v>
      </c>
      <c r="G1521">
        <v>4423</v>
      </c>
      <c r="H1521">
        <v>5400</v>
      </c>
    </row>
    <row r="1522" spans="2:8">
      <c r="B1522" t="s">
        <v>587</v>
      </c>
      <c r="C1522" t="s">
        <v>357</v>
      </c>
      <c r="D1522">
        <v>4424</v>
      </c>
      <c r="E1522">
        <v>4426</v>
      </c>
      <c r="F1522">
        <v>4422</v>
      </c>
      <c r="G1522">
        <v>4425</v>
      </c>
      <c r="H1522">
        <v>41300</v>
      </c>
    </row>
    <row r="1523" spans="2:8">
      <c r="B1523" t="s">
        <v>587</v>
      </c>
      <c r="C1523" t="s">
        <v>358</v>
      </c>
      <c r="D1523">
        <v>4426</v>
      </c>
      <c r="E1523">
        <v>4429</v>
      </c>
      <c r="F1523">
        <v>4426</v>
      </c>
      <c r="G1523">
        <v>4428</v>
      </c>
      <c r="H1523">
        <v>28800</v>
      </c>
    </row>
    <row r="1524" spans="2:8">
      <c r="B1524" t="s">
        <v>587</v>
      </c>
      <c r="C1524" t="s">
        <v>359</v>
      </c>
      <c r="D1524">
        <v>4427</v>
      </c>
      <c r="E1524">
        <v>4428</v>
      </c>
      <c r="F1524">
        <v>4426</v>
      </c>
      <c r="G1524">
        <v>4428</v>
      </c>
      <c r="H1524">
        <v>10700</v>
      </c>
    </row>
    <row r="1525" spans="2:8">
      <c r="B1525" t="s">
        <v>587</v>
      </c>
      <c r="C1525" t="s">
        <v>360</v>
      </c>
      <c r="D1525">
        <v>4428</v>
      </c>
      <c r="E1525">
        <v>4429</v>
      </c>
      <c r="F1525">
        <v>4427</v>
      </c>
      <c r="G1525">
        <v>4427</v>
      </c>
      <c r="H1525">
        <v>11300</v>
      </c>
    </row>
    <row r="1526" spans="2:8">
      <c r="B1526" t="s">
        <v>587</v>
      </c>
      <c r="C1526" t="s">
        <v>361</v>
      </c>
      <c r="D1526">
        <v>4428</v>
      </c>
      <c r="E1526">
        <v>4429</v>
      </c>
      <c r="F1526">
        <v>4428</v>
      </c>
      <c r="G1526">
        <v>4428</v>
      </c>
      <c r="H1526">
        <v>3500</v>
      </c>
    </row>
    <row r="1527" spans="2:8">
      <c r="B1527" t="s">
        <v>587</v>
      </c>
      <c r="C1527" t="s">
        <v>362</v>
      </c>
      <c r="D1527">
        <v>4429</v>
      </c>
      <c r="E1527">
        <v>4430</v>
      </c>
      <c r="F1527">
        <v>4427</v>
      </c>
      <c r="G1527">
        <v>4430</v>
      </c>
      <c r="H1527">
        <v>37300</v>
      </c>
    </row>
    <row r="1528" spans="2:8">
      <c r="B1528" t="s">
        <v>587</v>
      </c>
      <c r="C1528" t="s">
        <v>363</v>
      </c>
      <c r="D1528">
        <v>4430</v>
      </c>
      <c r="E1528">
        <v>4435</v>
      </c>
      <c r="F1528">
        <v>4430</v>
      </c>
      <c r="G1528">
        <v>4434</v>
      </c>
      <c r="H1528">
        <v>42600</v>
      </c>
    </row>
    <row r="1529" spans="2:8">
      <c r="B1529" t="s">
        <v>587</v>
      </c>
      <c r="C1529" t="s">
        <v>364</v>
      </c>
      <c r="D1529">
        <v>4435</v>
      </c>
      <c r="E1529">
        <v>4437</v>
      </c>
      <c r="F1529">
        <v>4434</v>
      </c>
      <c r="G1529">
        <v>4435</v>
      </c>
      <c r="H1529">
        <v>27700</v>
      </c>
    </row>
    <row r="1530" spans="2:8">
      <c r="B1530" t="s">
        <v>587</v>
      </c>
      <c r="C1530" t="s">
        <v>365</v>
      </c>
      <c r="D1530">
        <v>4436</v>
      </c>
      <c r="E1530">
        <v>4437</v>
      </c>
      <c r="F1530">
        <v>4434</v>
      </c>
      <c r="G1530">
        <v>4437</v>
      </c>
      <c r="H1530">
        <v>21900</v>
      </c>
    </row>
    <row r="1531" spans="2:8">
      <c r="B1531" t="s">
        <v>587</v>
      </c>
      <c r="C1531" t="s">
        <v>366</v>
      </c>
      <c r="D1531">
        <v>4437</v>
      </c>
      <c r="E1531">
        <v>4439</v>
      </c>
      <c r="F1531">
        <v>4437</v>
      </c>
      <c r="G1531">
        <v>4438</v>
      </c>
      <c r="H1531">
        <v>20100</v>
      </c>
    </row>
    <row r="1532" spans="2:8">
      <c r="B1532" t="s">
        <v>587</v>
      </c>
      <c r="C1532" t="s">
        <v>367</v>
      </c>
      <c r="D1532">
        <v>4438</v>
      </c>
      <c r="E1532">
        <v>4438</v>
      </c>
      <c r="F1532">
        <v>4433</v>
      </c>
      <c r="G1532">
        <v>4433</v>
      </c>
      <c r="H1532">
        <v>22700</v>
      </c>
    </row>
    <row r="1533" spans="2:8">
      <c r="B1533" t="s">
        <v>587</v>
      </c>
      <c r="C1533" t="s">
        <v>368</v>
      </c>
      <c r="D1533">
        <v>4435</v>
      </c>
      <c r="E1533">
        <v>4438</v>
      </c>
      <c r="F1533">
        <v>4434</v>
      </c>
      <c r="G1533">
        <v>4438</v>
      </c>
      <c r="H1533">
        <v>14500</v>
      </c>
    </row>
    <row r="1534" spans="2:8">
      <c r="B1534" t="s">
        <v>587</v>
      </c>
      <c r="C1534" t="s">
        <v>369</v>
      </c>
      <c r="D1534">
        <v>4437</v>
      </c>
      <c r="E1534">
        <v>4438</v>
      </c>
      <c r="F1534">
        <v>4436</v>
      </c>
      <c r="G1534">
        <v>4437</v>
      </c>
      <c r="H1534">
        <v>5800</v>
      </c>
    </row>
    <row r="1535" spans="2:8">
      <c r="B1535" t="s">
        <v>587</v>
      </c>
      <c r="C1535" t="s">
        <v>370</v>
      </c>
      <c r="D1535">
        <v>4438</v>
      </c>
      <c r="E1535">
        <v>4439</v>
      </c>
      <c r="F1535">
        <v>4437</v>
      </c>
      <c r="G1535">
        <v>4438</v>
      </c>
      <c r="H1535">
        <v>16300</v>
      </c>
    </row>
    <row r="1536" spans="2:8">
      <c r="B1536" t="s">
        <v>587</v>
      </c>
      <c r="C1536" t="s">
        <v>371</v>
      </c>
      <c r="D1536">
        <v>4438</v>
      </c>
      <c r="E1536">
        <v>4438</v>
      </c>
      <c r="F1536">
        <v>4437</v>
      </c>
      <c r="G1536">
        <v>4438</v>
      </c>
      <c r="H1536">
        <v>5900</v>
      </c>
    </row>
    <row r="1537" spans="2:8">
      <c r="B1537" t="s">
        <v>587</v>
      </c>
      <c r="C1537" t="s">
        <v>372</v>
      </c>
      <c r="D1537">
        <v>4438</v>
      </c>
      <c r="E1537">
        <v>4438</v>
      </c>
      <c r="F1537">
        <v>4435</v>
      </c>
      <c r="G1537">
        <v>4436</v>
      </c>
      <c r="H1537">
        <v>20000</v>
      </c>
    </row>
    <row r="1538" spans="2:8">
      <c r="B1538" t="s">
        <v>587</v>
      </c>
      <c r="C1538" t="s">
        <v>373</v>
      </c>
      <c r="D1538">
        <v>4436</v>
      </c>
      <c r="E1538">
        <v>4437</v>
      </c>
      <c r="F1538">
        <v>4434</v>
      </c>
      <c r="G1538">
        <v>4434</v>
      </c>
      <c r="H1538">
        <v>24800</v>
      </c>
    </row>
    <row r="1539" spans="2:8">
      <c r="B1539" t="s">
        <v>587</v>
      </c>
      <c r="C1539" t="s">
        <v>374</v>
      </c>
      <c r="D1539">
        <v>4436</v>
      </c>
      <c r="E1539">
        <v>4436</v>
      </c>
      <c r="F1539">
        <v>4434</v>
      </c>
      <c r="G1539">
        <v>4436</v>
      </c>
      <c r="H1539">
        <v>7800</v>
      </c>
    </row>
    <row r="1540" spans="2:8">
      <c r="B1540" t="s">
        <v>587</v>
      </c>
      <c r="C1540" t="s">
        <v>375</v>
      </c>
      <c r="D1540">
        <v>4437</v>
      </c>
      <c r="E1540">
        <v>4438</v>
      </c>
      <c r="F1540">
        <v>4436</v>
      </c>
      <c r="G1540">
        <v>4438</v>
      </c>
      <c r="H1540">
        <v>10600</v>
      </c>
    </row>
    <row r="1541" spans="2:8">
      <c r="B1541" t="s">
        <v>587</v>
      </c>
      <c r="C1541" t="s">
        <v>376</v>
      </c>
      <c r="D1541">
        <v>4438</v>
      </c>
      <c r="E1541">
        <v>4439</v>
      </c>
      <c r="F1541">
        <v>4435</v>
      </c>
      <c r="G1541">
        <v>4437</v>
      </c>
      <c r="H1541">
        <v>34000</v>
      </c>
    </row>
    <row r="1542" spans="2:8">
      <c r="B1542" t="s">
        <v>587</v>
      </c>
      <c r="C1542" t="s">
        <v>377</v>
      </c>
      <c r="D1542">
        <v>4439</v>
      </c>
      <c r="E1542">
        <v>4441</v>
      </c>
      <c r="F1542">
        <v>4439</v>
      </c>
      <c r="G1542">
        <v>4440</v>
      </c>
      <c r="H1542">
        <v>40400</v>
      </c>
    </row>
    <row r="1543" spans="2:8">
      <c r="B1543" t="s">
        <v>587</v>
      </c>
      <c r="C1543" t="s">
        <v>378</v>
      </c>
      <c r="D1543">
        <v>4440</v>
      </c>
      <c r="E1543">
        <v>4442</v>
      </c>
      <c r="F1543">
        <v>4439</v>
      </c>
      <c r="G1543">
        <v>4440</v>
      </c>
      <c r="H1543">
        <v>12300</v>
      </c>
    </row>
    <row r="1544" spans="2:8">
      <c r="B1544" t="s">
        <v>587</v>
      </c>
      <c r="C1544" t="s">
        <v>379</v>
      </c>
      <c r="D1544">
        <v>4439</v>
      </c>
      <c r="E1544">
        <v>4439</v>
      </c>
      <c r="F1544">
        <v>4436</v>
      </c>
      <c r="G1544">
        <v>4439</v>
      </c>
      <c r="H1544">
        <v>27200</v>
      </c>
    </row>
    <row r="1545" spans="2:8">
      <c r="B1545" t="s">
        <v>587</v>
      </c>
      <c r="C1545" t="s">
        <v>380</v>
      </c>
      <c r="D1545">
        <v>4438</v>
      </c>
      <c r="E1545">
        <v>4439</v>
      </c>
      <c r="F1545">
        <v>4437</v>
      </c>
      <c r="G1545">
        <v>4437</v>
      </c>
      <c r="H1545">
        <v>6000</v>
      </c>
    </row>
    <row r="1546" spans="2:8">
      <c r="B1546" t="s">
        <v>587</v>
      </c>
      <c r="C1546" t="s">
        <v>381</v>
      </c>
      <c r="D1546">
        <v>4438</v>
      </c>
      <c r="E1546">
        <v>4439</v>
      </c>
      <c r="F1546">
        <v>4437</v>
      </c>
      <c r="G1546">
        <v>4439</v>
      </c>
      <c r="H1546">
        <v>14300</v>
      </c>
    </row>
    <row r="1547" spans="2:8">
      <c r="B1547" t="s">
        <v>587</v>
      </c>
      <c r="C1547" t="s">
        <v>382</v>
      </c>
      <c r="D1547">
        <v>4439</v>
      </c>
      <c r="E1547">
        <v>4441</v>
      </c>
      <c r="F1547">
        <v>4439</v>
      </c>
      <c r="G1547">
        <v>4441</v>
      </c>
      <c r="H1547">
        <v>11500</v>
      </c>
    </row>
    <row r="1548" spans="2:8">
      <c r="B1548" t="s">
        <v>587</v>
      </c>
      <c r="C1548" t="s">
        <v>383</v>
      </c>
      <c r="D1548">
        <v>4441</v>
      </c>
      <c r="E1548">
        <v>4443</v>
      </c>
      <c r="F1548">
        <v>4441</v>
      </c>
      <c r="G1548">
        <v>4442</v>
      </c>
      <c r="H1548">
        <v>26000</v>
      </c>
    </row>
    <row r="1549" spans="2:8">
      <c r="B1549" t="s">
        <v>587</v>
      </c>
      <c r="C1549" t="s">
        <v>384</v>
      </c>
      <c r="D1549">
        <v>4443</v>
      </c>
      <c r="E1549">
        <v>4443</v>
      </c>
      <c r="F1549">
        <v>4441</v>
      </c>
      <c r="G1549">
        <v>4442</v>
      </c>
      <c r="H1549">
        <v>10700</v>
      </c>
    </row>
    <row r="1550" spans="2:8">
      <c r="B1550" t="s">
        <v>587</v>
      </c>
      <c r="C1550" t="s">
        <v>385</v>
      </c>
      <c r="D1550">
        <v>4442</v>
      </c>
      <c r="E1550">
        <v>4442</v>
      </c>
      <c r="F1550">
        <v>4440</v>
      </c>
      <c r="G1550">
        <v>4441</v>
      </c>
      <c r="H1550">
        <v>8900</v>
      </c>
    </row>
    <row r="1551" spans="2:8">
      <c r="B1551" t="s">
        <v>587</v>
      </c>
      <c r="C1551" t="s">
        <v>386</v>
      </c>
      <c r="D1551">
        <v>4442</v>
      </c>
      <c r="E1551">
        <v>4443</v>
      </c>
      <c r="F1551">
        <v>4441</v>
      </c>
      <c r="G1551">
        <v>4441</v>
      </c>
      <c r="H1551">
        <v>5500</v>
      </c>
    </row>
    <row r="1552" spans="2:8">
      <c r="B1552" t="s">
        <v>587</v>
      </c>
      <c r="C1552" t="s">
        <v>387</v>
      </c>
      <c r="D1552">
        <v>4442</v>
      </c>
      <c r="E1552">
        <v>4444</v>
      </c>
      <c r="F1552">
        <v>4442</v>
      </c>
      <c r="G1552">
        <v>4442</v>
      </c>
      <c r="H1552">
        <v>17500</v>
      </c>
    </row>
    <row r="1553" spans="2:8">
      <c r="B1553" t="s">
        <v>587</v>
      </c>
      <c r="C1553" t="s">
        <v>388</v>
      </c>
      <c r="D1553">
        <v>4442</v>
      </c>
      <c r="E1553">
        <v>4442</v>
      </c>
      <c r="F1553">
        <v>4438</v>
      </c>
      <c r="G1553">
        <v>4438</v>
      </c>
      <c r="H1553">
        <v>31100</v>
      </c>
    </row>
    <row r="1554" spans="2:8">
      <c r="B1554" t="s">
        <v>587</v>
      </c>
      <c r="C1554" t="s">
        <v>389</v>
      </c>
      <c r="D1554">
        <v>4438</v>
      </c>
      <c r="E1554">
        <v>4441</v>
      </c>
      <c r="F1554">
        <v>4438</v>
      </c>
      <c r="G1554">
        <v>4441</v>
      </c>
      <c r="H1554">
        <v>17500</v>
      </c>
    </row>
    <row r="1555" spans="2:8">
      <c r="B1555" t="s">
        <v>587</v>
      </c>
      <c r="C1555" t="s">
        <v>390</v>
      </c>
      <c r="D1555">
        <v>4441</v>
      </c>
      <c r="E1555">
        <v>4441</v>
      </c>
      <c r="F1555">
        <v>4437</v>
      </c>
      <c r="G1555">
        <v>4437</v>
      </c>
      <c r="H1555">
        <v>21100</v>
      </c>
    </row>
    <row r="1556" spans="2:8">
      <c r="B1556" t="s">
        <v>587</v>
      </c>
      <c r="C1556" t="s">
        <v>391</v>
      </c>
      <c r="D1556">
        <v>4438</v>
      </c>
      <c r="E1556">
        <v>4439</v>
      </c>
      <c r="F1556">
        <v>4436</v>
      </c>
      <c r="G1556">
        <v>4437</v>
      </c>
      <c r="H1556">
        <v>10300</v>
      </c>
    </row>
    <row r="1557" spans="2:8">
      <c r="B1557" t="s">
        <v>587</v>
      </c>
      <c r="C1557" t="s">
        <v>392</v>
      </c>
      <c r="D1557">
        <v>4438</v>
      </c>
      <c r="E1557">
        <v>4439</v>
      </c>
      <c r="F1557">
        <v>4436</v>
      </c>
      <c r="G1557">
        <v>4438</v>
      </c>
      <c r="H1557">
        <v>8500</v>
      </c>
    </row>
    <row r="1558" spans="2:8">
      <c r="B1558" t="s">
        <v>587</v>
      </c>
      <c r="C1558" t="s">
        <v>393</v>
      </c>
      <c r="D1558">
        <v>4439</v>
      </c>
      <c r="E1558">
        <v>4439</v>
      </c>
      <c r="F1558">
        <v>4438</v>
      </c>
      <c r="G1558">
        <v>4438</v>
      </c>
      <c r="H1558">
        <v>4200</v>
      </c>
    </row>
    <row r="1559" spans="2:8">
      <c r="B1559" t="s">
        <v>587</v>
      </c>
      <c r="C1559" t="s">
        <v>394</v>
      </c>
      <c r="D1559">
        <v>4439</v>
      </c>
      <c r="E1559">
        <v>4439</v>
      </c>
      <c r="F1559">
        <v>4438</v>
      </c>
      <c r="G1559">
        <v>4438</v>
      </c>
      <c r="H1559">
        <v>4100</v>
      </c>
    </row>
    <row r="1560" spans="2:8">
      <c r="B1560" t="s">
        <v>587</v>
      </c>
      <c r="C1560" t="s">
        <v>395</v>
      </c>
      <c r="D1560">
        <v>4439</v>
      </c>
      <c r="E1560">
        <v>4439</v>
      </c>
      <c r="F1560">
        <v>4438</v>
      </c>
      <c r="G1560">
        <v>4438</v>
      </c>
      <c r="H1560">
        <v>7900</v>
      </c>
    </row>
    <row r="1561" spans="2:8">
      <c r="B1561" t="s">
        <v>587</v>
      </c>
      <c r="C1561" t="s">
        <v>396</v>
      </c>
      <c r="D1561">
        <v>4439</v>
      </c>
      <c r="E1561">
        <v>4440</v>
      </c>
      <c r="F1561">
        <v>4438</v>
      </c>
      <c r="G1561">
        <v>4440</v>
      </c>
      <c r="H1561">
        <v>3000</v>
      </c>
    </row>
    <row r="1562" spans="2:8">
      <c r="B1562" t="s">
        <v>587</v>
      </c>
      <c r="C1562" t="s">
        <v>397</v>
      </c>
      <c r="D1562">
        <v>4439</v>
      </c>
      <c r="E1562">
        <v>4441</v>
      </c>
      <c r="F1562">
        <v>4439</v>
      </c>
      <c r="G1562">
        <v>4440</v>
      </c>
      <c r="H1562">
        <v>8700</v>
      </c>
    </row>
    <row r="1563" spans="2:8">
      <c r="B1563" t="s">
        <v>587</v>
      </c>
      <c r="C1563" t="s">
        <v>398</v>
      </c>
      <c r="D1563">
        <v>4440</v>
      </c>
      <c r="E1563">
        <v>4441</v>
      </c>
      <c r="F1563">
        <v>4440</v>
      </c>
      <c r="G1563">
        <v>4441</v>
      </c>
      <c r="H1563">
        <v>10700</v>
      </c>
    </row>
    <row r="1564" spans="2:8">
      <c r="B1564" t="s">
        <v>587</v>
      </c>
      <c r="C1564" t="s">
        <v>399</v>
      </c>
      <c r="D1564">
        <v>4441</v>
      </c>
      <c r="E1564">
        <v>4443</v>
      </c>
      <c r="F1564">
        <v>4441</v>
      </c>
      <c r="G1564">
        <v>4442</v>
      </c>
      <c r="H1564">
        <v>19300</v>
      </c>
    </row>
    <row r="1565" spans="2:8">
      <c r="B1565" t="s">
        <v>587</v>
      </c>
      <c r="C1565" t="s">
        <v>400</v>
      </c>
      <c r="D1565">
        <v>4442</v>
      </c>
      <c r="E1565">
        <v>4443</v>
      </c>
      <c r="F1565">
        <v>4439</v>
      </c>
      <c r="G1565">
        <v>4440</v>
      </c>
      <c r="H1565">
        <v>17600</v>
      </c>
    </row>
    <row r="1566" spans="2:8">
      <c r="B1566" t="s">
        <v>587</v>
      </c>
      <c r="C1566" t="s">
        <v>401</v>
      </c>
      <c r="D1566">
        <v>4440</v>
      </c>
      <c r="E1566">
        <v>4441</v>
      </c>
      <c r="F1566">
        <v>4440</v>
      </c>
      <c r="G1566">
        <v>4441</v>
      </c>
      <c r="H1566">
        <v>3700</v>
      </c>
    </row>
    <row r="1567" spans="2:8">
      <c r="B1567" t="s">
        <v>587</v>
      </c>
      <c r="C1567" t="s">
        <v>402</v>
      </c>
      <c r="D1567">
        <v>4441</v>
      </c>
      <c r="E1567">
        <v>4441</v>
      </c>
      <c r="F1567">
        <v>4441</v>
      </c>
      <c r="G1567">
        <v>4441</v>
      </c>
      <c r="H1567">
        <v>3700</v>
      </c>
    </row>
    <row r="1568" spans="2:8">
      <c r="B1568" t="s">
        <v>587</v>
      </c>
      <c r="C1568" t="s">
        <v>403</v>
      </c>
      <c r="D1568">
        <v>4441</v>
      </c>
      <c r="E1568">
        <v>4442</v>
      </c>
      <c r="F1568">
        <v>4440</v>
      </c>
      <c r="G1568">
        <v>4440</v>
      </c>
      <c r="H1568">
        <v>3600</v>
      </c>
    </row>
    <row r="1569" spans="2:8">
      <c r="B1569" t="s">
        <v>587</v>
      </c>
      <c r="C1569" t="s">
        <v>404</v>
      </c>
      <c r="D1569">
        <v>4441</v>
      </c>
      <c r="E1569">
        <v>4443</v>
      </c>
      <c r="F1569">
        <v>4441</v>
      </c>
      <c r="G1569">
        <v>4443</v>
      </c>
      <c r="H1569">
        <v>16700</v>
      </c>
    </row>
    <row r="1570" spans="2:8">
      <c r="B1570" t="s">
        <v>587</v>
      </c>
      <c r="C1570" t="s">
        <v>405</v>
      </c>
      <c r="D1570">
        <v>4443</v>
      </c>
      <c r="E1570">
        <v>4443</v>
      </c>
      <c r="F1570">
        <v>4442</v>
      </c>
      <c r="G1570">
        <v>4442</v>
      </c>
      <c r="H1570">
        <v>2800</v>
      </c>
    </row>
    <row r="1571" spans="2:8">
      <c r="B1571" t="s">
        <v>587</v>
      </c>
      <c r="C1571" t="s">
        <v>406</v>
      </c>
      <c r="D1571">
        <v>4442</v>
      </c>
      <c r="E1571">
        <v>4443</v>
      </c>
      <c r="F1571">
        <v>4442</v>
      </c>
      <c r="G1571">
        <v>4443</v>
      </c>
      <c r="H1571">
        <v>5100</v>
      </c>
    </row>
    <row r="1572" spans="2:8">
      <c r="B1572" t="s">
        <v>587</v>
      </c>
      <c r="C1572" t="s">
        <v>407</v>
      </c>
      <c r="D1572">
        <v>4443</v>
      </c>
      <c r="E1572">
        <v>4444</v>
      </c>
      <c r="F1572">
        <v>4443</v>
      </c>
      <c r="G1572">
        <v>4443</v>
      </c>
      <c r="H1572">
        <v>7300</v>
      </c>
    </row>
    <row r="1573" spans="2:8">
      <c r="B1573" t="s">
        <v>587</v>
      </c>
      <c r="C1573" t="s">
        <v>408</v>
      </c>
      <c r="D1573">
        <v>4443</v>
      </c>
      <c r="E1573">
        <v>4444</v>
      </c>
      <c r="F1573">
        <v>4442</v>
      </c>
      <c r="G1573">
        <v>4444</v>
      </c>
      <c r="H1573">
        <v>26200</v>
      </c>
    </row>
    <row r="1574" spans="2:8">
      <c r="B1574" t="s">
        <v>587</v>
      </c>
      <c r="C1574" t="s">
        <v>409</v>
      </c>
      <c r="D1574">
        <v>4444</v>
      </c>
      <c r="E1574">
        <v>4446</v>
      </c>
      <c r="F1574">
        <v>4443</v>
      </c>
      <c r="G1574">
        <v>4443</v>
      </c>
      <c r="H1574">
        <v>39900</v>
      </c>
    </row>
    <row r="1575" spans="2:8">
      <c r="B1575" t="s">
        <v>587</v>
      </c>
      <c r="C1575" t="s">
        <v>410</v>
      </c>
      <c r="D1575">
        <v>4443</v>
      </c>
      <c r="E1575">
        <v>4443</v>
      </c>
      <c r="F1575">
        <v>4441</v>
      </c>
      <c r="G1575">
        <v>4441</v>
      </c>
      <c r="H1575">
        <v>16400</v>
      </c>
    </row>
    <row r="1576" spans="2:8">
      <c r="B1576" t="s">
        <v>587</v>
      </c>
      <c r="C1576" t="s">
        <v>411</v>
      </c>
      <c r="D1576">
        <v>4441</v>
      </c>
      <c r="E1576">
        <v>4441</v>
      </c>
      <c r="F1576">
        <v>4441</v>
      </c>
      <c r="G1576">
        <v>4441</v>
      </c>
      <c r="H1576">
        <v>3200</v>
      </c>
    </row>
    <row r="1577" spans="2:8">
      <c r="B1577" t="s">
        <v>587</v>
      </c>
      <c r="C1577" t="s">
        <v>412</v>
      </c>
      <c r="D1577">
        <v>4442</v>
      </c>
      <c r="E1577">
        <v>4443</v>
      </c>
      <c r="F1577">
        <v>4441</v>
      </c>
      <c r="G1577">
        <v>4443</v>
      </c>
      <c r="H1577">
        <v>7200</v>
      </c>
    </row>
    <row r="1578" spans="2:8">
      <c r="B1578" t="s">
        <v>587</v>
      </c>
      <c r="C1578" t="s">
        <v>413</v>
      </c>
      <c r="D1578">
        <v>4443</v>
      </c>
      <c r="E1578">
        <v>4446</v>
      </c>
      <c r="F1578">
        <v>4443</v>
      </c>
      <c r="G1578">
        <v>4444</v>
      </c>
      <c r="H1578">
        <v>10500</v>
      </c>
    </row>
    <row r="1579" spans="2:8">
      <c r="B1579" t="s">
        <v>587</v>
      </c>
      <c r="C1579" t="s">
        <v>414</v>
      </c>
      <c r="D1579">
        <v>4444</v>
      </c>
      <c r="E1579">
        <v>4445</v>
      </c>
      <c r="F1579">
        <v>4444</v>
      </c>
      <c r="G1579">
        <v>4444</v>
      </c>
      <c r="H1579">
        <v>3000</v>
      </c>
    </row>
    <row r="1580" spans="2:8">
      <c r="B1580" t="s">
        <v>587</v>
      </c>
      <c r="C1580" t="s">
        <v>415</v>
      </c>
      <c r="D1580">
        <v>4445</v>
      </c>
      <c r="E1580">
        <v>4446</v>
      </c>
      <c r="F1580">
        <v>4445</v>
      </c>
      <c r="G1580">
        <v>4445</v>
      </c>
      <c r="H1580">
        <v>15900</v>
      </c>
    </row>
    <row r="1581" spans="2:8">
      <c r="B1581" t="s">
        <v>587</v>
      </c>
      <c r="C1581" t="s">
        <v>416</v>
      </c>
      <c r="D1581">
        <v>4446</v>
      </c>
      <c r="E1581">
        <v>4446</v>
      </c>
      <c r="F1581">
        <v>4445</v>
      </c>
      <c r="G1581">
        <v>4445</v>
      </c>
      <c r="H1581">
        <v>2300</v>
      </c>
    </row>
    <row r="1582" spans="2:8">
      <c r="B1582" t="s">
        <v>587</v>
      </c>
      <c r="C1582" t="s">
        <v>417</v>
      </c>
      <c r="D1582">
        <v>4446</v>
      </c>
      <c r="E1582">
        <v>4447</v>
      </c>
      <c r="F1582">
        <v>4446</v>
      </c>
      <c r="G1582">
        <v>4446</v>
      </c>
      <c r="H1582">
        <v>4500</v>
      </c>
    </row>
    <row r="1583" spans="2:8">
      <c r="B1583" t="s">
        <v>587</v>
      </c>
      <c r="C1583" t="s">
        <v>418</v>
      </c>
      <c r="D1583">
        <v>4446</v>
      </c>
      <c r="E1583">
        <v>4447</v>
      </c>
      <c r="F1583">
        <v>4442</v>
      </c>
      <c r="G1583">
        <v>4444</v>
      </c>
      <c r="H1583">
        <v>38400</v>
      </c>
    </row>
    <row r="1584" spans="2:8">
      <c r="B1584" t="s">
        <v>587</v>
      </c>
      <c r="C1584" t="s">
        <v>419</v>
      </c>
      <c r="D1584">
        <v>4444</v>
      </c>
      <c r="E1584">
        <v>4446</v>
      </c>
      <c r="F1584">
        <v>4443</v>
      </c>
      <c r="G1584">
        <v>4445</v>
      </c>
      <c r="H1584">
        <v>9400</v>
      </c>
    </row>
    <row r="1585" spans="2:8">
      <c r="B1585" t="s">
        <v>587</v>
      </c>
      <c r="C1585" t="s">
        <v>420</v>
      </c>
      <c r="D1585">
        <v>4445</v>
      </c>
      <c r="E1585">
        <v>4446</v>
      </c>
      <c r="F1585">
        <v>4445</v>
      </c>
      <c r="G1585">
        <v>4445</v>
      </c>
      <c r="H1585">
        <v>4900</v>
      </c>
    </row>
    <row r="1586" spans="2:8">
      <c r="B1586" t="s">
        <v>587</v>
      </c>
      <c r="C1586" t="s">
        <v>421</v>
      </c>
      <c r="D1586">
        <v>4445</v>
      </c>
      <c r="E1586">
        <v>4446</v>
      </c>
      <c r="F1586">
        <v>4445</v>
      </c>
      <c r="G1586">
        <v>4445</v>
      </c>
      <c r="H1586">
        <v>2500</v>
      </c>
    </row>
    <row r="1587" spans="2:8">
      <c r="B1587" t="s">
        <v>587</v>
      </c>
      <c r="C1587" t="s">
        <v>422</v>
      </c>
      <c r="D1587">
        <v>4444</v>
      </c>
      <c r="E1587">
        <v>4445</v>
      </c>
      <c r="F1587">
        <v>4444</v>
      </c>
      <c r="G1587">
        <v>4444</v>
      </c>
      <c r="H1587">
        <v>8100</v>
      </c>
    </row>
    <row r="1588" spans="2:8">
      <c r="B1588" t="s">
        <v>587</v>
      </c>
      <c r="C1588" t="s">
        <v>423</v>
      </c>
      <c r="D1588">
        <v>4444</v>
      </c>
      <c r="E1588">
        <v>4447</v>
      </c>
      <c r="F1588">
        <v>4444</v>
      </c>
      <c r="G1588">
        <v>4445</v>
      </c>
      <c r="H1588">
        <v>23200</v>
      </c>
    </row>
    <row r="1589" spans="2:8">
      <c r="B1589" t="s">
        <v>587</v>
      </c>
      <c r="C1589" t="s">
        <v>424</v>
      </c>
      <c r="D1589">
        <v>4446</v>
      </c>
      <c r="E1589">
        <v>4446</v>
      </c>
      <c r="F1589">
        <v>4444</v>
      </c>
      <c r="G1589">
        <v>4444</v>
      </c>
      <c r="H1589">
        <v>4800</v>
      </c>
    </row>
    <row r="1590" spans="2:8">
      <c r="B1590" t="s">
        <v>587</v>
      </c>
      <c r="C1590" t="s">
        <v>425</v>
      </c>
      <c r="D1590">
        <v>4445</v>
      </c>
      <c r="E1590">
        <v>4445</v>
      </c>
      <c r="F1590">
        <v>4440</v>
      </c>
      <c r="G1590">
        <v>4441</v>
      </c>
      <c r="H1590">
        <v>17700</v>
      </c>
    </row>
    <row r="1591" spans="2:8">
      <c r="B1591" t="s">
        <v>587</v>
      </c>
      <c r="C1591" t="s">
        <v>426</v>
      </c>
      <c r="D1591">
        <v>4442</v>
      </c>
      <c r="E1591">
        <v>4443</v>
      </c>
      <c r="F1591">
        <v>4441</v>
      </c>
      <c r="G1591">
        <v>4441</v>
      </c>
      <c r="H1591">
        <v>13800</v>
      </c>
    </row>
    <row r="1592" spans="2:8">
      <c r="B1592" t="s">
        <v>587</v>
      </c>
      <c r="C1592" t="s">
        <v>427</v>
      </c>
      <c r="D1592">
        <v>4441</v>
      </c>
      <c r="E1592">
        <v>4442</v>
      </c>
      <c r="F1592">
        <v>4440</v>
      </c>
      <c r="G1592">
        <v>4441</v>
      </c>
      <c r="H1592">
        <v>7800</v>
      </c>
    </row>
    <row r="1593" spans="2:8">
      <c r="B1593" t="s">
        <v>587</v>
      </c>
      <c r="C1593" t="s">
        <v>428</v>
      </c>
      <c r="D1593">
        <v>4441</v>
      </c>
      <c r="E1593">
        <v>4441</v>
      </c>
      <c r="F1593">
        <v>4439</v>
      </c>
      <c r="G1593">
        <v>4439</v>
      </c>
      <c r="H1593">
        <v>20900</v>
      </c>
    </row>
    <row r="1594" spans="2:8">
      <c r="B1594" t="s">
        <v>587</v>
      </c>
      <c r="C1594" t="s">
        <v>429</v>
      </c>
      <c r="D1594">
        <v>4440</v>
      </c>
      <c r="E1594">
        <v>4441</v>
      </c>
      <c r="F1594">
        <v>4440</v>
      </c>
      <c r="G1594">
        <v>4440</v>
      </c>
      <c r="H1594">
        <v>6700</v>
      </c>
    </row>
    <row r="1595" spans="2:8">
      <c r="B1595" t="s">
        <v>587</v>
      </c>
      <c r="C1595" t="s">
        <v>430</v>
      </c>
      <c r="D1595">
        <v>4440</v>
      </c>
      <c r="E1595">
        <v>4440</v>
      </c>
      <c r="F1595">
        <v>4438</v>
      </c>
      <c r="G1595">
        <v>4438</v>
      </c>
      <c r="H1595">
        <v>17200</v>
      </c>
    </row>
    <row r="1596" spans="2:8">
      <c r="B1596" t="s">
        <v>587</v>
      </c>
      <c r="C1596" t="s">
        <v>431</v>
      </c>
      <c r="D1596">
        <v>4439</v>
      </c>
      <c r="E1596">
        <v>4439</v>
      </c>
      <c r="F1596">
        <v>4437</v>
      </c>
      <c r="G1596">
        <v>4438</v>
      </c>
      <c r="H1596">
        <v>12800</v>
      </c>
    </row>
    <row r="1597" spans="2:8">
      <c r="B1597" t="s">
        <v>587</v>
      </c>
      <c r="C1597" t="s">
        <v>9</v>
      </c>
      <c r="D1597">
        <v>4438</v>
      </c>
      <c r="E1597">
        <v>4439</v>
      </c>
      <c r="F1597">
        <v>4436</v>
      </c>
      <c r="G1597">
        <v>4438</v>
      </c>
      <c r="H1597">
        <v>18700</v>
      </c>
    </row>
    <row r="1598" spans="2:8">
      <c r="B1598" t="s">
        <v>587</v>
      </c>
      <c r="C1598" t="s">
        <v>10</v>
      </c>
      <c r="D1598">
        <v>4438</v>
      </c>
      <c r="E1598">
        <v>4438</v>
      </c>
      <c r="F1598">
        <v>4437</v>
      </c>
      <c r="G1598">
        <v>4438</v>
      </c>
      <c r="H1598">
        <v>2900</v>
      </c>
    </row>
    <row r="1599" spans="2:8">
      <c r="B1599" t="s">
        <v>587</v>
      </c>
      <c r="C1599" t="s">
        <v>11</v>
      </c>
      <c r="D1599">
        <v>4437</v>
      </c>
      <c r="E1599">
        <v>4439</v>
      </c>
      <c r="F1599">
        <v>4437</v>
      </c>
      <c r="G1599">
        <v>4438</v>
      </c>
      <c r="H1599">
        <v>12200</v>
      </c>
    </row>
    <row r="1600" spans="2:8">
      <c r="B1600" t="s">
        <v>587</v>
      </c>
      <c r="C1600" t="s">
        <v>12</v>
      </c>
      <c r="D1600">
        <v>4439</v>
      </c>
      <c r="E1600">
        <v>4440</v>
      </c>
      <c r="F1600">
        <v>4438</v>
      </c>
      <c r="G1600">
        <v>4439</v>
      </c>
      <c r="H1600">
        <v>10300</v>
      </c>
    </row>
    <row r="1601" spans="2:8">
      <c r="B1601" t="s">
        <v>587</v>
      </c>
      <c r="C1601" t="s">
        <v>13</v>
      </c>
      <c r="D1601">
        <v>4439</v>
      </c>
      <c r="E1601">
        <v>4439</v>
      </c>
      <c r="F1601">
        <v>4437</v>
      </c>
      <c r="G1601">
        <v>4438</v>
      </c>
      <c r="H1601">
        <v>8400</v>
      </c>
    </row>
    <row r="1602" spans="2:8">
      <c r="B1602" t="s">
        <v>587</v>
      </c>
      <c r="C1602" t="s">
        <v>14</v>
      </c>
      <c r="D1602">
        <v>4438</v>
      </c>
      <c r="E1602">
        <v>4440</v>
      </c>
      <c r="F1602">
        <v>4438</v>
      </c>
      <c r="G1602">
        <v>4439</v>
      </c>
      <c r="H1602">
        <v>9100</v>
      </c>
    </row>
    <row r="1603" spans="2:8">
      <c r="B1603" t="s">
        <v>587</v>
      </c>
      <c r="C1603" t="s">
        <v>15</v>
      </c>
      <c r="D1603">
        <v>4439</v>
      </c>
      <c r="E1603">
        <v>4439</v>
      </c>
      <c r="F1603">
        <v>4436</v>
      </c>
      <c r="G1603">
        <v>4437</v>
      </c>
      <c r="H1603">
        <v>15600</v>
      </c>
    </row>
    <row r="1604" spans="2:8">
      <c r="B1604" t="s">
        <v>587</v>
      </c>
      <c r="C1604" t="s">
        <v>16</v>
      </c>
      <c r="D1604">
        <v>4436</v>
      </c>
      <c r="E1604">
        <v>4442</v>
      </c>
      <c r="F1604">
        <v>4436</v>
      </c>
      <c r="G1604">
        <v>4441</v>
      </c>
      <c r="H1604">
        <v>29100</v>
      </c>
    </row>
    <row r="1605" spans="2:8">
      <c r="B1605" t="s">
        <v>587</v>
      </c>
      <c r="C1605" t="s">
        <v>17</v>
      </c>
      <c r="D1605">
        <v>4442</v>
      </c>
      <c r="E1605">
        <v>4442</v>
      </c>
      <c r="F1605">
        <v>4441</v>
      </c>
      <c r="G1605">
        <v>4442</v>
      </c>
      <c r="H1605">
        <v>1300</v>
      </c>
    </row>
    <row r="1606" spans="2:8">
      <c r="B1606" t="s">
        <v>587</v>
      </c>
      <c r="C1606" t="s">
        <v>18</v>
      </c>
      <c r="D1606">
        <v>4441</v>
      </c>
      <c r="E1606">
        <v>4444</v>
      </c>
      <c r="F1606">
        <v>4441</v>
      </c>
      <c r="G1606">
        <v>4444</v>
      </c>
      <c r="H1606">
        <v>14100</v>
      </c>
    </row>
    <row r="1607" spans="2:8">
      <c r="B1607" t="s">
        <v>587</v>
      </c>
      <c r="C1607" t="s">
        <v>19</v>
      </c>
      <c r="D1607">
        <v>4444</v>
      </c>
      <c r="E1607">
        <v>4444</v>
      </c>
      <c r="F1607">
        <v>4443</v>
      </c>
      <c r="G1607">
        <v>4443</v>
      </c>
      <c r="H1607">
        <v>8200</v>
      </c>
    </row>
    <row r="1608" spans="2:8">
      <c r="B1608" t="s">
        <v>587</v>
      </c>
      <c r="C1608" t="s">
        <v>20</v>
      </c>
      <c r="D1608">
        <v>4443</v>
      </c>
      <c r="E1608">
        <v>4444</v>
      </c>
      <c r="F1608">
        <v>4441</v>
      </c>
      <c r="G1608">
        <v>4441</v>
      </c>
      <c r="H1608">
        <v>6100</v>
      </c>
    </row>
    <row r="1609" spans="2:8">
      <c r="B1609" t="s">
        <v>587</v>
      </c>
      <c r="C1609" t="s">
        <v>21</v>
      </c>
      <c r="D1609">
        <v>4441</v>
      </c>
      <c r="E1609">
        <v>4442</v>
      </c>
      <c r="F1609">
        <v>4441</v>
      </c>
      <c r="G1609">
        <v>4442</v>
      </c>
      <c r="H1609">
        <v>1500</v>
      </c>
    </row>
    <row r="1610" spans="2:8">
      <c r="B1610" t="s">
        <v>587</v>
      </c>
      <c r="C1610" t="s">
        <v>22</v>
      </c>
      <c r="D1610">
        <v>4442</v>
      </c>
      <c r="E1610">
        <v>4442</v>
      </c>
      <c r="F1610">
        <v>4438</v>
      </c>
      <c r="G1610">
        <v>4438</v>
      </c>
      <c r="H1610">
        <v>32100</v>
      </c>
    </row>
    <row r="1611" spans="2:8">
      <c r="B1611" t="s">
        <v>587</v>
      </c>
      <c r="C1611" t="s">
        <v>23</v>
      </c>
      <c r="D1611">
        <v>4438</v>
      </c>
      <c r="E1611">
        <v>4440</v>
      </c>
      <c r="F1611">
        <v>4438</v>
      </c>
      <c r="G1611">
        <v>4440</v>
      </c>
      <c r="H1611">
        <v>6700</v>
      </c>
    </row>
    <row r="1612" spans="2:8">
      <c r="B1612" t="s">
        <v>587</v>
      </c>
      <c r="C1612" t="s">
        <v>24</v>
      </c>
      <c r="D1612">
        <v>4439</v>
      </c>
      <c r="E1612">
        <v>4440</v>
      </c>
      <c r="F1612">
        <v>4439</v>
      </c>
      <c r="G1612">
        <v>4439</v>
      </c>
      <c r="H1612">
        <v>5000</v>
      </c>
    </row>
    <row r="1613" spans="2:8">
      <c r="B1613" t="s">
        <v>587</v>
      </c>
      <c r="C1613" t="s">
        <v>25</v>
      </c>
      <c r="D1613">
        <v>4438</v>
      </c>
      <c r="E1613">
        <v>4441</v>
      </c>
      <c r="F1613">
        <v>4438</v>
      </c>
      <c r="G1613">
        <v>4440</v>
      </c>
      <c r="H1613">
        <v>8900</v>
      </c>
    </row>
    <row r="1614" spans="2:8">
      <c r="B1614" t="s">
        <v>587</v>
      </c>
      <c r="C1614" t="s">
        <v>26</v>
      </c>
      <c r="D1614">
        <v>4441</v>
      </c>
      <c r="E1614">
        <v>4442</v>
      </c>
      <c r="F1614">
        <v>4440</v>
      </c>
      <c r="G1614">
        <v>4440</v>
      </c>
      <c r="H1614">
        <v>11200</v>
      </c>
    </row>
    <row r="1615" spans="2:8">
      <c r="B1615" t="s">
        <v>587</v>
      </c>
      <c r="C1615" t="s">
        <v>27</v>
      </c>
      <c r="D1615">
        <v>4441</v>
      </c>
      <c r="E1615">
        <v>4441</v>
      </c>
      <c r="F1615">
        <v>4439</v>
      </c>
      <c r="G1615">
        <v>4439</v>
      </c>
      <c r="H1615">
        <v>10700</v>
      </c>
    </row>
    <row r="1616" spans="2:8">
      <c r="B1616" t="s">
        <v>587</v>
      </c>
      <c r="C1616" t="s">
        <v>28</v>
      </c>
      <c r="D1616">
        <v>4438</v>
      </c>
      <c r="E1616">
        <v>4439</v>
      </c>
      <c r="F1616">
        <v>4437</v>
      </c>
      <c r="G1616">
        <v>4438</v>
      </c>
      <c r="H1616">
        <v>14700</v>
      </c>
    </row>
    <row r="1617" spans="2:8">
      <c r="B1617" t="s">
        <v>587</v>
      </c>
      <c r="C1617" t="s">
        <v>29</v>
      </c>
      <c r="D1617">
        <v>4437</v>
      </c>
      <c r="E1617">
        <v>4437</v>
      </c>
      <c r="F1617">
        <v>4435</v>
      </c>
      <c r="G1617">
        <v>4435</v>
      </c>
      <c r="H1617">
        <v>5300</v>
      </c>
    </row>
    <row r="1618" spans="2:8">
      <c r="B1618" t="s">
        <v>587</v>
      </c>
      <c r="C1618" t="s">
        <v>30</v>
      </c>
      <c r="D1618">
        <v>4435</v>
      </c>
      <c r="E1618">
        <v>4436</v>
      </c>
      <c r="F1618">
        <v>4435</v>
      </c>
      <c r="G1618">
        <v>4435</v>
      </c>
      <c r="H1618">
        <v>6600</v>
      </c>
    </row>
    <row r="1619" spans="2:8">
      <c r="B1619" t="s">
        <v>587</v>
      </c>
      <c r="C1619" t="s">
        <v>31</v>
      </c>
      <c r="D1619">
        <v>4435</v>
      </c>
      <c r="E1619">
        <v>4437</v>
      </c>
      <c r="F1619">
        <v>4435</v>
      </c>
      <c r="G1619">
        <v>4437</v>
      </c>
      <c r="H1619">
        <v>16800</v>
      </c>
    </row>
    <row r="1620" spans="2:8">
      <c r="B1620" t="s">
        <v>587</v>
      </c>
      <c r="C1620" t="s">
        <v>32</v>
      </c>
      <c r="D1620">
        <v>4437</v>
      </c>
      <c r="E1620">
        <v>4438</v>
      </c>
      <c r="F1620">
        <v>4437</v>
      </c>
      <c r="G1620">
        <v>4437</v>
      </c>
      <c r="H1620">
        <v>7300</v>
      </c>
    </row>
    <row r="1621" spans="2:8">
      <c r="B1621" t="s">
        <v>587</v>
      </c>
      <c r="C1621" t="s">
        <v>33</v>
      </c>
      <c r="D1621">
        <v>4438</v>
      </c>
      <c r="E1621">
        <v>4438</v>
      </c>
      <c r="F1621">
        <v>4437</v>
      </c>
      <c r="G1621">
        <v>4437</v>
      </c>
      <c r="H1621">
        <v>3800</v>
      </c>
    </row>
    <row r="1622" spans="2:8">
      <c r="B1622" t="s">
        <v>587</v>
      </c>
      <c r="C1622" t="s">
        <v>34</v>
      </c>
      <c r="D1622">
        <v>4438</v>
      </c>
      <c r="E1622">
        <v>4439</v>
      </c>
      <c r="F1622">
        <v>4437</v>
      </c>
      <c r="G1622">
        <v>4437</v>
      </c>
      <c r="H1622">
        <v>11800</v>
      </c>
    </row>
    <row r="1623" spans="2:8">
      <c r="B1623" t="s">
        <v>587</v>
      </c>
      <c r="C1623" t="s">
        <v>35</v>
      </c>
      <c r="D1623">
        <v>4437</v>
      </c>
      <c r="E1623">
        <v>4438</v>
      </c>
      <c r="F1623">
        <v>4436</v>
      </c>
      <c r="G1623">
        <v>4438</v>
      </c>
      <c r="H1623">
        <v>8000</v>
      </c>
    </row>
    <row r="1624" spans="2:8">
      <c r="B1624" t="s">
        <v>587</v>
      </c>
      <c r="C1624" t="s">
        <v>36</v>
      </c>
      <c r="D1624">
        <v>4439</v>
      </c>
      <c r="E1624">
        <v>4447</v>
      </c>
      <c r="F1624">
        <v>4439</v>
      </c>
      <c r="G1624">
        <v>4447</v>
      </c>
      <c r="H1624">
        <v>61600</v>
      </c>
    </row>
    <row r="1625" spans="2:8">
      <c r="B1625" t="s">
        <v>587</v>
      </c>
      <c r="C1625" t="s">
        <v>37</v>
      </c>
      <c r="D1625">
        <v>4447</v>
      </c>
      <c r="E1625">
        <v>4447</v>
      </c>
      <c r="F1625">
        <v>4444</v>
      </c>
      <c r="G1625">
        <v>4445</v>
      </c>
      <c r="H1625">
        <v>9300</v>
      </c>
    </row>
    <row r="1626" spans="2:8">
      <c r="B1626" t="s">
        <v>587</v>
      </c>
      <c r="C1626" t="s">
        <v>38</v>
      </c>
      <c r="D1626">
        <v>4445</v>
      </c>
      <c r="E1626">
        <v>4448</v>
      </c>
      <c r="F1626">
        <v>4445</v>
      </c>
      <c r="G1626">
        <v>4447</v>
      </c>
      <c r="H1626">
        <v>19100</v>
      </c>
    </row>
    <row r="1627" spans="2:8">
      <c r="B1627" t="s">
        <v>587</v>
      </c>
      <c r="C1627" t="s">
        <v>39</v>
      </c>
      <c r="D1627">
        <v>4448</v>
      </c>
      <c r="E1627">
        <v>4448</v>
      </c>
      <c r="F1627">
        <v>4447</v>
      </c>
      <c r="G1627">
        <v>4447</v>
      </c>
      <c r="H1627">
        <v>19300</v>
      </c>
    </row>
    <row r="1628" spans="2:8">
      <c r="B1628" t="s">
        <v>587</v>
      </c>
      <c r="C1628" t="s">
        <v>40</v>
      </c>
      <c r="D1628">
        <v>4447</v>
      </c>
      <c r="E1628">
        <v>4447</v>
      </c>
      <c r="F1628">
        <v>4443</v>
      </c>
      <c r="G1628">
        <v>4444</v>
      </c>
      <c r="H1628">
        <v>18800</v>
      </c>
    </row>
    <row r="1629" spans="2:8">
      <c r="B1629" t="s">
        <v>587</v>
      </c>
      <c r="C1629" t="s">
        <v>41</v>
      </c>
      <c r="D1629">
        <v>4444</v>
      </c>
      <c r="E1629">
        <v>4444</v>
      </c>
      <c r="F1629">
        <v>4440</v>
      </c>
      <c r="G1629">
        <v>4440</v>
      </c>
      <c r="H1629">
        <v>8800</v>
      </c>
    </row>
    <row r="1630" spans="2:8">
      <c r="B1630" t="s">
        <v>587</v>
      </c>
      <c r="C1630" t="s">
        <v>42</v>
      </c>
      <c r="D1630">
        <v>4440</v>
      </c>
      <c r="E1630">
        <v>4443</v>
      </c>
      <c r="F1630">
        <v>4440</v>
      </c>
      <c r="G1630">
        <v>4442</v>
      </c>
      <c r="H1630">
        <v>9900</v>
      </c>
    </row>
    <row r="1631" spans="2:8">
      <c r="B1631" t="s">
        <v>587</v>
      </c>
      <c r="C1631" t="s">
        <v>43</v>
      </c>
      <c r="D1631">
        <v>4442</v>
      </c>
      <c r="E1631">
        <v>4443</v>
      </c>
      <c r="F1631">
        <v>4442</v>
      </c>
      <c r="G1631">
        <v>4443</v>
      </c>
      <c r="H1631">
        <v>4600</v>
      </c>
    </row>
    <row r="1632" spans="2:8">
      <c r="B1632" t="s">
        <v>587</v>
      </c>
      <c r="C1632" t="s">
        <v>44</v>
      </c>
      <c r="D1632">
        <v>4442</v>
      </c>
      <c r="E1632">
        <v>4442</v>
      </c>
      <c r="F1632">
        <v>4441</v>
      </c>
      <c r="G1632">
        <v>4442</v>
      </c>
      <c r="H1632">
        <v>16100</v>
      </c>
    </row>
    <row r="1633" spans="2:8">
      <c r="B1633" t="s">
        <v>587</v>
      </c>
      <c r="C1633" t="s">
        <v>45</v>
      </c>
      <c r="D1633">
        <v>4442</v>
      </c>
      <c r="E1633">
        <v>4442</v>
      </c>
      <c r="F1633">
        <v>4441</v>
      </c>
      <c r="G1633">
        <v>4442</v>
      </c>
      <c r="H1633">
        <v>7900</v>
      </c>
    </row>
    <row r="1634" spans="2:8">
      <c r="B1634" t="s">
        <v>587</v>
      </c>
      <c r="C1634" t="s">
        <v>46</v>
      </c>
      <c r="D1634">
        <v>4443</v>
      </c>
      <c r="E1634">
        <v>4444</v>
      </c>
      <c r="F1634">
        <v>4442</v>
      </c>
      <c r="G1634">
        <v>4443</v>
      </c>
      <c r="H1634">
        <v>12400</v>
      </c>
    </row>
    <row r="1635" spans="2:8">
      <c r="B1635" t="s">
        <v>587</v>
      </c>
      <c r="C1635" t="s">
        <v>47</v>
      </c>
      <c r="D1635">
        <v>4443</v>
      </c>
      <c r="E1635">
        <v>4444</v>
      </c>
      <c r="F1635">
        <v>4442</v>
      </c>
      <c r="G1635">
        <v>4443</v>
      </c>
      <c r="H1635">
        <v>11400</v>
      </c>
    </row>
    <row r="1636" spans="2:8">
      <c r="B1636" t="s">
        <v>587</v>
      </c>
      <c r="C1636" t="s">
        <v>48</v>
      </c>
      <c r="D1636">
        <v>4444</v>
      </c>
      <c r="E1636">
        <v>4448</v>
      </c>
      <c r="F1636">
        <v>4444</v>
      </c>
      <c r="G1636">
        <v>4447</v>
      </c>
      <c r="H1636">
        <v>19400</v>
      </c>
    </row>
    <row r="1637" spans="2:8">
      <c r="B1637" t="s">
        <v>587</v>
      </c>
      <c r="C1637" t="s">
        <v>49</v>
      </c>
      <c r="D1637">
        <v>4447</v>
      </c>
      <c r="E1637">
        <v>4448</v>
      </c>
      <c r="F1637">
        <v>4446</v>
      </c>
      <c r="G1637">
        <v>4447</v>
      </c>
      <c r="H1637">
        <v>19700</v>
      </c>
    </row>
    <row r="1638" spans="2:8">
      <c r="B1638" t="s">
        <v>587</v>
      </c>
      <c r="C1638" t="s">
        <v>50</v>
      </c>
      <c r="D1638">
        <v>4447</v>
      </c>
      <c r="E1638">
        <v>4448</v>
      </c>
      <c r="F1638">
        <v>4446</v>
      </c>
      <c r="G1638">
        <v>4447</v>
      </c>
      <c r="H1638">
        <v>53100</v>
      </c>
    </row>
    <row r="1639" spans="2:8">
      <c r="B1639" t="s">
        <v>587</v>
      </c>
      <c r="C1639" t="s">
        <v>51</v>
      </c>
      <c r="D1639">
        <v>4447</v>
      </c>
      <c r="E1639">
        <v>4448</v>
      </c>
      <c r="F1639">
        <v>4446</v>
      </c>
      <c r="G1639">
        <v>4447</v>
      </c>
      <c r="H1639">
        <v>9100</v>
      </c>
    </row>
    <row r="1640" spans="2:8">
      <c r="B1640" t="s">
        <v>587</v>
      </c>
      <c r="C1640" t="s">
        <v>52</v>
      </c>
      <c r="D1640">
        <v>4448</v>
      </c>
      <c r="E1640">
        <v>4448</v>
      </c>
      <c r="F1640">
        <v>4446</v>
      </c>
      <c r="G1640">
        <v>4446</v>
      </c>
      <c r="H1640">
        <v>26800</v>
      </c>
    </row>
    <row r="1641" spans="2:8">
      <c r="B1641" t="s">
        <v>587</v>
      </c>
      <c r="C1641" t="s">
        <v>53</v>
      </c>
      <c r="D1641">
        <v>4446</v>
      </c>
      <c r="E1641">
        <v>4448</v>
      </c>
      <c r="F1641">
        <v>4446</v>
      </c>
      <c r="G1641">
        <v>4447</v>
      </c>
      <c r="H1641">
        <v>15600</v>
      </c>
    </row>
    <row r="1642" spans="2:8">
      <c r="B1642" t="s">
        <v>587</v>
      </c>
      <c r="C1642" t="s">
        <v>54</v>
      </c>
      <c r="D1642">
        <v>4448</v>
      </c>
      <c r="E1642">
        <v>4448</v>
      </c>
      <c r="F1642">
        <v>4445</v>
      </c>
      <c r="G1642">
        <v>4447</v>
      </c>
      <c r="H1642">
        <v>24900</v>
      </c>
    </row>
    <row r="1643" spans="2:8">
      <c r="B1643" t="s">
        <v>587</v>
      </c>
      <c r="C1643" t="s">
        <v>55</v>
      </c>
      <c r="D1643">
        <v>4446</v>
      </c>
      <c r="E1643">
        <v>4447</v>
      </c>
      <c r="F1643">
        <v>4445</v>
      </c>
      <c r="G1643">
        <v>4446</v>
      </c>
      <c r="H1643">
        <v>3300</v>
      </c>
    </row>
    <row r="1644" spans="2:8">
      <c r="B1644" t="s">
        <v>587</v>
      </c>
      <c r="C1644" t="s">
        <v>56</v>
      </c>
      <c r="D1644">
        <v>4446</v>
      </c>
      <c r="E1644">
        <v>4446</v>
      </c>
      <c r="F1644">
        <v>4445</v>
      </c>
      <c r="G1644">
        <v>4445</v>
      </c>
      <c r="H1644">
        <v>9300</v>
      </c>
    </row>
    <row r="1645" spans="2:8">
      <c r="B1645" t="s">
        <v>587</v>
      </c>
      <c r="C1645" t="s">
        <v>57</v>
      </c>
      <c r="D1645">
        <v>4444</v>
      </c>
      <c r="E1645">
        <v>4446</v>
      </c>
      <c r="F1645">
        <v>4444</v>
      </c>
      <c r="G1645">
        <v>4445</v>
      </c>
      <c r="H1645">
        <v>12800</v>
      </c>
    </row>
    <row r="1646" spans="2:8">
      <c r="B1646" t="s">
        <v>587</v>
      </c>
      <c r="C1646" t="s">
        <v>58</v>
      </c>
      <c r="D1646">
        <v>4445</v>
      </c>
      <c r="E1646">
        <v>4446</v>
      </c>
      <c r="F1646">
        <v>4444</v>
      </c>
      <c r="G1646">
        <v>4444</v>
      </c>
      <c r="H1646">
        <v>7400</v>
      </c>
    </row>
    <row r="1647" spans="2:8">
      <c r="B1647" t="s">
        <v>587</v>
      </c>
      <c r="C1647" t="s">
        <v>59</v>
      </c>
      <c r="D1647">
        <v>4444</v>
      </c>
      <c r="E1647">
        <v>4445</v>
      </c>
      <c r="F1647">
        <v>4443</v>
      </c>
      <c r="G1647">
        <v>4443</v>
      </c>
      <c r="H1647">
        <v>16300</v>
      </c>
    </row>
    <row r="1648" spans="2:8">
      <c r="B1648" t="s">
        <v>587</v>
      </c>
      <c r="C1648" t="s">
        <v>60</v>
      </c>
      <c r="D1648">
        <v>4445</v>
      </c>
      <c r="E1648">
        <v>4445</v>
      </c>
      <c r="F1648">
        <v>4443</v>
      </c>
      <c r="G1648">
        <v>4444</v>
      </c>
      <c r="H1648">
        <v>4300</v>
      </c>
    </row>
    <row r="1649" spans="1:8">
      <c r="B1649" t="s">
        <v>587</v>
      </c>
      <c r="C1649" t="s">
        <v>61</v>
      </c>
      <c r="D1649">
        <v>4443</v>
      </c>
      <c r="E1649">
        <v>4445</v>
      </c>
      <c r="F1649">
        <v>4443</v>
      </c>
      <c r="G1649">
        <v>4444</v>
      </c>
      <c r="H1649">
        <v>32000</v>
      </c>
    </row>
    <row r="1650" spans="1:8">
      <c r="B1650" t="s">
        <v>587</v>
      </c>
      <c r="C1650" t="s">
        <v>62</v>
      </c>
      <c r="D1650">
        <v>4444</v>
      </c>
      <c r="E1650">
        <v>4446</v>
      </c>
      <c r="F1650">
        <v>4444</v>
      </c>
      <c r="G1650">
        <v>4445</v>
      </c>
      <c r="H1650">
        <v>5100</v>
      </c>
    </row>
    <row r="1651" spans="1:8">
      <c r="B1651" t="s">
        <v>587</v>
      </c>
      <c r="C1651" t="s">
        <v>63</v>
      </c>
      <c r="D1651">
        <v>4445</v>
      </c>
      <c r="E1651">
        <v>4446</v>
      </c>
      <c r="F1651">
        <v>4444</v>
      </c>
      <c r="G1651">
        <v>4445</v>
      </c>
      <c r="H1651">
        <v>23500</v>
      </c>
    </row>
    <row r="1652" spans="1:8">
      <c r="B1652" t="s">
        <v>587</v>
      </c>
      <c r="C1652" t="s">
        <v>64</v>
      </c>
      <c r="D1652">
        <v>4445</v>
      </c>
      <c r="E1652">
        <v>4446</v>
      </c>
      <c r="F1652">
        <v>4444</v>
      </c>
      <c r="G1652">
        <v>4445</v>
      </c>
      <c r="H1652">
        <v>19700</v>
      </c>
    </row>
    <row r="1653" spans="1:8">
      <c r="B1653" t="s">
        <v>587</v>
      </c>
      <c r="C1653" t="s">
        <v>65</v>
      </c>
      <c r="D1653">
        <v>4444</v>
      </c>
      <c r="E1653">
        <v>4446</v>
      </c>
      <c r="F1653">
        <v>4444</v>
      </c>
      <c r="G1653">
        <v>4445</v>
      </c>
      <c r="H1653">
        <v>5200</v>
      </c>
    </row>
    <row r="1654" spans="1:8">
      <c r="B1654" t="s">
        <v>587</v>
      </c>
      <c r="C1654" t="s">
        <v>66</v>
      </c>
      <c r="D1654">
        <v>4446</v>
      </c>
      <c r="E1654">
        <v>4446</v>
      </c>
      <c r="F1654">
        <v>4445</v>
      </c>
      <c r="G1654">
        <v>4446</v>
      </c>
      <c r="H1654">
        <v>13600</v>
      </c>
    </row>
    <row r="1655" spans="1:8">
      <c r="B1655" t="s">
        <v>587</v>
      </c>
      <c r="C1655" t="s">
        <v>164</v>
      </c>
      <c r="D1655">
        <v>4446</v>
      </c>
      <c r="E1655">
        <v>4447</v>
      </c>
      <c r="F1655">
        <v>4445</v>
      </c>
      <c r="G1655">
        <v>4447</v>
      </c>
      <c r="H1655">
        <v>32400</v>
      </c>
    </row>
    <row r="1656" spans="1:8">
      <c r="B1656" t="s">
        <v>587</v>
      </c>
      <c r="C1656" t="s">
        <v>165</v>
      </c>
      <c r="D1656">
        <v>4446</v>
      </c>
      <c r="E1656">
        <v>4449</v>
      </c>
      <c r="F1656">
        <v>4446</v>
      </c>
      <c r="G1656">
        <v>4449</v>
      </c>
      <c r="H1656">
        <v>29000</v>
      </c>
    </row>
    <row r="1657" spans="1:8">
      <c r="B1657" t="s">
        <v>587</v>
      </c>
      <c r="C1657" t="s">
        <v>67</v>
      </c>
      <c r="D1657" t="s">
        <v>8</v>
      </c>
      <c r="E1657" t="s">
        <v>8</v>
      </c>
      <c r="F1657" t="s">
        <v>8</v>
      </c>
      <c r="G1657" t="s">
        <v>8</v>
      </c>
      <c r="H1657">
        <v>0</v>
      </c>
    </row>
    <row r="1658" spans="1:8">
      <c r="B1658" t="s">
        <v>587</v>
      </c>
      <c r="C1658" t="s">
        <v>68</v>
      </c>
      <c r="D1658" t="s">
        <v>8</v>
      </c>
      <c r="E1658" t="s">
        <v>8</v>
      </c>
      <c r="F1658" t="s">
        <v>8</v>
      </c>
      <c r="G1658" t="s">
        <v>8</v>
      </c>
      <c r="H1658">
        <v>0</v>
      </c>
    </row>
    <row r="1659" spans="1:8">
      <c r="B1659" t="s">
        <v>587</v>
      </c>
      <c r="C1659" t="s">
        <v>69</v>
      </c>
      <c r="D1659" t="s">
        <v>8</v>
      </c>
      <c r="E1659" t="s">
        <v>8</v>
      </c>
      <c r="F1659" t="s">
        <v>8</v>
      </c>
      <c r="G1659" t="s">
        <v>8</v>
      </c>
      <c r="H1659">
        <v>0</v>
      </c>
    </row>
    <row r="1660" spans="1:8">
      <c r="B1660" t="s">
        <v>587</v>
      </c>
      <c r="C1660" t="s">
        <v>70</v>
      </c>
      <c r="D1660" t="s">
        <v>8</v>
      </c>
      <c r="E1660" t="s">
        <v>8</v>
      </c>
      <c r="F1660" t="s">
        <v>8</v>
      </c>
      <c r="G1660" t="s">
        <v>8</v>
      </c>
      <c r="H1660">
        <v>0</v>
      </c>
    </row>
    <row r="1661" spans="1:8">
      <c r="B1661" t="s">
        <v>587</v>
      </c>
      <c r="C1661" t="s">
        <v>71</v>
      </c>
      <c r="D1661" t="s">
        <v>8</v>
      </c>
      <c r="E1661" t="s">
        <v>8</v>
      </c>
      <c r="F1661" t="s">
        <v>8</v>
      </c>
      <c r="G1661" t="s">
        <v>8</v>
      </c>
      <c r="H1661">
        <v>0</v>
      </c>
    </row>
    <row r="1662" spans="1:8">
      <c r="B1662" t="s">
        <v>587</v>
      </c>
      <c r="C1662" t="s">
        <v>72</v>
      </c>
      <c r="D1662">
        <v>4452</v>
      </c>
      <c r="E1662">
        <v>4452</v>
      </c>
      <c r="F1662">
        <v>4452</v>
      </c>
      <c r="G1662">
        <v>4452</v>
      </c>
      <c r="H1662">
        <v>1755000</v>
      </c>
    </row>
    <row r="1663" spans="1:8">
      <c r="A1663" s="1" t="s">
        <v>588</v>
      </c>
      <c r="B1663" s="1" t="s">
        <v>588</v>
      </c>
      <c r="C1663" s="1" t="s">
        <v>588</v>
      </c>
      <c r="D1663" s="1" t="s">
        <v>588</v>
      </c>
      <c r="E1663" s="1" t="s">
        <v>588</v>
      </c>
      <c r="F1663" s="1" t="s">
        <v>588</v>
      </c>
      <c r="G1663" s="1" t="s">
        <v>588</v>
      </c>
      <c r="H1663" s="1" t="s">
        <v>588</v>
      </c>
    </row>
    <row r="1664" spans="1:8">
      <c r="A1664" s="1"/>
      <c r="B1664" s="1" t="s">
        <v>586</v>
      </c>
      <c r="C1664" s="1" t="s">
        <v>444</v>
      </c>
      <c r="D1664" s="1">
        <v>4406</v>
      </c>
      <c r="E1664" s="1">
        <v>4417</v>
      </c>
      <c r="F1664" s="1">
        <v>4404</v>
      </c>
      <c r="G1664" s="1">
        <v>4415</v>
      </c>
      <c r="H1664" s="1">
        <v>67600</v>
      </c>
    </row>
    <row r="1665" spans="1:8">
      <c r="A1665" s="1"/>
      <c r="B1665" s="1" t="s">
        <v>586</v>
      </c>
      <c r="C1665" s="1" t="s">
        <v>445</v>
      </c>
      <c r="D1665" s="1">
        <v>4415</v>
      </c>
      <c r="E1665" s="1">
        <v>4416</v>
      </c>
      <c r="F1665" s="1">
        <v>4399</v>
      </c>
      <c r="G1665" s="1">
        <v>4401</v>
      </c>
      <c r="H1665" s="1">
        <v>124300</v>
      </c>
    </row>
    <row r="1666" spans="1:8">
      <c r="A1666" s="1"/>
      <c r="B1666" s="1" t="s">
        <v>586</v>
      </c>
      <c r="C1666" s="1" t="s">
        <v>446</v>
      </c>
      <c r="D1666" s="1">
        <v>4402</v>
      </c>
      <c r="E1666" s="1">
        <v>4411</v>
      </c>
      <c r="F1666" s="1">
        <v>4401</v>
      </c>
      <c r="G1666" s="1">
        <v>4403</v>
      </c>
      <c r="H1666" s="1">
        <v>34600</v>
      </c>
    </row>
    <row r="1667" spans="1:8">
      <c r="A1667" s="1"/>
      <c r="B1667" s="1" t="s">
        <v>586</v>
      </c>
      <c r="C1667" s="1" t="s">
        <v>447</v>
      </c>
      <c r="D1667" s="1">
        <v>4402</v>
      </c>
      <c r="E1667" s="1">
        <v>4410</v>
      </c>
      <c r="F1667" s="1">
        <v>4401</v>
      </c>
      <c r="G1667" s="1">
        <v>4403</v>
      </c>
      <c r="H1667" s="1">
        <v>31700</v>
      </c>
    </row>
    <row r="1668" spans="1:8">
      <c r="A1668" s="1"/>
      <c r="B1668" s="1" t="s">
        <v>586</v>
      </c>
      <c r="C1668" s="1" t="s">
        <v>448</v>
      </c>
      <c r="D1668" s="1">
        <v>4403</v>
      </c>
      <c r="E1668" s="1">
        <v>4410</v>
      </c>
      <c r="F1668" s="1">
        <v>4400</v>
      </c>
      <c r="G1668" s="1">
        <v>4410</v>
      </c>
      <c r="H1668" s="1">
        <v>65900</v>
      </c>
    </row>
    <row r="1669" spans="1:8">
      <c r="A1669" s="1"/>
      <c r="B1669" s="1" t="s">
        <v>586</v>
      </c>
      <c r="C1669" s="1" t="s">
        <v>449</v>
      </c>
      <c r="D1669" s="1">
        <v>4410</v>
      </c>
      <c r="E1669" s="1">
        <v>4421</v>
      </c>
      <c r="F1669" s="1">
        <v>4409</v>
      </c>
      <c r="G1669" s="1">
        <v>4419</v>
      </c>
      <c r="H1669" s="1">
        <v>71900</v>
      </c>
    </row>
    <row r="1670" spans="1:8">
      <c r="A1670" s="1"/>
      <c r="B1670" s="1" t="s">
        <v>586</v>
      </c>
      <c r="C1670" s="1" t="s">
        <v>450</v>
      </c>
      <c r="D1670" s="1">
        <v>4418</v>
      </c>
      <c r="E1670" s="1">
        <v>4420</v>
      </c>
      <c r="F1670" s="1">
        <v>4407</v>
      </c>
      <c r="G1670" s="1">
        <v>4408</v>
      </c>
      <c r="H1670" s="1">
        <v>50000</v>
      </c>
    </row>
    <row r="1671" spans="1:8">
      <c r="A1671" s="1"/>
      <c r="B1671" s="1" t="s">
        <v>586</v>
      </c>
      <c r="C1671" s="1" t="s">
        <v>451</v>
      </c>
      <c r="D1671" s="1">
        <v>4408</v>
      </c>
      <c r="E1671" s="1">
        <v>4412</v>
      </c>
      <c r="F1671" s="1">
        <v>4406</v>
      </c>
      <c r="G1671" s="1">
        <v>4410</v>
      </c>
      <c r="H1671" s="1">
        <v>28500</v>
      </c>
    </row>
    <row r="1672" spans="1:8">
      <c r="A1672" s="1"/>
      <c r="B1672" s="1" t="s">
        <v>586</v>
      </c>
      <c r="C1672" s="1" t="s">
        <v>452</v>
      </c>
      <c r="D1672" s="1">
        <v>4410</v>
      </c>
      <c r="E1672" s="1">
        <v>4410</v>
      </c>
      <c r="F1672" s="1">
        <v>4405</v>
      </c>
      <c r="G1672" s="1">
        <v>4409</v>
      </c>
      <c r="H1672" s="1">
        <v>20500</v>
      </c>
    </row>
    <row r="1673" spans="1:8">
      <c r="A1673" s="1"/>
      <c r="B1673" s="1" t="s">
        <v>586</v>
      </c>
      <c r="C1673" s="1" t="s">
        <v>453</v>
      </c>
      <c r="D1673" s="1">
        <v>4408</v>
      </c>
      <c r="E1673" s="1">
        <v>4411</v>
      </c>
      <c r="F1673" s="1">
        <v>4403</v>
      </c>
      <c r="G1673" s="1">
        <v>4408</v>
      </c>
      <c r="H1673" s="1">
        <v>45700</v>
      </c>
    </row>
    <row r="1674" spans="1:8">
      <c r="A1674" s="1"/>
      <c r="B1674" s="1" t="s">
        <v>586</v>
      </c>
      <c r="C1674" s="1" t="s">
        <v>454</v>
      </c>
      <c r="D1674" s="1">
        <v>4408</v>
      </c>
      <c r="E1674" s="1">
        <v>4414</v>
      </c>
      <c r="F1674" s="1">
        <v>4408</v>
      </c>
      <c r="G1674" s="1">
        <v>4409</v>
      </c>
      <c r="H1674" s="1">
        <v>53900</v>
      </c>
    </row>
    <row r="1675" spans="1:8">
      <c r="A1675" s="1"/>
      <c r="B1675" s="1" t="s">
        <v>586</v>
      </c>
      <c r="C1675" s="1" t="s">
        <v>455</v>
      </c>
      <c r="D1675" s="1">
        <v>4408</v>
      </c>
      <c r="E1675" s="1">
        <v>4408</v>
      </c>
      <c r="F1675" s="1">
        <v>4397</v>
      </c>
      <c r="G1675" s="1">
        <v>4399</v>
      </c>
      <c r="H1675" s="1">
        <v>196000</v>
      </c>
    </row>
    <row r="1676" spans="1:8">
      <c r="A1676" s="1"/>
      <c r="B1676" s="1" t="s">
        <v>586</v>
      </c>
      <c r="C1676" s="1" t="s">
        <v>456</v>
      </c>
      <c r="D1676" s="1">
        <v>4400</v>
      </c>
      <c r="E1676" s="1">
        <v>4405</v>
      </c>
      <c r="F1676" s="1">
        <v>4398</v>
      </c>
      <c r="G1676" s="1">
        <v>4400</v>
      </c>
      <c r="H1676" s="1">
        <v>35200</v>
      </c>
    </row>
    <row r="1677" spans="1:8">
      <c r="A1677" s="1"/>
      <c r="B1677" s="1" t="s">
        <v>586</v>
      </c>
      <c r="C1677" s="1" t="s">
        <v>457</v>
      </c>
      <c r="D1677" s="1">
        <v>4399</v>
      </c>
      <c r="E1677" s="1">
        <v>4401</v>
      </c>
      <c r="F1677" s="1">
        <v>4397</v>
      </c>
      <c r="G1677" s="1">
        <v>4399</v>
      </c>
      <c r="H1677" s="1">
        <v>34600</v>
      </c>
    </row>
    <row r="1678" spans="1:8">
      <c r="A1678" s="1"/>
      <c r="B1678" s="1" t="s">
        <v>586</v>
      </c>
      <c r="C1678" s="1" t="s">
        <v>458</v>
      </c>
      <c r="D1678" s="1">
        <v>4400</v>
      </c>
      <c r="E1678" s="1">
        <v>4403</v>
      </c>
      <c r="F1678" s="1">
        <v>4398</v>
      </c>
      <c r="G1678" s="1">
        <v>4403</v>
      </c>
      <c r="H1678" s="1">
        <v>31500</v>
      </c>
    </row>
    <row r="1679" spans="1:8">
      <c r="A1679" s="1"/>
      <c r="B1679" s="1" t="s">
        <v>586</v>
      </c>
      <c r="C1679" s="1" t="s">
        <v>459</v>
      </c>
      <c r="D1679" s="1">
        <v>4402</v>
      </c>
      <c r="E1679" s="1">
        <v>4402</v>
      </c>
      <c r="F1679" s="1">
        <v>4396</v>
      </c>
      <c r="G1679" s="1">
        <v>4401</v>
      </c>
      <c r="H1679" s="1">
        <v>47900</v>
      </c>
    </row>
    <row r="1680" spans="1:8">
      <c r="A1680" s="1"/>
      <c r="B1680" s="1" t="s">
        <v>586</v>
      </c>
      <c r="C1680" s="1" t="s">
        <v>460</v>
      </c>
      <c r="D1680" s="1">
        <v>4402</v>
      </c>
      <c r="E1680" s="1">
        <v>4404</v>
      </c>
      <c r="F1680" s="1">
        <v>4398</v>
      </c>
      <c r="G1680" s="1">
        <v>4402</v>
      </c>
      <c r="H1680" s="1">
        <v>32500</v>
      </c>
    </row>
    <row r="1681" spans="1:8">
      <c r="A1681" s="1"/>
      <c r="B1681" s="1" t="s">
        <v>586</v>
      </c>
      <c r="C1681" s="1" t="s">
        <v>461</v>
      </c>
      <c r="D1681" s="1">
        <v>4401</v>
      </c>
      <c r="E1681" s="1">
        <v>4403</v>
      </c>
      <c r="F1681" s="1">
        <v>4398</v>
      </c>
      <c r="G1681" s="1">
        <v>4400</v>
      </c>
      <c r="H1681" s="1">
        <v>35300</v>
      </c>
    </row>
    <row r="1682" spans="1:8">
      <c r="A1682" s="1"/>
      <c r="B1682" s="1" t="s">
        <v>586</v>
      </c>
      <c r="C1682" s="1" t="s">
        <v>462</v>
      </c>
      <c r="D1682" s="1">
        <v>4401</v>
      </c>
      <c r="E1682" s="1">
        <v>4402</v>
      </c>
      <c r="F1682" s="1">
        <v>4397</v>
      </c>
      <c r="G1682" s="1">
        <v>4401</v>
      </c>
      <c r="H1682" s="1">
        <v>85500</v>
      </c>
    </row>
    <row r="1683" spans="1:8">
      <c r="A1683" s="1"/>
      <c r="B1683" s="1" t="s">
        <v>586</v>
      </c>
      <c r="C1683" s="1" t="s">
        <v>464</v>
      </c>
      <c r="D1683" s="1">
        <v>4401</v>
      </c>
      <c r="E1683" s="1">
        <v>4404</v>
      </c>
      <c r="F1683" s="1">
        <v>4401</v>
      </c>
      <c r="G1683" s="1">
        <v>4402</v>
      </c>
      <c r="H1683" s="1">
        <v>39800</v>
      </c>
    </row>
    <row r="1684" spans="1:8">
      <c r="A1684" s="1"/>
      <c r="B1684" s="1" t="s">
        <v>586</v>
      </c>
      <c r="C1684" s="1" t="s">
        <v>465</v>
      </c>
      <c r="D1684" s="1">
        <v>4402</v>
      </c>
      <c r="E1684" s="1">
        <v>4410</v>
      </c>
      <c r="F1684" s="1">
        <v>4402</v>
      </c>
      <c r="G1684" s="1">
        <v>4408</v>
      </c>
      <c r="H1684" s="1">
        <v>53200</v>
      </c>
    </row>
    <row r="1685" spans="1:8">
      <c r="A1685" s="1"/>
      <c r="B1685" s="1" t="s">
        <v>586</v>
      </c>
      <c r="C1685" s="1" t="s">
        <v>466</v>
      </c>
      <c r="D1685" s="1">
        <v>4408</v>
      </c>
      <c r="E1685" s="1">
        <v>4409</v>
      </c>
      <c r="F1685" s="1">
        <v>4405</v>
      </c>
      <c r="G1685" s="1">
        <v>4407</v>
      </c>
      <c r="H1685" s="1">
        <v>25100</v>
      </c>
    </row>
    <row r="1686" spans="1:8">
      <c r="A1686" s="1"/>
      <c r="B1686" s="1" t="s">
        <v>586</v>
      </c>
      <c r="C1686" s="1" t="s">
        <v>467</v>
      </c>
      <c r="D1686" s="1">
        <v>4407</v>
      </c>
      <c r="E1686" s="1">
        <v>4413</v>
      </c>
      <c r="F1686" s="1">
        <v>4406</v>
      </c>
      <c r="G1686" s="1">
        <v>4413</v>
      </c>
      <c r="H1686" s="1">
        <v>66600</v>
      </c>
    </row>
    <row r="1687" spans="1:8">
      <c r="A1687" s="1"/>
      <c r="B1687" s="1" t="s">
        <v>586</v>
      </c>
      <c r="C1687" s="1" t="s">
        <v>468</v>
      </c>
      <c r="D1687" s="1">
        <v>4413</v>
      </c>
      <c r="E1687" s="1">
        <v>4413</v>
      </c>
      <c r="F1687" s="1">
        <v>4407</v>
      </c>
      <c r="G1687" s="1">
        <v>4408</v>
      </c>
      <c r="H1687" s="1">
        <v>34600</v>
      </c>
    </row>
    <row r="1688" spans="1:8">
      <c r="A1688" s="1"/>
      <c r="B1688" s="1" t="s">
        <v>586</v>
      </c>
      <c r="C1688" s="1" t="s">
        <v>469</v>
      </c>
      <c r="D1688" s="1">
        <v>4409</v>
      </c>
      <c r="E1688" s="1">
        <v>4412</v>
      </c>
      <c r="F1688" s="1">
        <v>4405</v>
      </c>
      <c r="G1688" s="1">
        <v>4409</v>
      </c>
      <c r="H1688" s="1">
        <v>39200</v>
      </c>
    </row>
    <row r="1689" spans="1:8">
      <c r="A1689" s="1"/>
      <c r="B1689" s="1" t="s">
        <v>586</v>
      </c>
      <c r="C1689" s="1" t="s">
        <v>470</v>
      </c>
      <c r="D1689" s="1">
        <v>4408</v>
      </c>
      <c r="E1689" s="1">
        <v>4411</v>
      </c>
      <c r="F1689" s="1">
        <v>4403</v>
      </c>
      <c r="G1689" s="1">
        <v>4405</v>
      </c>
      <c r="H1689" s="1">
        <v>50400</v>
      </c>
    </row>
    <row r="1690" spans="1:8">
      <c r="A1690" s="1"/>
      <c r="B1690" s="1" t="s">
        <v>586</v>
      </c>
      <c r="C1690" s="1" t="s">
        <v>471</v>
      </c>
      <c r="D1690" s="1">
        <v>4404</v>
      </c>
      <c r="E1690" s="1">
        <v>4410</v>
      </c>
      <c r="F1690" s="1">
        <v>4404</v>
      </c>
      <c r="G1690" s="1">
        <v>4408</v>
      </c>
      <c r="H1690" s="1">
        <v>24100</v>
      </c>
    </row>
    <row r="1691" spans="1:8">
      <c r="A1691" s="1"/>
      <c r="B1691" s="1" t="s">
        <v>586</v>
      </c>
      <c r="C1691" s="1" t="s">
        <v>472</v>
      </c>
      <c r="D1691" s="1">
        <v>4408</v>
      </c>
      <c r="E1691" s="1">
        <v>4411</v>
      </c>
      <c r="F1691" s="1">
        <v>4406</v>
      </c>
      <c r="G1691" s="1">
        <v>4410</v>
      </c>
      <c r="H1691" s="1">
        <v>34200</v>
      </c>
    </row>
    <row r="1692" spans="1:8">
      <c r="A1692" s="1"/>
      <c r="B1692" s="1" t="s">
        <v>586</v>
      </c>
      <c r="C1692" s="1" t="s">
        <v>473</v>
      </c>
      <c r="D1692" s="1">
        <v>4411</v>
      </c>
      <c r="E1692" s="1">
        <v>4416</v>
      </c>
      <c r="F1692" s="1">
        <v>4410</v>
      </c>
      <c r="G1692" s="1">
        <v>4416</v>
      </c>
      <c r="H1692" s="1">
        <v>66900</v>
      </c>
    </row>
    <row r="1693" spans="1:8">
      <c r="A1693" s="1"/>
      <c r="B1693" s="1" t="s">
        <v>586</v>
      </c>
      <c r="C1693" s="1" t="s">
        <v>474</v>
      </c>
      <c r="D1693" s="1">
        <v>4415</v>
      </c>
      <c r="E1693" s="1">
        <v>4418</v>
      </c>
      <c r="F1693" s="1">
        <v>4413</v>
      </c>
      <c r="G1693" s="1">
        <v>4418</v>
      </c>
      <c r="H1693" s="1">
        <v>41300</v>
      </c>
    </row>
    <row r="1694" spans="1:8">
      <c r="A1694" s="1"/>
      <c r="B1694" s="1" t="s">
        <v>586</v>
      </c>
      <c r="C1694" s="1" t="s">
        <v>475</v>
      </c>
      <c r="D1694" s="1">
        <v>4418</v>
      </c>
      <c r="E1694" s="1">
        <v>4421</v>
      </c>
      <c r="F1694" s="1">
        <v>4417</v>
      </c>
      <c r="G1694" s="1">
        <v>4420</v>
      </c>
      <c r="H1694" s="1">
        <v>68800</v>
      </c>
    </row>
    <row r="1695" spans="1:8">
      <c r="A1695" s="1"/>
      <c r="B1695" s="1" t="s">
        <v>586</v>
      </c>
      <c r="C1695" s="1" t="s">
        <v>476</v>
      </c>
      <c r="D1695" s="1">
        <v>4421</v>
      </c>
      <c r="E1695" s="1">
        <v>4427</v>
      </c>
      <c r="F1695" s="1">
        <v>4420</v>
      </c>
      <c r="G1695" s="1">
        <v>4426</v>
      </c>
      <c r="H1695" s="1">
        <v>57800</v>
      </c>
    </row>
    <row r="1696" spans="1:8">
      <c r="A1696" s="1"/>
      <c r="B1696" s="1" t="s">
        <v>586</v>
      </c>
      <c r="C1696" s="1" t="s">
        <v>477</v>
      </c>
      <c r="D1696" s="1">
        <v>4425</v>
      </c>
      <c r="E1696" s="1">
        <v>4428</v>
      </c>
      <c r="F1696" s="1">
        <v>4424</v>
      </c>
      <c r="G1696" s="1">
        <v>4428</v>
      </c>
      <c r="H1696" s="1">
        <v>33700</v>
      </c>
    </row>
    <row r="1697" spans="1:8">
      <c r="A1697" s="1"/>
      <c r="B1697" s="1" t="s">
        <v>586</v>
      </c>
      <c r="C1697" s="1" t="s">
        <v>478</v>
      </c>
      <c r="D1697" s="1">
        <v>4427</v>
      </c>
      <c r="E1697" s="1">
        <v>4427</v>
      </c>
      <c r="F1697" s="1">
        <v>4420</v>
      </c>
      <c r="G1697" s="1">
        <v>4421</v>
      </c>
      <c r="H1697" s="1">
        <v>34400</v>
      </c>
    </row>
    <row r="1698" spans="1:8">
      <c r="A1698" s="1"/>
      <c r="B1698" s="1" t="s">
        <v>586</v>
      </c>
      <c r="C1698" s="1" t="s">
        <v>479</v>
      </c>
      <c r="D1698" s="1">
        <v>4421</v>
      </c>
      <c r="E1698" s="1">
        <v>4423</v>
      </c>
      <c r="F1698" s="1">
        <v>4420</v>
      </c>
      <c r="G1698" s="1">
        <v>4423</v>
      </c>
      <c r="H1698" s="1">
        <v>54300</v>
      </c>
    </row>
    <row r="1699" spans="1:8">
      <c r="A1699" s="1"/>
      <c r="B1699" s="1" t="s">
        <v>586</v>
      </c>
      <c r="C1699" s="1" t="s">
        <v>480</v>
      </c>
      <c r="D1699" s="1">
        <v>4422</v>
      </c>
      <c r="E1699" s="1">
        <v>4422</v>
      </c>
      <c r="F1699" s="1">
        <v>4418</v>
      </c>
      <c r="G1699" s="1">
        <v>4418</v>
      </c>
      <c r="H1699" s="1">
        <v>35500</v>
      </c>
    </row>
    <row r="1700" spans="1:8">
      <c r="A1700" s="1"/>
      <c r="B1700" s="1" t="s">
        <v>586</v>
      </c>
      <c r="C1700" s="1" t="s">
        <v>481</v>
      </c>
      <c r="D1700" s="1">
        <v>4418</v>
      </c>
      <c r="E1700" s="1">
        <v>4418</v>
      </c>
      <c r="F1700" s="1">
        <v>4412</v>
      </c>
      <c r="G1700" s="1">
        <v>4412</v>
      </c>
      <c r="H1700" s="1">
        <v>36400</v>
      </c>
    </row>
    <row r="1701" spans="1:8">
      <c r="A1701" s="1"/>
      <c r="B1701" s="1" t="s">
        <v>586</v>
      </c>
      <c r="C1701" s="1" t="s">
        <v>482</v>
      </c>
      <c r="D1701" s="1">
        <v>4413</v>
      </c>
      <c r="E1701" s="1">
        <v>4414</v>
      </c>
      <c r="F1701" s="1">
        <v>4405</v>
      </c>
      <c r="G1701" s="1">
        <v>4408</v>
      </c>
      <c r="H1701" s="1">
        <v>67800</v>
      </c>
    </row>
    <row r="1702" spans="1:8">
      <c r="A1702" s="1"/>
      <c r="B1702" s="1" t="s">
        <v>586</v>
      </c>
      <c r="C1702" s="1" t="s">
        <v>483</v>
      </c>
      <c r="D1702" s="1">
        <v>4407</v>
      </c>
      <c r="E1702" s="1">
        <v>4407</v>
      </c>
      <c r="F1702" s="1">
        <v>4402</v>
      </c>
      <c r="G1702" s="1">
        <v>4403</v>
      </c>
      <c r="H1702" s="1">
        <v>52100</v>
      </c>
    </row>
    <row r="1703" spans="1:8">
      <c r="A1703" s="1"/>
      <c r="B1703" s="1" t="s">
        <v>586</v>
      </c>
      <c r="C1703" s="1" t="s">
        <v>484</v>
      </c>
      <c r="D1703" s="1">
        <v>4403</v>
      </c>
      <c r="E1703" s="1">
        <v>4404</v>
      </c>
      <c r="F1703" s="1">
        <v>4402</v>
      </c>
      <c r="G1703" s="1">
        <v>4403</v>
      </c>
      <c r="H1703" s="1">
        <v>19500</v>
      </c>
    </row>
    <row r="1704" spans="1:8">
      <c r="A1704" s="1"/>
      <c r="B1704" s="1" t="s">
        <v>586</v>
      </c>
      <c r="C1704" s="1" t="s">
        <v>485</v>
      </c>
      <c r="D1704" s="1">
        <v>4404</v>
      </c>
      <c r="E1704" s="1">
        <v>4404</v>
      </c>
      <c r="F1704" s="1">
        <v>4401</v>
      </c>
      <c r="G1704" s="1">
        <v>4403</v>
      </c>
      <c r="H1704" s="1">
        <v>55600</v>
      </c>
    </row>
    <row r="1705" spans="1:8">
      <c r="A1705" s="1"/>
      <c r="B1705" s="1" t="s">
        <v>586</v>
      </c>
      <c r="C1705" s="1" t="s">
        <v>486</v>
      </c>
      <c r="D1705" s="1">
        <v>4402</v>
      </c>
      <c r="E1705" s="1">
        <v>4402</v>
      </c>
      <c r="F1705" s="1">
        <v>4396</v>
      </c>
      <c r="G1705" s="1">
        <v>4397</v>
      </c>
      <c r="H1705" s="1">
        <v>102900</v>
      </c>
    </row>
    <row r="1706" spans="1:8">
      <c r="A1706" s="1"/>
      <c r="B1706" s="1" t="s">
        <v>586</v>
      </c>
      <c r="C1706" s="1" t="s">
        <v>487</v>
      </c>
      <c r="D1706" s="1">
        <v>4398</v>
      </c>
      <c r="E1706" s="1">
        <v>4398</v>
      </c>
      <c r="F1706" s="1">
        <v>4396</v>
      </c>
      <c r="G1706" s="1">
        <v>4398</v>
      </c>
      <c r="H1706" s="1">
        <v>22100</v>
      </c>
    </row>
    <row r="1707" spans="1:8">
      <c r="A1707" s="1"/>
      <c r="B1707" s="1" t="s">
        <v>586</v>
      </c>
      <c r="C1707" s="1" t="s">
        <v>488</v>
      </c>
      <c r="D1707" s="1">
        <v>4398</v>
      </c>
      <c r="E1707" s="1">
        <v>4401</v>
      </c>
      <c r="F1707" s="1">
        <v>4396</v>
      </c>
      <c r="G1707" s="1">
        <v>4398</v>
      </c>
      <c r="H1707" s="1">
        <v>81400</v>
      </c>
    </row>
    <row r="1708" spans="1:8">
      <c r="A1708" s="1"/>
      <c r="B1708" s="1" t="s">
        <v>586</v>
      </c>
      <c r="C1708" s="1" t="s">
        <v>489</v>
      </c>
      <c r="D1708" s="1">
        <v>4398</v>
      </c>
      <c r="E1708" s="1">
        <v>4401</v>
      </c>
      <c r="F1708" s="1">
        <v>4397</v>
      </c>
      <c r="G1708" s="1">
        <v>4400</v>
      </c>
      <c r="H1708" s="1">
        <v>43000</v>
      </c>
    </row>
    <row r="1709" spans="1:8">
      <c r="A1709" s="1"/>
      <c r="B1709" s="1" t="s">
        <v>586</v>
      </c>
      <c r="C1709" s="1" t="s">
        <v>490</v>
      </c>
      <c r="D1709" s="1">
        <v>4400</v>
      </c>
      <c r="E1709" s="1">
        <v>4401</v>
      </c>
      <c r="F1709" s="1">
        <v>4399</v>
      </c>
      <c r="G1709" s="1">
        <v>4400</v>
      </c>
      <c r="H1709" s="1">
        <v>9700</v>
      </c>
    </row>
    <row r="1710" spans="1:8">
      <c r="A1710" s="1"/>
      <c r="B1710" s="1" t="s">
        <v>586</v>
      </c>
      <c r="C1710" s="1" t="s">
        <v>491</v>
      </c>
      <c r="D1710" s="1">
        <v>4400</v>
      </c>
      <c r="E1710" s="1">
        <v>4401</v>
      </c>
      <c r="F1710" s="1">
        <v>4395</v>
      </c>
      <c r="G1710" s="1">
        <v>4399</v>
      </c>
      <c r="H1710" s="1">
        <v>66900</v>
      </c>
    </row>
    <row r="1711" spans="1:8">
      <c r="A1711" s="1"/>
      <c r="B1711" s="1" t="s">
        <v>586</v>
      </c>
      <c r="C1711" s="1" t="s">
        <v>492</v>
      </c>
      <c r="D1711" s="1">
        <v>4399</v>
      </c>
      <c r="E1711" s="1">
        <v>4404</v>
      </c>
      <c r="F1711" s="1">
        <v>4398</v>
      </c>
      <c r="G1711" s="1">
        <v>4401</v>
      </c>
      <c r="H1711" s="1">
        <v>36600</v>
      </c>
    </row>
    <row r="1712" spans="1:8">
      <c r="A1712" s="1"/>
      <c r="B1712" s="1" t="s">
        <v>586</v>
      </c>
      <c r="C1712" s="1" t="s">
        <v>493</v>
      </c>
      <c r="D1712" s="1">
        <v>4401</v>
      </c>
      <c r="E1712" s="1">
        <v>4404</v>
      </c>
      <c r="F1712" s="1">
        <v>4399</v>
      </c>
      <c r="G1712" s="1">
        <v>4403</v>
      </c>
      <c r="H1712" s="1">
        <v>31600</v>
      </c>
    </row>
    <row r="1713" spans="1:8">
      <c r="A1713" s="1"/>
      <c r="B1713" s="1" t="s">
        <v>586</v>
      </c>
      <c r="C1713" s="1" t="s">
        <v>494</v>
      </c>
      <c r="D1713" s="1">
        <v>4402</v>
      </c>
      <c r="E1713" s="1">
        <v>4408</v>
      </c>
      <c r="F1713" s="1">
        <v>4402</v>
      </c>
      <c r="G1713" s="1">
        <v>4406</v>
      </c>
      <c r="H1713" s="1">
        <v>36200</v>
      </c>
    </row>
    <row r="1714" spans="1:8">
      <c r="A1714" s="1"/>
      <c r="B1714" s="1" t="s">
        <v>586</v>
      </c>
      <c r="C1714" s="1" t="s">
        <v>495</v>
      </c>
      <c r="D1714" s="1">
        <v>4407</v>
      </c>
      <c r="E1714" s="1">
        <v>4409</v>
      </c>
      <c r="F1714" s="1">
        <v>4405</v>
      </c>
      <c r="G1714" s="1">
        <v>4405</v>
      </c>
      <c r="H1714" s="1">
        <v>29500</v>
      </c>
    </row>
    <row r="1715" spans="1:8">
      <c r="A1715" s="1"/>
      <c r="B1715" s="1" t="s">
        <v>586</v>
      </c>
      <c r="C1715" s="1" t="s">
        <v>496</v>
      </c>
      <c r="D1715" s="1">
        <v>4406</v>
      </c>
      <c r="E1715" s="1">
        <v>4411</v>
      </c>
      <c r="F1715" s="1">
        <v>4406</v>
      </c>
      <c r="G1715" s="1">
        <v>4411</v>
      </c>
      <c r="H1715" s="1">
        <v>59100</v>
      </c>
    </row>
    <row r="1716" spans="1:8">
      <c r="A1716" s="1"/>
      <c r="B1716" s="1" t="s">
        <v>586</v>
      </c>
      <c r="C1716" s="1" t="s">
        <v>497</v>
      </c>
      <c r="D1716" s="1">
        <v>4412</v>
      </c>
      <c r="E1716" s="1">
        <v>4412</v>
      </c>
      <c r="F1716" s="1">
        <v>4410</v>
      </c>
      <c r="G1716" s="1">
        <v>4411</v>
      </c>
      <c r="H1716" s="1">
        <v>15800</v>
      </c>
    </row>
    <row r="1717" spans="1:8">
      <c r="A1717" s="1"/>
      <c r="B1717" s="1" t="s">
        <v>586</v>
      </c>
      <c r="C1717" s="1" t="s">
        <v>498</v>
      </c>
      <c r="D1717" s="1">
        <v>4410</v>
      </c>
      <c r="E1717" s="1">
        <v>4413</v>
      </c>
      <c r="F1717" s="1">
        <v>4409</v>
      </c>
      <c r="G1717" s="1">
        <v>4413</v>
      </c>
      <c r="H1717" s="1">
        <v>26300</v>
      </c>
    </row>
    <row r="1718" spans="1:8">
      <c r="A1718" s="1"/>
      <c r="B1718" s="1" t="s">
        <v>586</v>
      </c>
      <c r="C1718" s="1" t="s">
        <v>499</v>
      </c>
      <c r="D1718" s="1">
        <v>4414</v>
      </c>
      <c r="E1718" s="1">
        <v>4417</v>
      </c>
      <c r="F1718" s="1">
        <v>4414</v>
      </c>
      <c r="G1718" s="1">
        <v>4416</v>
      </c>
      <c r="H1718" s="1">
        <v>25000</v>
      </c>
    </row>
    <row r="1719" spans="1:8">
      <c r="A1719" s="1"/>
      <c r="B1719" s="1" t="s">
        <v>586</v>
      </c>
      <c r="C1719" s="1" t="s">
        <v>500</v>
      </c>
      <c r="D1719" s="1">
        <v>4416</v>
      </c>
      <c r="E1719" s="1">
        <v>4422</v>
      </c>
      <c r="F1719" s="1">
        <v>4416</v>
      </c>
      <c r="G1719" s="1">
        <v>4422</v>
      </c>
      <c r="H1719" s="1">
        <v>44400</v>
      </c>
    </row>
    <row r="1720" spans="1:8">
      <c r="A1720" s="1"/>
      <c r="B1720" s="1" t="s">
        <v>586</v>
      </c>
      <c r="C1720" s="1" t="s">
        <v>501</v>
      </c>
      <c r="D1720" s="1">
        <v>4421</v>
      </c>
      <c r="E1720" s="1">
        <v>4427</v>
      </c>
      <c r="F1720" s="1">
        <v>4421</v>
      </c>
      <c r="G1720" s="1">
        <v>4426</v>
      </c>
      <c r="H1720" s="1">
        <v>85900</v>
      </c>
    </row>
    <row r="1721" spans="1:8">
      <c r="A1721" s="1"/>
      <c r="B1721" s="1" t="s">
        <v>586</v>
      </c>
      <c r="C1721" s="1" t="s">
        <v>502</v>
      </c>
      <c r="D1721" s="1">
        <v>4425</v>
      </c>
      <c r="E1721" s="1">
        <v>4428</v>
      </c>
      <c r="F1721" s="1">
        <v>4423</v>
      </c>
      <c r="G1721" s="1">
        <v>4427</v>
      </c>
      <c r="H1721" s="1">
        <v>50300</v>
      </c>
    </row>
    <row r="1722" spans="1:8">
      <c r="A1722" s="1"/>
      <c r="B1722" s="1" t="s">
        <v>586</v>
      </c>
      <c r="C1722" s="1" t="s">
        <v>503</v>
      </c>
      <c r="D1722" s="1">
        <v>4427</v>
      </c>
      <c r="E1722" s="1">
        <v>4430</v>
      </c>
      <c r="F1722" s="1">
        <v>4426</v>
      </c>
      <c r="G1722" s="1">
        <v>4429</v>
      </c>
      <c r="H1722" s="1">
        <v>36500</v>
      </c>
    </row>
    <row r="1723" spans="1:8">
      <c r="A1723" s="1"/>
      <c r="B1723" s="1" t="s">
        <v>586</v>
      </c>
      <c r="C1723" s="1" t="s">
        <v>504</v>
      </c>
      <c r="D1723" s="1">
        <v>4429</v>
      </c>
      <c r="E1723" s="1">
        <v>4430</v>
      </c>
      <c r="F1723" s="1">
        <v>4415</v>
      </c>
      <c r="G1723" s="1">
        <v>4415</v>
      </c>
      <c r="H1723" s="1">
        <v>49500</v>
      </c>
    </row>
    <row r="1724" spans="1:8">
      <c r="A1724" s="1"/>
      <c r="B1724" s="1" t="s">
        <v>586</v>
      </c>
      <c r="C1724" s="1" t="s">
        <v>505</v>
      </c>
      <c r="D1724" s="1">
        <v>4415</v>
      </c>
      <c r="E1724" s="1">
        <v>4417</v>
      </c>
      <c r="F1724" s="1">
        <v>4410</v>
      </c>
      <c r="G1724" s="1">
        <v>4410</v>
      </c>
      <c r="H1724" s="1">
        <v>42900</v>
      </c>
    </row>
    <row r="1725" spans="1:8">
      <c r="A1725" s="1"/>
      <c r="B1725" s="1" t="s">
        <v>586</v>
      </c>
      <c r="C1725" s="1" t="s">
        <v>506</v>
      </c>
      <c r="D1725" s="1">
        <v>4410</v>
      </c>
      <c r="E1725" s="1">
        <v>4411</v>
      </c>
      <c r="F1725" s="1">
        <v>4402</v>
      </c>
      <c r="G1725" s="1">
        <v>4403</v>
      </c>
      <c r="H1725" s="1">
        <v>33000</v>
      </c>
    </row>
    <row r="1726" spans="1:8">
      <c r="A1726" s="1"/>
      <c r="B1726" s="1" t="s">
        <v>586</v>
      </c>
      <c r="C1726" s="1" t="s">
        <v>507</v>
      </c>
      <c r="D1726" s="1">
        <v>4403</v>
      </c>
      <c r="E1726" s="1">
        <v>4406</v>
      </c>
      <c r="F1726" s="1">
        <v>4402</v>
      </c>
      <c r="G1726" s="1">
        <v>4404</v>
      </c>
      <c r="H1726" s="1">
        <v>18700</v>
      </c>
    </row>
    <row r="1727" spans="1:8">
      <c r="A1727" s="1"/>
      <c r="B1727" s="1" t="s">
        <v>586</v>
      </c>
      <c r="C1727" s="1" t="s">
        <v>508</v>
      </c>
      <c r="D1727" s="1">
        <v>4404</v>
      </c>
      <c r="E1727" s="1">
        <v>4405</v>
      </c>
      <c r="F1727" s="1">
        <v>4402</v>
      </c>
      <c r="G1727" s="1">
        <v>4402</v>
      </c>
      <c r="H1727" s="1">
        <v>24200</v>
      </c>
    </row>
    <row r="1728" spans="1:8">
      <c r="A1728" s="1"/>
      <c r="B1728" s="1" t="s">
        <v>586</v>
      </c>
      <c r="C1728" s="1" t="s">
        <v>509</v>
      </c>
      <c r="D1728" s="1">
        <v>4403</v>
      </c>
      <c r="E1728" s="1">
        <v>4405</v>
      </c>
      <c r="F1728" s="1">
        <v>4402</v>
      </c>
      <c r="G1728" s="1">
        <v>4404</v>
      </c>
      <c r="H1728" s="1">
        <v>23200</v>
      </c>
    </row>
    <row r="1729" spans="1:8">
      <c r="A1729" s="1"/>
      <c r="B1729" s="1" t="s">
        <v>586</v>
      </c>
      <c r="C1729" s="1" t="s">
        <v>510</v>
      </c>
      <c r="D1729" s="1">
        <v>4404</v>
      </c>
      <c r="E1729" s="1">
        <v>4406</v>
      </c>
      <c r="F1729" s="1">
        <v>4404</v>
      </c>
      <c r="G1729" s="1">
        <v>4405</v>
      </c>
      <c r="H1729" s="1">
        <v>19000</v>
      </c>
    </row>
    <row r="1730" spans="1:8">
      <c r="A1730" s="1"/>
      <c r="B1730" s="1" t="s">
        <v>586</v>
      </c>
      <c r="C1730" s="1" t="s">
        <v>511</v>
      </c>
      <c r="D1730" s="1">
        <v>4405</v>
      </c>
      <c r="E1730" s="1">
        <v>4408</v>
      </c>
      <c r="F1730" s="1">
        <v>4405</v>
      </c>
      <c r="G1730" s="1">
        <v>4408</v>
      </c>
      <c r="H1730" s="1">
        <v>17800</v>
      </c>
    </row>
    <row r="1731" spans="1:8">
      <c r="A1731" s="1"/>
      <c r="B1731" s="1" t="s">
        <v>586</v>
      </c>
      <c r="C1731" s="1" t="s">
        <v>512</v>
      </c>
      <c r="D1731" s="1">
        <v>4408</v>
      </c>
      <c r="E1731" s="1">
        <v>4408</v>
      </c>
      <c r="F1731" s="1">
        <v>4404</v>
      </c>
      <c r="G1731" s="1">
        <v>4405</v>
      </c>
      <c r="H1731" s="1">
        <v>42700</v>
      </c>
    </row>
    <row r="1732" spans="1:8">
      <c r="A1732" s="1"/>
      <c r="B1732" s="1" t="s">
        <v>586</v>
      </c>
      <c r="C1732" s="1" t="s">
        <v>513</v>
      </c>
      <c r="D1732" s="1">
        <v>4406</v>
      </c>
      <c r="E1732" s="1">
        <v>4407</v>
      </c>
      <c r="F1732" s="1">
        <v>4405</v>
      </c>
      <c r="G1732" s="1">
        <v>4405</v>
      </c>
      <c r="H1732" s="1">
        <v>11900</v>
      </c>
    </row>
    <row r="1733" spans="1:8">
      <c r="A1733" s="1"/>
      <c r="B1733" s="1" t="s">
        <v>586</v>
      </c>
      <c r="C1733" s="1" t="s">
        <v>514</v>
      </c>
      <c r="D1733" s="1">
        <v>4405</v>
      </c>
      <c r="E1733" s="1">
        <v>4406</v>
      </c>
      <c r="F1733" s="1">
        <v>4403</v>
      </c>
      <c r="G1733" s="1">
        <v>4404</v>
      </c>
      <c r="H1733" s="1">
        <v>29800</v>
      </c>
    </row>
    <row r="1734" spans="1:8">
      <c r="A1734" s="1"/>
      <c r="B1734" s="1" t="s">
        <v>586</v>
      </c>
      <c r="C1734" s="1" t="s">
        <v>515</v>
      </c>
      <c r="D1734" s="1">
        <v>4403</v>
      </c>
      <c r="E1734" s="1">
        <v>4404</v>
      </c>
      <c r="F1734" s="1">
        <v>4400</v>
      </c>
      <c r="G1734" s="1">
        <v>4403</v>
      </c>
      <c r="H1734" s="1">
        <v>50700</v>
      </c>
    </row>
    <row r="1735" spans="1:8">
      <c r="A1735" s="1"/>
      <c r="B1735" s="1" t="s">
        <v>586</v>
      </c>
      <c r="C1735" s="1" t="s">
        <v>516</v>
      </c>
      <c r="D1735" s="1">
        <v>4403</v>
      </c>
      <c r="E1735" s="1">
        <v>4403</v>
      </c>
      <c r="F1735" s="1">
        <v>4398</v>
      </c>
      <c r="G1735" s="1">
        <v>4399</v>
      </c>
      <c r="H1735" s="1">
        <v>76600</v>
      </c>
    </row>
    <row r="1736" spans="1:8">
      <c r="A1736" s="1"/>
      <c r="B1736" s="1" t="s">
        <v>586</v>
      </c>
      <c r="C1736" s="1" t="s">
        <v>517</v>
      </c>
      <c r="D1736" s="1">
        <v>4399</v>
      </c>
      <c r="E1736" s="1">
        <v>4404</v>
      </c>
      <c r="F1736" s="1">
        <v>4398</v>
      </c>
      <c r="G1736" s="1">
        <v>4404</v>
      </c>
      <c r="H1736" s="1">
        <v>26100</v>
      </c>
    </row>
    <row r="1737" spans="1:8">
      <c r="A1737" s="1"/>
      <c r="B1737" s="1" t="s">
        <v>586</v>
      </c>
      <c r="C1737" s="1" t="s">
        <v>518</v>
      </c>
      <c r="D1737" s="1">
        <v>4403</v>
      </c>
      <c r="E1737" s="1">
        <v>4403</v>
      </c>
      <c r="F1737" s="1">
        <v>4398</v>
      </c>
      <c r="G1737" s="1">
        <v>4399</v>
      </c>
      <c r="H1737" s="1">
        <v>32000</v>
      </c>
    </row>
    <row r="1738" spans="1:8">
      <c r="A1738" s="1"/>
      <c r="B1738" s="1" t="s">
        <v>586</v>
      </c>
      <c r="C1738" s="1" t="s">
        <v>519</v>
      </c>
      <c r="D1738" s="1">
        <v>4399</v>
      </c>
      <c r="E1738" s="1">
        <v>4400</v>
      </c>
      <c r="F1738" s="1">
        <v>4395</v>
      </c>
      <c r="G1738" s="1">
        <v>4395</v>
      </c>
      <c r="H1738" s="1">
        <v>55800</v>
      </c>
    </row>
    <row r="1739" spans="1:8">
      <c r="A1739" s="1"/>
      <c r="B1739" s="1" t="s">
        <v>586</v>
      </c>
      <c r="C1739" s="1" t="s">
        <v>520</v>
      </c>
      <c r="D1739" s="1">
        <v>4395</v>
      </c>
      <c r="E1739" s="1">
        <v>4396</v>
      </c>
      <c r="F1739" s="1">
        <v>4391</v>
      </c>
      <c r="G1739" s="1">
        <v>4392</v>
      </c>
      <c r="H1739" s="1">
        <v>114500</v>
      </c>
    </row>
    <row r="1740" spans="1:8">
      <c r="A1740" s="1"/>
      <c r="B1740" s="1" t="s">
        <v>586</v>
      </c>
      <c r="C1740" s="1" t="s">
        <v>521</v>
      </c>
      <c r="D1740" s="1">
        <v>4391</v>
      </c>
      <c r="E1740" s="1">
        <v>4394</v>
      </c>
      <c r="F1740" s="1">
        <v>4390</v>
      </c>
      <c r="G1740" s="1">
        <v>4390</v>
      </c>
      <c r="H1740" s="1">
        <v>55200</v>
      </c>
    </row>
    <row r="1741" spans="1:8">
      <c r="A1741" s="1"/>
      <c r="B1741" s="1" t="s">
        <v>586</v>
      </c>
      <c r="C1741" s="1" t="s">
        <v>522</v>
      </c>
      <c r="D1741" s="1">
        <v>4390</v>
      </c>
      <c r="E1741" s="1">
        <v>4391</v>
      </c>
      <c r="F1741" s="1">
        <v>4386</v>
      </c>
      <c r="G1741" s="1">
        <v>4388</v>
      </c>
      <c r="H1741" s="1">
        <v>111900</v>
      </c>
    </row>
    <row r="1742" spans="1:8">
      <c r="A1742" s="1"/>
      <c r="B1742" s="1" t="s">
        <v>586</v>
      </c>
      <c r="C1742" s="1" t="s">
        <v>523</v>
      </c>
      <c r="D1742" s="1">
        <v>4389</v>
      </c>
      <c r="E1742" s="1">
        <v>4394</v>
      </c>
      <c r="F1742" s="1">
        <v>4388</v>
      </c>
      <c r="G1742" s="1">
        <v>4392</v>
      </c>
      <c r="H1742" s="1">
        <v>23500</v>
      </c>
    </row>
    <row r="1743" spans="1:8">
      <c r="A1743" s="1"/>
      <c r="B1743" s="1" t="s">
        <v>586</v>
      </c>
      <c r="C1743" s="1" t="s">
        <v>524</v>
      </c>
      <c r="D1743" s="1">
        <v>4393</v>
      </c>
      <c r="E1743" s="1">
        <v>4395</v>
      </c>
      <c r="F1743" s="1">
        <v>4392</v>
      </c>
      <c r="G1743" s="1">
        <v>4393</v>
      </c>
      <c r="H1743" s="1">
        <v>26100</v>
      </c>
    </row>
    <row r="1744" spans="1:8">
      <c r="A1744" s="1"/>
      <c r="B1744" s="1" t="s">
        <v>586</v>
      </c>
      <c r="C1744" s="1" t="s">
        <v>525</v>
      </c>
      <c r="D1744" s="1">
        <v>4393</v>
      </c>
      <c r="E1744" s="1">
        <v>4394</v>
      </c>
      <c r="F1744" s="1">
        <v>4389</v>
      </c>
      <c r="G1744" s="1">
        <v>4390</v>
      </c>
      <c r="H1744" s="1">
        <v>28500</v>
      </c>
    </row>
    <row r="1745" spans="1:8">
      <c r="A1745" s="1"/>
      <c r="B1745" s="1" t="s">
        <v>586</v>
      </c>
      <c r="C1745" s="1" t="s">
        <v>526</v>
      </c>
      <c r="D1745" s="1">
        <v>4390</v>
      </c>
      <c r="E1745" s="1">
        <v>4392</v>
      </c>
      <c r="F1745" s="1">
        <v>4386</v>
      </c>
      <c r="G1745" s="1">
        <v>4390</v>
      </c>
      <c r="H1745" s="1">
        <v>62400</v>
      </c>
    </row>
    <row r="1746" spans="1:8">
      <c r="A1746" s="1"/>
      <c r="B1746" s="1" t="s">
        <v>586</v>
      </c>
      <c r="C1746" s="1" t="s">
        <v>527</v>
      </c>
      <c r="D1746" s="1">
        <v>4391</v>
      </c>
      <c r="E1746" s="1">
        <v>4392</v>
      </c>
      <c r="F1746" s="1">
        <v>4388</v>
      </c>
      <c r="G1746" s="1">
        <v>4390</v>
      </c>
      <c r="H1746" s="1">
        <v>35300</v>
      </c>
    </row>
    <row r="1747" spans="1:8">
      <c r="A1747" s="1"/>
      <c r="B1747" s="1" t="s">
        <v>586</v>
      </c>
      <c r="C1747" s="1" t="s">
        <v>528</v>
      </c>
      <c r="D1747" s="1">
        <v>4390</v>
      </c>
      <c r="E1747" s="1">
        <v>4390</v>
      </c>
      <c r="F1747" s="1">
        <v>4388</v>
      </c>
      <c r="G1747" s="1">
        <v>4389</v>
      </c>
      <c r="H1747" s="1">
        <v>19900</v>
      </c>
    </row>
    <row r="1748" spans="1:8">
      <c r="A1748" s="1"/>
      <c r="B1748" s="1" t="s">
        <v>586</v>
      </c>
      <c r="C1748" s="1" t="s">
        <v>529</v>
      </c>
      <c r="D1748" s="1">
        <v>4389</v>
      </c>
      <c r="E1748" s="1">
        <v>4391</v>
      </c>
      <c r="F1748" s="1">
        <v>4389</v>
      </c>
      <c r="G1748" s="1">
        <v>4391</v>
      </c>
      <c r="H1748" s="1">
        <v>21400</v>
      </c>
    </row>
    <row r="1749" spans="1:8">
      <c r="A1749" s="1"/>
      <c r="B1749" s="1" t="s">
        <v>586</v>
      </c>
      <c r="C1749" s="1" t="s">
        <v>530</v>
      </c>
      <c r="D1749" s="1">
        <v>4391</v>
      </c>
      <c r="E1749" s="1">
        <v>4392</v>
      </c>
      <c r="F1749" s="1">
        <v>4386</v>
      </c>
      <c r="G1749" s="1">
        <v>4388</v>
      </c>
      <c r="H1749" s="1">
        <v>47000</v>
      </c>
    </row>
    <row r="1750" spans="1:8">
      <c r="A1750" s="1"/>
      <c r="B1750" s="1" t="s">
        <v>586</v>
      </c>
      <c r="C1750" s="1" t="s">
        <v>531</v>
      </c>
      <c r="D1750" s="1">
        <v>4389</v>
      </c>
      <c r="E1750" s="1">
        <v>4389</v>
      </c>
      <c r="F1750" s="1">
        <v>4384</v>
      </c>
      <c r="G1750" s="1">
        <v>4385</v>
      </c>
      <c r="H1750" s="1">
        <v>43200</v>
      </c>
    </row>
    <row r="1751" spans="1:8">
      <c r="A1751" s="1"/>
      <c r="B1751" s="1" t="s">
        <v>586</v>
      </c>
      <c r="C1751" s="1" t="s">
        <v>532</v>
      </c>
      <c r="D1751" s="1">
        <v>4384</v>
      </c>
      <c r="E1751" s="1">
        <v>4386</v>
      </c>
      <c r="F1751" s="1">
        <v>4384</v>
      </c>
      <c r="G1751" s="1">
        <v>4385</v>
      </c>
      <c r="H1751" s="1">
        <v>20900</v>
      </c>
    </row>
    <row r="1752" spans="1:8">
      <c r="A1752" s="1"/>
      <c r="B1752" s="1" t="s">
        <v>586</v>
      </c>
      <c r="C1752" s="1" t="s">
        <v>533</v>
      </c>
      <c r="D1752" s="1">
        <v>4386</v>
      </c>
      <c r="E1752" s="1">
        <v>4388</v>
      </c>
      <c r="F1752" s="1">
        <v>4385</v>
      </c>
      <c r="G1752" s="1">
        <v>4388</v>
      </c>
      <c r="H1752" s="1">
        <v>23700</v>
      </c>
    </row>
    <row r="1753" spans="1:8">
      <c r="A1753" s="1"/>
      <c r="B1753" s="1" t="s">
        <v>586</v>
      </c>
      <c r="C1753" s="1" t="s">
        <v>534</v>
      </c>
      <c r="D1753" s="1">
        <v>4388</v>
      </c>
      <c r="E1753" s="1">
        <v>4393</v>
      </c>
      <c r="F1753" s="1">
        <v>4388</v>
      </c>
      <c r="G1753" s="1">
        <v>4391</v>
      </c>
      <c r="H1753" s="1">
        <v>22800</v>
      </c>
    </row>
    <row r="1754" spans="1:8">
      <c r="A1754" s="1"/>
      <c r="B1754" s="1" t="s">
        <v>586</v>
      </c>
      <c r="C1754" s="1" t="s">
        <v>535</v>
      </c>
      <c r="D1754" s="1">
        <v>4392</v>
      </c>
      <c r="E1754" s="1">
        <v>4396</v>
      </c>
      <c r="F1754" s="1">
        <v>4391</v>
      </c>
      <c r="G1754" s="1">
        <v>4396</v>
      </c>
      <c r="H1754" s="1">
        <v>28800</v>
      </c>
    </row>
    <row r="1755" spans="1:8">
      <c r="A1755" s="1"/>
      <c r="B1755" s="1" t="s">
        <v>586</v>
      </c>
      <c r="C1755" s="1" t="s">
        <v>536</v>
      </c>
      <c r="D1755" s="1">
        <v>4396</v>
      </c>
      <c r="E1755" s="1">
        <v>4398</v>
      </c>
      <c r="F1755" s="1">
        <v>4395</v>
      </c>
      <c r="G1755" s="1">
        <v>4395</v>
      </c>
      <c r="H1755" s="1">
        <v>23700</v>
      </c>
    </row>
    <row r="1756" spans="1:8">
      <c r="A1756" s="1"/>
      <c r="B1756" s="1" t="s">
        <v>586</v>
      </c>
      <c r="C1756" s="1" t="s">
        <v>537</v>
      </c>
      <c r="D1756" s="1">
        <v>4396</v>
      </c>
      <c r="E1756" s="1">
        <v>4397</v>
      </c>
      <c r="F1756" s="1">
        <v>4395</v>
      </c>
      <c r="G1756" s="1">
        <v>4397</v>
      </c>
      <c r="H1756" s="1">
        <v>12600</v>
      </c>
    </row>
    <row r="1757" spans="1:8">
      <c r="A1757" s="1"/>
      <c r="B1757" s="1" t="s">
        <v>586</v>
      </c>
      <c r="C1757" s="1" t="s">
        <v>538</v>
      </c>
      <c r="D1757" s="1">
        <v>4398</v>
      </c>
      <c r="E1757" s="1">
        <v>4403</v>
      </c>
      <c r="F1757" s="1">
        <v>4398</v>
      </c>
      <c r="G1757" s="1">
        <v>4402</v>
      </c>
      <c r="H1757" s="1">
        <v>49400</v>
      </c>
    </row>
    <row r="1758" spans="1:8">
      <c r="A1758" s="1"/>
      <c r="B1758" s="1" t="s">
        <v>586</v>
      </c>
      <c r="C1758" s="1" t="s">
        <v>539</v>
      </c>
      <c r="D1758" s="1">
        <v>4401</v>
      </c>
      <c r="E1758" s="1">
        <v>4404</v>
      </c>
      <c r="F1758" s="1">
        <v>4400</v>
      </c>
      <c r="G1758" s="1">
        <v>4403</v>
      </c>
      <c r="H1758" s="1">
        <v>20800</v>
      </c>
    </row>
    <row r="1759" spans="1:8">
      <c r="A1759" s="1"/>
      <c r="B1759" s="1" t="s">
        <v>586</v>
      </c>
      <c r="C1759" s="1" t="s">
        <v>540</v>
      </c>
      <c r="D1759" s="1">
        <v>4403</v>
      </c>
      <c r="E1759" s="1">
        <v>4404</v>
      </c>
      <c r="F1759" s="1">
        <v>4399</v>
      </c>
      <c r="G1759" s="1">
        <v>4399</v>
      </c>
      <c r="H1759" s="1">
        <v>14900</v>
      </c>
    </row>
    <row r="1760" spans="1:8">
      <c r="A1760" s="1"/>
      <c r="B1760" s="1" t="s">
        <v>586</v>
      </c>
      <c r="C1760" s="1" t="s">
        <v>541</v>
      </c>
      <c r="D1760" s="1">
        <v>4399</v>
      </c>
      <c r="E1760" s="1">
        <v>4399</v>
      </c>
      <c r="F1760" s="1">
        <v>4396</v>
      </c>
      <c r="G1760" s="1">
        <v>4398</v>
      </c>
      <c r="H1760" s="1">
        <v>11300</v>
      </c>
    </row>
    <row r="1761" spans="1:8">
      <c r="A1761" s="1"/>
      <c r="B1761" s="1" t="s">
        <v>586</v>
      </c>
      <c r="C1761" s="1" t="s">
        <v>542</v>
      </c>
      <c r="D1761" s="1">
        <v>4397</v>
      </c>
      <c r="E1761" s="1">
        <v>4399</v>
      </c>
      <c r="F1761" s="1">
        <v>4395</v>
      </c>
      <c r="G1761" s="1">
        <v>4398</v>
      </c>
      <c r="H1761" s="1">
        <v>15600</v>
      </c>
    </row>
    <row r="1762" spans="1:8">
      <c r="A1762" s="1"/>
      <c r="B1762" s="1" t="s">
        <v>586</v>
      </c>
      <c r="C1762" s="1" t="s">
        <v>543</v>
      </c>
      <c r="D1762" s="1">
        <v>4399</v>
      </c>
      <c r="E1762" s="1">
        <v>4399</v>
      </c>
      <c r="F1762" s="1">
        <v>4393</v>
      </c>
      <c r="G1762" s="1">
        <v>4393</v>
      </c>
      <c r="H1762" s="1">
        <v>17700</v>
      </c>
    </row>
    <row r="1763" spans="1:8">
      <c r="A1763" s="1"/>
      <c r="B1763" s="1" t="s">
        <v>586</v>
      </c>
      <c r="C1763" s="1" t="s">
        <v>544</v>
      </c>
      <c r="D1763" s="1">
        <v>4394</v>
      </c>
      <c r="E1763" s="1">
        <v>4394</v>
      </c>
      <c r="F1763" s="1">
        <v>4391</v>
      </c>
      <c r="G1763" s="1">
        <v>4392</v>
      </c>
      <c r="H1763" s="1">
        <v>20300</v>
      </c>
    </row>
    <row r="1764" spans="1:8">
      <c r="A1764" s="1"/>
      <c r="B1764" s="1" t="s">
        <v>586</v>
      </c>
      <c r="C1764" s="1" t="s">
        <v>545</v>
      </c>
      <c r="D1764" s="1">
        <v>4392</v>
      </c>
      <c r="E1764" s="1">
        <v>4395</v>
      </c>
      <c r="F1764" s="1">
        <v>4392</v>
      </c>
      <c r="G1764" s="1">
        <v>4395</v>
      </c>
      <c r="H1764" s="1">
        <v>17800</v>
      </c>
    </row>
    <row r="1765" spans="1:8">
      <c r="A1765" s="1"/>
      <c r="B1765" s="1" t="s">
        <v>586</v>
      </c>
      <c r="C1765" s="1" t="s">
        <v>546</v>
      </c>
      <c r="D1765" s="1">
        <v>4394</v>
      </c>
      <c r="E1765" s="1">
        <v>4395</v>
      </c>
      <c r="F1765" s="1">
        <v>4393</v>
      </c>
      <c r="G1765" s="1">
        <v>4393</v>
      </c>
      <c r="H1765" s="1">
        <v>10300</v>
      </c>
    </row>
    <row r="1766" spans="1:8">
      <c r="A1766" s="1"/>
      <c r="B1766" s="1" t="s">
        <v>586</v>
      </c>
      <c r="C1766" s="1" t="s">
        <v>547</v>
      </c>
      <c r="D1766" s="1">
        <v>4394</v>
      </c>
      <c r="E1766" s="1">
        <v>4397</v>
      </c>
      <c r="F1766" s="1">
        <v>4394</v>
      </c>
      <c r="G1766" s="1">
        <v>4394</v>
      </c>
      <c r="H1766" s="1">
        <v>14100</v>
      </c>
    </row>
    <row r="1767" spans="1:8">
      <c r="A1767" s="1"/>
      <c r="B1767" s="1" t="s">
        <v>586</v>
      </c>
      <c r="C1767" s="1" t="s">
        <v>548</v>
      </c>
      <c r="D1767" s="1">
        <v>4394</v>
      </c>
      <c r="E1767" s="1">
        <v>4394</v>
      </c>
      <c r="F1767" s="1">
        <v>4393</v>
      </c>
      <c r="G1767" s="1">
        <v>4394</v>
      </c>
      <c r="H1767" s="1">
        <v>5500</v>
      </c>
    </row>
    <row r="1768" spans="1:8">
      <c r="A1768" s="1"/>
      <c r="B1768" s="1" t="s">
        <v>586</v>
      </c>
      <c r="C1768" s="1" t="s">
        <v>549</v>
      </c>
      <c r="D1768" s="1">
        <v>4394</v>
      </c>
      <c r="E1768" s="1">
        <v>4398</v>
      </c>
      <c r="F1768" s="1">
        <v>4394</v>
      </c>
      <c r="G1768" s="1">
        <v>4394</v>
      </c>
      <c r="H1768" s="1">
        <v>29600</v>
      </c>
    </row>
    <row r="1769" spans="1:8">
      <c r="A1769" s="1"/>
      <c r="B1769" s="1" t="s">
        <v>586</v>
      </c>
      <c r="C1769" s="1" t="s">
        <v>550</v>
      </c>
      <c r="D1769" s="1">
        <v>4394</v>
      </c>
      <c r="E1769" s="1">
        <v>4395</v>
      </c>
      <c r="F1769" s="1">
        <v>4393</v>
      </c>
      <c r="G1769" s="1">
        <v>4395</v>
      </c>
      <c r="H1769" s="1">
        <v>7800</v>
      </c>
    </row>
    <row r="1770" spans="1:8">
      <c r="A1770" s="1"/>
      <c r="B1770" s="1" t="s">
        <v>586</v>
      </c>
      <c r="C1770" s="1" t="s">
        <v>551</v>
      </c>
      <c r="D1770" s="1">
        <v>4394</v>
      </c>
      <c r="E1770" s="1">
        <v>4394</v>
      </c>
      <c r="F1770" s="1">
        <v>4391</v>
      </c>
      <c r="G1770" s="1">
        <v>4391</v>
      </c>
      <c r="H1770" s="1">
        <v>23700</v>
      </c>
    </row>
    <row r="1771" spans="1:8">
      <c r="A1771" s="1"/>
      <c r="B1771" s="1" t="s">
        <v>586</v>
      </c>
      <c r="C1771" s="1" t="s">
        <v>552</v>
      </c>
      <c r="D1771" s="1">
        <v>4392</v>
      </c>
      <c r="E1771" s="1">
        <v>4392</v>
      </c>
      <c r="F1771" s="1">
        <v>4387</v>
      </c>
      <c r="G1771" s="1">
        <v>4391</v>
      </c>
      <c r="H1771" s="1">
        <v>55200</v>
      </c>
    </row>
    <row r="1772" spans="1:8">
      <c r="A1772" s="1"/>
      <c r="B1772" s="1" t="s">
        <v>586</v>
      </c>
      <c r="C1772" s="1" t="s">
        <v>553</v>
      </c>
      <c r="D1772" s="1">
        <v>4390</v>
      </c>
      <c r="E1772" s="1">
        <v>4392</v>
      </c>
      <c r="F1772" s="1">
        <v>4390</v>
      </c>
      <c r="G1772" s="1">
        <v>4391</v>
      </c>
      <c r="H1772" s="1">
        <v>12300</v>
      </c>
    </row>
    <row r="1773" spans="1:8">
      <c r="A1773" s="1"/>
      <c r="B1773" s="1" t="s">
        <v>586</v>
      </c>
      <c r="C1773" s="1" t="s">
        <v>554</v>
      </c>
      <c r="D1773" s="1">
        <v>4391</v>
      </c>
      <c r="E1773" s="1">
        <v>4392</v>
      </c>
      <c r="F1773" s="1">
        <v>4390</v>
      </c>
      <c r="G1773" s="1">
        <v>4390</v>
      </c>
      <c r="H1773" s="1">
        <v>8000</v>
      </c>
    </row>
    <row r="1774" spans="1:8">
      <c r="A1774" s="1"/>
      <c r="B1774" s="1" t="s">
        <v>586</v>
      </c>
      <c r="C1774" s="1" t="s">
        <v>555</v>
      </c>
      <c r="D1774" s="1">
        <v>4391</v>
      </c>
      <c r="E1774" s="1">
        <v>4394</v>
      </c>
      <c r="F1774" s="1">
        <v>4390</v>
      </c>
      <c r="G1774" s="1">
        <v>4392</v>
      </c>
      <c r="H1774" s="1">
        <v>17200</v>
      </c>
    </row>
    <row r="1775" spans="1:8">
      <c r="A1775" s="1"/>
      <c r="B1775" s="1" t="s">
        <v>586</v>
      </c>
      <c r="C1775" s="1" t="s">
        <v>556</v>
      </c>
      <c r="D1775" s="1">
        <v>4391</v>
      </c>
      <c r="E1775" s="1">
        <v>4392</v>
      </c>
      <c r="F1775" s="1">
        <v>4389</v>
      </c>
      <c r="G1775" s="1">
        <v>4391</v>
      </c>
      <c r="H1775" s="1">
        <v>18900</v>
      </c>
    </row>
    <row r="1776" spans="1:8">
      <c r="A1776" s="1"/>
      <c r="B1776" s="1" t="s">
        <v>586</v>
      </c>
      <c r="C1776" s="1" t="s">
        <v>557</v>
      </c>
      <c r="D1776" s="1">
        <v>4392</v>
      </c>
      <c r="E1776" s="1">
        <v>4394</v>
      </c>
      <c r="F1776" s="1">
        <v>4392</v>
      </c>
      <c r="G1776" s="1">
        <v>4393</v>
      </c>
      <c r="H1776" s="1">
        <v>8900</v>
      </c>
    </row>
    <row r="1777" spans="1:8">
      <c r="A1777" s="1"/>
      <c r="B1777" s="1" t="s">
        <v>586</v>
      </c>
      <c r="C1777" s="1" t="s">
        <v>558</v>
      </c>
      <c r="D1777" s="1">
        <v>4393</v>
      </c>
      <c r="E1777" s="1">
        <v>4395</v>
      </c>
      <c r="F1777" s="1">
        <v>4393</v>
      </c>
      <c r="G1777" s="1">
        <v>4395</v>
      </c>
      <c r="H1777" s="1">
        <v>9500</v>
      </c>
    </row>
    <row r="1778" spans="1:8">
      <c r="A1778" s="1"/>
      <c r="B1778" s="1" t="s">
        <v>586</v>
      </c>
      <c r="C1778" s="1" t="s">
        <v>559</v>
      </c>
      <c r="D1778" s="1">
        <v>4395</v>
      </c>
      <c r="E1778" s="1">
        <v>4396</v>
      </c>
      <c r="F1778" s="1">
        <v>4393</v>
      </c>
      <c r="G1778" s="1">
        <v>4395</v>
      </c>
      <c r="H1778" s="1">
        <v>8900</v>
      </c>
    </row>
    <row r="1779" spans="1:8">
      <c r="A1779" s="1"/>
      <c r="B1779" s="1" t="s">
        <v>586</v>
      </c>
      <c r="C1779" s="1" t="s">
        <v>560</v>
      </c>
      <c r="D1779" s="1">
        <v>4393</v>
      </c>
      <c r="E1779" s="1">
        <v>4395</v>
      </c>
      <c r="F1779" s="1">
        <v>4393</v>
      </c>
      <c r="G1779" s="1">
        <v>4393</v>
      </c>
      <c r="H1779" s="1">
        <v>9500</v>
      </c>
    </row>
    <row r="1780" spans="1:8">
      <c r="A1780" s="1"/>
      <c r="B1780" s="1" t="s">
        <v>586</v>
      </c>
      <c r="C1780" s="1" t="s">
        <v>561</v>
      </c>
      <c r="D1780" s="1">
        <v>4393</v>
      </c>
      <c r="E1780" s="1">
        <v>4395</v>
      </c>
      <c r="F1780" s="1">
        <v>4393</v>
      </c>
      <c r="G1780" s="1">
        <v>4395</v>
      </c>
      <c r="H1780" s="1">
        <v>9600</v>
      </c>
    </row>
    <row r="1781" spans="1:8">
      <c r="A1781" s="1"/>
      <c r="B1781" s="1" t="s">
        <v>586</v>
      </c>
      <c r="C1781" s="1" t="s">
        <v>562</v>
      </c>
      <c r="D1781" s="1">
        <v>4394</v>
      </c>
      <c r="E1781" s="1">
        <v>4395</v>
      </c>
      <c r="F1781" s="1">
        <v>4392</v>
      </c>
      <c r="G1781" s="1">
        <v>4394</v>
      </c>
      <c r="H1781" s="1">
        <v>9600</v>
      </c>
    </row>
    <row r="1782" spans="1:8">
      <c r="A1782" s="1"/>
      <c r="B1782" s="1" t="s">
        <v>586</v>
      </c>
      <c r="C1782" s="1" t="s">
        <v>563</v>
      </c>
      <c r="D1782" s="1">
        <v>4394</v>
      </c>
      <c r="E1782" s="1">
        <v>4395</v>
      </c>
      <c r="F1782" s="1">
        <v>4393</v>
      </c>
      <c r="G1782" s="1">
        <v>4395</v>
      </c>
      <c r="H1782" s="1">
        <v>4200</v>
      </c>
    </row>
    <row r="1783" spans="1:8">
      <c r="A1783" s="1"/>
      <c r="B1783" s="1" t="s">
        <v>586</v>
      </c>
      <c r="C1783" s="1" t="s">
        <v>564</v>
      </c>
      <c r="D1783" s="1">
        <v>4395</v>
      </c>
      <c r="E1783" s="1">
        <v>4395</v>
      </c>
      <c r="F1783" s="1">
        <v>4390</v>
      </c>
      <c r="G1783" s="1">
        <v>4391</v>
      </c>
      <c r="H1783" s="1">
        <v>51400</v>
      </c>
    </row>
    <row r="1784" spans="1:8">
      <c r="A1784" s="1"/>
      <c r="B1784" s="1" t="s">
        <v>586</v>
      </c>
      <c r="C1784" s="1" t="s">
        <v>565</v>
      </c>
      <c r="D1784" s="1">
        <v>4391</v>
      </c>
      <c r="E1784" s="1">
        <v>4392</v>
      </c>
      <c r="F1784" s="1">
        <v>4385</v>
      </c>
      <c r="G1784" s="1">
        <v>4386</v>
      </c>
      <c r="H1784" s="1">
        <v>68400</v>
      </c>
    </row>
    <row r="1785" spans="1:8">
      <c r="A1785" s="1"/>
      <c r="B1785" s="1" t="s">
        <v>586</v>
      </c>
      <c r="C1785" s="1" t="s">
        <v>566</v>
      </c>
      <c r="D1785" s="1">
        <v>4385</v>
      </c>
      <c r="E1785" s="1">
        <v>4387</v>
      </c>
      <c r="F1785" s="1">
        <v>4384</v>
      </c>
      <c r="G1785" s="1">
        <v>4386</v>
      </c>
      <c r="H1785" s="1">
        <v>35200</v>
      </c>
    </row>
    <row r="1786" spans="1:8">
      <c r="A1786" s="1"/>
      <c r="B1786" s="1" t="s">
        <v>586</v>
      </c>
      <c r="C1786" s="1" t="s">
        <v>567</v>
      </c>
      <c r="D1786" s="1">
        <v>4386</v>
      </c>
      <c r="E1786" s="1">
        <v>4388</v>
      </c>
      <c r="F1786" s="1">
        <v>4385</v>
      </c>
      <c r="G1786" s="1">
        <v>4387</v>
      </c>
      <c r="H1786" s="1">
        <v>23000</v>
      </c>
    </row>
    <row r="1787" spans="1:8">
      <c r="A1787" s="1"/>
      <c r="B1787" s="1" t="s">
        <v>586</v>
      </c>
      <c r="C1787" s="1" t="s">
        <v>568</v>
      </c>
      <c r="D1787" s="1">
        <v>4387</v>
      </c>
      <c r="E1787" s="1">
        <v>4390</v>
      </c>
      <c r="F1787" s="1">
        <v>4387</v>
      </c>
      <c r="G1787" s="1">
        <v>4390</v>
      </c>
      <c r="H1787" s="1">
        <v>12700</v>
      </c>
    </row>
    <row r="1788" spans="1:8">
      <c r="A1788" s="1"/>
      <c r="B1788" s="1" t="s">
        <v>586</v>
      </c>
      <c r="C1788" s="1" t="s">
        <v>569</v>
      </c>
      <c r="D1788" s="1">
        <v>4388</v>
      </c>
      <c r="E1788" s="1">
        <v>4391</v>
      </c>
      <c r="F1788" s="1">
        <v>4388</v>
      </c>
      <c r="G1788" s="1">
        <v>4391</v>
      </c>
      <c r="H1788" s="1">
        <v>8900</v>
      </c>
    </row>
    <row r="1789" spans="1:8">
      <c r="A1789" s="1"/>
      <c r="B1789" s="1" t="s">
        <v>586</v>
      </c>
      <c r="C1789" s="1" t="s">
        <v>570</v>
      </c>
      <c r="D1789" s="1">
        <v>4390</v>
      </c>
      <c r="E1789" s="1">
        <v>4391</v>
      </c>
      <c r="F1789" s="1">
        <v>4386</v>
      </c>
      <c r="G1789" s="1">
        <v>4386</v>
      </c>
      <c r="H1789" s="1">
        <v>42600</v>
      </c>
    </row>
    <row r="1790" spans="1:8">
      <c r="A1790" s="1"/>
      <c r="B1790" s="1" t="s">
        <v>586</v>
      </c>
      <c r="C1790" s="1" t="s">
        <v>571</v>
      </c>
      <c r="D1790" s="1">
        <v>4387</v>
      </c>
      <c r="E1790" s="1">
        <v>4387</v>
      </c>
      <c r="F1790" s="1">
        <v>4382</v>
      </c>
      <c r="G1790" s="1">
        <v>4383</v>
      </c>
      <c r="H1790" s="1">
        <v>91400</v>
      </c>
    </row>
    <row r="1791" spans="1:8">
      <c r="A1791" s="1"/>
      <c r="B1791" s="1" t="s">
        <v>586</v>
      </c>
      <c r="C1791" s="1" t="s">
        <v>572</v>
      </c>
      <c r="D1791" s="1">
        <v>4382</v>
      </c>
      <c r="E1791" s="1">
        <v>4384</v>
      </c>
      <c r="F1791" s="1">
        <v>4381</v>
      </c>
      <c r="G1791" s="1">
        <v>4384</v>
      </c>
      <c r="H1791" s="1">
        <v>45800</v>
      </c>
    </row>
    <row r="1792" spans="1:8">
      <c r="A1792" s="1"/>
      <c r="B1792" s="1" t="s">
        <v>586</v>
      </c>
      <c r="C1792" s="1" t="s">
        <v>573</v>
      </c>
      <c r="D1792" s="1">
        <v>4384</v>
      </c>
      <c r="E1792" s="1">
        <v>4384</v>
      </c>
      <c r="F1792" s="1">
        <v>4382</v>
      </c>
      <c r="G1792" s="1">
        <v>4384</v>
      </c>
      <c r="H1792" s="1">
        <v>23500</v>
      </c>
    </row>
    <row r="1793" spans="1:8">
      <c r="A1793" s="1"/>
      <c r="B1793" s="1" t="s">
        <v>586</v>
      </c>
      <c r="C1793" s="1" t="s">
        <v>574</v>
      </c>
      <c r="D1793" s="1">
        <v>4384</v>
      </c>
      <c r="E1793" s="1">
        <v>4386</v>
      </c>
      <c r="F1793" s="1">
        <v>4383</v>
      </c>
      <c r="G1793" s="1">
        <v>4386</v>
      </c>
      <c r="H1793" s="1">
        <v>35200</v>
      </c>
    </row>
    <row r="1794" spans="1:8">
      <c r="A1794" s="1"/>
      <c r="B1794" s="1" t="s">
        <v>586</v>
      </c>
      <c r="C1794" s="1" t="s">
        <v>575</v>
      </c>
      <c r="D1794" s="1">
        <v>4386</v>
      </c>
      <c r="E1794" s="1">
        <v>4388</v>
      </c>
      <c r="F1794" s="1">
        <v>4385</v>
      </c>
      <c r="G1794" s="1">
        <v>4387</v>
      </c>
      <c r="H1794" s="1">
        <v>18900</v>
      </c>
    </row>
    <row r="1795" spans="1:8">
      <c r="A1795" s="1"/>
      <c r="B1795" s="1" t="s">
        <v>586</v>
      </c>
      <c r="C1795" s="1" t="s">
        <v>576</v>
      </c>
      <c r="D1795" s="1">
        <v>4388</v>
      </c>
      <c r="E1795" s="1">
        <v>4389</v>
      </c>
      <c r="F1795" s="1">
        <v>4387</v>
      </c>
      <c r="G1795" s="1">
        <v>4388</v>
      </c>
      <c r="H1795" s="1">
        <v>9100</v>
      </c>
    </row>
    <row r="1796" spans="1:8">
      <c r="A1796" s="1"/>
      <c r="B1796" s="1" t="s">
        <v>586</v>
      </c>
      <c r="C1796" s="1" t="s">
        <v>577</v>
      </c>
      <c r="D1796" s="1">
        <v>4389</v>
      </c>
      <c r="E1796" s="1">
        <v>4390</v>
      </c>
      <c r="F1796" s="1">
        <v>4387</v>
      </c>
      <c r="G1796" s="1">
        <v>4387</v>
      </c>
      <c r="H1796" s="1">
        <v>19900</v>
      </c>
    </row>
    <row r="1797" spans="1:8">
      <c r="A1797" s="1"/>
      <c r="B1797" s="1" t="s">
        <v>586</v>
      </c>
      <c r="C1797" s="1" t="s">
        <v>578</v>
      </c>
      <c r="D1797" s="1">
        <v>4387</v>
      </c>
      <c r="E1797" s="1">
        <v>4388</v>
      </c>
      <c r="F1797" s="1">
        <v>4385</v>
      </c>
      <c r="G1797" s="1">
        <v>4387</v>
      </c>
      <c r="H1797" s="1">
        <v>40700</v>
      </c>
    </row>
    <row r="1798" spans="1:8">
      <c r="A1798" s="1"/>
      <c r="B1798" s="1" t="s">
        <v>586</v>
      </c>
      <c r="C1798" s="1" t="s">
        <v>579</v>
      </c>
      <c r="D1798" s="1">
        <v>4386</v>
      </c>
      <c r="E1798" s="1">
        <v>4387</v>
      </c>
      <c r="F1798" s="1">
        <v>4384</v>
      </c>
      <c r="G1798" s="1">
        <v>4386</v>
      </c>
      <c r="H1798" s="1">
        <v>28600</v>
      </c>
    </row>
    <row r="1799" spans="1:8">
      <c r="A1799" s="1"/>
      <c r="B1799" s="1" t="s">
        <v>586</v>
      </c>
      <c r="C1799" s="1" t="s">
        <v>580</v>
      </c>
      <c r="D1799" s="1">
        <v>4387</v>
      </c>
      <c r="E1799" s="1">
        <v>4388</v>
      </c>
      <c r="F1799" s="1">
        <v>4385</v>
      </c>
      <c r="G1799" s="1">
        <v>4387</v>
      </c>
      <c r="H1799" s="1">
        <v>25100</v>
      </c>
    </row>
    <row r="1800" spans="1:8">
      <c r="A1800" s="1"/>
      <c r="B1800" s="1" t="s">
        <v>586</v>
      </c>
      <c r="C1800" s="1" t="s">
        <v>581</v>
      </c>
      <c r="D1800" s="1">
        <v>4388</v>
      </c>
      <c r="E1800" s="1">
        <v>4389</v>
      </c>
      <c r="F1800" s="1">
        <v>4386</v>
      </c>
      <c r="G1800" s="1">
        <v>4387</v>
      </c>
      <c r="H1800" s="1">
        <v>27800</v>
      </c>
    </row>
    <row r="1801" spans="1:8">
      <c r="A1801" s="1"/>
      <c r="B1801" s="1" t="s">
        <v>586</v>
      </c>
      <c r="C1801" s="1" t="s">
        <v>582</v>
      </c>
      <c r="D1801" s="1">
        <v>4386</v>
      </c>
      <c r="E1801" s="1">
        <v>4387</v>
      </c>
      <c r="F1801" s="1">
        <v>4384</v>
      </c>
      <c r="G1801" s="1">
        <v>4385</v>
      </c>
      <c r="H1801" s="1">
        <v>33000</v>
      </c>
    </row>
    <row r="1802" spans="1:8">
      <c r="A1802" s="1"/>
      <c r="B1802" s="1" t="s">
        <v>586</v>
      </c>
      <c r="C1802" s="1" t="s">
        <v>583</v>
      </c>
      <c r="D1802" s="1">
        <v>4385</v>
      </c>
      <c r="E1802" s="1">
        <v>4385</v>
      </c>
      <c r="F1802" s="1">
        <v>4382</v>
      </c>
      <c r="G1802" s="1">
        <v>4383</v>
      </c>
      <c r="H1802" s="1">
        <v>50200</v>
      </c>
    </row>
    <row r="1803" spans="1:8">
      <c r="A1803" s="1"/>
      <c r="B1803" s="1" t="s">
        <v>586</v>
      </c>
      <c r="C1803" s="1" t="s">
        <v>584</v>
      </c>
      <c r="D1803" s="1">
        <v>4382</v>
      </c>
      <c r="E1803" s="1">
        <v>4383</v>
      </c>
      <c r="F1803" s="1">
        <v>4382</v>
      </c>
      <c r="G1803" s="1">
        <v>4383</v>
      </c>
      <c r="H1803" s="1">
        <v>18100</v>
      </c>
    </row>
    <row r="1804" spans="1:8">
      <c r="A1804" s="1"/>
      <c r="B1804" s="1" t="s">
        <v>586</v>
      </c>
      <c r="C1804" s="1" t="s">
        <v>585</v>
      </c>
      <c r="D1804" s="1">
        <v>4382</v>
      </c>
      <c r="E1804" s="1">
        <v>4384</v>
      </c>
      <c r="F1804" s="1">
        <v>4382</v>
      </c>
      <c r="G1804" s="1">
        <v>4383</v>
      </c>
      <c r="H1804" s="1">
        <v>13800</v>
      </c>
    </row>
    <row r="1805" spans="1:8">
      <c r="A1805" s="1"/>
      <c r="B1805" s="1" t="s">
        <v>587</v>
      </c>
      <c r="C1805" s="1" t="s">
        <v>316</v>
      </c>
      <c r="D1805" s="1">
        <v>4383</v>
      </c>
      <c r="E1805" s="1">
        <v>4383</v>
      </c>
      <c r="F1805" s="1">
        <v>4383</v>
      </c>
      <c r="G1805" s="1">
        <v>4383</v>
      </c>
      <c r="H1805" s="1">
        <v>13800</v>
      </c>
    </row>
    <row r="1806" spans="1:8">
      <c r="A1806" s="1" t="s">
        <v>79</v>
      </c>
      <c r="B1806" s="1" t="s">
        <v>79</v>
      </c>
      <c r="C1806" s="1" t="s">
        <v>79</v>
      </c>
      <c r="D1806" s="1" t="s">
        <v>79</v>
      </c>
      <c r="E1806" s="1" t="s">
        <v>79</v>
      </c>
      <c r="F1806" s="1" t="s">
        <v>79</v>
      </c>
      <c r="G1806" s="1" t="s">
        <v>79</v>
      </c>
      <c r="H1806" s="1" t="s">
        <v>79</v>
      </c>
    </row>
    <row r="2327" spans="1:8">
      <c r="A2327" s="1"/>
      <c r="B2327" s="1"/>
      <c r="C2327" s="1"/>
      <c r="D2327" s="1"/>
      <c r="E2327" s="1"/>
      <c r="F2327" s="1"/>
      <c r="G2327" s="1"/>
      <c r="H2327" s="1"/>
    </row>
    <row r="2328" spans="1:8">
      <c r="A2328" s="1"/>
      <c r="B2328" s="1" t="s">
        <v>143</v>
      </c>
      <c r="C2328" s="1" t="s">
        <v>145</v>
      </c>
      <c r="D2328" s="1">
        <v>4519</v>
      </c>
      <c r="E2328" s="1">
        <v>4519</v>
      </c>
      <c r="F2328" s="1">
        <v>4518</v>
      </c>
      <c r="G2328" s="1">
        <v>4518</v>
      </c>
      <c r="H2328" s="1">
        <v>10300</v>
      </c>
    </row>
    <row r="2329" spans="1:8">
      <c r="A2329" s="1"/>
      <c r="B2329" s="1" t="s">
        <v>143</v>
      </c>
      <c r="C2329" s="1" t="s">
        <v>146</v>
      </c>
      <c r="D2329" s="1">
        <v>4518</v>
      </c>
      <c r="E2329" s="1">
        <v>4520</v>
      </c>
      <c r="F2329" s="1">
        <v>4518</v>
      </c>
      <c r="G2329" s="1">
        <v>4518</v>
      </c>
      <c r="H2329" s="1">
        <v>6800</v>
      </c>
    </row>
    <row r="2330" spans="1:8">
      <c r="A2330" s="1"/>
      <c r="B2330" s="1" t="s">
        <v>143</v>
      </c>
      <c r="C2330" s="1" t="s">
        <v>147</v>
      </c>
      <c r="D2330" s="1">
        <v>4518</v>
      </c>
      <c r="E2330" s="1">
        <v>4522</v>
      </c>
      <c r="F2330" s="1">
        <v>4518</v>
      </c>
      <c r="G2330" s="1">
        <v>4522</v>
      </c>
      <c r="H2330" s="1">
        <v>8200</v>
      </c>
    </row>
    <row r="2331" spans="1:8">
      <c r="A2331" s="1"/>
      <c r="B2331" s="1" t="s">
        <v>143</v>
      </c>
      <c r="C2331" s="1" t="s">
        <v>148</v>
      </c>
      <c r="D2331" s="1">
        <v>4522</v>
      </c>
      <c r="E2331" s="1">
        <v>4522</v>
      </c>
      <c r="F2331" s="1">
        <v>4520</v>
      </c>
      <c r="G2331" s="1">
        <v>4520</v>
      </c>
      <c r="H2331" s="1">
        <v>27900</v>
      </c>
    </row>
    <row r="2332" spans="1:8">
      <c r="A2332" s="1"/>
      <c r="B2332" s="1" t="s">
        <v>143</v>
      </c>
      <c r="C2332" s="1" t="s">
        <v>149</v>
      </c>
      <c r="D2332" s="1">
        <v>4521</v>
      </c>
      <c r="E2332" s="1">
        <v>4522</v>
      </c>
      <c r="F2332" s="1">
        <v>4519</v>
      </c>
      <c r="G2332" s="1">
        <v>4521</v>
      </c>
      <c r="H2332" s="1">
        <v>11400</v>
      </c>
    </row>
    <row r="2333" spans="1:8">
      <c r="A2333" s="1"/>
      <c r="B2333" s="1" t="s">
        <v>143</v>
      </c>
      <c r="C2333" s="1" t="s">
        <v>150</v>
      </c>
      <c r="D2333" s="1">
        <v>4521</v>
      </c>
      <c r="E2333" s="1">
        <v>4522</v>
      </c>
      <c r="F2333" s="1">
        <v>4519</v>
      </c>
      <c r="G2333" s="1">
        <v>4520</v>
      </c>
      <c r="H2333" s="1">
        <v>4400</v>
      </c>
    </row>
    <row r="2334" spans="1:8">
      <c r="A2334" s="1"/>
      <c r="B2334" s="1" t="s">
        <v>143</v>
      </c>
      <c r="C2334" s="1" t="s">
        <v>151</v>
      </c>
      <c r="D2334" s="1">
        <v>4520</v>
      </c>
      <c r="E2334" s="1">
        <v>4520</v>
      </c>
      <c r="F2334" s="1">
        <v>4519</v>
      </c>
      <c r="G2334" s="1">
        <v>4519</v>
      </c>
      <c r="H2334" s="1">
        <v>9100</v>
      </c>
    </row>
    <row r="2335" spans="1:8">
      <c r="A2335" s="1"/>
      <c r="B2335" s="1" t="s">
        <v>143</v>
      </c>
      <c r="C2335" s="1" t="s">
        <v>152</v>
      </c>
      <c r="D2335" s="1">
        <v>4519</v>
      </c>
      <c r="E2335" s="1">
        <v>4520</v>
      </c>
      <c r="F2335" s="1">
        <v>4517</v>
      </c>
      <c r="G2335" s="1">
        <v>4518</v>
      </c>
      <c r="H2335" s="1">
        <v>29900</v>
      </c>
    </row>
    <row r="2336" spans="1:8">
      <c r="A2336" s="1"/>
      <c r="B2336" s="1" t="s">
        <v>143</v>
      </c>
      <c r="C2336" s="1" t="s">
        <v>153</v>
      </c>
      <c r="D2336" s="1">
        <v>4518</v>
      </c>
      <c r="E2336" s="1">
        <v>4519</v>
      </c>
      <c r="F2336" s="1">
        <v>4517</v>
      </c>
      <c r="G2336" s="1">
        <v>4517</v>
      </c>
      <c r="H2336" s="1">
        <v>11600</v>
      </c>
    </row>
    <row r="2337" spans="1:8">
      <c r="A2337" s="1"/>
      <c r="B2337" s="1" t="s">
        <v>143</v>
      </c>
      <c r="C2337" s="1" t="s">
        <v>154</v>
      </c>
      <c r="D2337" s="1">
        <v>4517</v>
      </c>
      <c r="E2337" s="1">
        <v>4518</v>
      </c>
      <c r="F2337" s="1">
        <v>4516</v>
      </c>
      <c r="G2337" s="1">
        <v>4518</v>
      </c>
      <c r="H2337" s="1">
        <v>14200</v>
      </c>
    </row>
    <row r="2338" spans="1:8">
      <c r="A2338" s="1"/>
      <c r="B2338" s="1" t="s">
        <v>143</v>
      </c>
      <c r="C2338" s="1" t="s">
        <v>155</v>
      </c>
      <c r="D2338" s="1">
        <v>4517</v>
      </c>
      <c r="E2338" s="1">
        <v>4518</v>
      </c>
      <c r="F2338" s="1">
        <v>4517</v>
      </c>
      <c r="G2338" s="1">
        <v>4517</v>
      </c>
      <c r="H2338" s="1">
        <v>7000</v>
      </c>
    </row>
    <row r="2339" spans="1:8">
      <c r="A2339" s="1"/>
      <c r="B2339" s="1" t="s">
        <v>143</v>
      </c>
      <c r="C2339" s="1" t="s">
        <v>156</v>
      </c>
      <c r="D2339" s="1">
        <v>4518</v>
      </c>
      <c r="E2339" s="1">
        <v>4518</v>
      </c>
      <c r="F2339" s="1">
        <v>4516</v>
      </c>
      <c r="G2339" s="1">
        <v>4518</v>
      </c>
      <c r="H2339" s="1">
        <v>27100</v>
      </c>
    </row>
    <row r="2340" spans="1:8">
      <c r="A2340" s="1"/>
      <c r="B2340" s="1" t="s">
        <v>143</v>
      </c>
      <c r="C2340" s="1" t="s">
        <v>157</v>
      </c>
      <c r="D2340" s="1">
        <v>4518</v>
      </c>
      <c r="E2340" s="1">
        <v>4518</v>
      </c>
      <c r="F2340" s="1">
        <v>4516</v>
      </c>
      <c r="G2340" s="1">
        <v>4516</v>
      </c>
      <c r="H2340" s="1">
        <v>9600</v>
      </c>
    </row>
    <row r="2341" spans="1:8">
      <c r="A2341" s="1"/>
      <c r="B2341" s="1" t="s">
        <v>143</v>
      </c>
      <c r="C2341" s="1" t="s">
        <v>158</v>
      </c>
      <c r="D2341" s="1">
        <v>4517</v>
      </c>
      <c r="E2341" s="1">
        <v>4517</v>
      </c>
      <c r="F2341" s="1">
        <v>4516</v>
      </c>
      <c r="G2341" s="1">
        <v>4516</v>
      </c>
      <c r="H2341" s="1">
        <v>7200</v>
      </c>
    </row>
    <row r="2342" spans="1:8">
      <c r="A2342" s="1"/>
      <c r="B2342" s="1" t="s">
        <v>143</v>
      </c>
      <c r="C2342" s="1" t="s">
        <v>159</v>
      </c>
      <c r="D2342" s="1">
        <v>4515</v>
      </c>
      <c r="E2342" s="1">
        <v>4516</v>
      </c>
      <c r="F2342" s="1">
        <v>4512</v>
      </c>
      <c r="G2342" s="1">
        <v>4513</v>
      </c>
      <c r="H2342" s="1">
        <v>26700</v>
      </c>
    </row>
    <row r="2343" spans="1:8">
      <c r="A2343" s="1"/>
      <c r="B2343" s="1" t="s">
        <v>143</v>
      </c>
      <c r="C2343" s="1" t="s">
        <v>160</v>
      </c>
      <c r="D2343" s="1">
        <v>4513</v>
      </c>
      <c r="E2343" s="1">
        <v>4514</v>
      </c>
      <c r="F2343" s="1">
        <v>4510</v>
      </c>
      <c r="G2343" s="1">
        <v>4510</v>
      </c>
      <c r="H2343" s="1">
        <v>11000</v>
      </c>
    </row>
    <row r="2344" spans="1:8">
      <c r="A2344" s="1"/>
      <c r="B2344" s="1" t="s">
        <v>143</v>
      </c>
      <c r="C2344" s="1" t="s">
        <v>161</v>
      </c>
      <c r="D2344" s="1">
        <v>4510</v>
      </c>
      <c r="E2344" s="1">
        <v>4513</v>
      </c>
      <c r="F2344" s="1">
        <v>4510</v>
      </c>
      <c r="G2344" s="1">
        <v>4512</v>
      </c>
      <c r="H2344" s="1">
        <v>19400</v>
      </c>
    </row>
    <row r="2345" spans="1:8">
      <c r="A2345" s="1"/>
      <c r="B2345" s="1" t="s">
        <v>143</v>
      </c>
      <c r="C2345" s="1" t="s">
        <v>162</v>
      </c>
      <c r="D2345" s="1">
        <v>4510</v>
      </c>
      <c r="E2345" s="1">
        <v>4512</v>
      </c>
      <c r="F2345" s="1">
        <v>4508</v>
      </c>
      <c r="G2345" s="1">
        <v>4510</v>
      </c>
      <c r="H2345" s="1">
        <v>46100</v>
      </c>
    </row>
    <row r="2346" spans="1:8">
      <c r="A2346" s="1"/>
      <c r="B2346" s="1" t="s">
        <v>143</v>
      </c>
      <c r="C2346" s="1" t="s">
        <v>163</v>
      </c>
      <c r="D2346" s="1">
        <v>4510</v>
      </c>
      <c r="E2346" s="1">
        <v>4510</v>
      </c>
      <c r="F2346" s="1">
        <v>4508</v>
      </c>
      <c r="G2346" s="1">
        <v>4509</v>
      </c>
      <c r="H2346" s="1">
        <v>5200</v>
      </c>
    </row>
    <row r="2347" spans="1:8">
      <c r="A2347" s="1"/>
      <c r="B2347" s="1" t="s">
        <v>143</v>
      </c>
      <c r="C2347" s="1" t="s">
        <v>81</v>
      </c>
      <c r="D2347" s="1">
        <v>4510</v>
      </c>
      <c r="E2347" s="1">
        <v>4510</v>
      </c>
      <c r="F2347" s="1">
        <v>4508</v>
      </c>
      <c r="G2347" s="1">
        <v>4510</v>
      </c>
      <c r="H2347" s="1">
        <v>11000</v>
      </c>
    </row>
    <row r="2348" spans="1:8">
      <c r="A2348" s="1"/>
      <c r="B2348" s="1" t="s">
        <v>143</v>
      </c>
      <c r="C2348" s="1" t="s">
        <v>82</v>
      </c>
      <c r="D2348" s="1">
        <v>4510</v>
      </c>
      <c r="E2348" s="1">
        <v>4510</v>
      </c>
      <c r="F2348" s="1">
        <v>4508</v>
      </c>
      <c r="G2348" s="1">
        <v>4508</v>
      </c>
      <c r="H2348" s="1">
        <v>14000</v>
      </c>
    </row>
    <row r="2349" spans="1:8">
      <c r="A2349" s="1"/>
      <c r="B2349" s="1" t="s">
        <v>143</v>
      </c>
      <c r="C2349" s="1" t="s">
        <v>83</v>
      </c>
      <c r="D2349" s="1">
        <v>4508</v>
      </c>
      <c r="E2349" s="1">
        <v>4508</v>
      </c>
      <c r="F2349" s="1">
        <v>4508</v>
      </c>
      <c r="G2349" s="1">
        <v>4508</v>
      </c>
      <c r="H2349" s="1">
        <v>1500</v>
      </c>
    </row>
    <row r="2350" spans="1:8">
      <c r="A2350" s="1"/>
      <c r="B2350" s="1" t="s">
        <v>143</v>
      </c>
      <c r="C2350" s="1" t="s">
        <v>84</v>
      </c>
      <c r="D2350" s="1">
        <v>4508</v>
      </c>
      <c r="E2350" s="1">
        <v>4509</v>
      </c>
      <c r="F2350" s="1">
        <v>4507</v>
      </c>
      <c r="G2350" s="1">
        <v>4508</v>
      </c>
      <c r="H2350" s="1">
        <v>10000</v>
      </c>
    </row>
    <row r="2351" spans="1:8">
      <c r="A2351" s="1"/>
      <c r="B2351" s="1" t="s">
        <v>143</v>
      </c>
      <c r="C2351" s="1" t="s">
        <v>85</v>
      </c>
      <c r="D2351" s="1">
        <v>4508</v>
      </c>
      <c r="E2351" s="1">
        <v>4509</v>
      </c>
      <c r="F2351" s="1">
        <v>4507</v>
      </c>
      <c r="G2351" s="1">
        <v>4509</v>
      </c>
      <c r="H2351" s="1">
        <v>5200</v>
      </c>
    </row>
    <row r="2352" spans="1:8">
      <c r="A2352" s="1"/>
      <c r="B2352" s="1" t="s">
        <v>143</v>
      </c>
      <c r="C2352" s="1" t="s">
        <v>86</v>
      </c>
      <c r="D2352" s="1">
        <v>4509</v>
      </c>
      <c r="E2352" s="1">
        <v>4510</v>
      </c>
      <c r="F2352" s="1">
        <v>4508</v>
      </c>
      <c r="G2352" s="1">
        <v>4509</v>
      </c>
      <c r="H2352" s="1">
        <v>5700</v>
      </c>
    </row>
    <row r="2353" spans="1:8">
      <c r="A2353" s="1"/>
      <c r="B2353" s="1" t="s">
        <v>143</v>
      </c>
      <c r="C2353" s="1" t="s">
        <v>87</v>
      </c>
      <c r="D2353" s="1">
        <v>4509</v>
      </c>
      <c r="E2353" s="1">
        <v>4511</v>
      </c>
      <c r="F2353" s="1">
        <v>4509</v>
      </c>
      <c r="G2353" s="1">
        <v>4511</v>
      </c>
      <c r="H2353" s="1">
        <v>6700</v>
      </c>
    </row>
    <row r="2354" spans="1:8">
      <c r="A2354" s="1"/>
      <c r="B2354" s="1" t="s">
        <v>143</v>
      </c>
      <c r="C2354" s="1" t="s">
        <v>88</v>
      </c>
      <c r="D2354" s="1">
        <v>4510</v>
      </c>
      <c r="E2354" s="1">
        <v>4511</v>
      </c>
      <c r="F2354" s="1">
        <v>4509</v>
      </c>
      <c r="G2354" s="1">
        <v>4509</v>
      </c>
      <c r="H2354" s="1">
        <v>15900</v>
      </c>
    </row>
    <row r="2355" spans="1:8">
      <c r="A2355" s="1"/>
      <c r="B2355" s="1" t="s">
        <v>143</v>
      </c>
      <c r="C2355" s="1" t="s">
        <v>89</v>
      </c>
      <c r="D2355" s="1">
        <v>4510</v>
      </c>
      <c r="E2355" s="1">
        <v>4514</v>
      </c>
      <c r="F2355" s="1">
        <v>4509</v>
      </c>
      <c r="G2355" s="1">
        <v>4509</v>
      </c>
      <c r="H2355" s="1">
        <v>23900</v>
      </c>
    </row>
    <row r="2356" spans="1:8">
      <c r="A2356" s="1"/>
      <c r="B2356" s="1" t="s">
        <v>143</v>
      </c>
      <c r="C2356" s="1" t="s">
        <v>90</v>
      </c>
      <c r="D2356" s="1">
        <v>4509</v>
      </c>
      <c r="E2356" s="1">
        <v>4513</v>
      </c>
      <c r="F2356" s="1">
        <v>4509</v>
      </c>
      <c r="G2356" s="1">
        <v>4512</v>
      </c>
      <c r="H2356" s="1">
        <v>19100</v>
      </c>
    </row>
    <row r="2357" spans="1:8">
      <c r="A2357" s="1"/>
      <c r="B2357" s="1" t="s">
        <v>143</v>
      </c>
      <c r="C2357" s="1" t="s">
        <v>91</v>
      </c>
      <c r="D2357" s="1">
        <v>4512</v>
      </c>
      <c r="E2357" s="1">
        <v>4513</v>
      </c>
      <c r="F2357" s="1">
        <v>4510</v>
      </c>
      <c r="G2357" s="1">
        <v>4511</v>
      </c>
      <c r="H2357" s="1">
        <v>5600</v>
      </c>
    </row>
    <row r="2358" spans="1:8">
      <c r="A2358" s="1"/>
      <c r="B2358" s="1" t="s">
        <v>143</v>
      </c>
      <c r="C2358" s="1" t="s">
        <v>92</v>
      </c>
      <c r="D2358" s="1">
        <v>4510</v>
      </c>
      <c r="E2358" s="1">
        <v>4514</v>
      </c>
      <c r="F2358" s="1">
        <v>4509</v>
      </c>
      <c r="G2358" s="1">
        <v>4514</v>
      </c>
      <c r="H2358" s="1">
        <v>15100</v>
      </c>
    </row>
    <row r="2359" spans="1:8">
      <c r="A2359" s="1"/>
      <c r="B2359" s="1" t="s">
        <v>143</v>
      </c>
      <c r="C2359" s="1" t="s">
        <v>93</v>
      </c>
      <c r="D2359" s="1">
        <v>4514</v>
      </c>
      <c r="E2359" s="1">
        <v>4517</v>
      </c>
      <c r="F2359" s="1">
        <v>4513</v>
      </c>
      <c r="G2359" s="1">
        <v>4516</v>
      </c>
      <c r="H2359" s="1">
        <v>15400</v>
      </c>
    </row>
    <row r="2360" spans="1:8">
      <c r="A2360" s="1"/>
      <c r="B2360" s="1" t="s">
        <v>143</v>
      </c>
      <c r="C2360" s="1" t="s">
        <v>94</v>
      </c>
      <c r="D2360" s="1">
        <v>4515</v>
      </c>
      <c r="E2360" s="1">
        <v>4523</v>
      </c>
      <c r="F2360" s="1">
        <v>4515</v>
      </c>
      <c r="G2360" s="1">
        <v>4523</v>
      </c>
      <c r="H2360" s="1">
        <v>64000</v>
      </c>
    </row>
    <row r="2361" spans="1:8">
      <c r="A2361" s="1"/>
      <c r="B2361" s="1" t="s">
        <v>143</v>
      </c>
      <c r="C2361" s="1" t="s">
        <v>95</v>
      </c>
      <c r="D2361" s="1">
        <v>4523</v>
      </c>
      <c r="E2361" s="1">
        <v>4534</v>
      </c>
      <c r="F2361" s="1">
        <v>4522</v>
      </c>
      <c r="G2361" s="1">
        <v>4530</v>
      </c>
      <c r="H2361" s="1">
        <v>188700</v>
      </c>
    </row>
    <row r="2362" spans="1:8">
      <c r="A2362" s="1"/>
      <c r="B2362" s="1" t="s">
        <v>143</v>
      </c>
      <c r="C2362" s="1" t="s">
        <v>96</v>
      </c>
      <c r="D2362" s="1">
        <v>4530</v>
      </c>
      <c r="E2362" s="1">
        <v>4548</v>
      </c>
      <c r="F2362" s="1">
        <v>4530</v>
      </c>
      <c r="G2362" s="1">
        <v>4535</v>
      </c>
      <c r="H2362" s="1">
        <v>190600</v>
      </c>
    </row>
    <row r="2363" spans="1:8">
      <c r="A2363" s="1"/>
      <c r="B2363" s="1" t="s">
        <v>143</v>
      </c>
      <c r="C2363" s="1" t="s">
        <v>97</v>
      </c>
      <c r="D2363" s="1">
        <v>4535</v>
      </c>
      <c r="E2363" s="1">
        <v>4535</v>
      </c>
      <c r="F2363" s="1">
        <v>4526</v>
      </c>
      <c r="G2363" s="1">
        <v>4526</v>
      </c>
      <c r="H2363" s="1">
        <v>34900</v>
      </c>
    </row>
    <row r="2364" spans="1:8">
      <c r="A2364" s="1"/>
      <c r="B2364" s="1" t="s">
        <v>143</v>
      </c>
      <c r="C2364" s="1" t="s">
        <v>98</v>
      </c>
      <c r="D2364" s="1">
        <v>4525</v>
      </c>
      <c r="E2364" s="1">
        <v>4527</v>
      </c>
      <c r="F2364" s="1">
        <v>4523</v>
      </c>
      <c r="G2364" s="1">
        <v>4526</v>
      </c>
      <c r="H2364" s="1">
        <v>18000</v>
      </c>
    </row>
    <row r="2365" spans="1:8">
      <c r="A2365" s="1"/>
      <c r="B2365" s="1" t="s">
        <v>143</v>
      </c>
      <c r="C2365" s="1" t="s">
        <v>99</v>
      </c>
      <c r="D2365" s="1">
        <v>4526</v>
      </c>
      <c r="E2365" s="1">
        <v>4529</v>
      </c>
      <c r="F2365" s="1">
        <v>4526</v>
      </c>
      <c r="G2365" s="1">
        <v>4529</v>
      </c>
      <c r="H2365" s="1">
        <v>14200</v>
      </c>
    </row>
    <row r="2366" spans="1:8">
      <c r="A2366" s="1"/>
      <c r="B2366" s="1" t="s">
        <v>143</v>
      </c>
      <c r="C2366" s="1" t="s">
        <v>100</v>
      </c>
      <c r="D2366" s="1">
        <v>4529</v>
      </c>
      <c r="E2366" s="1">
        <v>4530</v>
      </c>
      <c r="F2366" s="1">
        <v>4528</v>
      </c>
      <c r="G2366" s="1">
        <v>4529</v>
      </c>
      <c r="H2366" s="1">
        <v>7800</v>
      </c>
    </row>
    <row r="2367" spans="1:8">
      <c r="A2367" s="1"/>
      <c r="B2367" s="1" t="s">
        <v>143</v>
      </c>
      <c r="C2367" s="1" t="s">
        <v>101</v>
      </c>
      <c r="D2367" s="1">
        <v>4528</v>
      </c>
      <c r="E2367" s="1">
        <v>4532</v>
      </c>
      <c r="F2367" s="1">
        <v>4528</v>
      </c>
      <c r="G2367" s="1">
        <v>4529</v>
      </c>
      <c r="H2367" s="1">
        <v>21900</v>
      </c>
    </row>
    <row r="2368" spans="1:8">
      <c r="A2368" s="1"/>
      <c r="B2368" s="1" t="s">
        <v>143</v>
      </c>
      <c r="C2368" s="1" t="s">
        <v>102</v>
      </c>
      <c r="D2368" s="1">
        <v>4528</v>
      </c>
      <c r="E2368" s="1">
        <v>4530</v>
      </c>
      <c r="F2368" s="1">
        <v>4528</v>
      </c>
      <c r="G2368" s="1">
        <v>4529</v>
      </c>
      <c r="H2368" s="1">
        <v>25300</v>
      </c>
    </row>
    <row r="2369" spans="1:8">
      <c r="A2369" s="1"/>
      <c r="B2369" s="1" t="s">
        <v>143</v>
      </c>
      <c r="C2369" s="1" t="s">
        <v>103</v>
      </c>
      <c r="D2369" s="1">
        <v>4529</v>
      </c>
      <c r="E2369" s="1">
        <v>4530</v>
      </c>
      <c r="F2369" s="1">
        <v>4528</v>
      </c>
      <c r="G2369" s="1">
        <v>4529</v>
      </c>
      <c r="H2369" s="1">
        <v>10500</v>
      </c>
    </row>
    <row r="2370" spans="1:8">
      <c r="A2370" s="1"/>
      <c r="B2370" s="1" t="s">
        <v>143</v>
      </c>
      <c r="C2370" s="1" t="s">
        <v>104</v>
      </c>
      <c r="D2370" s="1">
        <v>4529</v>
      </c>
      <c r="E2370" s="1">
        <v>4530</v>
      </c>
      <c r="F2370" s="1">
        <v>4525</v>
      </c>
      <c r="G2370" s="1">
        <v>4527</v>
      </c>
      <c r="H2370" s="1">
        <v>18100</v>
      </c>
    </row>
    <row r="2371" spans="1:8">
      <c r="A2371" s="1"/>
      <c r="B2371" s="1" t="s">
        <v>143</v>
      </c>
      <c r="C2371" s="1" t="s">
        <v>105</v>
      </c>
      <c r="D2371" s="1">
        <v>4526</v>
      </c>
      <c r="E2371" s="1">
        <v>4527</v>
      </c>
      <c r="F2371" s="1">
        <v>4525</v>
      </c>
      <c r="G2371" s="1">
        <v>4527</v>
      </c>
      <c r="H2371" s="1">
        <v>5700</v>
      </c>
    </row>
    <row r="2372" spans="1:8">
      <c r="A2372" s="1"/>
      <c r="B2372" s="1" t="s">
        <v>143</v>
      </c>
      <c r="C2372" s="1" t="s">
        <v>106</v>
      </c>
      <c r="D2372" s="1">
        <v>4526</v>
      </c>
      <c r="E2372" s="1">
        <v>4526</v>
      </c>
      <c r="F2372" s="1">
        <v>4525</v>
      </c>
      <c r="G2372" s="1">
        <v>4525</v>
      </c>
      <c r="H2372" s="1">
        <v>7000</v>
      </c>
    </row>
    <row r="2373" spans="1:8">
      <c r="A2373" s="1"/>
      <c r="B2373" s="1" t="s">
        <v>143</v>
      </c>
      <c r="C2373" s="1" t="s">
        <v>107</v>
      </c>
      <c r="D2373" s="1">
        <v>4526</v>
      </c>
      <c r="E2373" s="1">
        <v>4526</v>
      </c>
      <c r="F2373" s="1">
        <v>4521</v>
      </c>
      <c r="G2373" s="1">
        <v>4522</v>
      </c>
      <c r="H2373" s="1">
        <v>58000</v>
      </c>
    </row>
    <row r="2374" spans="1:8">
      <c r="A2374" s="1"/>
      <c r="B2374" s="1" t="s">
        <v>143</v>
      </c>
      <c r="C2374" s="1" t="s">
        <v>108</v>
      </c>
      <c r="D2374" s="1">
        <v>4522</v>
      </c>
      <c r="E2374" s="1">
        <v>4523</v>
      </c>
      <c r="F2374" s="1">
        <v>4522</v>
      </c>
      <c r="G2374" s="1">
        <v>4523</v>
      </c>
      <c r="H2374" s="1">
        <v>1200</v>
      </c>
    </row>
    <row r="2375" spans="1:8">
      <c r="A2375" s="1"/>
      <c r="B2375" s="1" t="s">
        <v>143</v>
      </c>
      <c r="C2375" s="1" t="s">
        <v>109</v>
      </c>
      <c r="D2375" s="1">
        <v>4523</v>
      </c>
      <c r="E2375" s="1">
        <v>4525</v>
      </c>
      <c r="F2375" s="1">
        <v>4522</v>
      </c>
      <c r="G2375" s="1">
        <v>4523</v>
      </c>
      <c r="H2375" s="1">
        <v>24200</v>
      </c>
    </row>
    <row r="2376" spans="1:8">
      <c r="A2376" s="1"/>
      <c r="B2376" s="1" t="s">
        <v>143</v>
      </c>
      <c r="C2376" s="1" t="s">
        <v>110</v>
      </c>
      <c r="D2376" s="1">
        <v>4524</v>
      </c>
      <c r="E2376" s="1">
        <v>4524</v>
      </c>
      <c r="F2376" s="1">
        <v>4520</v>
      </c>
      <c r="G2376" s="1">
        <v>4523</v>
      </c>
      <c r="H2376" s="1">
        <v>12900</v>
      </c>
    </row>
    <row r="2377" spans="1:8">
      <c r="A2377" s="1"/>
      <c r="B2377" s="1" t="s">
        <v>143</v>
      </c>
      <c r="C2377" s="1" t="s">
        <v>111</v>
      </c>
      <c r="D2377" s="1">
        <v>4522</v>
      </c>
      <c r="E2377" s="1">
        <v>4522</v>
      </c>
      <c r="F2377" s="1">
        <v>4518</v>
      </c>
      <c r="G2377" s="1">
        <v>4519</v>
      </c>
      <c r="H2377" s="1">
        <v>16600</v>
      </c>
    </row>
    <row r="2378" spans="1:8">
      <c r="A2378" s="1"/>
      <c r="B2378" s="1" t="s">
        <v>143</v>
      </c>
      <c r="C2378" s="1" t="s">
        <v>112</v>
      </c>
      <c r="D2378" s="1">
        <v>4519</v>
      </c>
      <c r="E2378" s="1">
        <v>4520</v>
      </c>
      <c r="F2378" s="1">
        <v>4519</v>
      </c>
      <c r="G2378" s="1">
        <v>4519</v>
      </c>
      <c r="H2378" s="1">
        <v>5900</v>
      </c>
    </row>
    <row r="2379" spans="1:8">
      <c r="A2379" s="1"/>
      <c r="B2379" s="1" t="s">
        <v>143</v>
      </c>
      <c r="C2379" s="1" t="s">
        <v>113</v>
      </c>
      <c r="D2379" s="1">
        <v>4519</v>
      </c>
      <c r="E2379" s="1">
        <v>4520</v>
      </c>
      <c r="F2379" s="1">
        <v>4518</v>
      </c>
      <c r="G2379" s="1">
        <v>4520</v>
      </c>
      <c r="H2379" s="1">
        <v>13100</v>
      </c>
    </row>
    <row r="2380" spans="1:8">
      <c r="A2380" s="1"/>
      <c r="B2380" s="1" t="s">
        <v>143</v>
      </c>
      <c r="C2380" s="1" t="s">
        <v>114</v>
      </c>
      <c r="D2380" s="1">
        <v>4520</v>
      </c>
      <c r="E2380" s="1">
        <v>4523</v>
      </c>
      <c r="F2380" s="1">
        <v>4519</v>
      </c>
      <c r="G2380" s="1">
        <v>4522</v>
      </c>
      <c r="H2380" s="1">
        <v>18500</v>
      </c>
    </row>
    <row r="2381" spans="1:8">
      <c r="A2381" s="1"/>
      <c r="B2381" s="1" t="s">
        <v>143</v>
      </c>
      <c r="C2381" s="1" t="s">
        <v>115</v>
      </c>
      <c r="D2381" s="1">
        <v>4521</v>
      </c>
      <c r="E2381" s="1">
        <v>4521</v>
      </c>
      <c r="F2381" s="1">
        <v>4518</v>
      </c>
      <c r="G2381" s="1">
        <v>4519</v>
      </c>
      <c r="H2381" s="1">
        <v>14700</v>
      </c>
    </row>
    <row r="2382" spans="1:8">
      <c r="A2382" s="1"/>
      <c r="B2382" s="1" t="s">
        <v>143</v>
      </c>
      <c r="C2382" s="1" t="s">
        <v>116</v>
      </c>
      <c r="D2382" s="1">
        <v>4520</v>
      </c>
      <c r="E2382" s="1">
        <v>4521</v>
      </c>
      <c r="F2382" s="1">
        <v>4518</v>
      </c>
      <c r="G2382" s="1">
        <v>4520</v>
      </c>
      <c r="H2382" s="1">
        <v>17600</v>
      </c>
    </row>
    <row r="2383" spans="1:8">
      <c r="A2383" s="1"/>
      <c r="B2383" s="1" t="s">
        <v>143</v>
      </c>
      <c r="C2383" s="1" t="s">
        <v>117</v>
      </c>
      <c r="D2383" s="1">
        <v>4521</v>
      </c>
      <c r="E2383" s="1">
        <v>4522</v>
      </c>
      <c r="F2383" s="1">
        <v>4519</v>
      </c>
      <c r="G2383" s="1">
        <v>4522</v>
      </c>
      <c r="H2383" s="1">
        <v>19700</v>
      </c>
    </row>
    <row r="2384" spans="1:8">
      <c r="A2384" s="1"/>
      <c r="B2384" s="1" t="s">
        <v>143</v>
      </c>
      <c r="C2384" s="1" t="s">
        <v>118</v>
      </c>
      <c r="D2384" s="1">
        <v>4521</v>
      </c>
      <c r="E2384" s="1">
        <v>4525</v>
      </c>
      <c r="F2384" s="1">
        <v>4519</v>
      </c>
      <c r="G2384" s="1">
        <v>4525</v>
      </c>
      <c r="H2384" s="1">
        <v>40600</v>
      </c>
    </row>
    <row r="2385" spans="1:8">
      <c r="A2385" s="1"/>
      <c r="B2385" s="1" t="s">
        <v>144</v>
      </c>
      <c r="C2385" s="1" t="s">
        <v>67</v>
      </c>
      <c r="D2385" s="1" t="s">
        <v>8</v>
      </c>
      <c r="E2385" s="1" t="s">
        <v>8</v>
      </c>
      <c r="F2385" s="1" t="s">
        <v>8</v>
      </c>
      <c r="G2385" s="1" t="s">
        <v>8</v>
      </c>
      <c r="H2385" s="1">
        <v>0</v>
      </c>
    </row>
    <row r="2386" spans="1:8">
      <c r="A2386" s="1"/>
      <c r="B2386" s="1" t="s">
        <v>144</v>
      </c>
      <c r="C2386" s="1" t="s">
        <v>68</v>
      </c>
      <c r="D2386" s="1" t="s">
        <v>8</v>
      </c>
      <c r="E2386" s="1" t="s">
        <v>8</v>
      </c>
      <c r="F2386" s="1" t="s">
        <v>8</v>
      </c>
      <c r="G2386" s="1" t="s">
        <v>8</v>
      </c>
      <c r="H2386" s="1">
        <v>0</v>
      </c>
    </row>
    <row r="2387" spans="1:8">
      <c r="A2387" s="1"/>
      <c r="B2387" s="1" t="s">
        <v>144</v>
      </c>
      <c r="C2387" s="1" t="s">
        <v>69</v>
      </c>
      <c r="D2387" s="1" t="s">
        <v>8</v>
      </c>
      <c r="E2387" s="1" t="s">
        <v>8</v>
      </c>
      <c r="F2387" s="1" t="s">
        <v>8</v>
      </c>
      <c r="G2387" s="1" t="s">
        <v>8</v>
      </c>
      <c r="H2387" s="1">
        <v>0</v>
      </c>
    </row>
    <row r="2388" spans="1:8">
      <c r="A2388" s="1"/>
      <c r="B2388" s="1" t="s">
        <v>144</v>
      </c>
      <c r="C2388" s="1" t="s">
        <v>70</v>
      </c>
      <c r="D2388" s="1" t="s">
        <v>8</v>
      </c>
      <c r="E2388" s="1" t="s">
        <v>8</v>
      </c>
      <c r="F2388" s="1" t="s">
        <v>8</v>
      </c>
      <c r="G2388" s="1" t="s">
        <v>8</v>
      </c>
      <c r="H2388" s="1">
        <v>0</v>
      </c>
    </row>
    <row r="2389" spans="1:8">
      <c r="A2389" s="1"/>
      <c r="B2389" s="1" t="s">
        <v>144</v>
      </c>
      <c r="C2389" s="1" t="s">
        <v>71</v>
      </c>
      <c r="D2389" s="1" t="s">
        <v>8</v>
      </c>
      <c r="E2389" s="1" t="s">
        <v>8</v>
      </c>
      <c r="F2389" s="1" t="s">
        <v>8</v>
      </c>
      <c r="G2389" s="1" t="s">
        <v>8</v>
      </c>
      <c r="H2389" s="1">
        <v>0</v>
      </c>
    </row>
    <row r="2390" spans="1:8">
      <c r="A2390" s="1"/>
      <c r="B2390" s="1" t="s">
        <v>144</v>
      </c>
      <c r="C2390" s="1" t="s">
        <v>72</v>
      </c>
      <c r="D2390" s="1">
        <v>4535</v>
      </c>
      <c r="E2390" s="1">
        <v>4535</v>
      </c>
      <c r="F2390" s="1">
        <v>4535</v>
      </c>
      <c r="G2390" s="1">
        <v>4535</v>
      </c>
      <c r="H2390" s="1">
        <v>1516100</v>
      </c>
    </row>
    <row r="2391" spans="1:8">
      <c r="A2391" s="1" t="s">
        <v>79</v>
      </c>
      <c r="B2391" s="1" t="s">
        <v>79</v>
      </c>
      <c r="C2391" s="1" t="s">
        <v>79</v>
      </c>
      <c r="D2391" s="1" t="s">
        <v>79</v>
      </c>
      <c r="E2391" s="1" t="s">
        <v>79</v>
      </c>
      <c r="F2391" s="1" t="s">
        <v>79</v>
      </c>
      <c r="G2391" s="1" t="s">
        <v>79</v>
      </c>
      <c r="H2391" s="1" t="s">
        <v>79</v>
      </c>
    </row>
    <row r="2392" spans="1:8">
      <c r="A2392" s="1"/>
      <c r="B2392" s="1" t="s">
        <v>78</v>
      </c>
      <c r="C2392" s="1" t="s">
        <v>107</v>
      </c>
      <c r="D2392" s="1">
        <v>4125</v>
      </c>
      <c r="E2392" s="1">
        <v>4125</v>
      </c>
      <c r="F2392" s="1">
        <v>4123</v>
      </c>
      <c r="G2392" s="1">
        <v>4124</v>
      </c>
      <c r="H2392" s="1">
        <v>18300</v>
      </c>
    </row>
    <row r="2393" spans="1:8">
      <c r="A2393" s="1"/>
      <c r="B2393" s="1" t="s">
        <v>78</v>
      </c>
      <c r="C2393" s="1" t="s">
        <v>108</v>
      </c>
      <c r="D2393" s="1">
        <v>4124</v>
      </c>
      <c r="E2393" s="1">
        <v>4124</v>
      </c>
      <c r="F2393" s="1">
        <v>4123</v>
      </c>
      <c r="G2393" s="1">
        <v>4123</v>
      </c>
      <c r="H2393" s="1">
        <v>21400</v>
      </c>
    </row>
    <row r="2394" spans="1:8">
      <c r="A2394" s="1"/>
      <c r="B2394" s="1" t="s">
        <v>78</v>
      </c>
      <c r="C2394" s="1" t="s">
        <v>109</v>
      </c>
      <c r="D2394" s="1">
        <v>4123</v>
      </c>
      <c r="E2394" s="1">
        <v>4123</v>
      </c>
      <c r="F2394" s="1">
        <v>4121</v>
      </c>
      <c r="G2394" s="1">
        <v>4121</v>
      </c>
      <c r="H2394" s="1">
        <v>16400</v>
      </c>
    </row>
    <row r="2395" spans="1:8">
      <c r="A2395" s="1"/>
      <c r="B2395" s="1" t="s">
        <v>78</v>
      </c>
      <c r="C2395" s="1" t="s">
        <v>110</v>
      </c>
      <c r="D2395" s="1">
        <v>4121</v>
      </c>
      <c r="E2395" s="1">
        <v>4122</v>
      </c>
      <c r="F2395" s="1">
        <v>4120</v>
      </c>
      <c r="G2395" s="1">
        <v>4120</v>
      </c>
      <c r="H2395" s="1">
        <v>5100</v>
      </c>
    </row>
    <row r="2396" spans="1:8">
      <c r="A2396" s="1"/>
      <c r="B2396" s="1" t="s">
        <v>78</v>
      </c>
      <c r="C2396" s="1" t="s">
        <v>111</v>
      </c>
      <c r="D2396" s="1">
        <v>4121</v>
      </c>
      <c r="E2396" s="1">
        <v>4121</v>
      </c>
      <c r="F2396" s="1">
        <v>4119</v>
      </c>
      <c r="G2396" s="1">
        <v>4119</v>
      </c>
      <c r="H2396" s="1">
        <v>8700</v>
      </c>
    </row>
    <row r="2397" spans="1:8">
      <c r="A2397" s="1"/>
      <c r="B2397" s="1" t="s">
        <v>78</v>
      </c>
      <c r="C2397" s="1" t="s">
        <v>112</v>
      </c>
      <c r="D2397" s="1">
        <v>4120</v>
      </c>
      <c r="E2397" s="1">
        <v>4121</v>
      </c>
      <c r="F2397" s="1">
        <v>4118</v>
      </c>
      <c r="G2397" s="1">
        <v>4118</v>
      </c>
      <c r="H2397" s="1">
        <v>18900</v>
      </c>
    </row>
    <row r="2398" spans="1:8">
      <c r="A2398" s="1"/>
      <c r="B2398" s="1" t="s">
        <v>78</v>
      </c>
      <c r="C2398" s="1" t="s">
        <v>113</v>
      </c>
      <c r="D2398" s="1">
        <v>4118</v>
      </c>
      <c r="E2398" s="1">
        <v>4118</v>
      </c>
      <c r="F2398" s="1">
        <v>4117</v>
      </c>
      <c r="G2398" s="1">
        <v>4117</v>
      </c>
      <c r="H2398" s="1">
        <v>32700</v>
      </c>
    </row>
    <row r="2399" spans="1:8">
      <c r="A2399" s="1"/>
      <c r="B2399" s="1" t="s">
        <v>78</v>
      </c>
      <c r="C2399" s="1" t="s">
        <v>114</v>
      </c>
      <c r="D2399" s="1">
        <v>4117</v>
      </c>
      <c r="E2399" s="1">
        <v>4118</v>
      </c>
      <c r="F2399" s="1">
        <v>4116</v>
      </c>
      <c r="G2399" s="1">
        <v>4116</v>
      </c>
      <c r="H2399" s="1">
        <v>11800</v>
      </c>
    </row>
    <row r="2400" spans="1:8">
      <c r="A2400" s="1"/>
      <c r="B2400" s="1" t="s">
        <v>78</v>
      </c>
      <c r="C2400" s="1" t="s">
        <v>115</v>
      </c>
      <c r="D2400" s="1">
        <v>4117</v>
      </c>
      <c r="E2400" s="1">
        <v>4117</v>
      </c>
      <c r="F2400" s="1">
        <v>4113</v>
      </c>
      <c r="G2400" s="1">
        <v>4116</v>
      </c>
      <c r="H2400" s="1">
        <v>62500</v>
      </c>
    </row>
    <row r="2401" spans="1:8">
      <c r="A2401" s="1"/>
      <c r="B2401" s="1" t="s">
        <v>78</v>
      </c>
      <c r="C2401" s="1" t="s">
        <v>116</v>
      </c>
      <c r="D2401" s="1">
        <v>4116</v>
      </c>
      <c r="E2401" s="1">
        <v>4118</v>
      </c>
      <c r="F2401" s="1">
        <v>4116</v>
      </c>
      <c r="G2401" s="1">
        <v>4117</v>
      </c>
      <c r="H2401" s="1">
        <v>8800</v>
      </c>
    </row>
    <row r="2402" spans="1:8">
      <c r="A2402" s="1"/>
      <c r="B2402" s="1" t="s">
        <v>78</v>
      </c>
      <c r="C2402" s="1" t="s">
        <v>117</v>
      </c>
      <c r="D2402" s="1">
        <v>4118</v>
      </c>
      <c r="E2402" s="1">
        <v>4118</v>
      </c>
      <c r="F2402" s="1">
        <v>4116</v>
      </c>
      <c r="G2402" s="1">
        <v>4118</v>
      </c>
      <c r="H2402" s="1">
        <v>15400</v>
      </c>
    </row>
    <row r="2403" spans="1:8">
      <c r="A2403" s="1"/>
      <c r="B2403" s="1" t="s">
        <v>78</v>
      </c>
      <c r="C2403" s="1" t="s">
        <v>118</v>
      </c>
      <c r="D2403" s="1">
        <v>4118</v>
      </c>
      <c r="E2403" s="1">
        <v>4119</v>
      </c>
      <c r="F2403" s="1">
        <v>4116</v>
      </c>
      <c r="G2403" s="1">
        <v>4117</v>
      </c>
      <c r="H2403" s="1">
        <v>20500</v>
      </c>
    </row>
    <row r="2404" spans="1:8">
      <c r="A2404" s="1" t="s">
        <v>79</v>
      </c>
      <c r="B2404" s="1" t="s">
        <v>79</v>
      </c>
      <c r="C2404" s="1" t="s">
        <v>79</v>
      </c>
      <c r="D2404" s="1" t="s">
        <v>79</v>
      </c>
      <c r="E2404" s="1" t="s">
        <v>79</v>
      </c>
      <c r="F2404" s="1" t="s">
        <v>79</v>
      </c>
      <c r="G2404" s="1" t="s">
        <v>79</v>
      </c>
      <c r="H2404" s="1" t="s">
        <v>79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3449B-E194-4626-A73A-FB696A2791A5}">
  <sheetPr codeName="Sheet10"/>
  <dimension ref="A1:Y2404"/>
  <sheetViews>
    <sheetView workbookViewId="0">
      <selection activeCell="A2" sqref="A2"/>
    </sheetView>
  </sheetViews>
  <sheetFormatPr defaultRowHeight="18.75"/>
  <cols>
    <col min="11" max="11" width="3" customWidth="1"/>
    <col min="13" max="13" width="3" customWidth="1"/>
  </cols>
  <sheetData>
    <row r="1" spans="1:25">
      <c r="A1" t="str">
        <f>_xll.RssChart($A$2:$H$2, "7003.T", "1M", 332)</f>
        <v>=RssChart($A$2:$H$2, "7003.T", "1M", 332) =&gt; 配信中</v>
      </c>
    </row>
    <row r="2" spans="1: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J2" t="s">
        <v>73</v>
      </c>
      <c r="L2" t="s">
        <v>74</v>
      </c>
      <c r="N2" t="s">
        <v>75</v>
      </c>
      <c r="P2" t="s">
        <v>119</v>
      </c>
      <c r="Q2">
        <f>_xll.RssMarket("7003.T", "現在値")</f>
        <v>3215</v>
      </c>
      <c r="R2" t="str">
        <f>_xll.RssMarket("7003.T", "現在値時刻")</f>
        <v>15:30</v>
      </c>
      <c r="T2" t="s">
        <v>131</v>
      </c>
      <c r="U2">
        <f>_xll.RssMarket("7003.T", "出来高")</f>
        <v>2821400</v>
      </c>
      <c r="X2" t="s">
        <v>138</v>
      </c>
      <c r="Y2">
        <f>_xll.RssMarket("7003.T", "信用売残")</f>
        <v>1946700</v>
      </c>
    </row>
    <row r="3" spans="1:25">
      <c r="A3" t="s">
        <v>441</v>
      </c>
      <c r="B3" t="s">
        <v>587</v>
      </c>
      <c r="C3" t="s">
        <v>166</v>
      </c>
      <c r="D3">
        <v>3215</v>
      </c>
      <c r="E3">
        <v>3230</v>
      </c>
      <c r="F3">
        <v>3200</v>
      </c>
      <c r="G3">
        <v>3220</v>
      </c>
      <c r="H3">
        <v>147700</v>
      </c>
      <c r="J3">
        <f>_xll.RssMarket("7003.T", "売成行数量")</f>
        <v>0</v>
      </c>
      <c r="L3" t="s">
        <v>76</v>
      </c>
      <c r="N3">
        <f>_xll.RssMarket("7003.T", "買成行数量")</f>
        <v>0</v>
      </c>
      <c r="P3" t="s">
        <v>121</v>
      </c>
      <c r="Q3">
        <f>_xll.RssMarket("7003.T", "前日比")</f>
        <v>40</v>
      </c>
      <c r="R3">
        <f>_xll.RssMarket("7003.T", "前日比率")</f>
        <v>1.26</v>
      </c>
      <c r="S3" t="s">
        <v>122</v>
      </c>
      <c r="T3" t="s">
        <v>132</v>
      </c>
      <c r="U3">
        <f>_xll.RssMarket("7003.T", "売買代金")</f>
        <v>9047114</v>
      </c>
      <c r="X3" t="s">
        <v>139</v>
      </c>
      <c r="Y3">
        <f>_xll.RssMarket("7003.T", "信用買残")</f>
        <v>5165800</v>
      </c>
    </row>
    <row r="4" spans="1:25">
      <c r="B4" t="s">
        <v>587</v>
      </c>
      <c r="C4" t="s">
        <v>167</v>
      </c>
      <c r="D4">
        <v>3215</v>
      </c>
      <c r="E4">
        <v>3215</v>
      </c>
      <c r="F4">
        <v>3200</v>
      </c>
      <c r="G4">
        <v>3205</v>
      </c>
      <c r="H4">
        <v>42600</v>
      </c>
      <c r="J4">
        <f>_xll.RssMarket("7003.T", "OVER気配数量")</f>
        <v>383000</v>
      </c>
      <c r="L4" t="s">
        <v>77</v>
      </c>
      <c r="P4" t="s">
        <v>123</v>
      </c>
      <c r="Q4">
        <f>_xll.RssMarket("7003.T", "高値")</f>
        <v>3245</v>
      </c>
      <c r="T4" t="s">
        <v>137</v>
      </c>
      <c r="U4">
        <f>_xll.RssMarket("7003.T", "前場出来高")</f>
        <v>1462900</v>
      </c>
      <c r="X4" t="s">
        <v>140</v>
      </c>
      <c r="Y4">
        <f>_xll.RssMarket("7003.T", "信用倍率")</f>
        <v>2.65</v>
      </c>
    </row>
    <row r="5" spans="1:25">
      <c r="B5" t="s">
        <v>587</v>
      </c>
      <c r="C5" t="s">
        <v>168</v>
      </c>
      <c r="D5">
        <v>3205</v>
      </c>
      <c r="E5">
        <v>3220</v>
      </c>
      <c r="F5">
        <v>3200</v>
      </c>
      <c r="G5">
        <v>3215</v>
      </c>
      <c r="H5">
        <v>40000</v>
      </c>
      <c r="J5">
        <f>_xll.RssMarket("7003.T", "最良売気配数量10")</f>
        <v>11000</v>
      </c>
      <c r="L5">
        <f>_xll.RssMarket("7003.T", "最良売気配値10")</f>
        <v>3260</v>
      </c>
      <c r="P5" t="s">
        <v>124</v>
      </c>
      <c r="Q5">
        <f>_xll.RssMarket("7003.T", "安値")</f>
        <v>3165</v>
      </c>
    </row>
    <row r="6" spans="1:25">
      <c r="B6" t="s">
        <v>587</v>
      </c>
      <c r="C6" t="s">
        <v>169</v>
      </c>
      <c r="D6">
        <v>3210</v>
      </c>
      <c r="E6">
        <v>3225</v>
      </c>
      <c r="F6">
        <v>3205</v>
      </c>
      <c r="G6">
        <v>3205</v>
      </c>
      <c r="H6">
        <v>29300</v>
      </c>
      <c r="J6">
        <f>_xll.RssMarket("7003.T", "最良売気配数量9")</f>
        <v>9000</v>
      </c>
      <c r="L6">
        <f>_xll.RssMarket("7003.T", "最良売気配値9")</f>
        <v>3255</v>
      </c>
      <c r="P6" t="s">
        <v>125</v>
      </c>
      <c r="Q6">
        <f>_xll.RssMarket("7003.T", "始値")</f>
        <v>3215</v>
      </c>
      <c r="T6" t="s">
        <v>133</v>
      </c>
      <c r="U6">
        <f>_xll.RssMarket("7003.T", "歩み1")</f>
        <v>3205</v>
      </c>
      <c r="V6" t="str">
        <f>_xll.RssMarket("7003.T", "歩み1詳細時刻")</f>
        <v>15:24:58</v>
      </c>
      <c r="X6" t="s">
        <v>141</v>
      </c>
      <c r="Y6">
        <f>_xll.RssMarket("7003.T", "逆日歩")</f>
        <v>0</v>
      </c>
    </row>
    <row r="7" spans="1:25">
      <c r="B7" t="s">
        <v>587</v>
      </c>
      <c r="C7" t="s">
        <v>170</v>
      </c>
      <c r="D7">
        <v>3210</v>
      </c>
      <c r="E7">
        <v>3215</v>
      </c>
      <c r="F7">
        <v>3205</v>
      </c>
      <c r="G7">
        <v>3215</v>
      </c>
      <c r="H7">
        <v>20700</v>
      </c>
      <c r="J7">
        <f>_xll.RssMarket("7003.T", "最良売気配数量8")</f>
        <v>57100</v>
      </c>
      <c r="L7">
        <f>_xll.RssMarket("7003.T", "最良売気配値8")</f>
        <v>3250</v>
      </c>
      <c r="P7" t="s">
        <v>120</v>
      </c>
      <c r="Q7">
        <f>_xll.RssMarket("7003.T", "前日終値")</f>
        <v>3175</v>
      </c>
      <c r="T7" t="s">
        <v>134</v>
      </c>
      <c r="U7">
        <f>_xll.RssMarket("7003.T", "歩み2")</f>
        <v>3210</v>
      </c>
      <c r="V7" t="str">
        <f>_xll.RssMarket("7003.T", "歩み2詳細時刻")</f>
        <v>15:24:50</v>
      </c>
      <c r="X7" t="s">
        <v>142</v>
      </c>
      <c r="Y7">
        <f>_xll.RssMarket("7003.T", "貸借倍率")</f>
        <v>0.16</v>
      </c>
    </row>
    <row r="8" spans="1:25">
      <c r="B8" t="s">
        <v>587</v>
      </c>
      <c r="C8" t="s">
        <v>171</v>
      </c>
      <c r="D8">
        <v>3220</v>
      </c>
      <c r="E8">
        <v>3225</v>
      </c>
      <c r="F8">
        <v>3205</v>
      </c>
      <c r="G8">
        <v>3205</v>
      </c>
      <c r="H8">
        <v>35000</v>
      </c>
      <c r="J8">
        <f>_xll.RssMarket("7003.T", "最良売気配数量7")</f>
        <v>19200</v>
      </c>
      <c r="L8">
        <f>_xll.RssMarket("7003.T", "最良売気配値7")</f>
        <v>3245</v>
      </c>
      <c r="P8" t="s">
        <v>126</v>
      </c>
      <c r="Q8">
        <f>_xll.RssMarket("7003.T", "出来高加重平均")</f>
        <v>3206.6044999999999</v>
      </c>
      <c r="T8" t="s">
        <v>135</v>
      </c>
      <c r="U8">
        <f>_xll.RssMarket("7003.T", "歩み3")</f>
        <v>3205</v>
      </c>
      <c r="V8" t="str">
        <f>_xll.RssMarket("7003.T", "歩み3詳細時刻")</f>
        <v>15:24:48</v>
      </c>
    </row>
    <row r="9" spans="1:25">
      <c r="B9" t="s">
        <v>587</v>
      </c>
      <c r="C9" t="s">
        <v>172</v>
      </c>
      <c r="D9">
        <v>3210</v>
      </c>
      <c r="E9">
        <v>3210</v>
      </c>
      <c r="F9">
        <v>3185</v>
      </c>
      <c r="G9">
        <v>3185</v>
      </c>
      <c r="H9">
        <v>51900</v>
      </c>
      <c r="J9">
        <f>_xll.RssMarket("7003.T", "最良売気配数量6")</f>
        <v>24400</v>
      </c>
      <c r="L9">
        <f>_xll.RssMarket("7003.T", "最良売気配値6")</f>
        <v>3240</v>
      </c>
      <c r="P9" t="s">
        <v>127</v>
      </c>
      <c r="Q9">
        <f>_xll.RssMarket("7003.T", "年初来高値")</f>
        <v>3275</v>
      </c>
      <c r="R9" t="str">
        <f>_xll.RssMarket("7003.T", "年初来高値日付")</f>
        <v>2025/07/31</v>
      </c>
      <c r="T9" t="s">
        <v>136</v>
      </c>
      <c r="U9">
        <f>_xll.RssMarket("7003.T", "歩み4")</f>
        <v>3210</v>
      </c>
      <c r="V9" t="str">
        <f>_xll.RssMarket("7003.T", "歩み4詳細時刻")</f>
        <v>15:24:40</v>
      </c>
    </row>
    <row r="10" spans="1:25">
      <c r="B10" t="s">
        <v>587</v>
      </c>
      <c r="C10" t="s">
        <v>173</v>
      </c>
      <c r="D10">
        <v>3185</v>
      </c>
      <c r="E10">
        <v>3190</v>
      </c>
      <c r="F10">
        <v>3180</v>
      </c>
      <c r="G10">
        <v>3180</v>
      </c>
      <c r="H10">
        <v>9700</v>
      </c>
      <c r="J10">
        <f>_xll.RssMarket("7003.T", "最良売気配数量5")</f>
        <v>35100</v>
      </c>
      <c r="L10">
        <f>_xll.RssMarket("7003.T", "最良売気配値5")</f>
        <v>3235</v>
      </c>
      <c r="P10" t="s">
        <v>128</v>
      </c>
      <c r="Q10">
        <f>_xll.RssMarket("7003.T", "年初来安値")</f>
        <v>1141</v>
      </c>
      <c r="R10" t="str">
        <f>_xll.RssMarket("7003.T", "年初来安値日付")</f>
        <v>2025/04/07</v>
      </c>
    </row>
    <row r="11" spans="1:25">
      <c r="B11" t="s">
        <v>587</v>
      </c>
      <c r="C11" t="s">
        <v>174</v>
      </c>
      <c r="D11">
        <v>3185</v>
      </c>
      <c r="E11">
        <v>3185</v>
      </c>
      <c r="F11">
        <v>3175</v>
      </c>
      <c r="G11">
        <v>3180</v>
      </c>
      <c r="H11">
        <v>14500</v>
      </c>
      <c r="J11">
        <f>_xll.RssMarket("7003.T", "最良売気配数量4")</f>
        <v>12000</v>
      </c>
      <c r="L11">
        <f>_xll.RssMarket("7003.T", "最良売気配値4")</f>
        <v>3230</v>
      </c>
      <c r="P11" t="s">
        <v>129</v>
      </c>
      <c r="Q11">
        <f>_xll.RssMarket("7003.T", "上場来高値")</f>
        <v>3275</v>
      </c>
      <c r="R11" t="str">
        <f>_xll.RssMarket("7003.T", "上場来高値日付")</f>
        <v>2025/07/31</v>
      </c>
    </row>
    <row r="12" spans="1:25">
      <c r="B12" t="s">
        <v>587</v>
      </c>
      <c r="C12" t="s">
        <v>175</v>
      </c>
      <c r="D12">
        <v>3180</v>
      </c>
      <c r="E12">
        <v>3185</v>
      </c>
      <c r="F12">
        <v>3180</v>
      </c>
      <c r="G12">
        <v>3180</v>
      </c>
      <c r="H12">
        <v>9700</v>
      </c>
      <c r="J12">
        <f>_xll.RssMarket("7003.T", "最良売気配数量3")</f>
        <v>16900</v>
      </c>
      <c r="L12">
        <f>_xll.RssMarket("7003.T", "最良売気配値3")</f>
        <v>3225</v>
      </c>
      <c r="P12" t="s">
        <v>130</v>
      </c>
      <c r="Q12">
        <f>_xll.RssMarket("7003.T", "上場来安値")</f>
        <v>56</v>
      </c>
      <c r="R12" t="str">
        <f>_xll.RssMarket("7003.T", "上場来安値日付")</f>
        <v>2000/03/02</v>
      </c>
    </row>
    <row r="13" spans="1:25">
      <c r="B13" t="s">
        <v>587</v>
      </c>
      <c r="C13" t="s">
        <v>176</v>
      </c>
      <c r="D13">
        <v>3180</v>
      </c>
      <c r="E13">
        <v>3185</v>
      </c>
      <c r="F13">
        <v>3170</v>
      </c>
      <c r="G13">
        <v>3185</v>
      </c>
      <c r="H13">
        <v>43400</v>
      </c>
      <c r="J13">
        <f>_xll.RssMarket("7003.T", "最良売気配数量2")</f>
        <v>6400</v>
      </c>
      <c r="L13">
        <f>_xll.RssMarket("7003.T", "最良売気配値2")</f>
        <v>3220</v>
      </c>
    </row>
    <row r="14" spans="1:25">
      <c r="B14" t="s">
        <v>587</v>
      </c>
      <c r="C14" t="s">
        <v>177</v>
      </c>
      <c r="D14">
        <v>3185</v>
      </c>
      <c r="E14">
        <v>3185</v>
      </c>
      <c r="F14">
        <v>3180</v>
      </c>
      <c r="G14">
        <v>3185</v>
      </c>
      <c r="H14">
        <v>3400</v>
      </c>
      <c r="J14">
        <f>_xll.RssMarket("7003.T", "最良売気配数量1")</f>
        <v>61700</v>
      </c>
      <c r="K14" t="str">
        <f>_xll.RssMarket("7003.T", "特別売気配フラグ")</f>
        <v xml:space="preserve"> </v>
      </c>
      <c r="L14">
        <f>_xll.RssMarket("7003.T", "最良売気配値1")</f>
        <v>3215</v>
      </c>
    </row>
    <row r="15" spans="1:25">
      <c r="B15" t="s">
        <v>587</v>
      </c>
      <c r="C15" t="s">
        <v>178</v>
      </c>
      <c r="D15">
        <v>3185</v>
      </c>
      <c r="E15">
        <v>3195</v>
      </c>
      <c r="F15">
        <v>3185</v>
      </c>
      <c r="G15">
        <v>3190</v>
      </c>
      <c r="H15">
        <v>19900</v>
      </c>
      <c r="L15">
        <f>_xll.RssMarket("7003.T", "最良買気配値1")</f>
        <v>3210</v>
      </c>
      <c r="M15" t="str">
        <f>_xll.RssMarket("7003.T", "特別買気配フラグ")</f>
        <v xml:space="preserve"> </v>
      </c>
      <c r="N15">
        <f>_xll.RssMarket("7003.T", "最良買気配数量1")</f>
        <v>2400</v>
      </c>
    </row>
    <row r="16" spans="1:25">
      <c r="B16" t="s">
        <v>587</v>
      </c>
      <c r="C16" t="s">
        <v>179</v>
      </c>
      <c r="D16">
        <v>3190</v>
      </c>
      <c r="E16">
        <v>3195</v>
      </c>
      <c r="F16">
        <v>3190</v>
      </c>
      <c r="G16">
        <v>3195</v>
      </c>
      <c r="H16">
        <v>3500</v>
      </c>
      <c r="L16">
        <f>_xll.RssMarket("7003.T", "最良買気配値2")</f>
        <v>3205</v>
      </c>
      <c r="N16">
        <f>_xll.RssMarket("7003.T", "最良買気配数量2")</f>
        <v>12500</v>
      </c>
    </row>
    <row r="17" spans="2:14">
      <c r="B17" t="s">
        <v>587</v>
      </c>
      <c r="C17" t="s">
        <v>180</v>
      </c>
      <c r="D17">
        <v>3195</v>
      </c>
      <c r="E17">
        <v>3195</v>
      </c>
      <c r="F17">
        <v>3190</v>
      </c>
      <c r="G17">
        <v>3190</v>
      </c>
      <c r="H17">
        <v>16000</v>
      </c>
      <c r="L17">
        <f>_xll.RssMarket("7003.T", "最良買気配値3")</f>
        <v>3200</v>
      </c>
      <c r="N17">
        <f>_xll.RssMarket("7003.T", "最良買気配数量3")</f>
        <v>39400</v>
      </c>
    </row>
    <row r="18" spans="2:14">
      <c r="B18" t="s">
        <v>587</v>
      </c>
      <c r="C18" t="s">
        <v>181</v>
      </c>
      <c r="D18">
        <v>3185</v>
      </c>
      <c r="E18">
        <v>3185</v>
      </c>
      <c r="F18">
        <v>3180</v>
      </c>
      <c r="G18">
        <v>3180</v>
      </c>
      <c r="H18">
        <v>8300</v>
      </c>
      <c r="L18">
        <f>_xll.RssMarket("7003.T", "最良買気配値4")</f>
        <v>3195</v>
      </c>
      <c r="N18">
        <f>_xll.RssMarket("7003.T", "最良買気配数量4")</f>
        <v>19100</v>
      </c>
    </row>
    <row r="19" spans="2:14">
      <c r="B19" t="s">
        <v>587</v>
      </c>
      <c r="C19" t="s">
        <v>182</v>
      </c>
      <c r="D19">
        <v>3175</v>
      </c>
      <c r="E19">
        <v>3180</v>
      </c>
      <c r="F19">
        <v>3165</v>
      </c>
      <c r="G19">
        <v>3175</v>
      </c>
      <c r="H19">
        <v>79600</v>
      </c>
      <c r="L19">
        <f>_xll.RssMarket("7003.T", "最良買気配値5")</f>
        <v>3190</v>
      </c>
      <c r="N19">
        <f>_xll.RssMarket("7003.T", "最良買気配数量5")</f>
        <v>18200</v>
      </c>
    </row>
    <row r="20" spans="2:14">
      <c r="B20" t="s">
        <v>587</v>
      </c>
      <c r="C20" t="s">
        <v>183</v>
      </c>
      <c r="D20">
        <v>3175</v>
      </c>
      <c r="E20">
        <v>3180</v>
      </c>
      <c r="F20">
        <v>3175</v>
      </c>
      <c r="G20">
        <v>3180</v>
      </c>
      <c r="H20">
        <v>9900</v>
      </c>
      <c r="L20">
        <f>_xll.RssMarket("7003.T", "最良買気配値6")</f>
        <v>3185</v>
      </c>
      <c r="N20">
        <f>_xll.RssMarket("7003.T", "最良買気配数量6")</f>
        <v>18100</v>
      </c>
    </row>
    <row r="21" spans="2:14">
      <c r="B21" t="s">
        <v>587</v>
      </c>
      <c r="C21" t="s">
        <v>184</v>
      </c>
      <c r="D21">
        <v>3180</v>
      </c>
      <c r="E21">
        <v>3180</v>
      </c>
      <c r="F21">
        <v>3180</v>
      </c>
      <c r="G21">
        <v>3180</v>
      </c>
      <c r="H21">
        <v>900</v>
      </c>
      <c r="L21">
        <f>_xll.RssMarket("7003.T", "最良買気配値7")</f>
        <v>3180</v>
      </c>
      <c r="N21">
        <f>_xll.RssMarket("7003.T", "最良買気配数量7")</f>
        <v>10200</v>
      </c>
    </row>
    <row r="22" spans="2:14">
      <c r="B22" t="s">
        <v>587</v>
      </c>
      <c r="C22" t="s">
        <v>185</v>
      </c>
      <c r="D22">
        <v>3180</v>
      </c>
      <c r="E22">
        <v>3180</v>
      </c>
      <c r="F22">
        <v>3175</v>
      </c>
      <c r="G22">
        <v>3180</v>
      </c>
      <c r="H22">
        <v>6500</v>
      </c>
      <c r="L22">
        <f>_xll.RssMarket("7003.T", "最良買気配値8")</f>
        <v>3175</v>
      </c>
      <c r="N22">
        <f>_xll.RssMarket("7003.T", "最良買気配数量8")</f>
        <v>5100</v>
      </c>
    </row>
    <row r="23" spans="2:14">
      <c r="B23" t="s">
        <v>587</v>
      </c>
      <c r="C23" t="s">
        <v>186</v>
      </c>
      <c r="D23">
        <v>3180</v>
      </c>
      <c r="E23">
        <v>3185</v>
      </c>
      <c r="F23">
        <v>3180</v>
      </c>
      <c r="G23">
        <v>3185</v>
      </c>
      <c r="H23">
        <v>9700</v>
      </c>
      <c r="L23">
        <f>_xll.RssMarket("7003.T", "最良買気配値9")</f>
        <v>3170</v>
      </c>
      <c r="N23">
        <f>_xll.RssMarket("7003.T", "最良買気配数量9")</f>
        <v>14100</v>
      </c>
    </row>
    <row r="24" spans="2:14">
      <c r="B24" t="s">
        <v>587</v>
      </c>
      <c r="C24" t="s">
        <v>187</v>
      </c>
      <c r="D24">
        <v>3185</v>
      </c>
      <c r="E24">
        <v>3185</v>
      </c>
      <c r="F24">
        <v>3180</v>
      </c>
      <c r="G24">
        <v>3185</v>
      </c>
      <c r="H24">
        <v>2300</v>
      </c>
      <c r="L24">
        <f>_xll.RssMarket("7003.T", "最良買気配値10")</f>
        <v>3165</v>
      </c>
      <c r="N24">
        <f>_xll.RssMarket("7003.T", "最良買気配数量10")</f>
        <v>20100</v>
      </c>
    </row>
    <row r="25" spans="2:14">
      <c r="B25" t="s">
        <v>587</v>
      </c>
      <c r="C25" t="s">
        <v>188</v>
      </c>
      <c r="D25">
        <v>3185</v>
      </c>
      <c r="E25">
        <v>3185</v>
      </c>
      <c r="F25">
        <v>3185</v>
      </c>
      <c r="G25">
        <v>3185</v>
      </c>
      <c r="H25">
        <v>3300</v>
      </c>
      <c r="L25" t="s">
        <v>80</v>
      </c>
      <c r="N25">
        <f>_xll.RssMarket("7003.T", "UNDER気配数量")</f>
        <v>431200</v>
      </c>
    </row>
    <row r="26" spans="2:14">
      <c r="B26" t="s">
        <v>587</v>
      </c>
      <c r="C26" t="s">
        <v>189</v>
      </c>
      <c r="D26">
        <v>3185</v>
      </c>
      <c r="E26">
        <v>3190</v>
      </c>
      <c r="F26">
        <v>3180</v>
      </c>
      <c r="G26">
        <v>3185</v>
      </c>
      <c r="H26">
        <v>5300</v>
      </c>
    </row>
    <row r="27" spans="2:14">
      <c r="B27" t="s">
        <v>587</v>
      </c>
      <c r="C27" t="s">
        <v>190</v>
      </c>
      <c r="D27">
        <v>3185</v>
      </c>
      <c r="E27">
        <v>3190</v>
      </c>
      <c r="F27">
        <v>3180</v>
      </c>
      <c r="G27">
        <v>3190</v>
      </c>
      <c r="H27">
        <v>8000</v>
      </c>
    </row>
    <row r="28" spans="2:14">
      <c r="B28" t="s">
        <v>587</v>
      </c>
      <c r="C28" t="s">
        <v>191</v>
      </c>
      <c r="D28">
        <v>3185</v>
      </c>
      <c r="E28">
        <v>3190</v>
      </c>
      <c r="F28">
        <v>3185</v>
      </c>
      <c r="G28">
        <v>3185</v>
      </c>
      <c r="H28">
        <v>4900</v>
      </c>
    </row>
    <row r="29" spans="2:14">
      <c r="B29" t="s">
        <v>587</v>
      </c>
      <c r="C29" t="s">
        <v>192</v>
      </c>
      <c r="D29">
        <v>3185</v>
      </c>
      <c r="E29">
        <v>3185</v>
      </c>
      <c r="F29">
        <v>3175</v>
      </c>
      <c r="G29">
        <v>3175</v>
      </c>
      <c r="H29">
        <v>15000</v>
      </c>
    </row>
    <row r="30" spans="2:14">
      <c r="B30" t="s">
        <v>587</v>
      </c>
      <c r="C30" t="s">
        <v>193</v>
      </c>
      <c r="D30">
        <v>3175</v>
      </c>
      <c r="E30">
        <v>3180</v>
      </c>
      <c r="F30">
        <v>3175</v>
      </c>
      <c r="G30">
        <v>3175</v>
      </c>
      <c r="H30">
        <v>18200</v>
      </c>
    </row>
    <row r="31" spans="2:14">
      <c r="B31" t="s">
        <v>587</v>
      </c>
      <c r="C31" t="s">
        <v>194</v>
      </c>
      <c r="D31">
        <v>3180</v>
      </c>
      <c r="E31">
        <v>3185</v>
      </c>
      <c r="F31">
        <v>3180</v>
      </c>
      <c r="G31">
        <v>3185</v>
      </c>
      <c r="H31">
        <v>10400</v>
      </c>
    </row>
    <row r="32" spans="2:14">
      <c r="B32" t="s">
        <v>587</v>
      </c>
      <c r="C32" t="s">
        <v>195</v>
      </c>
      <c r="D32">
        <v>3185</v>
      </c>
      <c r="E32">
        <v>3185</v>
      </c>
      <c r="F32">
        <v>3185</v>
      </c>
      <c r="G32">
        <v>3185</v>
      </c>
      <c r="H32">
        <v>100</v>
      </c>
    </row>
    <row r="33" spans="2:8">
      <c r="B33" t="s">
        <v>587</v>
      </c>
      <c r="C33" t="s">
        <v>196</v>
      </c>
      <c r="D33">
        <v>3180</v>
      </c>
      <c r="E33">
        <v>3185</v>
      </c>
      <c r="F33">
        <v>3180</v>
      </c>
      <c r="G33">
        <v>3180</v>
      </c>
      <c r="H33">
        <v>7900</v>
      </c>
    </row>
    <row r="34" spans="2:8">
      <c r="B34" t="s">
        <v>587</v>
      </c>
      <c r="C34" t="s">
        <v>197</v>
      </c>
      <c r="D34">
        <v>3180</v>
      </c>
      <c r="E34">
        <v>3185</v>
      </c>
      <c r="F34">
        <v>3180</v>
      </c>
      <c r="G34">
        <v>3180</v>
      </c>
      <c r="H34">
        <v>10900</v>
      </c>
    </row>
    <row r="35" spans="2:8">
      <c r="B35" t="s">
        <v>587</v>
      </c>
      <c r="C35" t="s">
        <v>198</v>
      </c>
      <c r="D35">
        <v>3185</v>
      </c>
      <c r="E35">
        <v>3185</v>
      </c>
      <c r="F35">
        <v>3180</v>
      </c>
      <c r="G35">
        <v>3185</v>
      </c>
      <c r="H35">
        <v>1300</v>
      </c>
    </row>
    <row r="36" spans="2:8">
      <c r="B36" t="s">
        <v>587</v>
      </c>
      <c r="C36" t="s">
        <v>199</v>
      </c>
      <c r="D36">
        <v>3185</v>
      </c>
      <c r="E36">
        <v>3195</v>
      </c>
      <c r="F36">
        <v>3185</v>
      </c>
      <c r="G36">
        <v>3195</v>
      </c>
      <c r="H36">
        <v>11500</v>
      </c>
    </row>
    <row r="37" spans="2:8">
      <c r="B37" t="s">
        <v>587</v>
      </c>
      <c r="C37" t="s">
        <v>200</v>
      </c>
      <c r="D37">
        <v>3190</v>
      </c>
      <c r="E37">
        <v>3195</v>
      </c>
      <c r="F37">
        <v>3190</v>
      </c>
      <c r="G37">
        <v>3195</v>
      </c>
      <c r="H37">
        <v>4000</v>
      </c>
    </row>
    <row r="38" spans="2:8">
      <c r="B38" t="s">
        <v>587</v>
      </c>
      <c r="C38" t="s">
        <v>201</v>
      </c>
      <c r="D38">
        <v>3195</v>
      </c>
      <c r="E38">
        <v>3195</v>
      </c>
      <c r="F38">
        <v>3195</v>
      </c>
      <c r="G38">
        <v>3195</v>
      </c>
      <c r="H38">
        <v>1300</v>
      </c>
    </row>
    <row r="39" spans="2:8">
      <c r="B39" t="s">
        <v>587</v>
      </c>
      <c r="C39" t="s">
        <v>202</v>
      </c>
      <c r="D39">
        <v>3190</v>
      </c>
      <c r="E39">
        <v>3195</v>
      </c>
      <c r="F39">
        <v>3190</v>
      </c>
      <c r="G39">
        <v>3195</v>
      </c>
      <c r="H39">
        <v>5200</v>
      </c>
    </row>
    <row r="40" spans="2:8">
      <c r="B40" t="s">
        <v>587</v>
      </c>
      <c r="C40" t="s">
        <v>203</v>
      </c>
      <c r="D40">
        <v>3195</v>
      </c>
      <c r="E40">
        <v>3205</v>
      </c>
      <c r="F40">
        <v>3195</v>
      </c>
      <c r="G40">
        <v>3205</v>
      </c>
      <c r="H40">
        <v>26500</v>
      </c>
    </row>
    <row r="41" spans="2:8">
      <c r="B41" t="s">
        <v>587</v>
      </c>
      <c r="C41" t="s">
        <v>204</v>
      </c>
      <c r="D41">
        <v>3200</v>
      </c>
      <c r="E41">
        <v>3210</v>
      </c>
      <c r="F41">
        <v>3200</v>
      </c>
      <c r="G41">
        <v>3205</v>
      </c>
      <c r="H41">
        <v>7900</v>
      </c>
    </row>
    <row r="42" spans="2:8">
      <c r="B42" t="s">
        <v>587</v>
      </c>
      <c r="C42" t="s">
        <v>205</v>
      </c>
      <c r="D42">
        <v>3210</v>
      </c>
      <c r="E42">
        <v>3210</v>
      </c>
      <c r="F42">
        <v>3205</v>
      </c>
      <c r="G42">
        <v>3205</v>
      </c>
      <c r="H42">
        <v>900</v>
      </c>
    </row>
    <row r="43" spans="2:8">
      <c r="B43" t="s">
        <v>587</v>
      </c>
      <c r="C43" t="s">
        <v>206</v>
      </c>
      <c r="D43">
        <v>3205</v>
      </c>
      <c r="E43">
        <v>3210</v>
      </c>
      <c r="F43">
        <v>3205</v>
      </c>
      <c r="G43">
        <v>3205</v>
      </c>
      <c r="H43">
        <v>17400</v>
      </c>
    </row>
    <row r="44" spans="2:8">
      <c r="B44" t="s">
        <v>587</v>
      </c>
      <c r="C44" t="s">
        <v>207</v>
      </c>
      <c r="D44">
        <v>3205</v>
      </c>
      <c r="E44">
        <v>3205</v>
      </c>
      <c r="F44">
        <v>3200</v>
      </c>
      <c r="G44">
        <v>3200</v>
      </c>
      <c r="H44">
        <v>9900</v>
      </c>
    </row>
    <row r="45" spans="2:8">
      <c r="B45" t="s">
        <v>587</v>
      </c>
      <c r="C45" t="s">
        <v>208</v>
      </c>
      <c r="D45">
        <v>3200</v>
      </c>
      <c r="E45">
        <v>3200</v>
      </c>
      <c r="F45">
        <v>3195</v>
      </c>
      <c r="G45">
        <v>3200</v>
      </c>
      <c r="H45">
        <v>9100</v>
      </c>
    </row>
    <row r="46" spans="2:8">
      <c r="B46" t="s">
        <v>587</v>
      </c>
      <c r="C46" t="s">
        <v>209</v>
      </c>
      <c r="D46">
        <v>3200</v>
      </c>
      <c r="E46">
        <v>3200</v>
      </c>
      <c r="F46">
        <v>3200</v>
      </c>
      <c r="G46">
        <v>3200</v>
      </c>
      <c r="H46">
        <v>7900</v>
      </c>
    </row>
    <row r="47" spans="2:8">
      <c r="B47" t="s">
        <v>587</v>
      </c>
      <c r="C47" t="s">
        <v>210</v>
      </c>
      <c r="D47">
        <v>3195</v>
      </c>
      <c r="E47">
        <v>3200</v>
      </c>
      <c r="F47">
        <v>3195</v>
      </c>
      <c r="G47">
        <v>3195</v>
      </c>
      <c r="H47">
        <v>3100</v>
      </c>
    </row>
    <row r="48" spans="2:8">
      <c r="B48" t="s">
        <v>587</v>
      </c>
      <c r="C48" t="s">
        <v>211</v>
      </c>
      <c r="D48">
        <v>3195</v>
      </c>
      <c r="E48">
        <v>3200</v>
      </c>
      <c r="F48">
        <v>3190</v>
      </c>
      <c r="G48">
        <v>3195</v>
      </c>
      <c r="H48">
        <v>6500</v>
      </c>
    </row>
    <row r="49" spans="2:8">
      <c r="B49" t="s">
        <v>587</v>
      </c>
      <c r="C49" t="s">
        <v>212</v>
      </c>
      <c r="D49">
        <v>3190</v>
      </c>
      <c r="E49">
        <v>3200</v>
      </c>
      <c r="F49">
        <v>3190</v>
      </c>
      <c r="G49">
        <v>3200</v>
      </c>
      <c r="H49">
        <v>9400</v>
      </c>
    </row>
    <row r="50" spans="2:8">
      <c r="B50" t="s">
        <v>587</v>
      </c>
      <c r="C50" t="s">
        <v>213</v>
      </c>
      <c r="D50">
        <v>3200</v>
      </c>
      <c r="E50">
        <v>3200</v>
      </c>
      <c r="F50">
        <v>3190</v>
      </c>
      <c r="G50">
        <v>3190</v>
      </c>
      <c r="H50">
        <v>7400</v>
      </c>
    </row>
    <row r="51" spans="2:8">
      <c r="B51" t="s">
        <v>587</v>
      </c>
      <c r="C51" t="s">
        <v>214</v>
      </c>
      <c r="D51">
        <v>3190</v>
      </c>
      <c r="E51">
        <v>3190</v>
      </c>
      <c r="F51">
        <v>3185</v>
      </c>
      <c r="G51">
        <v>3185</v>
      </c>
      <c r="H51">
        <v>4900</v>
      </c>
    </row>
    <row r="52" spans="2:8">
      <c r="B52" t="s">
        <v>587</v>
      </c>
      <c r="C52" t="s">
        <v>215</v>
      </c>
      <c r="D52">
        <v>3190</v>
      </c>
      <c r="E52">
        <v>3190</v>
      </c>
      <c r="F52">
        <v>3185</v>
      </c>
      <c r="G52">
        <v>3185</v>
      </c>
      <c r="H52">
        <v>900</v>
      </c>
    </row>
    <row r="53" spans="2:8">
      <c r="B53" t="s">
        <v>587</v>
      </c>
      <c r="C53" t="s">
        <v>216</v>
      </c>
      <c r="D53">
        <v>3185</v>
      </c>
      <c r="E53">
        <v>3185</v>
      </c>
      <c r="F53">
        <v>3180</v>
      </c>
      <c r="G53">
        <v>3180</v>
      </c>
      <c r="H53">
        <v>19300</v>
      </c>
    </row>
    <row r="54" spans="2:8">
      <c r="B54" t="s">
        <v>587</v>
      </c>
      <c r="C54" t="s">
        <v>217</v>
      </c>
      <c r="D54">
        <v>3180</v>
      </c>
      <c r="E54">
        <v>3185</v>
      </c>
      <c r="F54">
        <v>3175</v>
      </c>
      <c r="G54">
        <v>3180</v>
      </c>
      <c r="H54">
        <v>11100</v>
      </c>
    </row>
    <row r="55" spans="2:8">
      <c r="B55" t="s">
        <v>587</v>
      </c>
      <c r="C55" t="s">
        <v>218</v>
      </c>
      <c r="D55">
        <v>3180</v>
      </c>
      <c r="E55">
        <v>3185</v>
      </c>
      <c r="F55">
        <v>3180</v>
      </c>
      <c r="G55">
        <v>3185</v>
      </c>
      <c r="H55">
        <v>6000</v>
      </c>
    </row>
    <row r="56" spans="2:8">
      <c r="B56" t="s">
        <v>587</v>
      </c>
      <c r="C56" t="s">
        <v>219</v>
      </c>
      <c r="D56">
        <v>3180</v>
      </c>
      <c r="E56">
        <v>3185</v>
      </c>
      <c r="F56">
        <v>3180</v>
      </c>
      <c r="G56">
        <v>3180</v>
      </c>
      <c r="H56">
        <v>7000</v>
      </c>
    </row>
    <row r="57" spans="2:8">
      <c r="B57" t="s">
        <v>587</v>
      </c>
      <c r="C57" t="s">
        <v>220</v>
      </c>
      <c r="D57">
        <v>3185</v>
      </c>
      <c r="E57">
        <v>3185</v>
      </c>
      <c r="F57">
        <v>3180</v>
      </c>
      <c r="G57">
        <v>3180</v>
      </c>
      <c r="H57">
        <v>1000</v>
      </c>
    </row>
    <row r="58" spans="2:8">
      <c r="B58" t="s">
        <v>587</v>
      </c>
      <c r="C58" t="s">
        <v>221</v>
      </c>
      <c r="D58">
        <v>3180</v>
      </c>
      <c r="E58">
        <v>3180</v>
      </c>
      <c r="F58">
        <v>3175</v>
      </c>
      <c r="G58">
        <v>3175</v>
      </c>
      <c r="H58">
        <v>11600</v>
      </c>
    </row>
    <row r="59" spans="2:8">
      <c r="B59" t="s">
        <v>587</v>
      </c>
      <c r="C59" t="s">
        <v>222</v>
      </c>
      <c r="D59">
        <v>3175</v>
      </c>
      <c r="E59">
        <v>3180</v>
      </c>
      <c r="F59">
        <v>3175</v>
      </c>
      <c r="G59">
        <v>3175</v>
      </c>
      <c r="H59">
        <v>5900</v>
      </c>
    </row>
    <row r="60" spans="2:8">
      <c r="B60" t="s">
        <v>587</v>
      </c>
      <c r="C60" t="s">
        <v>223</v>
      </c>
      <c r="D60">
        <v>3180</v>
      </c>
      <c r="E60">
        <v>3180</v>
      </c>
      <c r="F60">
        <v>3180</v>
      </c>
      <c r="G60">
        <v>3180</v>
      </c>
      <c r="H60">
        <v>2700</v>
      </c>
    </row>
    <row r="61" spans="2:8">
      <c r="B61" t="s">
        <v>587</v>
      </c>
      <c r="C61" t="s">
        <v>224</v>
      </c>
      <c r="D61">
        <v>3180</v>
      </c>
      <c r="E61">
        <v>3180</v>
      </c>
      <c r="F61">
        <v>3180</v>
      </c>
      <c r="G61">
        <v>3180</v>
      </c>
      <c r="H61">
        <v>1800</v>
      </c>
    </row>
    <row r="62" spans="2:8">
      <c r="B62" t="s">
        <v>587</v>
      </c>
      <c r="C62" t="s">
        <v>225</v>
      </c>
      <c r="D62">
        <v>3180</v>
      </c>
      <c r="E62">
        <v>3180</v>
      </c>
      <c r="F62">
        <v>3175</v>
      </c>
      <c r="G62">
        <v>3175</v>
      </c>
      <c r="H62">
        <v>300</v>
      </c>
    </row>
    <row r="63" spans="2:8">
      <c r="B63" t="s">
        <v>587</v>
      </c>
      <c r="C63" t="s">
        <v>226</v>
      </c>
      <c r="D63">
        <v>3180</v>
      </c>
      <c r="E63">
        <v>3180</v>
      </c>
      <c r="F63">
        <v>3180</v>
      </c>
      <c r="G63">
        <v>3180</v>
      </c>
      <c r="H63">
        <v>7100</v>
      </c>
    </row>
    <row r="64" spans="2:8">
      <c r="B64" t="s">
        <v>587</v>
      </c>
      <c r="C64" t="s">
        <v>227</v>
      </c>
      <c r="D64">
        <v>3180</v>
      </c>
      <c r="E64">
        <v>3190</v>
      </c>
      <c r="F64">
        <v>3180</v>
      </c>
      <c r="G64">
        <v>3190</v>
      </c>
      <c r="H64">
        <v>16100</v>
      </c>
    </row>
    <row r="65" spans="2:8">
      <c r="B65" t="s">
        <v>587</v>
      </c>
      <c r="C65" t="s">
        <v>228</v>
      </c>
      <c r="D65">
        <v>3190</v>
      </c>
      <c r="E65">
        <v>3190</v>
      </c>
      <c r="F65">
        <v>3185</v>
      </c>
      <c r="G65">
        <v>3185</v>
      </c>
      <c r="H65">
        <v>3200</v>
      </c>
    </row>
    <row r="66" spans="2:8">
      <c r="B66" t="s">
        <v>587</v>
      </c>
      <c r="C66" t="s">
        <v>229</v>
      </c>
      <c r="D66">
        <v>3180</v>
      </c>
      <c r="E66">
        <v>3185</v>
      </c>
      <c r="F66">
        <v>3180</v>
      </c>
      <c r="G66">
        <v>3180</v>
      </c>
      <c r="H66">
        <v>12400</v>
      </c>
    </row>
    <row r="67" spans="2:8">
      <c r="B67" t="s">
        <v>587</v>
      </c>
      <c r="C67" t="s">
        <v>230</v>
      </c>
      <c r="D67">
        <v>3175</v>
      </c>
      <c r="E67">
        <v>3175</v>
      </c>
      <c r="F67">
        <v>3175</v>
      </c>
      <c r="G67">
        <v>3175</v>
      </c>
      <c r="H67">
        <v>400</v>
      </c>
    </row>
    <row r="68" spans="2:8">
      <c r="B68" t="s">
        <v>587</v>
      </c>
      <c r="C68" t="s">
        <v>231</v>
      </c>
      <c r="D68">
        <v>3175</v>
      </c>
      <c r="E68">
        <v>3180</v>
      </c>
      <c r="F68">
        <v>3170</v>
      </c>
      <c r="G68">
        <v>3170</v>
      </c>
      <c r="H68">
        <v>29700</v>
      </c>
    </row>
    <row r="69" spans="2:8">
      <c r="B69" t="s">
        <v>587</v>
      </c>
      <c r="C69" t="s">
        <v>232</v>
      </c>
      <c r="D69">
        <v>3175</v>
      </c>
      <c r="E69">
        <v>3175</v>
      </c>
      <c r="F69">
        <v>3170</v>
      </c>
      <c r="G69">
        <v>3170</v>
      </c>
      <c r="H69">
        <v>800</v>
      </c>
    </row>
    <row r="70" spans="2:8">
      <c r="B70" t="s">
        <v>587</v>
      </c>
      <c r="C70" t="s">
        <v>233</v>
      </c>
      <c r="D70">
        <v>3175</v>
      </c>
      <c r="E70">
        <v>3175</v>
      </c>
      <c r="F70">
        <v>3170</v>
      </c>
      <c r="G70">
        <v>3175</v>
      </c>
      <c r="H70">
        <v>10400</v>
      </c>
    </row>
    <row r="71" spans="2:8">
      <c r="B71" t="s">
        <v>587</v>
      </c>
      <c r="C71" t="s">
        <v>234</v>
      </c>
      <c r="D71">
        <v>3175</v>
      </c>
      <c r="E71">
        <v>3175</v>
      </c>
      <c r="F71">
        <v>3175</v>
      </c>
      <c r="G71">
        <v>3175</v>
      </c>
      <c r="H71">
        <v>6300</v>
      </c>
    </row>
    <row r="72" spans="2:8">
      <c r="B72" t="s">
        <v>587</v>
      </c>
      <c r="C72" t="s">
        <v>235</v>
      </c>
      <c r="D72">
        <v>3170</v>
      </c>
      <c r="E72">
        <v>3175</v>
      </c>
      <c r="F72">
        <v>3170</v>
      </c>
      <c r="G72">
        <v>3170</v>
      </c>
      <c r="H72">
        <v>4000</v>
      </c>
    </row>
    <row r="73" spans="2:8">
      <c r="B73" t="s">
        <v>587</v>
      </c>
      <c r="C73" t="s">
        <v>236</v>
      </c>
      <c r="D73">
        <v>3170</v>
      </c>
      <c r="E73">
        <v>3170</v>
      </c>
      <c r="F73">
        <v>3170</v>
      </c>
      <c r="G73">
        <v>3170</v>
      </c>
      <c r="H73">
        <v>11800</v>
      </c>
    </row>
    <row r="74" spans="2:8">
      <c r="B74" t="s">
        <v>587</v>
      </c>
      <c r="C74" t="s">
        <v>237</v>
      </c>
      <c r="D74">
        <v>3165</v>
      </c>
      <c r="E74">
        <v>3170</v>
      </c>
      <c r="F74">
        <v>3165</v>
      </c>
      <c r="G74">
        <v>3165</v>
      </c>
      <c r="H74">
        <v>1800</v>
      </c>
    </row>
    <row r="75" spans="2:8">
      <c r="B75" t="s">
        <v>587</v>
      </c>
      <c r="C75" t="s">
        <v>238</v>
      </c>
      <c r="D75" t="s">
        <v>8</v>
      </c>
      <c r="E75" t="s">
        <v>8</v>
      </c>
      <c r="F75" t="s">
        <v>8</v>
      </c>
      <c r="G75" t="s">
        <v>8</v>
      </c>
      <c r="H75">
        <v>0</v>
      </c>
    </row>
    <row r="76" spans="2:8">
      <c r="B76" t="s">
        <v>587</v>
      </c>
      <c r="C76" t="s">
        <v>239</v>
      </c>
      <c r="D76">
        <v>3165</v>
      </c>
      <c r="E76">
        <v>3170</v>
      </c>
      <c r="F76">
        <v>3165</v>
      </c>
      <c r="G76">
        <v>3170</v>
      </c>
      <c r="H76">
        <v>7500</v>
      </c>
    </row>
    <row r="77" spans="2:8">
      <c r="B77" t="s">
        <v>587</v>
      </c>
      <c r="C77" t="s">
        <v>240</v>
      </c>
      <c r="D77">
        <v>3165</v>
      </c>
      <c r="E77">
        <v>3170</v>
      </c>
      <c r="F77">
        <v>3165</v>
      </c>
      <c r="G77">
        <v>3170</v>
      </c>
      <c r="H77">
        <v>1000</v>
      </c>
    </row>
    <row r="78" spans="2:8">
      <c r="B78" t="s">
        <v>587</v>
      </c>
      <c r="C78" t="s">
        <v>241</v>
      </c>
      <c r="D78">
        <v>3165</v>
      </c>
      <c r="E78">
        <v>3165</v>
      </c>
      <c r="F78">
        <v>3165</v>
      </c>
      <c r="G78">
        <v>3165</v>
      </c>
      <c r="H78">
        <v>1000</v>
      </c>
    </row>
    <row r="79" spans="2:8">
      <c r="B79" t="s">
        <v>587</v>
      </c>
      <c r="C79" t="s">
        <v>242</v>
      </c>
      <c r="D79">
        <v>3165</v>
      </c>
      <c r="E79">
        <v>3165</v>
      </c>
      <c r="F79">
        <v>3165</v>
      </c>
      <c r="G79">
        <v>3165</v>
      </c>
      <c r="H79">
        <v>14900</v>
      </c>
    </row>
    <row r="80" spans="2:8">
      <c r="B80" t="s">
        <v>587</v>
      </c>
      <c r="C80" t="s">
        <v>243</v>
      </c>
      <c r="D80">
        <v>3165</v>
      </c>
      <c r="E80">
        <v>3170</v>
      </c>
      <c r="F80">
        <v>3165</v>
      </c>
      <c r="G80">
        <v>3170</v>
      </c>
      <c r="H80">
        <v>3700</v>
      </c>
    </row>
    <row r="81" spans="2:8">
      <c r="B81" t="s">
        <v>587</v>
      </c>
      <c r="C81" t="s">
        <v>244</v>
      </c>
      <c r="D81">
        <v>3170</v>
      </c>
      <c r="E81">
        <v>3170</v>
      </c>
      <c r="F81">
        <v>3165</v>
      </c>
      <c r="G81">
        <v>3170</v>
      </c>
      <c r="H81">
        <v>900</v>
      </c>
    </row>
    <row r="82" spans="2:8">
      <c r="B82" t="s">
        <v>587</v>
      </c>
      <c r="C82" t="s">
        <v>245</v>
      </c>
      <c r="D82">
        <v>3170</v>
      </c>
      <c r="E82">
        <v>3170</v>
      </c>
      <c r="F82">
        <v>3165</v>
      </c>
      <c r="G82">
        <v>3165</v>
      </c>
      <c r="H82">
        <v>600</v>
      </c>
    </row>
    <row r="83" spans="2:8">
      <c r="B83" t="s">
        <v>587</v>
      </c>
      <c r="C83" t="s">
        <v>246</v>
      </c>
      <c r="D83">
        <v>3170</v>
      </c>
      <c r="E83">
        <v>3175</v>
      </c>
      <c r="F83">
        <v>3170</v>
      </c>
      <c r="G83">
        <v>3175</v>
      </c>
      <c r="H83">
        <v>18400</v>
      </c>
    </row>
    <row r="84" spans="2:8">
      <c r="B84" t="s">
        <v>587</v>
      </c>
      <c r="C84" t="s">
        <v>247</v>
      </c>
      <c r="D84">
        <v>3180</v>
      </c>
      <c r="E84">
        <v>3185</v>
      </c>
      <c r="F84">
        <v>3175</v>
      </c>
      <c r="G84">
        <v>3185</v>
      </c>
      <c r="H84">
        <v>9900</v>
      </c>
    </row>
    <row r="85" spans="2:8">
      <c r="B85" t="s">
        <v>587</v>
      </c>
      <c r="C85" t="s">
        <v>248</v>
      </c>
      <c r="D85">
        <v>3185</v>
      </c>
      <c r="E85">
        <v>3185</v>
      </c>
      <c r="F85">
        <v>3175</v>
      </c>
      <c r="G85">
        <v>3180</v>
      </c>
      <c r="H85">
        <v>7000</v>
      </c>
    </row>
    <row r="86" spans="2:8">
      <c r="B86" t="s">
        <v>587</v>
      </c>
      <c r="C86" t="s">
        <v>249</v>
      </c>
      <c r="D86">
        <v>3180</v>
      </c>
      <c r="E86">
        <v>3180</v>
      </c>
      <c r="F86">
        <v>3180</v>
      </c>
      <c r="G86">
        <v>3180</v>
      </c>
      <c r="H86">
        <v>500</v>
      </c>
    </row>
    <row r="87" spans="2:8">
      <c r="B87" t="s">
        <v>587</v>
      </c>
      <c r="C87" t="s">
        <v>250</v>
      </c>
      <c r="D87" t="s">
        <v>8</v>
      </c>
      <c r="E87" t="s">
        <v>8</v>
      </c>
      <c r="F87" t="s">
        <v>8</v>
      </c>
      <c r="G87" t="s">
        <v>8</v>
      </c>
      <c r="H87">
        <v>0</v>
      </c>
    </row>
    <row r="88" spans="2:8">
      <c r="B88" t="s">
        <v>587</v>
      </c>
      <c r="C88" t="s">
        <v>251</v>
      </c>
      <c r="D88">
        <v>3180</v>
      </c>
      <c r="E88">
        <v>3180</v>
      </c>
      <c r="F88">
        <v>3170</v>
      </c>
      <c r="G88">
        <v>3170</v>
      </c>
      <c r="H88">
        <v>17300</v>
      </c>
    </row>
    <row r="89" spans="2:8">
      <c r="B89" t="s">
        <v>587</v>
      </c>
      <c r="C89" t="s">
        <v>252</v>
      </c>
      <c r="D89" t="s">
        <v>8</v>
      </c>
      <c r="E89" t="s">
        <v>8</v>
      </c>
      <c r="F89" t="s">
        <v>8</v>
      </c>
      <c r="G89" t="s">
        <v>8</v>
      </c>
      <c r="H89">
        <v>0</v>
      </c>
    </row>
    <row r="90" spans="2:8">
      <c r="B90" t="s">
        <v>587</v>
      </c>
      <c r="C90" t="s">
        <v>253</v>
      </c>
      <c r="D90">
        <v>3175</v>
      </c>
      <c r="E90">
        <v>3180</v>
      </c>
      <c r="F90">
        <v>3175</v>
      </c>
      <c r="G90">
        <v>3180</v>
      </c>
      <c r="H90">
        <v>1500</v>
      </c>
    </row>
    <row r="91" spans="2:8">
      <c r="B91" t="s">
        <v>587</v>
      </c>
      <c r="C91" t="s">
        <v>254</v>
      </c>
      <c r="D91">
        <v>3180</v>
      </c>
      <c r="E91">
        <v>3185</v>
      </c>
      <c r="F91">
        <v>3180</v>
      </c>
      <c r="G91">
        <v>3180</v>
      </c>
      <c r="H91">
        <v>7600</v>
      </c>
    </row>
    <row r="92" spans="2:8">
      <c r="B92" t="s">
        <v>587</v>
      </c>
      <c r="C92" t="s">
        <v>255</v>
      </c>
      <c r="D92">
        <v>3185</v>
      </c>
      <c r="E92">
        <v>3185</v>
      </c>
      <c r="F92">
        <v>3185</v>
      </c>
      <c r="G92">
        <v>3185</v>
      </c>
      <c r="H92">
        <v>200</v>
      </c>
    </row>
    <row r="93" spans="2:8">
      <c r="B93" t="s">
        <v>587</v>
      </c>
      <c r="C93" t="s">
        <v>256</v>
      </c>
      <c r="D93">
        <v>3180</v>
      </c>
      <c r="E93">
        <v>3185</v>
      </c>
      <c r="F93">
        <v>3180</v>
      </c>
      <c r="G93">
        <v>3180</v>
      </c>
      <c r="H93">
        <v>700</v>
      </c>
    </row>
    <row r="94" spans="2:8">
      <c r="B94" t="s">
        <v>587</v>
      </c>
      <c r="C94" t="s">
        <v>257</v>
      </c>
      <c r="D94">
        <v>3180</v>
      </c>
      <c r="E94">
        <v>3180</v>
      </c>
      <c r="F94">
        <v>3180</v>
      </c>
      <c r="G94">
        <v>3180</v>
      </c>
      <c r="H94">
        <v>600</v>
      </c>
    </row>
    <row r="95" spans="2:8">
      <c r="B95" t="s">
        <v>587</v>
      </c>
      <c r="C95" t="s">
        <v>258</v>
      </c>
      <c r="D95">
        <v>3185</v>
      </c>
      <c r="E95">
        <v>3190</v>
      </c>
      <c r="F95">
        <v>3185</v>
      </c>
      <c r="G95">
        <v>3190</v>
      </c>
      <c r="H95">
        <v>13200</v>
      </c>
    </row>
    <row r="96" spans="2:8">
      <c r="B96" t="s">
        <v>587</v>
      </c>
      <c r="C96" t="s">
        <v>259</v>
      </c>
      <c r="D96">
        <v>3185</v>
      </c>
      <c r="E96">
        <v>3185</v>
      </c>
      <c r="F96">
        <v>3185</v>
      </c>
      <c r="G96">
        <v>3185</v>
      </c>
      <c r="H96">
        <v>4900</v>
      </c>
    </row>
    <row r="97" spans="2:8">
      <c r="B97" t="s">
        <v>587</v>
      </c>
      <c r="C97" t="s">
        <v>260</v>
      </c>
      <c r="D97">
        <v>3185</v>
      </c>
      <c r="E97">
        <v>3185</v>
      </c>
      <c r="F97">
        <v>3175</v>
      </c>
      <c r="G97">
        <v>3175</v>
      </c>
      <c r="H97">
        <v>9300</v>
      </c>
    </row>
    <row r="98" spans="2:8">
      <c r="B98" t="s">
        <v>587</v>
      </c>
      <c r="C98" t="s">
        <v>261</v>
      </c>
      <c r="D98">
        <v>3175</v>
      </c>
      <c r="E98">
        <v>3175</v>
      </c>
      <c r="F98">
        <v>3175</v>
      </c>
      <c r="G98">
        <v>3175</v>
      </c>
      <c r="H98">
        <v>2700</v>
      </c>
    </row>
    <row r="99" spans="2:8">
      <c r="B99" t="s">
        <v>587</v>
      </c>
      <c r="C99" t="s">
        <v>262</v>
      </c>
      <c r="D99">
        <v>3180</v>
      </c>
      <c r="E99">
        <v>3180</v>
      </c>
      <c r="F99">
        <v>3180</v>
      </c>
      <c r="G99">
        <v>3180</v>
      </c>
      <c r="H99">
        <v>100</v>
      </c>
    </row>
    <row r="100" spans="2:8">
      <c r="B100" t="s">
        <v>587</v>
      </c>
      <c r="C100" t="s">
        <v>263</v>
      </c>
      <c r="D100">
        <v>3175</v>
      </c>
      <c r="E100">
        <v>3180</v>
      </c>
      <c r="F100">
        <v>3175</v>
      </c>
      <c r="G100">
        <v>3175</v>
      </c>
      <c r="H100">
        <v>1400</v>
      </c>
    </row>
    <row r="101" spans="2:8">
      <c r="B101" t="s">
        <v>587</v>
      </c>
      <c r="C101" t="s">
        <v>264</v>
      </c>
      <c r="D101">
        <v>3180</v>
      </c>
      <c r="E101">
        <v>3180</v>
      </c>
      <c r="F101">
        <v>3180</v>
      </c>
      <c r="G101">
        <v>3180</v>
      </c>
      <c r="H101">
        <v>6100</v>
      </c>
    </row>
    <row r="102" spans="2:8">
      <c r="B102" t="s">
        <v>587</v>
      </c>
      <c r="C102" t="s">
        <v>265</v>
      </c>
      <c r="D102">
        <v>3180</v>
      </c>
      <c r="E102">
        <v>3185</v>
      </c>
      <c r="F102">
        <v>3180</v>
      </c>
      <c r="G102">
        <v>3185</v>
      </c>
      <c r="H102">
        <v>200</v>
      </c>
    </row>
    <row r="103" spans="2:8">
      <c r="B103" t="s">
        <v>587</v>
      </c>
      <c r="C103" t="s">
        <v>266</v>
      </c>
      <c r="D103">
        <v>3180</v>
      </c>
      <c r="E103">
        <v>3180</v>
      </c>
      <c r="F103">
        <v>3180</v>
      </c>
      <c r="G103">
        <v>3180</v>
      </c>
      <c r="H103">
        <v>1200</v>
      </c>
    </row>
    <row r="104" spans="2:8">
      <c r="B104" t="s">
        <v>587</v>
      </c>
      <c r="C104" t="s">
        <v>267</v>
      </c>
      <c r="D104">
        <v>3180</v>
      </c>
      <c r="E104">
        <v>3185</v>
      </c>
      <c r="F104">
        <v>3180</v>
      </c>
      <c r="G104">
        <v>3180</v>
      </c>
      <c r="H104">
        <v>600</v>
      </c>
    </row>
    <row r="105" spans="2:8">
      <c r="B105" t="s">
        <v>587</v>
      </c>
      <c r="C105" t="s">
        <v>268</v>
      </c>
      <c r="D105">
        <v>3180</v>
      </c>
      <c r="E105">
        <v>3180</v>
      </c>
      <c r="F105">
        <v>3180</v>
      </c>
      <c r="G105">
        <v>3180</v>
      </c>
      <c r="H105">
        <v>100</v>
      </c>
    </row>
    <row r="106" spans="2:8">
      <c r="B106" t="s">
        <v>587</v>
      </c>
      <c r="C106" t="s">
        <v>269</v>
      </c>
      <c r="D106" t="s">
        <v>8</v>
      </c>
      <c r="E106" t="s">
        <v>8</v>
      </c>
      <c r="F106" t="s">
        <v>8</v>
      </c>
      <c r="G106" t="s">
        <v>8</v>
      </c>
      <c r="H106">
        <v>0</v>
      </c>
    </row>
    <row r="107" spans="2:8">
      <c r="B107" t="s">
        <v>587</v>
      </c>
      <c r="C107" t="s">
        <v>270</v>
      </c>
      <c r="D107">
        <v>3180</v>
      </c>
      <c r="E107">
        <v>3185</v>
      </c>
      <c r="F107">
        <v>3180</v>
      </c>
      <c r="G107">
        <v>3185</v>
      </c>
      <c r="H107">
        <v>2900</v>
      </c>
    </row>
    <row r="108" spans="2:8">
      <c r="B108" t="s">
        <v>587</v>
      </c>
      <c r="C108" t="s">
        <v>271</v>
      </c>
      <c r="D108">
        <v>3180</v>
      </c>
      <c r="E108">
        <v>3180</v>
      </c>
      <c r="F108">
        <v>3180</v>
      </c>
      <c r="G108">
        <v>3180</v>
      </c>
      <c r="H108">
        <v>600</v>
      </c>
    </row>
    <row r="109" spans="2:8">
      <c r="B109" t="s">
        <v>587</v>
      </c>
      <c r="C109" t="s">
        <v>272</v>
      </c>
      <c r="D109">
        <v>3185</v>
      </c>
      <c r="E109">
        <v>3185</v>
      </c>
      <c r="F109">
        <v>3185</v>
      </c>
      <c r="G109">
        <v>3185</v>
      </c>
      <c r="H109">
        <v>6400</v>
      </c>
    </row>
    <row r="110" spans="2:8">
      <c r="B110" t="s">
        <v>587</v>
      </c>
      <c r="C110" t="s">
        <v>273</v>
      </c>
      <c r="D110">
        <v>3185</v>
      </c>
      <c r="E110">
        <v>3185</v>
      </c>
      <c r="F110">
        <v>3185</v>
      </c>
      <c r="G110">
        <v>3185</v>
      </c>
      <c r="H110">
        <v>100</v>
      </c>
    </row>
    <row r="111" spans="2:8">
      <c r="B111" t="s">
        <v>587</v>
      </c>
      <c r="C111" t="s">
        <v>274</v>
      </c>
      <c r="D111">
        <v>3185</v>
      </c>
      <c r="E111">
        <v>3185</v>
      </c>
      <c r="F111">
        <v>3185</v>
      </c>
      <c r="G111">
        <v>3185</v>
      </c>
      <c r="H111">
        <v>200</v>
      </c>
    </row>
    <row r="112" spans="2:8">
      <c r="B112" t="s">
        <v>587</v>
      </c>
      <c r="C112" t="s">
        <v>275</v>
      </c>
      <c r="D112">
        <v>3190</v>
      </c>
      <c r="E112">
        <v>3190</v>
      </c>
      <c r="F112">
        <v>3190</v>
      </c>
      <c r="G112">
        <v>3190</v>
      </c>
      <c r="H112">
        <v>8700</v>
      </c>
    </row>
    <row r="113" spans="2:8">
      <c r="B113" t="s">
        <v>587</v>
      </c>
      <c r="C113" t="s">
        <v>276</v>
      </c>
      <c r="D113">
        <v>3190</v>
      </c>
      <c r="E113">
        <v>3195</v>
      </c>
      <c r="F113">
        <v>3190</v>
      </c>
      <c r="G113">
        <v>3190</v>
      </c>
      <c r="H113">
        <v>6600</v>
      </c>
    </row>
    <row r="114" spans="2:8">
      <c r="B114" t="s">
        <v>587</v>
      </c>
      <c r="C114" t="s">
        <v>277</v>
      </c>
      <c r="D114">
        <v>3190</v>
      </c>
      <c r="E114">
        <v>3190</v>
      </c>
      <c r="F114">
        <v>3190</v>
      </c>
      <c r="G114">
        <v>3190</v>
      </c>
      <c r="H114">
        <v>700</v>
      </c>
    </row>
    <row r="115" spans="2:8">
      <c r="B115" t="s">
        <v>587</v>
      </c>
      <c r="C115" t="s">
        <v>278</v>
      </c>
      <c r="D115">
        <v>3190</v>
      </c>
      <c r="E115">
        <v>3190</v>
      </c>
      <c r="F115">
        <v>3185</v>
      </c>
      <c r="G115">
        <v>3185</v>
      </c>
      <c r="H115">
        <v>7700</v>
      </c>
    </row>
    <row r="116" spans="2:8">
      <c r="B116" t="s">
        <v>587</v>
      </c>
      <c r="C116" t="s">
        <v>279</v>
      </c>
      <c r="D116">
        <v>3185</v>
      </c>
      <c r="E116">
        <v>3185</v>
      </c>
      <c r="F116">
        <v>3185</v>
      </c>
      <c r="G116">
        <v>3185</v>
      </c>
      <c r="H116">
        <v>600</v>
      </c>
    </row>
    <row r="117" spans="2:8">
      <c r="B117" t="s">
        <v>587</v>
      </c>
      <c r="C117" t="s">
        <v>280</v>
      </c>
      <c r="D117">
        <v>3180</v>
      </c>
      <c r="E117">
        <v>3185</v>
      </c>
      <c r="F117">
        <v>3180</v>
      </c>
      <c r="G117">
        <v>3185</v>
      </c>
      <c r="H117">
        <v>12400</v>
      </c>
    </row>
    <row r="118" spans="2:8">
      <c r="B118" t="s">
        <v>587</v>
      </c>
      <c r="C118" t="s">
        <v>281</v>
      </c>
      <c r="D118">
        <v>3180</v>
      </c>
      <c r="E118">
        <v>3180</v>
      </c>
      <c r="F118">
        <v>3180</v>
      </c>
      <c r="G118">
        <v>3180</v>
      </c>
      <c r="H118">
        <v>7000</v>
      </c>
    </row>
    <row r="119" spans="2:8">
      <c r="B119" t="s">
        <v>587</v>
      </c>
      <c r="C119" t="s">
        <v>282</v>
      </c>
      <c r="D119">
        <v>3180</v>
      </c>
      <c r="E119">
        <v>3180</v>
      </c>
      <c r="F119">
        <v>3180</v>
      </c>
      <c r="G119">
        <v>3180</v>
      </c>
      <c r="H119">
        <v>100</v>
      </c>
    </row>
    <row r="120" spans="2:8">
      <c r="B120" t="s">
        <v>587</v>
      </c>
      <c r="C120" t="s">
        <v>283</v>
      </c>
      <c r="D120">
        <v>3185</v>
      </c>
      <c r="E120">
        <v>3190</v>
      </c>
      <c r="F120">
        <v>3185</v>
      </c>
      <c r="G120">
        <v>3185</v>
      </c>
      <c r="H120">
        <v>4600</v>
      </c>
    </row>
    <row r="121" spans="2:8">
      <c r="B121" t="s">
        <v>587</v>
      </c>
      <c r="C121" t="s">
        <v>284</v>
      </c>
      <c r="D121" t="s">
        <v>8</v>
      </c>
      <c r="E121" t="s">
        <v>8</v>
      </c>
      <c r="F121" t="s">
        <v>8</v>
      </c>
      <c r="G121" t="s">
        <v>8</v>
      </c>
      <c r="H121">
        <v>0</v>
      </c>
    </row>
    <row r="122" spans="2:8">
      <c r="B122" t="s">
        <v>587</v>
      </c>
      <c r="C122" t="s">
        <v>285</v>
      </c>
      <c r="D122">
        <v>3185</v>
      </c>
      <c r="E122">
        <v>3185</v>
      </c>
      <c r="F122">
        <v>3185</v>
      </c>
      <c r="G122">
        <v>3185</v>
      </c>
      <c r="H122">
        <v>2500</v>
      </c>
    </row>
    <row r="123" spans="2:8">
      <c r="B123" t="s">
        <v>587</v>
      </c>
      <c r="C123" t="s">
        <v>286</v>
      </c>
      <c r="D123">
        <v>3185</v>
      </c>
      <c r="E123">
        <v>3185</v>
      </c>
      <c r="F123">
        <v>3180</v>
      </c>
      <c r="G123">
        <v>3180</v>
      </c>
      <c r="H123">
        <v>600</v>
      </c>
    </row>
    <row r="124" spans="2:8">
      <c r="B124" t="s">
        <v>587</v>
      </c>
      <c r="C124" t="s">
        <v>287</v>
      </c>
      <c r="D124" t="s">
        <v>8</v>
      </c>
      <c r="E124" t="s">
        <v>8</v>
      </c>
      <c r="F124" t="s">
        <v>8</v>
      </c>
      <c r="G124" t="s">
        <v>8</v>
      </c>
      <c r="H124">
        <v>0</v>
      </c>
    </row>
    <row r="125" spans="2:8">
      <c r="B125" t="s">
        <v>587</v>
      </c>
      <c r="C125" t="s">
        <v>288</v>
      </c>
      <c r="D125">
        <v>3180</v>
      </c>
      <c r="E125">
        <v>3185</v>
      </c>
      <c r="F125">
        <v>3180</v>
      </c>
      <c r="G125">
        <v>3185</v>
      </c>
      <c r="H125">
        <v>6200</v>
      </c>
    </row>
    <row r="126" spans="2:8">
      <c r="B126" t="s">
        <v>587</v>
      </c>
      <c r="C126" t="s">
        <v>289</v>
      </c>
      <c r="D126">
        <v>3180</v>
      </c>
      <c r="E126">
        <v>3180</v>
      </c>
      <c r="F126">
        <v>3180</v>
      </c>
      <c r="G126">
        <v>3180</v>
      </c>
      <c r="H126">
        <v>100</v>
      </c>
    </row>
    <row r="127" spans="2:8">
      <c r="B127" t="s">
        <v>587</v>
      </c>
      <c r="C127" t="s">
        <v>290</v>
      </c>
      <c r="D127">
        <v>3185</v>
      </c>
      <c r="E127">
        <v>3185</v>
      </c>
      <c r="F127">
        <v>3185</v>
      </c>
      <c r="G127">
        <v>3185</v>
      </c>
      <c r="H127">
        <v>3100</v>
      </c>
    </row>
    <row r="128" spans="2:8">
      <c r="B128" t="s">
        <v>587</v>
      </c>
      <c r="C128" t="s">
        <v>291</v>
      </c>
      <c r="D128">
        <v>3190</v>
      </c>
      <c r="E128">
        <v>3190</v>
      </c>
      <c r="F128">
        <v>3185</v>
      </c>
      <c r="G128">
        <v>3185</v>
      </c>
      <c r="H128">
        <v>400</v>
      </c>
    </row>
    <row r="129" spans="2:8">
      <c r="B129" t="s">
        <v>587</v>
      </c>
      <c r="C129" t="s">
        <v>292</v>
      </c>
      <c r="D129">
        <v>3190</v>
      </c>
      <c r="E129">
        <v>3190</v>
      </c>
      <c r="F129">
        <v>3185</v>
      </c>
      <c r="G129">
        <v>3185</v>
      </c>
      <c r="H129">
        <v>1000</v>
      </c>
    </row>
    <row r="130" spans="2:8">
      <c r="B130" t="s">
        <v>587</v>
      </c>
      <c r="C130" t="s">
        <v>293</v>
      </c>
      <c r="D130" t="s">
        <v>8</v>
      </c>
      <c r="E130" t="s">
        <v>8</v>
      </c>
      <c r="F130" t="s">
        <v>8</v>
      </c>
      <c r="G130" t="s">
        <v>8</v>
      </c>
      <c r="H130">
        <v>0</v>
      </c>
    </row>
    <row r="131" spans="2:8">
      <c r="B131" t="s">
        <v>587</v>
      </c>
      <c r="C131" t="s">
        <v>294</v>
      </c>
      <c r="D131">
        <v>3190</v>
      </c>
      <c r="E131">
        <v>3200</v>
      </c>
      <c r="F131">
        <v>3190</v>
      </c>
      <c r="G131">
        <v>3200</v>
      </c>
      <c r="H131">
        <v>35500</v>
      </c>
    </row>
    <row r="132" spans="2:8">
      <c r="B132" t="s">
        <v>587</v>
      </c>
      <c r="C132" t="s">
        <v>295</v>
      </c>
      <c r="D132">
        <v>3200</v>
      </c>
      <c r="E132">
        <v>3200</v>
      </c>
      <c r="F132">
        <v>3195</v>
      </c>
      <c r="G132">
        <v>3195</v>
      </c>
      <c r="H132">
        <v>500</v>
      </c>
    </row>
    <row r="133" spans="2:8">
      <c r="B133" t="s">
        <v>587</v>
      </c>
      <c r="C133" t="s">
        <v>296</v>
      </c>
      <c r="D133">
        <v>3195</v>
      </c>
      <c r="E133">
        <v>3210</v>
      </c>
      <c r="F133">
        <v>3195</v>
      </c>
      <c r="G133">
        <v>3210</v>
      </c>
      <c r="H133">
        <v>26500</v>
      </c>
    </row>
    <row r="134" spans="2:8">
      <c r="B134" t="s">
        <v>587</v>
      </c>
      <c r="C134" t="s">
        <v>297</v>
      </c>
      <c r="D134">
        <v>3210</v>
      </c>
      <c r="E134">
        <v>3210</v>
      </c>
      <c r="F134">
        <v>3205</v>
      </c>
      <c r="G134">
        <v>3205</v>
      </c>
      <c r="H134">
        <v>800</v>
      </c>
    </row>
    <row r="135" spans="2:8">
      <c r="B135" t="s">
        <v>587</v>
      </c>
      <c r="C135" t="s">
        <v>298</v>
      </c>
      <c r="D135">
        <v>3210</v>
      </c>
      <c r="E135">
        <v>3210</v>
      </c>
      <c r="F135">
        <v>3205</v>
      </c>
      <c r="G135">
        <v>3205</v>
      </c>
      <c r="H135">
        <v>1700</v>
      </c>
    </row>
    <row r="136" spans="2:8">
      <c r="B136" t="s">
        <v>587</v>
      </c>
      <c r="C136" t="s">
        <v>299</v>
      </c>
      <c r="D136">
        <v>3205</v>
      </c>
      <c r="E136">
        <v>3210</v>
      </c>
      <c r="F136">
        <v>3205</v>
      </c>
      <c r="G136">
        <v>3210</v>
      </c>
      <c r="H136">
        <v>2000</v>
      </c>
    </row>
    <row r="137" spans="2:8">
      <c r="B137" t="s">
        <v>587</v>
      </c>
      <c r="C137" t="s">
        <v>300</v>
      </c>
      <c r="D137">
        <v>3205</v>
      </c>
      <c r="E137">
        <v>3215</v>
      </c>
      <c r="F137">
        <v>3205</v>
      </c>
      <c r="G137">
        <v>3215</v>
      </c>
      <c r="H137">
        <v>14200</v>
      </c>
    </row>
    <row r="138" spans="2:8">
      <c r="B138" t="s">
        <v>587</v>
      </c>
      <c r="C138" t="s">
        <v>301</v>
      </c>
      <c r="D138">
        <v>3215</v>
      </c>
      <c r="E138">
        <v>3215</v>
      </c>
      <c r="F138">
        <v>3215</v>
      </c>
      <c r="G138">
        <v>3215</v>
      </c>
      <c r="H138">
        <v>4200</v>
      </c>
    </row>
    <row r="139" spans="2:8">
      <c r="B139" t="s">
        <v>587</v>
      </c>
      <c r="C139" t="s">
        <v>302</v>
      </c>
      <c r="D139">
        <v>3215</v>
      </c>
      <c r="E139">
        <v>3215</v>
      </c>
      <c r="F139">
        <v>3215</v>
      </c>
      <c r="G139">
        <v>3215</v>
      </c>
      <c r="H139">
        <v>400</v>
      </c>
    </row>
    <row r="140" spans="2:8">
      <c r="B140" t="s">
        <v>587</v>
      </c>
      <c r="C140" t="s">
        <v>303</v>
      </c>
      <c r="D140">
        <v>3215</v>
      </c>
      <c r="E140">
        <v>3225</v>
      </c>
      <c r="F140">
        <v>3215</v>
      </c>
      <c r="G140">
        <v>3220</v>
      </c>
      <c r="H140">
        <v>39700</v>
      </c>
    </row>
    <row r="141" spans="2:8">
      <c r="B141" t="s">
        <v>587</v>
      </c>
      <c r="C141" t="s">
        <v>304</v>
      </c>
      <c r="D141">
        <v>3220</v>
      </c>
      <c r="E141">
        <v>3225</v>
      </c>
      <c r="F141">
        <v>3220</v>
      </c>
      <c r="G141">
        <v>3220</v>
      </c>
      <c r="H141">
        <v>700</v>
      </c>
    </row>
    <row r="142" spans="2:8">
      <c r="B142" t="s">
        <v>587</v>
      </c>
      <c r="C142" t="s">
        <v>305</v>
      </c>
      <c r="D142">
        <v>3220</v>
      </c>
      <c r="E142">
        <v>3225</v>
      </c>
      <c r="F142">
        <v>3220</v>
      </c>
      <c r="G142">
        <v>3225</v>
      </c>
      <c r="H142">
        <v>11100</v>
      </c>
    </row>
    <row r="143" spans="2:8">
      <c r="B143" t="s">
        <v>587</v>
      </c>
      <c r="C143" t="s">
        <v>306</v>
      </c>
      <c r="D143">
        <v>3220</v>
      </c>
      <c r="E143">
        <v>3225</v>
      </c>
      <c r="F143">
        <v>3220</v>
      </c>
      <c r="G143">
        <v>3220</v>
      </c>
      <c r="H143">
        <v>4200</v>
      </c>
    </row>
    <row r="144" spans="2:8">
      <c r="B144" t="s">
        <v>587</v>
      </c>
      <c r="C144" t="s">
        <v>307</v>
      </c>
      <c r="D144">
        <v>3220</v>
      </c>
      <c r="E144">
        <v>3220</v>
      </c>
      <c r="F144">
        <v>3215</v>
      </c>
      <c r="G144">
        <v>3220</v>
      </c>
      <c r="H144">
        <v>12600</v>
      </c>
    </row>
    <row r="145" spans="2:8">
      <c r="B145" t="s">
        <v>587</v>
      </c>
      <c r="C145" t="s">
        <v>308</v>
      </c>
      <c r="D145">
        <v>3220</v>
      </c>
      <c r="E145">
        <v>3225</v>
      </c>
      <c r="F145">
        <v>3215</v>
      </c>
      <c r="G145">
        <v>3225</v>
      </c>
      <c r="H145">
        <v>40600</v>
      </c>
    </row>
    <row r="146" spans="2:8">
      <c r="B146" t="s">
        <v>587</v>
      </c>
      <c r="C146" t="s">
        <v>309</v>
      </c>
      <c r="D146">
        <v>3225</v>
      </c>
      <c r="E146">
        <v>3225</v>
      </c>
      <c r="F146">
        <v>3225</v>
      </c>
      <c r="G146">
        <v>3225</v>
      </c>
      <c r="H146">
        <v>800</v>
      </c>
    </row>
    <row r="147" spans="2:8">
      <c r="B147" t="s">
        <v>587</v>
      </c>
      <c r="C147" t="s">
        <v>310</v>
      </c>
      <c r="D147">
        <v>3225</v>
      </c>
      <c r="E147">
        <v>3225</v>
      </c>
      <c r="F147">
        <v>3225</v>
      </c>
      <c r="G147">
        <v>3225</v>
      </c>
      <c r="H147">
        <v>4700</v>
      </c>
    </row>
    <row r="148" spans="2:8">
      <c r="B148" t="s">
        <v>587</v>
      </c>
      <c r="C148" t="s">
        <v>311</v>
      </c>
      <c r="D148">
        <v>3225</v>
      </c>
      <c r="E148">
        <v>3225</v>
      </c>
      <c r="F148">
        <v>3225</v>
      </c>
      <c r="G148">
        <v>3225</v>
      </c>
      <c r="H148">
        <v>4300</v>
      </c>
    </row>
    <row r="149" spans="2:8">
      <c r="B149" t="s">
        <v>587</v>
      </c>
      <c r="C149" t="s">
        <v>312</v>
      </c>
      <c r="D149">
        <v>3225</v>
      </c>
      <c r="E149">
        <v>3225</v>
      </c>
      <c r="F149">
        <v>3225</v>
      </c>
      <c r="G149">
        <v>3225</v>
      </c>
      <c r="H149">
        <v>200</v>
      </c>
    </row>
    <row r="150" spans="2:8">
      <c r="B150" t="s">
        <v>587</v>
      </c>
      <c r="C150" t="s">
        <v>313</v>
      </c>
      <c r="D150">
        <v>3225</v>
      </c>
      <c r="E150">
        <v>3235</v>
      </c>
      <c r="F150">
        <v>3225</v>
      </c>
      <c r="G150">
        <v>3230</v>
      </c>
      <c r="H150">
        <v>31100</v>
      </c>
    </row>
    <row r="151" spans="2:8">
      <c r="B151" t="s">
        <v>587</v>
      </c>
      <c r="C151" t="s">
        <v>314</v>
      </c>
      <c r="D151">
        <v>3230</v>
      </c>
      <c r="E151">
        <v>3230</v>
      </c>
      <c r="F151">
        <v>3230</v>
      </c>
      <c r="G151">
        <v>3230</v>
      </c>
      <c r="H151">
        <v>10100</v>
      </c>
    </row>
    <row r="152" spans="2:8">
      <c r="B152" t="s">
        <v>587</v>
      </c>
      <c r="C152" t="s">
        <v>315</v>
      </c>
      <c r="D152">
        <v>3230</v>
      </c>
      <c r="E152">
        <v>3230</v>
      </c>
      <c r="F152">
        <v>3225</v>
      </c>
      <c r="G152">
        <v>3225</v>
      </c>
      <c r="H152">
        <v>2800</v>
      </c>
    </row>
    <row r="153" spans="2:8">
      <c r="B153" t="s">
        <v>587</v>
      </c>
      <c r="C153" t="s">
        <v>316</v>
      </c>
      <c r="D153">
        <v>3230</v>
      </c>
      <c r="E153">
        <v>3230</v>
      </c>
      <c r="F153">
        <v>3230</v>
      </c>
      <c r="G153">
        <v>3230</v>
      </c>
      <c r="H153">
        <v>14300</v>
      </c>
    </row>
    <row r="154" spans="2:8">
      <c r="B154" t="s">
        <v>587</v>
      </c>
      <c r="C154" t="s">
        <v>317</v>
      </c>
      <c r="D154">
        <v>3245</v>
      </c>
      <c r="E154">
        <v>3245</v>
      </c>
      <c r="F154">
        <v>3225</v>
      </c>
      <c r="G154">
        <v>3225</v>
      </c>
      <c r="H154">
        <v>113800</v>
      </c>
    </row>
    <row r="155" spans="2:8">
      <c r="B155" t="s">
        <v>587</v>
      </c>
      <c r="C155" t="s">
        <v>318</v>
      </c>
      <c r="D155">
        <v>3225</v>
      </c>
      <c r="E155">
        <v>3225</v>
      </c>
      <c r="F155">
        <v>3220</v>
      </c>
      <c r="G155">
        <v>3220</v>
      </c>
      <c r="H155">
        <v>2100</v>
      </c>
    </row>
    <row r="156" spans="2:8">
      <c r="B156" t="s">
        <v>587</v>
      </c>
      <c r="C156" t="s">
        <v>319</v>
      </c>
      <c r="D156">
        <v>3220</v>
      </c>
      <c r="E156">
        <v>3220</v>
      </c>
      <c r="F156">
        <v>3220</v>
      </c>
      <c r="G156">
        <v>3220</v>
      </c>
      <c r="H156">
        <v>1800</v>
      </c>
    </row>
    <row r="157" spans="2:8">
      <c r="B157" t="s">
        <v>587</v>
      </c>
      <c r="C157" t="s">
        <v>320</v>
      </c>
      <c r="D157">
        <v>3220</v>
      </c>
      <c r="E157">
        <v>3220</v>
      </c>
      <c r="F157">
        <v>3215</v>
      </c>
      <c r="G157">
        <v>3220</v>
      </c>
      <c r="H157">
        <v>5700</v>
      </c>
    </row>
    <row r="158" spans="2:8">
      <c r="B158" t="s">
        <v>587</v>
      </c>
      <c r="C158" t="s">
        <v>321</v>
      </c>
      <c r="D158">
        <v>3220</v>
      </c>
      <c r="E158">
        <v>3220</v>
      </c>
      <c r="F158">
        <v>3205</v>
      </c>
      <c r="G158">
        <v>3210</v>
      </c>
      <c r="H158">
        <v>27300</v>
      </c>
    </row>
    <row r="159" spans="2:8">
      <c r="B159" t="s">
        <v>587</v>
      </c>
      <c r="C159" t="s">
        <v>322</v>
      </c>
      <c r="D159">
        <v>3205</v>
      </c>
      <c r="E159">
        <v>3205</v>
      </c>
      <c r="F159">
        <v>3205</v>
      </c>
      <c r="G159">
        <v>3205</v>
      </c>
      <c r="H159">
        <v>12200</v>
      </c>
    </row>
    <row r="160" spans="2:8">
      <c r="B160" t="s">
        <v>587</v>
      </c>
      <c r="C160" t="s">
        <v>323</v>
      </c>
      <c r="D160">
        <v>3200</v>
      </c>
      <c r="E160">
        <v>3205</v>
      </c>
      <c r="F160">
        <v>3195</v>
      </c>
      <c r="G160">
        <v>3200</v>
      </c>
      <c r="H160">
        <v>27200</v>
      </c>
    </row>
    <row r="161" spans="2:8">
      <c r="B161" t="s">
        <v>587</v>
      </c>
      <c r="C161" t="s">
        <v>324</v>
      </c>
      <c r="D161">
        <v>3200</v>
      </c>
      <c r="E161">
        <v>3205</v>
      </c>
      <c r="F161">
        <v>3200</v>
      </c>
      <c r="G161">
        <v>3200</v>
      </c>
      <c r="H161">
        <v>1400</v>
      </c>
    </row>
    <row r="162" spans="2:8">
      <c r="B162" t="s">
        <v>587</v>
      </c>
      <c r="C162" t="s">
        <v>325</v>
      </c>
      <c r="D162">
        <v>3205</v>
      </c>
      <c r="E162">
        <v>3205</v>
      </c>
      <c r="F162">
        <v>3200</v>
      </c>
      <c r="G162">
        <v>3200</v>
      </c>
      <c r="H162">
        <v>17600</v>
      </c>
    </row>
    <row r="163" spans="2:8">
      <c r="B163" t="s">
        <v>587</v>
      </c>
      <c r="C163" t="s">
        <v>326</v>
      </c>
      <c r="D163">
        <v>3200</v>
      </c>
      <c r="E163">
        <v>3200</v>
      </c>
      <c r="F163">
        <v>3200</v>
      </c>
      <c r="G163">
        <v>3200</v>
      </c>
      <c r="H163">
        <v>5600</v>
      </c>
    </row>
    <row r="164" spans="2:8">
      <c r="B164" t="s">
        <v>587</v>
      </c>
      <c r="C164" t="s">
        <v>327</v>
      </c>
      <c r="D164">
        <v>3200</v>
      </c>
      <c r="E164">
        <v>3200</v>
      </c>
      <c r="F164">
        <v>3195</v>
      </c>
      <c r="G164">
        <v>3195</v>
      </c>
      <c r="H164">
        <v>12600</v>
      </c>
    </row>
    <row r="165" spans="2:8">
      <c r="B165" t="s">
        <v>587</v>
      </c>
      <c r="C165" t="s">
        <v>328</v>
      </c>
      <c r="D165">
        <v>3190</v>
      </c>
      <c r="E165">
        <v>3195</v>
      </c>
      <c r="F165">
        <v>3190</v>
      </c>
      <c r="G165">
        <v>3195</v>
      </c>
      <c r="H165">
        <v>3000</v>
      </c>
    </row>
    <row r="166" spans="2:8">
      <c r="B166" t="s">
        <v>587</v>
      </c>
      <c r="C166" t="s">
        <v>329</v>
      </c>
      <c r="D166">
        <v>3195</v>
      </c>
      <c r="E166">
        <v>3195</v>
      </c>
      <c r="F166">
        <v>3190</v>
      </c>
      <c r="G166">
        <v>3195</v>
      </c>
      <c r="H166">
        <v>3500</v>
      </c>
    </row>
    <row r="167" spans="2:8">
      <c r="B167" t="s">
        <v>587</v>
      </c>
      <c r="C167" t="s">
        <v>330</v>
      </c>
      <c r="D167">
        <v>3195</v>
      </c>
      <c r="E167">
        <v>3195</v>
      </c>
      <c r="F167">
        <v>3190</v>
      </c>
      <c r="G167">
        <v>3190</v>
      </c>
      <c r="H167">
        <v>900</v>
      </c>
    </row>
    <row r="168" spans="2:8">
      <c r="B168" t="s">
        <v>587</v>
      </c>
      <c r="C168" t="s">
        <v>331</v>
      </c>
      <c r="D168">
        <v>3195</v>
      </c>
      <c r="E168">
        <v>3195</v>
      </c>
      <c r="F168">
        <v>3195</v>
      </c>
      <c r="G168">
        <v>3195</v>
      </c>
      <c r="H168">
        <v>2000</v>
      </c>
    </row>
    <row r="169" spans="2:8">
      <c r="B169" t="s">
        <v>587</v>
      </c>
      <c r="C169" t="s">
        <v>332</v>
      </c>
      <c r="D169">
        <v>3195</v>
      </c>
      <c r="E169">
        <v>3195</v>
      </c>
      <c r="F169">
        <v>3195</v>
      </c>
      <c r="G169">
        <v>3195</v>
      </c>
      <c r="H169">
        <v>2200</v>
      </c>
    </row>
    <row r="170" spans="2:8">
      <c r="B170" t="s">
        <v>587</v>
      </c>
      <c r="C170" t="s">
        <v>333</v>
      </c>
      <c r="D170">
        <v>3195</v>
      </c>
      <c r="E170">
        <v>3195</v>
      </c>
      <c r="F170">
        <v>3190</v>
      </c>
      <c r="G170">
        <v>3190</v>
      </c>
      <c r="H170">
        <v>28000</v>
      </c>
    </row>
    <row r="171" spans="2:8">
      <c r="B171" t="s">
        <v>587</v>
      </c>
      <c r="C171" t="s">
        <v>334</v>
      </c>
      <c r="D171">
        <v>3190</v>
      </c>
      <c r="E171">
        <v>3190</v>
      </c>
      <c r="F171">
        <v>3185</v>
      </c>
      <c r="G171">
        <v>3190</v>
      </c>
      <c r="H171">
        <v>400</v>
      </c>
    </row>
    <row r="172" spans="2:8">
      <c r="B172" t="s">
        <v>587</v>
      </c>
      <c r="C172" t="s">
        <v>335</v>
      </c>
      <c r="D172">
        <v>3190</v>
      </c>
      <c r="E172">
        <v>3190</v>
      </c>
      <c r="F172">
        <v>3185</v>
      </c>
      <c r="G172">
        <v>3190</v>
      </c>
      <c r="H172">
        <v>3800</v>
      </c>
    </row>
    <row r="173" spans="2:8">
      <c r="B173" t="s">
        <v>587</v>
      </c>
      <c r="C173" t="s">
        <v>336</v>
      </c>
      <c r="D173">
        <v>3190</v>
      </c>
      <c r="E173">
        <v>3190</v>
      </c>
      <c r="F173">
        <v>3185</v>
      </c>
      <c r="G173">
        <v>3190</v>
      </c>
      <c r="H173">
        <v>4100</v>
      </c>
    </row>
    <row r="174" spans="2:8">
      <c r="B174" t="s">
        <v>587</v>
      </c>
      <c r="C174" t="s">
        <v>337</v>
      </c>
      <c r="D174">
        <v>3190</v>
      </c>
      <c r="E174">
        <v>3190</v>
      </c>
      <c r="F174">
        <v>3190</v>
      </c>
      <c r="G174">
        <v>3190</v>
      </c>
      <c r="H174">
        <v>200</v>
      </c>
    </row>
    <row r="175" spans="2:8">
      <c r="B175" t="s">
        <v>587</v>
      </c>
      <c r="C175" t="s">
        <v>338</v>
      </c>
      <c r="D175">
        <v>3190</v>
      </c>
      <c r="E175">
        <v>3190</v>
      </c>
      <c r="F175">
        <v>3185</v>
      </c>
      <c r="G175">
        <v>3185</v>
      </c>
      <c r="H175">
        <v>1600</v>
      </c>
    </row>
    <row r="176" spans="2:8">
      <c r="B176" t="s">
        <v>587</v>
      </c>
      <c r="C176" t="s">
        <v>339</v>
      </c>
      <c r="D176">
        <v>3190</v>
      </c>
      <c r="E176">
        <v>3190</v>
      </c>
      <c r="F176">
        <v>3190</v>
      </c>
      <c r="G176">
        <v>3190</v>
      </c>
      <c r="H176">
        <v>400</v>
      </c>
    </row>
    <row r="177" spans="2:8">
      <c r="B177" t="s">
        <v>587</v>
      </c>
      <c r="C177" t="s">
        <v>340</v>
      </c>
      <c r="D177">
        <v>3190</v>
      </c>
      <c r="E177">
        <v>3190</v>
      </c>
      <c r="F177">
        <v>3190</v>
      </c>
      <c r="G177">
        <v>3190</v>
      </c>
      <c r="H177">
        <v>1000</v>
      </c>
    </row>
    <row r="178" spans="2:8">
      <c r="B178" t="s">
        <v>587</v>
      </c>
      <c r="C178" t="s">
        <v>341</v>
      </c>
      <c r="D178">
        <v>3190</v>
      </c>
      <c r="E178">
        <v>3190</v>
      </c>
      <c r="F178">
        <v>3190</v>
      </c>
      <c r="G178">
        <v>3190</v>
      </c>
      <c r="H178">
        <v>500</v>
      </c>
    </row>
    <row r="179" spans="2:8">
      <c r="B179" t="s">
        <v>587</v>
      </c>
      <c r="C179" t="s">
        <v>342</v>
      </c>
      <c r="D179">
        <v>3190</v>
      </c>
      <c r="E179">
        <v>3190</v>
      </c>
      <c r="F179">
        <v>3190</v>
      </c>
      <c r="G179">
        <v>3190</v>
      </c>
      <c r="H179">
        <v>500</v>
      </c>
    </row>
    <row r="180" spans="2:8">
      <c r="B180" t="s">
        <v>587</v>
      </c>
      <c r="C180" t="s">
        <v>343</v>
      </c>
      <c r="D180">
        <v>3185</v>
      </c>
      <c r="E180">
        <v>3185</v>
      </c>
      <c r="F180">
        <v>3185</v>
      </c>
      <c r="G180">
        <v>3185</v>
      </c>
      <c r="H180">
        <v>18900</v>
      </c>
    </row>
    <row r="181" spans="2:8">
      <c r="B181" t="s">
        <v>587</v>
      </c>
      <c r="C181" t="s">
        <v>344</v>
      </c>
      <c r="D181">
        <v>3180</v>
      </c>
      <c r="E181">
        <v>3185</v>
      </c>
      <c r="F181">
        <v>3180</v>
      </c>
      <c r="G181">
        <v>3185</v>
      </c>
      <c r="H181">
        <v>4100</v>
      </c>
    </row>
    <row r="182" spans="2:8">
      <c r="B182" t="s">
        <v>587</v>
      </c>
      <c r="C182" t="s">
        <v>345</v>
      </c>
      <c r="D182">
        <v>3185</v>
      </c>
      <c r="E182">
        <v>3190</v>
      </c>
      <c r="F182">
        <v>3185</v>
      </c>
      <c r="G182">
        <v>3185</v>
      </c>
      <c r="H182">
        <v>3700</v>
      </c>
    </row>
    <row r="183" spans="2:8">
      <c r="B183" t="s">
        <v>587</v>
      </c>
      <c r="C183" t="s">
        <v>346</v>
      </c>
      <c r="D183">
        <v>3185</v>
      </c>
      <c r="E183">
        <v>3185</v>
      </c>
      <c r="F183">
        <v>3185</v>
      </c>
      <c r="G183">
        <v>3185</v>
      </c>
      <c r="H183">
        <v>1400</v>
      </c>
    </row>
    <row r="184" spans="2:8">
      <c r="B184" t="s">
        <v>587</v>
      </c>
      <c r="C184" t="s">
        <v>347</v>
      </c>
      <c r="D184">
        <v>3185</v>
      </c>
      <c r="E184">
        <v>3185</v>
      </c>
      <c r="F184">
        <v>3185</v>
      </c>
      <c r="G184">
        <v>3185</v>
      </c>
      <c r="H184">
        <v>400</v>
      </c>
    </row>
    <row r="185" spans="2:8">
      <c r="B185" t="s">
        <v>587</v>
      </c>
      <c r="C185" t="s">
        <v>348</v>
      </c>
      <c r="D185">
        <v>3185</v>
      </c>
      <c r="E185">
        <v>3195</v>
      </c>
      <c r="F185">
        <v>3185</v>
      </c>
      <c r="G185">
        <v>3190</v>
      </c>
      <c r="H185">
        <v>9900</v>
      </c>
    </row>
    <row r="186" spans="2:8">
      <c r="B186" t="s">
        <v>587</v>
      </c>
      <c r="C186" t="s">
        <v>349</v>
      </c>
      <c r="D186">
        <v>3190</v>
      </c>
      <c r="E186">
        <v>3195</v>
      </c>
      <c r="F186">
        <v>3190</v>
      </c>
      <c r="G186">
        <v>3195</v>
      </c>
      <c r="H186">
        <v>9700</v>
      </c>
    </row>
    <row r="187" spans="2:8">
      <c r="B187" t="s">
        <v>587</v>
      </c>
      <c r="C187" t="s">
        <v>350</v>
      </c>
      <c r="D187">
        <v>3195</v>
      </c>
      <c r="E187">
        <v>3200</v>
      </c>
      <c r="F187">
        <v>3195</v>
      </c>
      <c r="G187">
        <v>3195</v>
      </c>
      <c r="H187">
        <v>1800</v>
      </c>
    </row>
    <row r="188" spans="2:8">
      <c r="B188" t="s">
        <v>587</v>
      </c>
      <c r="C188" t="s">
        <v>351</v>
      </c>
      <c r="D188">
        <v>3200</v>
      </c>
      <c r="E188">
        <v>3200</v>
      </c>
      <c r="F188">
        <v>3195</v>
      </c>
      <c r="G188">
        <v>3200</v>
      </c>
      <c r="H188">
        <v>2800</v>
      </c>
    </row>
    <row r="189" spans="2:8">
      <c r="B189" t="s">
        <v>587</v>
      </c>
      <c r="C189" t="s">
        <v>352</v>
      </c>
      <c r="D189">
        <v>3200</v>
      </c>
      <c r="E189">
        <v>3200</v>
      </c>
      <c r="F189">
        <v>3200</v>
      </c>
      <c r="G189">
        <v>3200</v>
      </c>
      <c r="H189">
        <v>1800</v>
      </c>
    </row>
    <row r="190" spans="2:8">
      <c r="B190" t="s">
        <v>587</v>
      </c>
      <c r="C190" t="s">
        <v>353</v>
      </c>
      <c r="D190">
        <v>3195</v>
      </c>
      <c r="E190">
        <v>3195</v>
      </c>
      <c r="F190">
        <v>3195</v>
      </c>
      <c r="G190">
        <v>3195</v>
      </c>
      <c r="H190">
        <v>2200</v>
      </c>
    </row>
    <row r="191" spans="2:8">
      <c r="B191" t="s">
        <v>587</v>
      </c>
      <c r="C191" t="s">
        <v>354</v>
      </c>
      <c r="D191">
        <v>3195</v>
      </c>
      <c r="E191">
        <v>3195</v>
      </c>
      <c r="F191">
        <v>3195</v>
      </c>
      <c r="G191">
        <v>3195</v>
      </c>
      <c r="H191">
        <v>200</v>
      </c>
    </row>
    <row r="192" spans="2:8">
      <c r="B192" t="s">
        <v>587</v>
      </c>
      <c r="C192" t="s">
        <v>355</v>
      </c>
      <c r="D192">
        <v>3200</v>
      </c>
      <c r="E192">
        <v>3200</v>
      </c>
      <c r="F192">
        <v>3200</v>
      </c>
      <c r="G192">
        <v>3200</v>
      </c>
      <c r="H192">
        <v>7100</v>
      </c>
    </row>
    <row r="193" spans="2:8">
      <c r="B193" t="s">
        <v>587</v>
      </c>
      <c r="C193" t="s">
        <v>356</v>
      </c>
      <c r="D193">
        <v>3200</v>
      </c>
      <c r="E193">
        <v>3200</v>
      </c>
      <c r="F193">
        <v>3200</v>
      </c>
      <c r="G193">
        <v>3200</v>
      </c>
      <c r="H193">
        <v>5500</v>
      </c>
    </row>
    <row r="194" spans="2:8">
      <c r="B194" t="s">
        <v>587</v>
      </c>
      <c r="C194" t="s">
        <v>357</v>
      </c>
      <c r="D194">
        <v>3200</v>
      </c>
      <c r="E194">
        <v>3200</v>
      </c>
      <c r="F194">
        <v>3200</v>
      </c>
      <c r="G194">
        <v>3200</v>
      </c>
      <c r="H194">
        <v>4000</v>
      </c>
    </row>
    <row r="195" spans="2:8">
      <c r="B195" t="s">
        <v>587</v>
      </c>
      <c r="C195" t="s">
        <v>358</v>
      </c>
      <c r="D195">
        <v>3200</v>
      </c>
      <c r="E195">
        <v>3205</v>
      </c>
      <c r="F195">
        <v>3200</v>
      </c>
      <c r="G195">
        <v>3205</v>
      </c>
      <c r="H195">
        <v>4800</v>
      </c>
    </row>
    <row r="196" spans="2:8">
      <c r="B196" t="s">
        <v>587</v>
      </c>
      <c r="C196" t="s">
        <v>359</v>
      </c>
      <c r="D196">
        <v>3205</v>
      </c>
      <c r="E196">
        <v>3205</v>
      </c>
      <c r="F196">
        <v>3200</v>
      </c>
      <c r="G196">
        <v>3205</v>
      </c>
      <c r="H196">
        <v>500</v>
      </c>
    </row>
    <row r="197" spans="2:8">
      <c r="B197" t="s">
        <v>587</v>
      </c>
      <c r="C197" t="s">
        <v>360</v>
      </c>
      <c r="D197">
        <v>3205</v>
      </c>
      <c r="E197">
        <v>3205</v>
      </c>
      <c r="F197">
        <v>3205</v>
      </c>
      <c r="G197">
        <v>3205</v>
      </c>
      <c r="H197">
        <v>500</v>
      </c>
    </row>
    <row r="198" spans="2:8">
      <c r="B198" t="s">
        <v>587</v>
      </c>
      <c r="C198" t="s">
        <v>361</v>
      </c>
      <c r="D198">
        <v>3205</v>
      </c>
      <c r="E198">
        <v>3205</v>
      </c>
      <c r="F198">
        <v>3205</v>
      </c>
      <c r="G198">
        <v>3205</v>
      </c>
      <c r="H198">
        <v>1500</v>
      </c>
    </row>
    <row r="199" spans="2:8">
      <c r="B199" t="s">
        <v>587</v>
      </c>
      <c r="C199" t="s">
        <v>362</v>
      </c>
      <c r="D199">
        <v>3205</v>
      </c>
      <c r="E199">
        <v>3205</v>
      </c>
      <c r="F199">
        <v>3200</v>
      </c>
      <c r="G199">
        <v>3205</v>
      </c>
      <c r="H199">
        <v>3600</v>
      </c>
    </row>
    <row r="200" spans="2:8">
      <c r="B200" t="s">
        <v>587</v>
      </c>
      <c r="C200" t="s">
        <v>363</v>
      </c>
      <c r="D200">
        <v>3210</v>
      </c>
      <c r="E200">
        <v>3210</v>
      </c>
      <c r="F200">
        <v>3210</v>
      </c>
      <c r="G200">
        <v>3210</v>
      </c>
      <c r="H200">
        <v>1700</v>
      </c>
    </row>
    <row r="201" spans="2:8">
      <c r="B201" t="s">
        <v>587</v>
      </c>
      <c r="C201" t="s">
        <v>364</v>
      </c>
      <c r="D201">
        <v>3210</v>
      </c>
      <c r="E201">
        <v>3210</v>
      </c>
      <c r="F201">
        <v>3210</v>
      </c>
      <c r="G201">
        <v>3210</v>
      </c>
      <c r="H201">
        <v>700</v>
      </c>
    </row>
    <row r="202" spans="2:8">
      <c r="B202" t="s">
        <v>587</v>
      </c>
      <c r="C202" t="s">
        <v>365</v>
      </c>
      <c r="D202">
        <v>3210</v>
      </c>
      <c r="E202">
        <v>3210</v>
      </c>
      <c r="F202">
        <v>3205</v>
      </c>
      <c r="G202">
        <v>3210</v>
      </c>
      <c r="H202">
        <v>1300</v>
      </c>
    </row>
    <row r="203" spans="2:8">
      <c r="B203" t="s">
        <v>587</v>
      </c>
      <c r="C203" t="s">
        <v>366</v>
      </c>
      <c r="D203">
        <v>3210</v>
      </c>
      <c r="E203">
        <v>3210</v>
      </c>
      <c r="F203">
        <v>3210</v>
      </c>
      <c r="G203">
        <v>3210</v>
      </c>
      <c r="H203">
        <v>1800</v>
      </c>
    </row>
    <row r="204" spans="2:8">
      <c r="B204" t="s">
        <v>587</v>
      </c>
      <c r="C204" t="s">
        <v>367</v>
      </c>
      <c r="D204">
        <v>3210</v>
      </c>
      <c r="E204">
        <v>3215</v>
      </c>
      <c r="F204">
        <v>3210</v>
      </c>
      <c r="G204">
        <v>3215</v>
      </c>
      <c r="H204">
        <v>14700</v>
      </c>
    </row>
    <row r="205" spans="2:8">
      <c r="B205" t="s">
        <v>587</v>
      </c>
      <c r="C205" t="s">
        <v>368</v>
      </c>
      <c r="D205">
        <v>3215</v>
      </c>
      <c r="E205">
        <v>3215</v>
      </c>
      <c r="F205">
        <v>3210</v>
      </c>
      <c r="G205">
        <v>3210</v>
      </c>
      <c r="H205">
        <v>7500</v>
      </c>
    </row>
    <row r="206" spans="2:8">
      <c r="B206" t="s">
        <v>587</v>
      </c>
      <c r="C206" t="s">
        <v>369</v>
      </c>
      <c r="D206" t="s">
        <v>8</v>
      </c>
      <c r="E206" t="s">
        <v>8</v>
      </c>
      <c r="F206" t="s">
        <v>8</v>
      </c>
      <c r="G206" t="s">
        <v>8</v>
      </c>
      <c r="H206">
        <v>0</v>
      </c>
    </row>
    <row r="207" spans="2:8">
      <c r="B207" t="s">
        <v>587</v>
      </c>
      <c r="C207" t="s">
        <v>370</v>
      </c>
      <c r="D207">
        <v>3210</v>
      </c>
      <c r="E207">
        <v>3215</v>
      </c>
      <c r="F207">
        <v>3210</v>
      </c>
      <c r="G207">
        <v>3215</v>
      </c>
      <c r="H207">
        <v>1600</v>
      </c>
    </row>
    <row r="208" spans="2:8">
      <c r="B208" t="s">
        <v>587</v>
      </c>
      <c r="C208" t="s">
        <v>371</v>
      </c>
      <c r="D208">
        <v>3215</v>
      </c>
      <c r="E208">
        <v>3215</v>
      </c>
      <c r="F208">
        <v>3210</v>
      </c>
      <c r="G208">
        <v>3210</v>
      </c>
      <c r="H208">
        <v>1200</v>
      </c>
    </row>
    <row r="209" spans="2:8">
      <c r="B209" t="s">
        <v>587</v>
      </c>
      <c r="C209" t="s">
        <v>372</v>
      </c>
      <c r="D209">
        <v>3210</v>
      </c>
      <c r="E209">
        <v>3215</v>
      </c>
      <c r="F209">
        <v>3210</v>
      </c>
      <c r="G209">
        <v>3215</v>
      </c>
      <c r="H209">
        <v>13400</v>
      </c>
    </row>
    <row r="210" spans="2:8">
      <c r="B210" t="s">
        <v>587</v>
      </c>
      <c r="C210" t="s">
        <v>373</v>
      </c>
      <c r="D210">
        <v>3220</v>
      </c>
      <c r="E210">
        <v>3225</v>
      </c>
      <c r="F210">
        <v>3215</v>
      </c>
      <c r="G210">
        <v>3225</v>
      </c>
      <c r="H210">
        <v>19500</v>
      </c>
    </row>
    <row r="211" spans="2:8">
      <c r="B211" t="s">
        <v>587</v>
      </c>
      <c r="C211" t="s">
        <v>374</v>
      </c>
      <c r="D211">
        <v>3225</v>
      </c>
      <c r="E211">
        <v>3225</v>
      </c>
      <c r="F211">
        <v>3225</v>
      </c>
      <c r="G211">
        <v>3225</v>
      </c>
      <c r="H211">
        <v>6300</v>
      </c>
    </row>
    <row r="212" spans="2:8">
      <c r="B212" t="s">
        <v>587</v>
      </c>
      <c r="C212" t="s">
        <v>375</v>
      </c>
      <c r="D212">
        <v>3225</v>
      </c>
      <c r="E212">
        <v>3225</v>
      </c>
      <c r="F212">
        <v>3225</v>
      </c>
      <c r="G212">
        <v>3225</v>
      </c>
      <c r="H212">
        <v>14700</v>
      </c>
    </row>
    <row r="213" spans="2:8">
      <c r="B213" t="s">
        <v>587</v>
      </c>
      <c r="C213" t="s">
        <v>376</v>
      </c>
      <c r="D213">
        <v>3230</v>
      </c>
      <c r="E213">
        <v>3230</v>
      </c>
      <c r="F213">
        <v>3230</v>
      </c>
      <c r="G213">
        <v>3230</v>
      </c>
      <c r="H213">
        <v>300</v>
      </c>
    </row>
    <row r="214" spans="2:8">
      <c r="B214" t="s">
        <v>587</v>
      </c>
      <c r="C214" t="s">
        <v>377</v>
      </c>
      <c r="D214">
        <v>3225</v>
      </c>
      <c r="E214">
        <v>3230</v>
      </c>
      <c r="F214">
        <v>3220</v>
      </c>
      <c r="G214">
        <v>3230</v>
      </c>
      <c r="H214">
        <v>7600</v>
      </c>
    </row>
    <row r="215" spans="2:8">
      <c r="B215" t="s">
        <v>587</v>
      </c>
      <c r="C215" t="s">
        <v>378</v>
      </c>
      <c r="D215">
        <v>3230</v>
      </c>
      <c r="E215">
        <v>3230</v>
      </c>
      <c r="F215">
        <v>3230</v>
      </c>
      <c r="G215">
        <v>3230</v>
      </c>
      <c r="H215">
        <v>100</v>
      </c>
    </row>
    <row r="216" spans="2:8">
      <c r="B216" t="s">
        <v>587</v>
      </c>
      <c r="C216" t="s">
        <v>379</v>
      </c>
      <c r="D216">
        <v>3230</v>
      </c>
      <c r="E216">
        <v>3230</v>
      </c>
      <c r="F216">
        <v>3225</v>
      </c>
      <c r="G216">
        <v>3225</v>
      </c>
      <c r="H216">
        <v>4100</v>
      </c>
    </row>
    <row r="217" spans="2:8">
      <c r="B217" t="s">
        <v>587</v>
      </c>
      <c r="C217" t="s">
        <v>380</v>
      </c>
      <c r="D217">
        <v>3220</v>
      </c>
      <c r="E217">
        <v>3220</v>
      </c>
      <c r="F217">
        <v>3220</v>
      </c>
      <c r="G217">
        <v>3220</v>
      </c>
      <c r="H217">
        <v>2400</v>
      </c>
    </row>
    <row r="218" spans="2:8">
      <c r="B218" t="s">
        <v>587</v>
      </c>
      <c r="C218" t="s">
        <v>381</v>
      </c>
      <c r="D218">
        <v>3220</v>
      </c>
      <c r="E218">
        <v>3220</v>
      </c>
      <c r="F218">
        <v>3220</v>
      </c>
      <c r="G218">
        <v>3220</v>
      </c>
      <c r="H218">
        <v>15800</v>
      </c>
    </row>
    <row r="219" spans="2:8">
      <c r="B219" t="s">
        <v>587</v>
      </c>
      <c r="C219" t="s">
        <v>382</v>
      </c>
      <c r="D219">
        <v>3220</v>
      </c>
      <c r="E219">
        <v>3220</v>
      </c>
      <c r="F219">
        <v>3220</v>
      </c>
      <c r="G219">
        <v>3220</v>
      </c>
      <c r="H219">
        <v>1300</v>
      </c>
    </row>
    <row r="220" spans="2:8">
      <c r="B220" t="s">
        <v>587</v>
      </c>
      <c r="C220" t="s">
        <v>383</v>
      </c>
      <c r="D220">
        <v>3220</v>
      </c>
      <c r="E220">
        <v>3225</v>
      </c>
      <c r="F220">
        <v>3220</v>
      </c>
      <c r="G220">
        <v>3225</v>
      </c>
      <c r="H220">
        <v>2000</v>
      </c>
    </row>
    <row r="221" spans="2:8">
      <c r="B221" t="s">
        <v>587</v>
      </c>
      <c r="C221" t="s">
        <v>384</v>
      </c>
      <c r="D221">
        <v>3225</v>
      </c>
      <c r="E221">
        <v>3225</v>
      </c>
      <c r="F221">
        <v>3220</v>
      </c>
      <c r="G221">
        <v>3225</v>
      </c>
      <c r="H221">
        <v>1600</v>
      </c>
    </row>
    <row r="222" spans="2:8">
      <c r="B222" t="s">
        <v>587</v>
      </c>
      <c r="C222" t="s">
        <v>385</v>
      </c>
      <c r="D222">
        <v>3225</v>
      </c>
      <c r="E222">
        <v>3225</v>
      </c>
      <c r="F222">
        <v>3220</v>
      </c>
      <c r="G222">
        <v>3220</v>
      </c>
      <c r="H222">
        <v>10300</v>
      </c>
    </row>
    <row r="223" spans="2:8">
      <c r="B223" t="s">
        <v>587</v>
      </c>
      <c r="C223" t="s">
        <v>386</v>
      </c>
      <c r="D223">
        <v>3220</v>
      </c>
      <c r="E223">
        <v>3220</v>
      </c>
      <c r="F223">
        <v>3220</v>
      </c>
      <c r="G223">
        <v>3220</v>
      </c>
      <c r="H223">
        <v>9300</v>
      </c>
    </row>
    <row r="224" spans="2:8">
      <c r="B224" t="s">
        <v>587</v>
      </c>
      <c r="C224" t="s">
        <v>387</v>
      </c>
      <c r="D224">
        <v>3220</v>
      </c>
      <c r="E224">
        <v>3220</v>
      </c>
      <c r="F224">
        <v>3220</v>
      </c>
      <c r="G224">
        <v>3220</v>
      </c>
      <c r="H224">
        <v>200</v>
      </c>
    </row>
    <row r="225" spans="2:8">
      <c r="B225" t="s">
        <v>587</v>
      </c>
      <c r="C225" t="s">
        <v>388</v>
      </c>
      <c r="D225">
        <v>3220</v>
      </c>
      <c r="E225">
        <v>3220</v>
      </c>
      <c r="F225">
        <v>3220</v>
      </c>
      <c r="G225">
        <v>3220</v>
      </c>
      <c r="H225">
        <v>14500</v>
      </c>
    </row>
    <row r="226" spans="2:8">
      <c r="B226" t="s">
        <v>587</v>
      </c>
      <c r="C226" t="s">
        <v>389</v>
      </c>
      <c r="D226">
        <v>3220</v>
      </c>
      <c r="E226">
        <v>3225</v>
      </c>
      <c r="F226">
        <v>3220</v>
      </c>
      <c r="G226">
        <v>3220</v>
      </c>
      <c r="H226">
        <v>14100</v>
      </c>
    </row>
    <row r="227" spans="2:8">
      <c r="B227" t="s">
        <v>587</v>
      </c>
      <c r="C227" t="s">
        <v>390</v>
      </c>
      <c r="D227">
        <v>3225</v>
      </c>
      <c r="E227">
        <v>3230</v>
      </c>
      <c r="F227">
        <v>3220</v>
      </c>
      <c r="G227">
        <v>3230</v>
      </c>
      <c r="H227">
        <v>17000</v>
      </c>
    </row>
    <row r="228" spans="2:8">
      <c r="B228" t="s">
        <v>587</v>
      </c>
      <c r="C228" t="s">
        <v>391</v>
      </c>
      <c r="D228">
        <v>3225</v>
      </c>
      <c r="E228">
        <v>3225</v>
      </c>
      <c r="F228">
        <v>3220</v>
      </c>
      <c r="G228">
        <v>3225</v>
      </c>
      <c r="H228">
        <v>7400</v>
      </c>
    </row>
    <row r="229" spans="2:8">
      <c r="B229" t="s">
        <v>587</v>
      </c>
      <c r="C229" t="s">
        <v>392</v>
      </c>
      <c r="D229">
        <v>3225</v>
      </c>
      <c r="E229">
        <v>3230</v>
      </c>
      <c r="F229">
        <v>3225</v>
      </c>
      <c r="G229">
        <v>3230</v>
      </c>
      <c r="H229">
        <v>800</v>
      </c>
    </row>
    <row r="230" spans="2:8">
      <c r="B230" t="s">
        <v>587</v>
      </c>
      <c r="C230" t="s">
        <v>393</v>
      </c>
      <c r="D230">
        <v>3230</v>
      </c>
      <c r="E230">
        <v>3230</v>
      </c>
      <c r="F230">
        <v>3230</v>
      </c>
      <c r="G230">
        <v>3230</v>
      </c>
      <c r="H230">
        <v>8800</v>
      </c>
    </row>
    <row r="231" spans="2:8">
      <c r="B231" t="s">
        <v>587</v>
      </c>
      <c r="C231" t="s">
        <v>394</v>
      </c>
      <c r="D231">
        <v>3230</v>
      </c>
      <c r="E231">
        <v>3230</v>
      </c>
      <c r="F231">
        <v>3225</v>
      </c>
      <c r="G231">
        <v>3230</v>
      </c>
      <c r="H231">
        <v>500</v>
      </c>
    </row>
    <row r="232" spans="2:8">
      <c r="B232" t="s">
        <v>587</v>
      </c>
      <c r="C232" t="s">
        <v>395</v>
      </c>
      <c r="D232">
        <v>3230</v>
      </c>
      <c r="E232">
        <v>3230</v>
      </c>
      <c r="F232">
        <v>3230</v>
      </c>
      <c r="G232">
        <v>3230</v>
      </c>
      <c r="H232">
        <v>1300</v>
      </c>
    </row>
    <row r="233" spans="2:8">
      <c r="B233" t="s">
        <v>587</v>
      </c>
      <c r="C233" t="s">
        <v>396</v>
      </c>
      <c r="D233">
        <v>3230</v>
      </c>
      <c r="E233">
        <v>3230</v>
      </c>
      <c r="F233">
        <v>3225</v>
      </c>
      <c r="G233">
        <v>3225</v>
      </c>
      <c r="H233">
        <v>600</v>
      </c>
    </row>
    <row r="234" spans="2:8">
      <c r="B234" t="s">
        <v>587</v>
      </c>
      <c r="C234" t="s">
        <v>397</v>
      </c>
      <c r="D234">
        <v>3225</v>
      </c>
      <c r="E234">
        <v>3225</v>
      </c>
      <c r="F234">
        <v>3225</v>
      </c>
      <c r="G234">
        <v>3225</v>
      </c>
      <c r="H234">
        <v>4100</v>
      </c>
    </row>
    <row r="235" spans="2:8">
      <c r="B235" t="s">
        <v>587</v>
      </c>
      <c r="C235" t="s">
        <v>398</v>
      </c>
      <c r="D235">
        <v>3230</v>
      </c>
      <c r="E235">
        <v>3230</v>
      </c>
      <c r="F235">
        <v>3225</v>
      </c>
      <c r="G235">
        <v>3225</v>
      </c>
      <c r="H235">
        <v>400</v>
      </c>
    </row>
    <row r="236" spans="2:8">
      <c r="B236" t="s">
        <v>587</v>
      </c>
      <c r="C236" t="s">
        <v>399</v>
      </c>
      <c r="D236">
        <v>3225</v>
      </c>
      <c r="E236">
        <v>3230</v>
      </c>
      <c r="F236">
        <v>3220</v>
      </c>
      <c r="G236">
        <v>3225</v>
      </c>
      <c r="H236">
        <v>25600</v>
      </c>
    </row>
    <row r="237" spans="2:8">
      <c r="B237" t="s">
        <v>587</v>
      </c>
      <c r="C237" t="s">
        <v>400</v>
      </c>
      <c r="D237">
        <v>3230</v>
      </c>
      <c r="E237">
        <v>3235</v>
      </c>
      <c r="F237">
        <v>3230</v>
      </c>
      <c r="G237">
        <v>3230</v>
      </c>
      <c r="H237">
        <v>29800</v>
      </c>
    </row>
    <row r="238" spans="2:8">
      <c r="B238" t="s">
        <v>587</v>
      </c>
      <c r="C238" t="s">
        <v>401</v>
      </c>
      <c r="D238">
        <v>3235</v>
      </c>
      <c r="E238">
        <v>3235</v>
      </c>
      <c r="F238">
        <v>3230</v>
      </c>
      <c r="G238">
        <v>3235</v>
      </c>
      <c r="H238">
        <v>1300</v>
      </c>
    </row>
    <row r="239" spans="2:8">
      <c r="B239" t="s">
        <v>587</v>
      </c>
      <c r="C239" t="s">
        <v>402</v>
      </c>
      <c r="D239">
        <v>3235</v>
      </c>
      <c r="E239">
        <v>3235</v>
      </c>
      <c r="F239">
        <v>3230</v>
      </c>
      <c r="G239">
        <v>3230</v>
      </c>
      <c r="H239">
        <v>400</v>
      </c>
    </row>
    <row r="240" spans="2:8">
      <c r="B240" t="s">
        <v>587</v>
      </c>
      <c r="C240" t="s">
        <v>403</v>
      </c>
      <c r="D240">
        <v>3230</v>
      </c>
      <c r="E240">
        <v>3230</v>
      </c>
      <c r="F240">
        <v>3225</v>
      </c>
      <c r="G240">
        <v>3230</v>
      </c>
      <c r="H240">
        <v>12400</v>
      </c>
    </row>
    <row r="241" spans="2:8">
      <c r="B241" t="s">
        <v>587</v>
      </c>
      <c r="C241" t="s">
        <v>404</v>
      </c>
      <c r="D241">
        <v>3225</v>
      </c>
      <c r="E241">
        <v>3230</v>
      </c>
      <c r="F241">
        <v>3225</v>
      </c>
      <c r="G241">
        <v>3230</v>
      </c>
      <c r="H241">
        <v>300</v>
      </c>
    </row>
    <row r="242" spans="2:8">
      <c r="B242" t="s">
        <v>587</v>
      </c>
      <c r="C242" t="s">
        <v>405</v>
      </c>
      <c r="D242">
        <v>3225</v>
      </c>
      <c r="E242">
        <v>3225</v>
      </c>
      <c r="F242">
        <v>3225</v>
      </c>
      <c r="G242">
        <v>3225</v>
      </c>
      <c r="H242">
        <v>1000</v>
      </c>
    </row>
    <row r="243" spans="2:8">
      <c r="B243" t="s">
        <v>587</v>
      </c>
      <c r="C243" t="s">
        <v>406</v>
      </c>
      <c r="D243">
        <v>3225</v>
      </c>
      <c r="E243">
        <v>3230</v>
      </c>
      <c r="F243">
        <v>3225</v>
      </c>
      <c r="G243">
        <v>3230</v>
      </c>
      <c r="H243">
        <v>700</v>
      </c>
    </row>
    <row r="244" spans="2:8">
      <c r="B244" t="s">
        <v>587</v>
      </c>
      <c r="C244" t="s">
        <v>407</v>
      </c>
      <c r="D244">
        <v>3230</v>
      </c>
      <c r="E244">
        <v>3230</v>
      </c>
      <c r="F244">
        <v>3230</v>
      </c>
      <c r="G244">
        <v>3230</v>
      </c>
      <c r="H244">
        <v>200</v>
      </c>
    </row>
    <row r="245" spans="2:8">
      <c r="B245" t="s">
        <v>587</v>
      </c>
      <c r="C245" t="s">
        <v>408</v>
      </c>
      <c r="D245">
        <v>3230</v>
      </c>
      <c r="E245">
        <v>3230</v>
      </c>
      <c r="F245">
        <v>3230</v>
      </c>
      <c r="G245">
        <v>3230</v>
      </c>
      <c r="H245">
        <v>300</v>
      </c>
    </row>
    <row r="246" spans="2:8">
      <c r="B246" t="s">
        <v>587</v>
      </c>
      <c r="C246" t="s">
        <v>409</v>
      </c>
      <c r="D246">
        <v>3225</v>
      </c>
      <c r="E246">
        <v>3225</v>
      </c>
      <c r="F246">
        <v>3225</v>
      </c>
      <c r="G246">
        <v>3225</v>
      </c>
      <c r="H246">
        <v>400</v>
      </c>
    </row>
    <row r="247" spans="2:8">
      <c r="B247" t="s">
        <v>587</v>
      </c>
      <c r="C247" t="s">
        <v>410</v>
      </c>
      <c r="D247">
        <v>3225</v>
      </c>
      <c r="E247">
        <v>3225</v>
      </c>
      <c r="F247">
        <v>3225</v>
      </c>
      <c r="G247">
        <v>3225</v>
      </c>
      <c r="H247">
        <v>17900</v>
      </c>
    </row>
    <row r="248" spans="2:8">
      <c r="B248" t="s">
        <v>587</v>
      </c>
      <c r="C248" t="s">
        <v>411</v>
      </c>
      <c r="D248">
        <v>3225</v>
      </c>
      <c r="E248">
        <v>3225</v>
      </c>
      <c r="F248">
        <v>3225</v>
      </c>
      <c r="G248">
        <v>3225</v>
      </c>
      <c r="H248">
        <v>7500</v>
      </c>
    </row>
    <row r="249" spans="2:8">
      <c r="B249" t="s">
        <v>587</v>
      </c>
      <c r="C249" t="s">
        <v>412</v>
      </c>
      <c r="D249">
        <v>3225</v>
      </c>
      <c r="E249">
        <v>3225</v>
      </c>
      <c r="F249">
        <v>3225</v>
      </c>
      <c r="G249">
        <v>3225</v>
      </c>
      <c r="H249">
        <v>3300</v>
      </c>
    </row>
    <row r="250" spans="2:8">
      <c r="B250" t="s">
        <v>587</v>
      </c>
      <c r="C250" t="s">
        <v>413</v>
      </c>
      <c r="D250">
        <v>3220</v>
      </c>
      <c r="E250">
        <v>3225</v>
      </c>
      <c r="F250">
        <v>3220</v>
      </c>
      <c r="G250">
        <v>3225</v>
      </c>
      <c r="H250">
        <v>5100</v>
      </c>
    </row>
    <row r="251" spans="2:8">
      <c r="B251" t="s">
        <v>587</v>
      </c>
      <c r="C251" t="s">
        <v>414</v>
      </c>
      <c r="D251">
        <v>3225</v>
      </c>
      <c r="E251">
        <v>3230</v>
      </c>
      <c r="F251">
        <v>3220</v>
      </c>
      <c r="G251">
        <v>3225</v>
      </c>
      <c r="H251">
        <v>400</v>
      </c>
    </row>
    <row r="252" spans="2:8">
      <c r="B252" t="s">
        <v>587</v>
      </c>
      <c r="C252" t="s">
        <v>415</v>
      </c>
      <c r="D252">
        <v>3225</v>
      </c>
      <c r="E252">
        <v>3225</v>
      </c>
      <c r="F252">
        <v>3225</v>
      </c>
      <c r="G252">
        <v>3225</v>
      </c>
      <c r="H252">
        <v>1100</v>
      </c>
    </row>
    <row r="253" spans="2:8">
      <c r="B253" t="s">
        <v>587</v>
      </c>
      <c r="C253" t="s">
        <v>416</v>
      </c>
      <c r="D253" t="s">
        <v>8</v>
      </c>
      <c r="E253" t="s">
        <v>8</v>
      </c>
      <c r="F253" t="s">
        <v>8</v>
      </c>
      <c r="G253" t="s">
        <v>8</v>
      </c>
      <c r="H253">
        <v>0</v>
      </c>
    </row>
    <row r="254" spans="2:8">
      <c r="B254" t="s">
        <v>587</v>
      </c>
      <c r="C254" t="s">
        <v>417</v>
      </c>
      <c r="D254">
        <v>3230</v>
      </c>
      <c r="E254">
        <v>3230</v>
      </c>
      <c r="F254">
        <v>3225</v>
      </c>
      <c r="G254">
        <v>3230</v>
      </c>
      <c r="H254">
        <v>900</v>
      </c>
    </row>
    <row r="255" spans="2:8">
      <c r="B255" t="s">
        <v>587</v>
      </c>
      <c r="C255" t="s">
        <v>418</v>
      </c>
      <c r="D255">
        <v>3230</v>
      </c>
      <c r="E255">
        <v>3230</v>
      </c>
      <c r="F255">
        <v>3225</v>
      </c>
      <c r="G255">
        <v>3225</v>
      </c>
      <c r="H255">
        <v>300</v>
      </c>
    </row>
    <row r="256" spans="2:8">
      <c r="B256" t="s">
        <v>587</v>
      </c>
      <c r="C256" t="s">
        <v>419</v>
      </c>
      <c r="D256">
        <v>3225</v>
      </c>
      <c r="E256">
        <v>3225</v>
      </c>
      <c r="F256">
        <v>3225</v>
      </c>
      <c r="G256">
        <v>3225</v>
      </c>
      <c r="H256">
        <v>5700</v>
      </c>
    </row>
    <row r="257" spans="2:8">
      <c r="B257" t="s">
        <v>587</v>
      </c>
      <c r="C257" t="s">
        <v>420</v>
      </c>
      <c r="D257">
        <v>3225</v>
      </c>
      <c r="E257">
        <v>3225</v>
      </c>
      <c r="F257">
        <v>3225</v>
      </c>
      <c r="G257">
        <v>3225</v>
      </c>
      <c r="H257">
        <v>1900</v>
      </c>
    </row>
    <row r="258" spans="2:8">
      <c r="B258" t="s">
        <v>587</v>
      </c>
      <c r="C258" t="s">
        <v>421</v>
      </c>
      <c r="D258">
        <v>3225</v>
      </c>
      <c r="E258">
        <v>3225</v>
      </c>
      <c r="F258">
        <v>3220</v>
      </c>
      <c r="G258">
        <v>3220</v>
      </c>
      <c r="H258">
        <v>1000</v>
      </c>
    </row>
    <row r="259" spans="2:8">
      <c r="B259" t="s">
        <v>587</v>
      </c>
      <c r="C259" t="s">
        <v>422</v>
      </c>
      <c r="D259">
        <v>3225</v>
      </c>
      <c r="E259">
        <v>3225</v>
      </c>
      <c r="F259">
        <v>3220</v>
      </c>
      <c r="G259">
        <v>3220</v>
      </c>
      <c r="H259">
        <v>1100</v>
      </c>
    </row>
    <row r="260" spans="2:8">
      <c r="B260" t="s">
        <v>587</v>
      </c>
      <c r="C260" t="s">
        <v>423</v>
      </c>
      <c r="D260">
        <v>3220</v>
      </c>
      <c r="E260">
        <v>3225</v>
      </c>
      <c r="F260">
        <v>3220</v>
      </c>
      <c r="G260">
        <v>3220</v>
      </c>
      <c r="H260">
        <v>15100</v>
      </c>
    </row>
    <row r="261" spans="2:8">
      <c r="B261" t="s">
        <v>587</v>
      </c>
      <c r="C261" t="s">
        <v>424</v>
      </c>
      <c r="D261">
        <v>3220</v>
      </c>
      <c r="E261">
        <v>3220</v>
      </c>
      <c r="F261">
        <v>3215</v>
      </c>
      <c r="G261">
        <v>3215</v>
      </c>
      <c r="H261">
        <v>1000</v>
      </c>
    </row>
    <row r="262" spans="2:8">
      <c r="B262" t="s">
        <v>587</v>
      </c>
      <c r="C262" t="s">
        <v>425</v>
      </c>
      <c r="D262">
        <v>3215</v>
      </c>
      <c r="E262">
        <v>3215</v>
      </c>
      <c r="F262">
        <v>3215</v>
      </c>
      <c r="G262">
        <v>3215</v>
      </c>
      <c r="H262">
        <v>8500</v>
      </c>
    </row>
    <row r="263" spans="2:8">
      <c r="B263" t="s">
        <v>587</v>
      </c>
      <c r="C263" t="s">
        <v>426</v>
      </c>
      <c r="D263">
        <v>3215</v>
      </c>
      <c r="E263">
        <v>3215</v>
      </c>
      <c r="F263">
        <v>3215</v>
      </c>
      <c r="G263">
        <v>3215</v>
      </c>
      <c r="H263">
        <v>1700</v>
      </c>
    </row>
    <row r="264" spans="2:8">
      <c r="B264" t="s">
        <v>587</v>
      </c>
      <c r="C264" t="s">
        <v>427</v>
      </c>
      <c r="D264">
        <v>3215</v>
      </c>
      <c r="E264">
        <v>3220</v>
      </c>
      <c r="F264">
        <v>3215</v>
      </c>
      <c r="G264">
        <v>3215</v>
      </c>
      <c r="H264">
        <v>1400</v>
      </c>
    </row>
    <row r="265" spans="2:8">
      <c r="B265" t="s">
        <v>587</v>
      </c>
      <c r="C265" t="s">
        <v>428</v>
      </c>
      <c r="D265">
        <v>3215</v>
      </c>
      <c r="E265">
        <v>3215</v>
      </c>
      <c r="F265">
        <v>3215</v>
      </c>
      <c r="G265">
        <v>3215</v>
      </c>
      <c r="H265">
        <v>3700</v>
      </c>
    </row>
    <row r="266" spans="2:8">
      <c r="B266" t="s">
        <v>587</v>
      </c>
      <c r="C266" t="s">
        <v>429</v>
      </c>
      <c r="D266">
        <v>3210</v>
      </c>
      <c r="E266">
        <v>3210</v>
      </c>
      <c r="F266">
        <v>3210</v>
      </c>
      <c r="G266">
        <v>3210</v>
      </c>
      <c r="H266">
        <v>2200</v>
      </c>
    </row>
    <row r="267" spans="2:8">
      <c r="B267" t="s">
        <v>587</v>
      </c>
      <c r="C267" t="s">
        <v>430</v>
      </c>
      <c r="D267">
        <v>3210</v>
      </c>
      <c r="E267">
        <v>3210</v>
      </c>
      <c r="F267">
        <v>3210</v>
      </c>
      <c r="G267">
        <v>3210</v>
      </c>
      <c r="H267">
        <v>2800</v>
      </c>
    </row>
    <row r="268" spans="2:8">
      <c r="B268" t="s">
        <v>587</v>
      </c>
      <c r="C268" t="s">
        <v>431</v>
      </c>
      <c r="D268">
        <v>3210</v>
      </c>
      <c r="E268">
        <v>3210</v>
      </c>
      <c r="F268">
        <v>3210</v>
      </c>
      <c r="G268">
        <v>3210</v>
      </c>
      <c r="H268">
        <v>600</v>
      </c>
    </row>
    <row r="269" spans="2:8">
      <c r="B269" t="s">
        <v>587</v>
      </c>
      <c r="C269" t="s">
        <v>9</v>
      </c>
      <c r="D269">
        <v>3210</v>
      </c>
      <c r="E269">
        <v>3210</v>
      </c>
      <c r="F269">
        <v>3210</v>
      </c>
      <c r="G269">
        <v>3210</v>
      </c>
      <c r="H269">
        <v>500</v>
      </c>
    </row>
    <row r="270" spans="2:8">
      <c r="B270" t="s">
        <v>587</v>
      </c>
      <c r="C270" t="s">
        <v>10</v>
      </c>
      <c r="D270" t="s">
        <v>8</v>
      </c>
      <c r="E270" t="s">
        <v>8</v>
      </c>
      <c r="F270" t="s">
        <v>8</v>
      </c>
      <c r="G270" t="s">
        <v>8</v>
      </c>
      <c r="H270">
        <v>0</v>
      </c>
    </row>
    <row r="271" spans="2:8">
      <c r="B271" t="s">
        <v>587</v>
      </c>
      <c r="C271" t="s">
        <v>11</v>
      </c>
      <c r="D271">
        <v>3210</v>
      </c>
      <c r="E271">
        <v>3210</v>
      </c>
      <c r="F271">
        <v>3210</v>
      </c>
      <c r="G271">
        <v>3210</v>
      </c>
      <c r="H271">
        <v>2900</v>
      </c>
    </row>
    <row r="272" spans="2:8">
      <c r="B272" t="s">
        <v>587</v>
      </c>
      <c r="C272" t="s">
        <v>12</v>
      </c>
      <c r="D272">
        <v>3210</v>
      </c>
      <c r="E272">
        <v>3215</v>
      </c>
      <c r="F272">
        <v>3210</v>
      </c>
      <c r="G272">
        <v>3215</v>
      </c>
      <c r="H272">
        <v>10700</v>
      </c>
    </row>
    <row r="273" spans="2:8">
      <c r="B273" t="s">
        <v>587</v>
      </c>
      <c r="C273" t="s">
        <v>13</v>
      </c>
      <c r="D273">
        <v>3215</v>
      </c>
      <c r="E273">
        <v>3215</v>
      </c>
      <c r="F273">
        <v>3215</v>
      </c>
      <c r="G273">
        <v>3215</v>
      </c>
      <c r="H273">
        <v>1800</v>
      </c>
    </row>
    <row r="274" spans="2:8">
      <c r="B274" t="s">
        <v>587</v>
      </c>
      <c r="C274" t="s">
        <v>14</v>
      </c>
      <c r="D274">
        <v>3220</v>
      </c>
      <c r="E274">
        <v>3220</v>
      </c>
      <c r="F274">
        <v>3220</v>
      </c>
      <c r="G274">
        <v>3220</v>
      </c>
      <c r="H274">
        <v>700</v>
      </c>
    </row>
    <row r="275" spans="2:8">
      <c r="B275" t="s">
        <v>587</v>
      </c>
      <c r="C275" t="s">
        <v>15</v>
      </c>
      <c r="D275">
        <v>3220</v>
      </c>
      <c r="E275">
        <v>3220</v>
      </c>
      <c r="F275">
        <v>3215</v>
      </c>
      <c r="G275">
        <v>3215</v>
      </c>
      <c r="H275">
        <v>800</v>
      </c>
    </row>
    <row r="276" spans="2:8">
      <c r="B276" t="s">
        <v>587</v>
      </c>
      <c r="C276" t="s">
        <v>16</v>
      </c>
      <c r="D276">
        <v>3215</v>
      </c>
      <c r="E276">
        <v>3225</v>
      </c>
      <c r="F276">
        <v>3215</v>
      </c>
      <c r="G276">
        <v>3225</v>
      </c>
      <c r="H276">
        <v>19500</v>
      </c>
    </row>
    <row r="277" spans="2:8">
      <c r="B277" t="s">
        <v>587</v>
      </c>
      <c r="C277" t="s">
        <v>17</v>
      </c>
      <c r="D277">
        <v>3220</v>
      </c>
      <c r="E277">
        <v>3225</v>
      </c>
      <c r="F277">
        <v>3220</v>
      </c>
      <c r="G277">
        <v>3225</v>
      </c>
      <c r="H277">
        <v>8400</v>
      </c>
    </row>
    <row r="278" spans="2:8">
      <c r="B278" t="s">
        <v>587</v>
      </c>
      <c r="C278" t="s">
        <v>18</v>
      </c>
      <c r="D278">
        <v>3230</v>
      </c>
      <c r="E278">
        <v>3230</v>
      </c>
      <c r="F278">
        <v>3225</v>
      </c>
      <c r="G278">
        <v>3230</v>
      </c>
      <c r="H278">
        <v>13300</v>
      </c>
    </row>
    <row r="279" spans="2:8">
      <c r="B279" t="s">
        <v>587</v>
      </c>
      <c r="C279" t="s">
        <v>19</v>
      </c>
      <c r="D279">
        <v>3230</v>
      </c>
      <c r="E279">
        <v>3230</v>
      </c>
      <c r="F279">
        <v>3225</v>
      </c>
      <c r="G279">
        <v>3225</v>
      </c>
      <c r="H279">
        <v>300</v>
      </c>
    </row>
    <row r="280" spans="2:8">
      <c r="B280" t="s">
        <v>587</v>
      </c>
      <c r="C280" t="s">
        <v>20</v>
      </c>
      <c r="D280">
        <v>3225</v>
      </c>
      <c r="E280">
        <v>3230</v>
      </c>
      <c r="F280">
        <v>3225</v>
      </c>
      <c r="G280">
        <v>3230</v>
      </c>
      <c r="H280">
        <v>54400</v>
      </c>
    </row>
    <row r="281" spans="2:8">
      <c r="B281" t="s">
        <v>587</v>
      </c>
      <c r="C281" t="s">
        <v>21</v>
      </c>
      <c r="D281">
        <v>3230</v>
      </c>
      <c r="E281">
        <v>3230</v>
      </c>
      <c r="F281">
        <v>3230</v>
      </c>
      <c r="G281">
        <v>3230</v>
      </c>
      <c r="H281">
        <v>1000</v>
      </c>
    </row>
    <row r="282" spans="2:8">
      <c r="B282" t="s">
        <v>587</v>
      </c>
      <c r="C282" t="s">
        <v>22</v>
      </c>
      <c r="D282">
        <v>3235</v>
      </c>
      <c r="E282">
        <v>3235</v>
      </c>
      <c r="F282">
        <v>3230</v>
      </c>
      <c r="G282">
        <v>3235</v>
      </c>
      <c r="H282">
        <v>18400</v>
      </c>
    </row>
    <row r="283" spans="2:8">
      <c r="B283" t="s">
        <v>587</v>
      </c>
      <c r="C283" t="s">
        <v>23</v>
      </c>
      <c r="D283">
        <v>3235</v>
      </c>
      <c r="E283">
        <v>3235</v>
      </c>
      <c r="F283">
        <v>3230</v>
      </c>
      <c r="G283">
        <v>3235</v>
      </c>
      <c r="H283">
        <v>34600</v>
      </c>
    </row>
    <row r="284" spans="2:8">
      <c r="B284" t="s">
        <v>587</v>
      </c>
      <c r="C284" t="s">
        <v>24</v>
      </c>
      <c r="D284">
        <v>3235</v>
      </c>
      <c r="E284">
        <v>3240</v>
      </c>
      <c r="F284">
        <v>3235</v>
      </c>
      <c r="G284">
        <v>3235</v>
      </c>
      <c r="H284">
        <v>1700</v>
      </c>
    </row>
    <row r="285" spans="2:8">
      <c r="B285" t="s">
        <v>587</v>
      </c>
      <c r="C285" t="s">
        <v>25</v>
      </c>
      <c r="D285">
        <v>3235</v>
      </c>
      <c r="E285">
        <v>3235</v>
      </c>
      <c r="F285">
        <v>3235</v>
      </c>
      <c r="G285">
        <v>3235</v>
      </c>
      <c r="H285">
        <v>2000</v>
      </c>
    </row>
    <row r="286" spans="2:8">
      <c r="B286" t="s">
        <v>587</v>
      </c>
      <c r="C286" t="s">
        <v>26</v>
      </c>
      <c r="D286">
        <v>3240</v>
      </c>
      <c r="E286">
        <v>3240</v>
      </c>
      <c r="F286">
        <v>3235</v>
      </c>
      <c r="G286">
        <v>3235</v>
      </c>
      <c r="H286">
        <v>2400</v>
      </c>
    </row>
    <row r="287" spans="2:8">
      <c r="B287" t="s">
        <v>587</v>
      </c>
      <c r="C287" t="s">
        <v>27</v>
      </c>
      <c r="D287">
        <v>3240</v>
      </c>
      <c r="E287">
        <v>3240</v>
      </c>
      <c r="F287">
        <v>3235</v>
      </c>
      <c r="G287">
        <v>3235</v>
      </c>
      <c r="H287">
        <v>800</v>
      </c>
    </row>
    <row r="288" spans="2:8">
      <c r="B288" t="s">
        <v>587</v>
      </c>
      <c r="C288" t="s">
        <v>28</v>
      </c>
      <c r="D288">
        <v>3240</v>
      </c>
      <c r="E288">
        <v>3240</v>
      </c>
      <c r="F288">
        <v>3235</v>
      </c>
      <c r="G288">
        <v>3235</v>
      </c>
      <c r="H288">
        <v>700</v>
      </c>
    </row>
    <row r="289" spans="2:8">
      <c r="B289" t="s">
        <v>587</v>
      </c>
      <c r="C289" t="s">
        <v>29</v>
      </c>
      <c r="D289">
        <v>3235</v>
      </c>
      <c r="E289">
        <v>3235</v>
      </c>
      <c r="F289">
        <v>3235</v>
      </c>
      <c r="G289">
        <v>3235</v>
      </c>
      <c r="H289">
        <v>1600</v>
      </c>
    </row>
    <row r="290" spans="2:8">
      <c r="B290" t="s">
        <v>587</v>
      </c>
      <c r="C290" t="s">
        <v>30</v>
      </c>
      <c r="D290">
        <v>3235</v>
      </c>
      <c r="E290">
        <v>3235</v>
      </c>
      <c r="F290">
        <v>3235</v>
      </c>
      <c r="G290">
        <v>3235</v>
      </c>
      <c r="H290">
        <v>900</v>
      </c>
    </row>
    <row r="291" spans="2:8">
      <c r="B291" t="s">
        <v>587</v>
      </c>
      <c r="C291" t="s">
        <v>31</v>
      </c>
      <c r="D291">
        <v>3235</v>
      </c>
      <c r="E291">
        <v>3240</v>
      </c>
      <c r="F291">
        <v>3235</v>
      </c>
      <c r="G291">
        <v>3235</v>
      </c>
      <c r="H291">
        <v>400</v>
      </c>
    </row>
    <row r="292" spans="2:8">
      <c r="B292" t="s">
        <v>587</v>
      </c>
      <c r="C292" t="s">
        <v>32</v>
      </c>
      <c r="D292">
        <v>3235</v>
      </c>
      <c r="E292">
        <v>3235</v>
      </c>
      <c r="F292">
        <v>3235</v>
      </c>
      <c r="G292">
        <v>3235</v>
      </c>
      <c r="H292">
        <v>3300</v>
      </c>
    </row>
    <row r="293" spans="2:8">
      <c r="B293" t="s">
        <v>587</v>
      </c>
      <c r="C293" t="s">
        <v>33</v>
      </c>
      <c r="D293">
        <v>3235</v>
      </c>
      <c r="E293">
        <v>3235</v>
      </c>
      <c r="F293">
        <v>3235</v>
      </c>
      <c r="G293">
        <v>3235</v>
      </c>
      <c r="H293">
        <v>12800</v>
      </c>
    </row>
    <row r="294" spans="2:8">
      <c r="B294" t="s">
        <v>587</v>
      </c>
      <c r="C294" t="s">
        <v>34</v>
      </c>
      <c r="D294">
        <v>3230</v>
      </c>
      <c r="E294">
        <v>3235</v>
      </c>
      <c r="F294">
        <v>3225</v>
      </c>
      <c r="G294">
        <v>3225</v>
      </c>
      <c r="H294">
        <v>21000</v>
      </c>
    </row>
    <row r="295" spans="2:8">
      <c r="B295" t="s">
        <v>587</v>
      </c>
      <c r="C295" t="s">
        <v>35</v>
      </c>
      <c r="D295">
        <v>3225</v>
      </c>
      <c r="E295">
        <v>3225</v>
      </c>
      <c r="F295">
        <v>3220</v>
      </c>
      <c r="G295">
        <v>3220</v>
      </c>
      <c r="H295">
        <v>16500</v>
      </c>
    </row>
    <row r="296" spans="2:8">
      <c r="B296" t="s">
        <v>587</v>
      </c>
      <c r="C296" t="s">
        <v>36</v>
      </c>
      <c r="D296">
        <v>3225</v>
      </c>
      <c r="E296">
        <v>3230</v>
      </c>
      <c r="F296">
        <v>3220</v>
      </c>
      <c r="G296">
        <v>3225</v>
      </c>
      <c r="H296">
        <v>22300</v>
      </c>
    </row>
    <row r="297" spans="2:8">
      <c r="B297" t="s">
        <v>587</v>
      </c>
      <c r="C297" t="s">
        <v>37</v>
      </c>
      <c r="D297">
        <v>3230</v>
      </c>
      <c r="E297">
        <v>3230</v>
      </c>
      <c r="F297">
        <v>3225</v>
      </c>
      <c r="G297">
        <v>3225</v>
      </c>
      <c r="H297">
        <v>2200</v>
      </c>
    </row>
    <row r="298" spans="2:8">
      <c r="B298" t="s">
        <v>587</v>
      </c>
      <c r="C298" t="s">
        <v>38</v>
      </c>
      <c r="D298">
        <v>3230</v>
      </c>
      <c r="E298">
        <v>3230</v>
      </c>
      <c r="F298">
        <v>3225</v>
      </c>
      <c r="G298">
        <v>3230</v>
      </c>
      <c r="H298">
        <v>300</v>
      </c>
    </row>
    <row r="299" spans="2:8">
      <c r="B299" t="s">
        <v>587</v>
      </c>
      <c r="C299" t="s">
        <v>39</v>
      </c>
      <c r="D299">
        <v>3230</v>
      </c>
      <c r="E299">
        <v>3230</v>
      </c>
      <c r="F299">
        <v>3230</v>
      </c>
      <c r="G299">
        <v>3230</v>
      </c>
      <c r="H299">
        <v>900</v>
      </c>
    </row>
    <row r="300" spans="2:8">
      <c r="B300" t="s">
        <v>587</v>
      </c>
      <c r="C300" t="s">
        <v>40</v>
      </c>
      <c r="D300">
        <v>3230</v>
      </c>
      <c r="E300">
        <v>3230</v>
      </c>
      <c r="F300">
        <v>3225</v>
      </c>
      <c r="G300">
        <v>3225</v>
      </c>
      <c r="H300">
        <v>900</v>
      </c>
    </row>
    <row r="301" spans="2:8">
      <c r="B301" t="s">
        <v>587</v>
      </c>
      <c r="C301" t="s">
        <v>41</v>
      </c>
      <c r="D301">
        <v>3225</v>
      </c>
      <c r="E301">
        <v>3230</v>
      </c>
      <c r="F301">
        <v>3225</v>
      </c>
      <c r="G301">
        <v>3225</v>
      </c>
      <c r="H301">
        <v>2200</v>
      </c>
    </row>
    <row r="302" spans="2:8">
      <c r="B302" t="s">
        <v>587</v>
      </c>
      <c r="C302" t="s">
        <v>42</v>
      </c>
      <c r="D302">
        <v>3225</v>
      </c>
      <c r="E302">
        <v>3225</v>
      </c>
      <c r="F302">
        <v>3220</v>
      </c>
      <c r="G302">
        <v>3220</v>
      </c>
      <c r="H302">
        <v>21000</v>
      </c>
    </row>
    <row r="303" spans="2:8">
      <c r="B303" t="s">
        <v>587</v>
      </c>
      <c r="C303" t="s">
        <v>43</v>
      </c>
      <c r="D303">
        <v>3220</v>
      </c>
      <c r="E303">
        <v>3225</v>
      </c>
      <c r="F303">
        <v>3220</v>
      </c>
      <c r="G303">
        <v>3220</v>
      </c>
      <c r="H303">
        <v>24100</v>
      </c>
    </row>
    <row r="304" spans="2:8">
      <c r="B304" t="s">
        <v>587</v>
      </c>
      <c r="C304" t="s">
        <v>44</v>
      </c>
      <c r="D304">
        <v>3220</v>
      </c>
      <c r="E304">
        <v>3225</v>
      </c>
      <c r="F304">
        <v>3220</v>
      </c>
      <c r="G304">
        <v>3220</v>
      </c>
      <c r="H304">
        <v>4400</v>
      </c>
    </row>
    <row r="305" spans="2:8">
      <c r="B305" t="s">
        <v>587</v>
      </c>
      <c r="C305" t="s">
        <v>45</v>
      </c>
      <c r="D305">
        <v>3220</v>
      </c>
      <c r="E305">
        <v>3220</v>
      </c>
      <c r="F305">
        <v>3220</v>
      </c>
      <c r="G305">
        <v>3220</v>
      </c>
      <c r="H305">
        <v>2400</v>
      </c>
    </row>
    <row r="306" spans="2:8">
      <c r="B306" t="s">
        <v>587</v>
      </c>
      <c r="C306" t="s">
        <v>46</v>
      </c>
      <c r="D306">
        <v>3220</v>
      </c>
      <c r="E306">
        <v>3220</v>
      </c>
      <c r="F306">
        <v>3220</v>
      </c>
      <c r="G306">
        <v>3220</v>
      </c>
      <c r="H306">
        <v>200</v>
      </c>
    </row>
    <row r="307" spans="2:8">
      <c r="B307" t="s">
        <v>587</v>
      </c>
      <c r="C307" t="s">
        <v>47</v>
      </c>
      <c r="D307">
        <v>3215</v>
      </c>
      <c r="E307">
        <v>3215</v>
      </c>
      <c r="F307">
        <v>3210</v>
      </c>
      <c r="G307">
        <v>3210</v>
      </c>
      <c r="H307">
        <v>22700</v>
      </c>
    </row>
    <row r="308" spans="2:8">
      <c r="B308" t="s">
        <v>587</v>
      </c>
      <c r="C308" t="s">
        <v>48</v>
      </c>
      <c r="D308">
        <v>3215</v>
      </c>
      <c r="E308">
        <v>3215</v>
      </c>
      <c r="F308">
        <v>3210</v>
      </c>
      <c r="G308">
        <v>3210</v>
      </c>
      <c r="H308">
        <v>7600</v>
      </c>
    </row>
    <row r="309" spans="2:8">
      <c r="B309" t="s">
        <v>587</v>
      </c>
      <c r="C309" t="s">
        <v>49</v>
      </c>
      <c r="D309">
        <v>3210</v>
      </c>
      <c r="E309">
        <v>3210</v>
      </c>
      <c r="F309">
        <v>3210</v>
      </c>
      <c r="G309">
        <v>3210</v>
      </c>
      <c r="H309">
        <v>1800</v>
      </c>
    </row>
    <row r="310" spans="2:8">
      <c r="B310" t="s">
        <v>587</v>
      </c>
      <c r="C310" t="s">
        <v>50</v>
      </c>
      <c r="D310">
        <v>3210</v>
      </c>
      <c r="E310">
        <v>3210</v>
      </c>
      <c r="F310">
        <v>3210</v>
      </c>
      <c r="G310">
        <v>3210</v>
      </c>
      <c r="H310">
        <v>1000</v>
      </c>
    </row>
    <row r="311" spans="2:8">
      <c r="B311" t="s">
        <v>587</v>
      </c>
      <c r="C311" t="s">
        <v>51</v>
      </c>
      <c r="D311">
        <v>3210</v>
      </c>
      <c r="E311">
        <v>3215</v>
      </c>
      <c r="F311">
        <v>3210</v>
      </c>
      <c r="G311">
        <v>3215</v>
      </c>
      <c r="H311">
        <v>300</v>
      </c>
    </row>
    <row r="312" spans="2:8">
      <c r="B312" t="s">
        <v>587</v>
      </c>
      <c r="C312" t="s">
        <v>52</v>
      </c>
      <c r="D312">
        <v>3215</v>
      </c>
      <c r="E312">
        <v>3215</v>
      </c>
      <c r="F312">
        <v>3210</v>
      </c>
      <c r="G312">
        <v>3210</v>
      </c>
      <c r="H312">
        <v>400</v>
      </c>
    </row>
    <row r="313" spans="2:8">
      <c r="B313" t="s">
        <v>587</v>
      </c>
      <c r="C313" t="s">
        <v>53</v>
      </c>
      <c r="D313">
        <v>3215</v>
      </c>
      <c r="E313">
        <v>3215</v>
      </c>
      <c r="F313">
        <v>3215</v>
      </c>
      <c r="G313">
        <v>3215</v>
      </c>
      <c r="H313">
        <v>4200</v>
      </c>
    </row>
    <row r="314" spans="2:8">
      <c r="B314" t="s">
        <v>587</v>
      </c>
      <c r="C314" t="s">
        <v>54</v>
      </c>
      <c r="D314">
        <v>3215</v>
      </c>
      <c r="E314">
        <v>3215</v>
      </c>
      <c r="F314">
        <v>3215</v>
      </c>
      <c r="G314">
        <v>3215</v>
      </c>
      <c r="H314">
        <v>3200</v>
      </c>
    </row>
    <row r="315" spans="2:8">
      <c r="B315" t="s">
        <v>587</v>
      </c>
      <c r="C315" t="s">
        <v>55</v>
      </c>
      <c r="D315">
        <v>3215</v>
      </c>
      <c r="E315">
        <v>3215</v>
      </c>
      <c r="F315">
        <v>3215</v>
      </c>
      <c r="G315">
        <v>3215</v>
      </c>
      <c r="H315">
        <v>16500</v>
      </c>
    </row>
    <row r="316" spans="2:8">
      <c r="B316" t="s">
        <v>587</v>
      </c>
      <c r="C316" t="s">
        <v>56</v>
      </c>
      <c r="D316">
        <v>3215</v>
      </c>
      <c r="E316">
        <v>3215</v>
      </c>
      <c r="F316">
        <v>3215</v>
      </c>
      <c r="G316">
        <v>3215</v>
      </c>
      <c r="H316">
        <v>400</v>
      </c>
    </row>
    <row r="317" spans="2:8">
      <c r="B317" t="s">
        <v>587</v>
      </c>
      <c r="C317" t="s">
        <v>57</v>
      </c>
      <c r="D317">
        <v>3215</v>
      </c>
      <c r="E317">
        <v>3215</v>
      </c>
      <c r="F317">
        <v>3215</v>
      </c>
      <c r="G317">
        <v>3215</v>
      </c>
      <c r="H317">
        <v>200</v>
      </c>
    </row>
    <row r="318" spans="2:8">
      <c r="B318" t="s">
        <v>587</v>
      </c>
      <c r="C318" t="s">
        <v>58</v>
      </c>
      <c r="D318">
        <v>3215</v>
      </c>
      <c r="E318">
        <v>3215</v>
      </c>
      <c r="F318">
        <v>3215</v>
      </c>
      <c r="G318">
        <v>3215</v>
      </c>
      <c r="H318">
        <v>12000</v>
      </c>
    </row>
    <row r="319" spans="2:8">
      <c r="B319" t="s">
        <v>587</v>
      </c>
      <c r="C319" t="s">
        <v>59</v>
      </c>
      <c r="D319">
        <v>3210</v>
      </c>
      <c r="E319">
        <v>3215</v>
      </c>
      <c r="F319">
        <v>3210</v>
      </c>
      <c r="G319">
        <v>3210</v>
      </c>
      <c r="H319">
        <v>15200</v>
      </c>
    </row>
    <row r="320" spans="2:8">
      <c r="B320" t="s">
        <v>587</v>
      </c>
      <c r="C320" t="s">
        <v>60</v>
      </c>
      <c r="D320">
        <v>3215</v>
      </c>
      <c r="E320">
        <v>3215</v>
      </c>
      <c r="F320">
        <v>3205</v>
      </c>
      <c r="G320">
        <v>3205</v>
      </c>
      <c r="H320">
        <v>25300</v>
      </c>
    </row>
    <row r="321" spans="1:8">
      <c r="B321" t="s">
        <v>587</v>
      </c>
      <c r="C321" t="s">
        <v>61</v>
      </c>
      <c r="D321">
        <v>3205</v>
      </c>
      <c r="E321">
        <v>3210</v>
      </c>
      <c r="F321">
        <v>3205</v>
      </c>
      <c r="G321">
        <v>3205</v>
      </c>
      <c r="H321">
        <v>900</v>
      </c>
    </row>
    <row r="322" spans="1:8">
      <c r="B322" t="s">
        <v>587</v>
      </c>
      <c r="C322" t="s">
        <v>62</v>
      </c>
      <c r="D322">
        <v>3210</v>
      </c>
      <c r="E322">
        <v>3210</v>
      </c>
      <c r="F322">
        <v>3205</v>
      </c>
      <c r="G322">
        <v>3210</v>
      </c>
      <c r="H322">
        <v>1500</v>
      </c>
    </row>
    <row r="323" spans="1:8">
      <c r="B323" t="s">
        <v>587</v>
      </c>
      <c r="C323" t="s">
        <v>63</v>
      </c>
      <c r="D323">
        <v>3210</v>
      </c>
      <c r="E323">
        <v>3210</v>
      </c>
      <c r="F323">
        <v>3205</v>
      </c>
      <c r="G323">
        <v>3210</v>
      </c>
      <c r="H323">
        <v>12900</v>
      </c>
    </row>
    <row r="324" spans="1:8">
      <c r="B324" t="s">
        <v>587</v>
      </c>
      <c r="C324" t="s">
        <v>64</v>
      </c>
      <c r="D324">
        <v>3205</v>
      </c>
      <c r="E324">
        <v>3210</v>
      </c>
      <c r="F324">
        <v>3205</v>
      </c>
      <c r="G324">
        <v>3205</v>
      </c>
      <c r="H324">
        <v>600</v>
      </c>
    </row>
    <row r="325" spans="1:8">
      <c r="B325" t="s">
        <v>587</v>
      </c>
      <c r="C325" t="s">
        <v>65</v>
      </c>
      <c r="D325">
        <v>3210</v>
      </c>
      <c r="E325">
        <v>3210</v>
      </c>
      <c r="F325">
        <v>3205</v>
      </c>
      <c r="G325">
        <v>3205</v>
      </c>
      <c r="H325">
        <v>1800</v>
      </c>
    </row>
    <row r="326" spans="1:8">
      <c r="B326" t="s">
        <v>587</v>
      </c>
      <c r="C326" t="s">
        <v>66</v>
      </c>
      <c r="D326">
        <v>3205</v>
      </c>
      <c r="E326">
        <v>3210</v>
      </c>
      <c r="F326">
        <v>3205</v>
      </c>
      <c r="G326">
        <v>3210</v>
      </c>
      <c r="H326">
        <v>3000</v>
      </c>
    </row>
    <row r="327" spans="1:8">
      <c r="B327" t="s">
        <v>587</v>
      </c>
      <c r="C327" t="s">
        <v>164</v>
      </c>
      <c r="D327">
        <v>3205</v>
      </c>
      <c r="E327">
        <v>3215</v>
      </c>
      <c r="F327">
        <v>3205</v>
      </c>
      <c r="G327">
        <v>3210</v>
      </c>
      <c r="H327">
        <v>14700</v>
      </c>
    </row>
    <row r="328" spans="1:8">
      <c r="B328" t="s">
        <v>587</v>
      </c>
      <c r="C328" t="s">
        <v>165</v>
      </c>
      <c r="D328">
        <v>3210</v>
      </c>
      <c r="E328">
        <v>3210</v>
      </c>
      <c r="F328">
        <v>3205</v>
      </c>
      <c r="G328">
        <v>3205</v>
      </c>
      <c r="H328">
        <v>5800</v>
      </c>
    </row>
    <row r="329" spans="1:8">
      <c r="B329" t="s">
        <v>587</v>
      </c>
      <c r="C329" t="s">
        <v>67</v>
      </c>
      <c r="D329" t="s">
        <v>8</v>
      </c>
      <c r="E329" t="s">
        <v>8</v>
      </c>
      <c r="F329" t="s">
        <v>8</v>
      </c>
      <c r="G329" t="s">
        <v>8</v>
      </c>
      <c r="H329">
        <v>0</v>
      </c>
    </row>
    <row r="330" spans="1:8">
      <c r="B330" t="s">
        <v>587</v>
      </c>
      <c r="C330" t="s">
        <v>68</v>
      </c>
      <c r="D330" t="s">
        <v>8</v>
      </c>
      <c r="E330" t="s">
        <v>8</v>
      </c>
      <c r="F330" t="s">
        <v>8</v>
      </c>
      <c r="G330" t="s">
        <v>8</v>
      </c>
      <c r="H330">
        <v>0</v>
      </c>
    </row>
    <row r="331" spans="1:8">
      <c r="B331" t="s">
        <v>587</v>
      </c>
      <c r="C331" t="s">
        <v>69</v>
      </c>
      <c r="D331" t="s">
        <v>8</v>
      </c>
      <c r="E331" t="s">
        <v>8</v>
      </c>
      <c r="F331" t="s">
        <v>8</v>
      </c>
      <c r="G331" t="s">
        <v>8</v>
      </c>
      <c r="H331">
        <v>0</v>
      </c>
    </row>
    <row r="332" spans="1:8">
      <c r="B332" t="s">
        <v>587</v>
      </c>
      <c r="C332" t="s">
        <v>70</v>
      </c>
      <c r="D332" t="s">
        <v>8</v>
      </c>
      <c r="E332" t="s">
        <v>8</v>
      </c>
      <c r="F332" t="s">
        <v>8</v>
      </c>
      <c r="G332" t="s">
        <v>8</v>
      </c>
      <c r="H332">
        <v>0</v>
      </c>
    </row>
    <row r="333" spans="1:8">
      <c r="B333" t="s">
        <v>587</v>
      </c>
      <c r="C333" t="s">
        <v>71</v>
      </c>
      <c r="D333" t="s">
        <v>8</v>
      </c>
      <c r="E333" t="s">
        <v>8</v>
      </c>
      <c r="F333" t="s">
        <v>8</v>
      </c>
      <c r="G333" t="s">
        <v>8</v>
      </c>
      <c r="H333">
        <v>0</v>
      </c>
    </row>
    <row r="334" spans="1:8">
      <c r="B334" t="s">
        <v>587</v>
      </c>
      <c r="C334" t="s">
        <v>72</v>
      </c>
      <c r="D334">
        <v>3215</v>
      </c>
      <c r="E334">
        <v>3215</v>
      </c>
      <c r="F334">
        <v>3215</v>
      </c>
      <c r="G334">
        <v>3215</v>
      </c>
      <c r="H334">
        <v>165900</v>
      </c>
    </row>
    <row r="335" spans="1:8">
      <c r="A335" s="1" t="s">
        <v>79</v>
      </c>
      <c r="B335" s="1" t="s">
        <v>79</v>
      </c>
      <c r="C335" s="1" t="s">
        <v>79</v>
      </c>
      <c r="D335" s="1" t="s">
        <v>79</v>
      </c>
      <c r="E335" s="1" t="s">
        <v>79</v>
      </c>
      <c r="F335" s="1" t="s">
        <v>79</v>
      </c>
      <c r="G335" s="1" t="s">
        <v>79</v>
      </c>
      <c r="H335" s="1" t="s">
        <v>79</v>
      </c>
    </row>
    <row r="336" spans="1:8">
      <c r="B336" t="s">
        <v>442</v>
      </c>
      <c r="C336" t="s">
        <v>167</v>
      </c>
      <c r="D336">
        <v>3035</v>
      </c>
      <c r="E336">
        <v>3040</v>
      </c>
      <c r="F336">
        <v>3035</v>
      </c>
      <c r="G336">
        <v>3040</v>
      </c>
      <c r="H336">
        <v>19000</v>
      </c>
    </row>
    <row r="337" spans="2:8">
      <c r="B337" t="s">
        <v>442</v>
      </c>
      <c r="C337" t="s">
        <v>168</v>
      </c>
      <c r="D337">
        <v>3040</v>
      </c>
      <c r="E337">
        <v>3040</v>
      </c>
      <c r="F337">
        <v>3025</v>
      </c>
      <c r="G337">
        <v>3030</v>
      </c>
      <c r="H337">
        <v>31300</v>
      </c>
    </row>
    <row r="338" spans="2:8">
      <c r="B338" t="s">
        <v>442</v>
      </c>
      <c r="C338" t="s">
        <v>169</v>
      </c>
      <c r="D338">
        <v>3030</v>
      </c>
      <c r="E338">
        <v>3030</v>
      </c>
      <c r="F338">
        <v>3025</v>
      </c>
      <c r="G338">
        <v>3025</v>
      </c>
      <c r="H338">
        <v>18700</v>
      </c>
    </row>
    <row r="339" spans="2:8">
      <c r="B339" t="s">
        <v>442</v>
      </c>
      <c r="C339" t="s">
        <v>170</v>
      </c>
      <c r="D339">
        <v>3030</v>
      </c>
      <c r="E339">
        <v>3035</v>
      </c>
      <c r="F339">
        <v>3025</v>
      </c>
      <c r="G339">
        <v>3030</v>
      </c>
      <c r="H339">
        <v>15000</v>
      </c>
    </row>
    <row r="340" spans="2:8">
      <c r="B340" t="s">
        <v>442</v>
      </c>
      <c r="C340" t="s">
        <v>171</v>
      </c>
      <c r="D340">
        <v>3030</v>
      </c>
      <c r="E340">
        <v>3030</v>
      </c>
      <c r="F340">
        <v>3020</v>
      </c>
      <c r="G340">
        <v>3020</v>
      </c>
      <c r="H340">
        <v>20700</v>
      </c>
    </row>
    <row r="341" spans="2:8">
      <c r="B341" t="s">
        <v>442</v>
      </c>
      <c r="C341" t="s">
        <v>172</v>
      </c>
      <c r="D341">
        <v>3020</v>
      </c>
      <c r="E341">
        <v>3025</v>
      </c>
      <c r="F341">
        <v>3005</v>
      </c>
      <c r="G341">
        <v>3015</v>
      </c>
      <c r="H341">
        <v>98600</v>
      </c>
    </row>
    <row r="342" spans="2:8">
      <c r="B342" t="s">
        <v>442</v>
      </c>
      <c r="C342" t="s">
        <v>173</v>
      </c>
      <c r="D342">
        <v>3015</v>
      </c>
      <c r="E342">
        <v>3020</v>
      </c>
      <c r="F342">
        <v>3000</v>
      </c>
      <c r="G342">
        <v>3010</v>
      </c>
      <c r="H342">
        <v>138800</v>
      </c>
    </row>
    <row r="343" spans="2:8">
      <c r="B343" t="s">
        <v>442</v>
      </c>
      <c r="C343" t="s">
        <v>174</v>
      </c>
      <c r="D343">
        <v>3010</v>
      </c>
      <c r="E343">
        <v>3025</v>
      </c>
      <c r="F343">
        <v>3010</v>
      </c>
      <c r="G343">
        <v>3025</v>
      </c>
      <c r="H343">
        <v>23500</v>
      </c>
    </row>
    <row r="344" spans="2:8">
      <c r="B344" t="s">
        <v>442</v>
      </c>
      <c r="C344" t="s">
        <v>175</v>
      </c>
      <c r="D344">
        <v>3025</v>
      </c>
      <c r="E344">
        <v>3025</v>
      </c>
      <c r="F344">
        <v>3020</v>
      </c>
      <c r="G344">
        <v>3025</v>
      </c>
      <c r="H344">
        <v>4500</v>
      </c>
    </row>
    <row r="345" spans="2:8">
      <c r="B345" t="s">
        <v>442</v>
      </c>
      <c r="C345" t="s">
        <v>176</v>
      </c>
      <c r="D345">
        <v>3025</v>
      </c>
      <c r="E345">
        <v>3030</v>
      </c>
      <c r="F345">
        <v>3025</v>
      </c>
      <c r="G345">
        <v>3030</v>
      </c>
      <c r="H345">
        <v>17000</v>
      </c>
    </row>
    <row r="346" spans="2:8">
      <c r="B346" t="s">
        <v>442</v>
      </c>
      <c r="C346" t="s">
        <v>177</v>
      </c>
      <c r="D346">
        <v>3030</v>
      </c>
      <c r="E346">
        <v>3040</v>
      </c>
      <c r="F346">
        <v>3030</v>
      </c>
      <c r="G346">
        <v>3040</v>
      </c>
      <c r="H346">
        <v>14300</v>
      </c>
    </row>
    <row r="347" spans="2:8">
      <c r="B347" t="s">
        <v>442</v>
      </c>
      <c r="C347" t="s">
        <v>178</v>
      </c>
      <c r="D347">
        <v>3035</v>
      </c>
      <c r="E347">
        <v>3035</v>
      </c>
      <c r="F347">
        <v>3030</v>
      </c>
      <c r="G347">
        <v>3030</v>
      </c>
      <c r="H347">
        <v>13300</v>
      </c>
    </row>
    <row r="348" spans="2:8">
      <c r="B348" t="s">
        <v>442</v>
      </c>
      <c r="C348" t="s">
        <v>179</v>
      </c>
      <c r="D348">
        <v>3030</v>
      </c>
      <c r="E348">
        <v>3035</v>
      </c>
      <c r="F348">
        <v>3025</v>
      </c>
      <c r="G348">
        <v>3030</v>
      </c>
      <c r="H348">
        <v>9000</v>
      </c>
    </row>
    <row r="349" spans="2:8">
      <c r="B349" t="s">
        <v>442</v>
      </c>
      <c r="C349" t="s">
        <v>180</v>
      </c>
      <c r="D349">
        <v>3025</v>
      </c>
      <c r="E349">
        <v>3030</v>
      </c>
      <c r="F349">
        <v>3025</v>
      </c>
      <c r="G349">
        <v>3025</v>
      </c>
      <c r="H349">
        <v>12100</v>
      </c>
    </row>
    <row r="350" spans="2:8">
      <c r="B350" t="s">
        <v>442</v>
      </c>
      <c r="C350" t="s">
        <v>181</v>
      </c>
      <c r="D350">
        <v>3025</v>
      </c>
      <c r="E350">
        <v>3025</v>
      </c>
      <c r="F350">
        <v>3020</v>
      </c>
      <c r="G350">
        <v>3025</v>
      </c>
      <c r="H350">
        <v>3600</v>
      </c>
    </row>
    <row r="351" spans="2:8">
      <c r="B351" t="s">
        <v>442</v>
      </c>
      <c r="C351" t="s">
        <v>182</v>
      </c>
      <c r="D351">
        <v>3020</v>
      </c>
      <c r="E351">
        <v>3025</v>
      </c>
      <c r="F351">
        <v>3015</v>
      </c>
      <c r="G351">
        <v>3025</v>
      </c>
      <c r="H351">
        <v>12500</v>
      </c>
    </row>
    <row r="352" spans="2:8">
      <c r="B352" t="s">
        <v>442</v>
      </c>
      <c r="C352" t="s">
        <v>183</v>
      </c>
      <c r="D352">
        <v>3020</v>
      </c>
      <c r="E352">
        <v>3020</v>
      </c>
      <c r="F352">
        <v>3015</v>
      </c>
      <c r="G352">
        <v>3020</v>
      </c>
      <c r="H352">
        <v>4900</v>
      </c>
    </row>
    <row r="353" spans="2:8">
      <c r="B353" t="s">
        <v>442</v>
      </c>
      <c r="C353" t="s">
        <v>184</v>
      </c>
      <c r="D353">
        <v>3020</v>
      </c>
      <c r="E353">
        <v>3020</v>
      </c>
      <c r="F353">
        <v>3015</v>
      </c>
      <c r="G353">
        <v>3015</v>
      </c>
      <c r="H353">
        <v>17200</v>
      </c>
    </row>
    <row r="354" spans="2:8">
      <c r="B354" t="s">
        <v>442</v>
      </c>
      <c r="C354" t="s">
        <v>185</v>
      </c>
      <c r="D354">
        <v>3010</v>
      </c>
      <c r="E354">
        <v>3015</v>
      </c>
      <c r="F354">
        <v>3010</v>
      </c>
      <c r="G354">
        <v>3010</v>
      </c>
      <c r="H354">
        <v>15700</v>
      </c>
    </row>
    <row r="355" spans="2:8">
      <c r="B355" t="s">
        <v>442</v>
      </c>
      <c r="C355" t="s">
        <v>186</v>
      </c>
      <c r="D355">
        <v>3010</v>
      </c>
      <c r="E355">
        <v>3010</v>
      </c>
      <c r="F355">
        <v>3010</v>
      </c>
      <c r="G355">
        <v>3010</v>
      </c>
      <c r="H355">
        <v>7300</v>
      </c>
    </row>
    <row r="356" spans="2:8">
      <c r="B356" t="s">
        <v>442</v>
      </c>
      <c r="C356" t="s">
        <v>187</v>
      </c>
      <c r="D356">
        <v>3010</v>
      </c>
      <c r="E356">
        <v>3015</v>
      </c>
      <c r="F356">
        <v>3000</v>
      </c>
      <c r="G356">
        <v>3005</v>
      </c>
      <c r="H356">
        <v>41700</v>
      </c>
    </row>
    <row r="357" spans="2:8">
      <c r="B357" t="s">
        <v>442</v>
      </c>
      <c r="C357" t="s">
        <v>188</v>
      </c>
      <c r="D357">
        <v>3005</v>
      </c>
      <c r="E357">
        <v>3010</v>
      </c>
      <c r="F357">
        <v>3005</v>
      </c>
      <c r="G357">
        <v>3005</v>
      </c>
      <c r="H357">
        <v>5900</v>
      </c>
    </row>
    <row r="358" spans="2:8">
      <c r="B358" t="s">
        <v>442</v>
      </c>
      <c r="C358" t="s">
        <v>189</v>
      </c>
      <c r="D358">
        <v>3005</v>
      </c>
      <c r="E358">
        <v>3015</v>
      </c>
      <c r="F358">
        <v>3005</v>
      </c>
      <c r="G358">
        <v>3015</v>
      </c>
      <c r="H358">
        <v>20300</v>
      </c>
    </row>
    <row r="359" spans="2:8">
      <c r="B359" t="s">
        <v>442</v>
      </c>
      <c r="C359" t="s">
        <v>190</v>
      </c>
      <c r="D359">
        <v>3020</v>
      </c>
      <c r="E359">
        <v>3020</v>
      </c>
      <c r="F359">
        <v>3020</v>
      </c>
      <c r="G359">
        <v>3020</v>
      </c>
      <c r="H359">
        <v>1100</v>
      </c>
    </row>
    <row r="360" spans="2:8">
      <c r="B360" t="s">
        <v>442</v>
      </c>
      <c r="C360" t="s">
        <v>191</v>
      </c>
      <c r="D360">
        <v>3020</v>
      </c>
      <c r="E360">
        <v>3020</v>
      </c>
      <c r="F360">
        <v>3020</v>
      </c>
      <c r="G360">
        <v>3020</v>
      </c>
      <c r="H360">
        <v>7100</v>
      </c>
    </row>
    <row r="361" spans="2:8">
      <c r="B361" t="s">
        <v>442</v>
      </c>
      <c r="C361" t="s">
        <v>192</v>
      </c>
      <c r="D361">
        <v>3015</v>
      </c>
      <c r="E361">
        <v>3020</v>
      </c>
      <c r="F361">
        <v>3015</v>
      </c>
      <c r="G361">
        <v>3020</v>
      </c>
      <c r="H361">
        <v>3300</v>
      </c>
    </row>
    <row r="362" spans="2:8">
      <c r="B362" t="s">
        <v>442</v>
      </c>
      <c r="C362" t="s">
        <v>193</v>
      </c>
      <c r="D362">
        <v>3025</v>
      </c>
      <c r="E362">
        <v>3025</v>
      </c>
      <c r="F362">
        <v>3020</v>
      </c>
      <c r="G362">
        <v>3025</v>
      </c>
      <c r="H362">
        <v>1100</v>
      </c>
    </row>
    <row r="363" spans="2:8">
      <c r="B363" t="s">
        <v>442</v>
      </c>
      <c r="C363" t="s">
        <v>194</v>
      </c>
      <c r="D363">
        <v>3025</v>
      </c>
      <c r="E363">
        <v>3025</v>
      </c>
      <c r="F363">
        <v>3025</v>
      </c>
      <c r="G363">
        <v>3025</v>
      </c>
      <c r="H363">
        <v>9100</v>
      </c>
    </row>
    <row r="364" spans="2:8">
      <c r="B364" t="s">
        <v>442</v>
      </c>
      <c r="C364" t="s">
        <v>195</v>
      </c>
      <c r="D364">
        <v>3025</v>
      </c>
      <c r="E364">
        <v>3030</v>
      </c>
      <c r="F364">
        <v>3025</v>
      </c>
      <c r="G364">
        <v>3030</v>
      </c>
      <c r="H364">
        <v>2000</v>
      </c>
    </row>
    <row r="365" spans="2:8">
      <c r="B365" t="s">
        <v>442</v>
      </c>
      <c r="C365" t="s">
        <v>196</v>
      </c>
      <c r="D365">
        <v>3025</v>
      </c>
      <c r="E365">
        <v>3025</v>
      </c>
      <c r="F365">
        <v>3025</v>
      </c>
      <c r="G365">
        <v>3025</v>
      </c>
      <c r="H365">
        <v>6100</v>
      </c>
    </row>
    <row r="366" spans="2:8">
      <c r="B366" t="s">
        <v>442</v>
      </c>
      <c r="C366" t="s">
        <v>197</v>
      </c>
      <c r="D366">
        <v>3020</v>
      </c>
      <c r="E366">
        <v>3025</v>
      </c>
      <c r="F366">
        <v>3020</v>
      </c>
      <c r="G366">
        <v>3025</v>
      </c>
      <c r="H366">
        <v>4300</v>
      </c>
    </row>
    <row r="367" spans="2:8">
      <c r="B367" t="s">
        <v>442</v>
      </c>
      <c r="C367" t="s">
        <v>198</v>
      </c>
      <c r="D367">
        <v>3020</v>
      </c>
      <c r="E367">
        <v>3025</v>
      </c>
      <c r="F367">
        <v>3020</v>
      </c>
      <c r="G367">
        <v>3025</v>
      </c>
      <c r="H367">
        <v>800</v>
      </c>
    </row>
    <row r="368" spans="2:8">
      <c r="B368" t="s">
        <v>442</v>
      </c>
      <c r="C368" t="s">
        <v>199</v>
      </c>
      <c r="D368">
        <v>3025</v>
      </c>
      <c r="E368">
        <v>3025</v>
      </c>
      <c r="F368">
        <v>3020</v>
      </c>
      <c r="G368">
        <v>3020</v>
      </c>
      <c r="H368">
        <v>1000</v>
      </c>
    </row>
    <row r="369" spans="2:8">
      <c r="B369" t="s">
        <v>442</v>
      </c>
      <c r="C369" t="s">
        <v>200</v>
      </c>
      <c r="D369">
        <v>3020</v>
      </c>
      <c r="E369">
        <v>3020</v>
      </c>
      <c r="F369">
        <v>3010</v>
      </c>
      <c r="G369">
        <v>3015</v>
      </c>
      <c r="H369">
        <v>50600</v>
      </c>
    </row>
    <row r="370" spans="2:8">
      <c r="B370" t="s">
        <v>442</v>
      </c>
      <c r="C370" t="s">
        <v>201</v>
      </c>
      <c r="D370">
        <v>3015</v>
      </c>
      <c r="E370">
        <v>3015</v>
      </c>
      <c r="F370">
        <v>3010</v>
      </c>
      <c r="G370">
        <v>3010</v>
      </c>
      <c r="H370">
        <v>6700</v>
      </c>
    </row>
    <row r="371" spans="2:8">
      <c r="B371" t="s">
        <v>442</v>
      </c>
      <c r="C371" t="s">
        <v>202</v>
      </c>
      <c r="D371">
        <v>3015</v>
      </c>
      <c r="E371">
        <v>3015</v>
      </c>
      <c r="F371">
        <v>3010</v>
      </c>
      <c r="G371">
        <v>3015</v>
      </c>
      <c r="H371">
        <v>1800</v>
      </c>
    </row>
    <row r="372" spans="2:8">
      <c r="B372" t="s">
        <v>442</v>
      </c>
      <c r="C372" t="s">
        <v>203</v>
      </c>
      <c r="D372">
        <v>3015</v>
      </c>
      <c r="E372">
        <v>3015</v>
      </c>
      <c r="F372">
        <v>3010</v>
      </c>
      <c r="G372">
        <v>3010</v>
      </c>
      <c r="H372">
        <v>1500</v>
      </c>
    </row>
    <row r="373" spans="2:8">
      <c r="B373" t="s">
        <v>442</v>
      </c>
      <c r="C373" t="s">
        <v>204</v>
      </c>
      <c r="D373">
        <v>3010</v>
      </c>
      <c r="E373">
        <v>3015</v>
      </c>
      <c r="F373">
        <v>3010</v>
      </c>
      <c r="G373">
        <v>3015</v>
      </c>
      <c r="H373">
        <v>6100</v>
      </c>
    </row>
    <row r="374" spans="2:8">
      <c r="B374" t="s">
        <v>442</v>
      </c>
      <c r="C374" t="s">
        <v>205</v>
      </c>
      <c r="D374">
        <v>3015</v>
      </c>
      <c r="E374">
        <v>3015</v>
      </c>
      <c r="F374">
        <v>3010</v>
      </c>
      <c r="G374">
        <v>3015</v>
      </c>
      <c r="H374">
        <v>2200</v>
      </c>
    </row>
    <row r="375" spans="2:8">
      <c r="B375" t="s">
        <v>442</v>
      </c>
      <c r="C375" t="s">
        <v>206</v>
      </c>
      <c r="D375">
        <v>3015</v>
      </c>
      <c r="E375">
        <v>3015</v>
      </c>
      <c r="F375">
        <v>3010</v>
      </c>
      <c r="G375">
        <v>3010</v>
      </c>
      <c r="H375">
        <v>7800</v>
      </c>
    </row>
    <row r="376" spans="2:8">
      <c r="B376" t="s">
        <v>442</v>
      </c>
      <c r="C376" t="s">
        <v>207</v>
      </c>
      <c r="D376">
        <v>3010</v>
      </c>
      <c r="E376">
        <v>3010</v>
      </c>
      <c r="F376">
        <v>3010</v>
      </c>
      <c r="G376">
        <v>3010</v>
      </c>
      <c r="H376">
        <v>6900</v>
      </c>
    </row>
    <row r="377" spans="2:8">
      <c r="B377" t="s">
        <v>442</v>
      </c>
      <c r="C377" t="s">
        <v>208</v>
      </c>
      <c r="D377">
        <v>3010</v>
      </c>
      <c r="E377">
        <v>3010</v>
      </c>
      <c r="F377">
        <v>3010</v>
      </c>
      <c r="G377">
        <v>3010</v>
      </c>
      <c r="H377">
        <v>3400</v>
      </c>
    </row>
    <row r="378" spans="2:8">
      <c r="B378" t="s">
        <v>442</v>
      </c>
      <c r="C378" t="s">
        <v>209</v>
      </c>
      <c r="D378">
        <v>3010</v>
      </c>
      <c r="E378">
        <v>3010</v>
      </c>
      <c r="F378">
        <v>3005</v>
      </c>
      <c r="G378">
        <v>3010</v>
      </c>
      <c r="H378">
        <v>1200</v>
      </c>
    </row>
    <row r="379" spans="2:8">
      <c r="B379" t="s">
        <v>442</v>
      </c>
      <c r="C379" t="s">
        <v>210</v>
      </c>
      <c r="D379">
        <v>3005</v>
      </c>
      <c r="E379">
        <v>3010</v>
      </c>
      <c r="F379">
        <v>3005</v>
      </c>
      <c r="G379">
        <v>3005</v>
      </c>
      <c r="H379">
        <v>2900</v>
      </c>
    </row>
    <row r="380" spans="2:8">
      <c r="B380" t="s">
        <v>442</v>
      </c>
      <c r="C380" t="s">
        <v>211</v>
      </c>
      <c r="D380">
        <v>3005</v>
      </c>
      <c r="E380">
        <v>3005</v>
      </c>
      <c r="F380">
        <v>3000</v>
      </c>
      <c r="G380">
        <v>3000</v>
      </c>
      <c r="H380">
        <v>50300</v>
      </c>
    </row>
    <row r="381" spans="2:8">
      <c r="B381" t="s">
        <v>442</v>
      </c>
      <c r="C381" t="s">
        <v>212</v>
      </c>
      <c r="D381">
        <v>3000</v>
      </c>
      <c r="E381">
        <v>3005</v>
      </c>
      <c r="F381">
        <v>3000</v>
      </c>
      <c r="G381">
        <v>3005</v>
      </c>
      <c r="H381">
        <v>5700</v>
      </c>
    </row>
    <row r="382" spans="2:8">
      <c r="B382" t="s">
        <v>442</v>
      </c>
      <c r="C382" t="s">
        <v>213</v>
      </c>
      <c r="D382">
        <v>3005</v>
      </c>
      <c r="E382">
        <v>3010</v>
      </c>
      <c r="F382">
        <v>3005</v>
      </c>
      <c r="G382">
        <v>3005</v>
      </c>
      <c r="H382">
        <v>2100</v>
      </c>
    </row>
    <row r="383" spans="2:8">
      <c r="B383" t="s">
        <v>442</v>
      </c>
      <c r="C383" t="s">
        <v>214</v>
      </c>
      <c r="D383">
        <v>3010</v>
      </c>
      <c r="E383">
        <v>3010</v>
      </c>
      <c r="F383">
        <v>3005</v>
      </c>
      <c r="G383">
        <v>3005</v>
      </c>
      <c r="H383">
        <v>10700</v>
      </c>
    </row>
    <row r="384" spans="2:8">
      <c r="B384" t="s">
        <v>442</v>
      </c>
      <c r="C384" t="s">
        <v>215</v>
      </c>
      <c r="D384">
        <v>3005</v>
      </c>
      <c r="E384">
        <v>3005</v>
      </c>
      <c r="F384">
        <v>3005</v>
      </c>
      <c r="G384">
        <v>3005</v>
      </c>
      <c r="H384">
        <v>4000</v>
      </c>
    </row>
    <row r="385" spans="2:8">
      <c r="B385" t="s">
        <v>442</v>
      </c>
      <c r="C385" t="s">
        <v>216</v>
      </c>
      <c r="D385">
        <v>3005</v>
      </c>
      <c r="E385">
        <v>3010</v>
      </c>
      <c r="F385">
        <v>3005</v>
      </c>
      <c r="G385">
        <v>3005</v>
      </c>
      <c r="H385">
        <v>5200</v>
      </c>
    </row>
    <row r="386" spans="2:8">
      <c r="B386" t="s">
        <v>442</v>
      </c>
      <c r="C386" t="s">
        <v>217</v>
      </c>
      <c r="D386">
        <v>3010</v>
      </c>
      <c r="E386">
        <v>3010</v>
      </c>
      <c r="F386">
        <v>3010</v>
      </c>
      <c r="G386">
        <v>3010</v>
      </c>
      <c r="H386">
        <v>500</v>
      </c>
    </row>
    <row r="387" spans="2:8">
      <c r="B387" t="s">
        <v>442</v>
      </c>
      <c r="C387" t="s">
        <v>218</v>
      </c>
      <c r="D387">
        <v>3010</v>
      </c>
      <c r="E387">
        <v>3010</v>
      </c>
      <c r="F387">
        <v>3005</v>
      </c>
      <c r="G387">
        <v>3010</v>
      </c>
      <c r="H387">
        <v>1500</v>
      </c>
    </row>
    <row r="388" spans="2:8">
      <c r="B388" t="s">
        <v>442</v>
      </c>
      <c r="C388" t="s">
        <v>219</v>
      </c>
      <c r="D388">
        <v>3010</v>
      </c>
      <c r="E388">
        <v>3010</v>
      </c>
      <c r="F388">
        <v>3005</v>
      </c>
      <c r="G388">
        <v>3010</v>
      </c>
      <c r="H388">
        <v>1100</v>
      </c>
    </row>
    <row r="389" spans="2:8">
      <c r="B389" t="s">
        <v>442</v>
      </c>
      <c r="C389" t="s">
        <v>220</v>
      </c>
      <c r="D389">
        <v>3010</v>
      </c>
      <c r="E389">
        <v>3010</v>
      </c>
      <c r="F389">
        <v>3005</v>
      </c>
      <c r="G389">
        <v>3005</v>
      </c>
      <c r="H389">
        <v>10800</v>
      </c>
    </row>
    <row r="390" spans="2:8">
      <c r="B390" t="s">
        <v>442</v>
      </c>
      <c r="C390" t="s">
        <v>221</v>
      </c>
      <c r="D390">
        <v>3005</v>
      </c>
      <c r="E390">
        <v>3005</v>
      </c>
      <c r="F390">
        <v>3005</v>
      </c>
      <c r="G390">
        <v>3005</v>
      </c>
      <c r="H390">
        <v>4200</v>
      </c>
    </row>
    <row r="391" spans="2:8">
      <c r="B391" t="s">
        <v>442</v>
      </c>
      <c r="C391" t="s">
        <v>222</v>
      </c>
      <c r="D391">
        <v>3000</v>
      </c>
      <c r="E391">
        <v>3005</v>
      </c>
      <c r="F391">
        <v>3000</v>
      </c>
      <c r="G391">
        <v>3005</v>
      </c>
      <c r="H391">
        <v>2000</v>
      </c>
    </row>
    <row r="392" spans="2:8">
      <c r="B392" t="s">
        <v>442</v>
      </c>
      <c r="C392" t="s">
        <v>223</v>
      </c>
      <c r="D392">
        <v>3005</v>
      </c>
      <c r="E392">
        <v>3005</v>
      </c>
      <c r="F392">
        <v>3000</v>
      </c>
      <c r="G392">
        <v>3005</v>
      </c>
      <c r="H392">
        <v>600</v>
      </c>
    </row>
    <row r="393" spans="2:8">
      <c r="B393" t="s">
        <v>442</v>
      </c>
      <c r="C393" t="s">
        <v>224</v>
      </c>
      <c r="D393">
        <v>3005</v>
      </c>
      <c r="E393">
        <v>3005</v>
      </c>
      <c r="F393">
        <v>3000</v>
      </c>
      <c r="G393">
        <v>3005</v>
      </c>
      <c r="H393">
        <v>6800</v>
      </c>
    </row>
    <row r="394" spans="2:8">
      <c r="B394" t="s">
        <v>442</v>
      </c>
      <c r="C394" t="s">
        <v>225</v>
      </c>
      <c r="D394">
        <v>3005</v>
      </c>
      <c r="E394">
        <v>3005</v>
      </c>
      <c r="F394">
        <v>3000</v>
      </c>
      <c r="G394">
        <v>3000</v>
      </c>
      <c r="H394">
        <v>3800</v>
      </c>
    </row>
    <row r="395" spans="2:8">
      <c r="B395" t="s">
        <v>442</v>
      </c>
      <c r="C395" t="s">
        <v>226</v>
      </c>
      <c r="D395">
        <v>3005</v>
      </c>
      <c r="E395">
        <v>3010</v>
      </c>
      <c r="F395">
        <v>3005</v>
      </c>
      <c r="G395">
        <v>3010</v>
      </c>
      <c r="H395">
        <v>4100</v>
      </c>
    </row>
    <row r="396" spans="2:8">
      <c r="B396" t="s">
        <v>442</v>
      </c>
      <c r="C396" t="s">
        <v>227</v>
      </c>
      <c r="D396">
        <v>3005</v>
      </c>
      <c r="E396">
        <v>3010</v>
      </c>
      <c r="F396">
        <v>3005</v>
      </c>
      <c r="G396">
        <v>3005</v>
      </c>
      <c r="H396">
        <v>400</v>
      </c>
    </row>
    <row r="397" spans="2:8">
      <c r="B397" t="s">
        <v>442</v>
      </c>
      <c r="C397" t="s">
        <v>228</v>
      </c>
      <c r="D397">
        <v>3010</v>
      </c>
      <c r="E397">
        <v>3010</v>
      </c>
      <c r="F397">
        <v>3005</v>
      </c>
      <c r="G397">
        <v>3010</v>
      </c>
      <c r="H397">
        <v>2900</v>
      </c>
    </row>
    <row r="398" spans="2:8">
      <c r="B398" t="s">
        <v>442</v>
      </c>
      <c r="C398" t="s">
        <v>229</v>
      </c>
      <c r="D398">
        <v>3010</v>
      </c>
      <c r="E398">
        <v>3010</v>
      </c>
      <c r="F398">
        <v>3010</v>
      </c>
      <c r="G398">
        <v>3010</v>
      </c>
      <c r="H398">
        <v>900</v>
      </c>
    </row>
    <row r="399" spans="2:8">
      <c r="B399" t="s">
        <v>442</v>
      </c>
      <c r="C399" t="s">
        <v>230</v>
      </c>
      <c r="D399">
        <v>3010</v>
      </c>
      <c r="E399">
        <v>3010</v>
      </c>
      <c r="F399">
        <v>3005</v>
      </c>
      <c r="G399">
        <v>3010</v>
      </c>
      <c r="H399">
        <v>1000</v>
      </c>
    </row>
    <row r="400" spans="2:8">
      <c r="B400" t="s">
        <v>442</v>
      </c>
      <c r="C400" t="s">
        <v>231</v>
      </c>
      <c r="D400">
        <v>3010</v>
      </c>
      <c r="E400">
        <v>3010</v>
      </c>
      <c r="F400">
        <v>3010</v>
      </c>
      <c r="G400">
        <v>3010</v>
      </c>
      <c r="H400">
        <v>600</v>
      </c>
    </row>
    <row r="401" spans="2:8">
      <c r="B401" t="s">
        <v>442</v>
      </c>
      <c r="C401" t="s">
        <v>232</v>
      </c>
      <c r="D401">
        <v>3010</v>
      </c>
      <c r="E401">
        <v>3010</v>
      </c>
      <c r="F401">
        <v>3005</v>
      </c>
      <c r="G401">
        <v>3005</v>
      </c>
      <c r="H401">
        <v>900</v>
      </c>
    </row>
    <row r="402" spans="2:8">
      <c r="B402" t="s">
        <v>442</v>
      </c>
      <c r="C402" t="s">
        <v>233</v>
      </c>
      <c r="D402">
        <v>3005</v>
      </c>
      <c r="E402">
        <v>3005</v>
      </c>
      <c r="F402">
        <v>3005</v>
      </c>
      <c r="G402">
        <v>3005</v>
      </c>
      <c r="H402">
        <v>28100</v>
      </c>
    </row>
    <row r="403" spans="2:8">
      <c r="B403" t="s">
        <v>442</v>
      </c>
      <c r="C403" t="s">
        <v>234</v>
      </c>
      <c r="D403">
        <v>3000</v>
      </c>
      <c r="E403">
        <v>3005</v>
      </c>
      <c r="F403">
        <v>3000</v>
      </c>
      <c r="G403">
        <v>3005</v>
      </c>
      <c r="H403">
        <v>600</v>
      </c>
    </row>
    <row r="404" spans="2:8">
      <c r="B404" t="s">
        <v>442</v>
      </c>
      <c r="C404" t="s">
        <v>235</v>
      </c>
      <c r="D404">
        <v>3005</v>
      </c>
      <c r="E404">
        <v>3005</v>
      </c>
      <c r="F404">
        <v>3000</v>
      </c>
      <c r="G404">
        <v>3005</v>
      </c>
      <c r="H404">
        <v>3200</v>
      </c>
    </row>
    <row r="405" spans="2:8">
      <c r="B405" t="s">
        <v>442</v>
      </c>
      <c r="C405" t="s">
        <v>236</v>
      </c>
      <c r="D405">
        <v>3005</v>
      </c>
      <c r="E405">
        <v>3005</v>
      </c>
      <c r="F405">
        <v>3000</v>
      </c>
      <c r="G405">
        <v>3000</v>
      </c>
      <c r="H405">
        <v>200</v>
      </c>
    </row>
    <row r="406" spans="2:8">
      <c r="B406" t="s">
        <v>442</v>
      </c>
      <c r="C406" t="s">
        <v>237</v>
      </c>
      <c r="D406">
        <v>3005</v>
      </c>
      <c r="E406">
        <v>3010</v>
      </c>
      <c r="F406">
        <v>3005</v>
      </c>
      <c r="G406">
        <v>3010</v>
      </c>
      <c r="H406">
        <v>3400</v>
      </c>
    </row>
    <row r="407" spans="2:8">
      <c r="B407" t="s">
        <v>442</v>
      </c>
      <c r="C407" t="s">
        <v>238</v>
      </c>
      <c r="D407">
        <v>3010</v>
      </c>
      <c r="E407">
        <v>3010</v>
      </c>
      <c r="F407">
        <v>3005</v>
      </c>
      <c r="G407">
        <v>3010</v>
      </c>
      <c r="H407">
        <v>1200</v>
      </c>
    </row>
    <row r="408" spans="2:8">
      <c r="B408" t="s">
        <v>442</v>
      </c>
      <c r="C408" t="s">
        <v>239</v>
      </c>
      <c r="D408">
        <v>3010</v>
      </c>
      <c r="E408">
        <v>3010</v>
      </c>
      <c r="F408">
        <v>3010</v>
      </c>
      <c r="G408">
        <v>3010</v>
      </c>
      <c r="H408">
        <v>400</v>
      </c>
    </row>
    <row r="409" spans="2:8">
      <c r="B409" t="s">
        <v>442</v>
      </c>
      <c r="C409" t="s">
        <v>240</v>
      </c>
      <c r="D409">
        <v>3010</v>
      </c>
      <c r="E409">
        <v>3015</v>
      </c>
      <c r="F409">
        <v>3010</v>
      </c>
      <c r="G409">
        <v>3015</v>
      </c>
      <c r="H409">
        <v>28800</v>
      </c>
    </row>
    <row r="410" spans="2:8">
      <c r="B410" t="s">
        <v>442</v>
      </c>
      <c r="C410" t="s">
        <v>241</v>
      </c>
      <c r="D410">
        <v>3015</v>
      </c>
      <c r="E410">
        <v>3020</v>
      </c>
      <c r="F410">
        <v>3015</v>
      </c>
      <c r="G410">
        <v>3020</v>
      </c>
      <c r="H410">
        <v>23000</v>
      </c>
    </row>
    <row r="411" spans="2:8">
      <c r="B411" t="s">
        <v>442</v>
      </c>
      <c r="C411" t="s">
        <v>242</v>
      </c>
      <c r="D411">
        <v>3020</v>
      </c>
      <c r="E411">
        <v>3020</v>
      </c>
      <c r="F411">
        <v>3015</v>
      </c>
      <c r="G411">
        <v>3015</v>
      </c>
      <c r="H411">
        <v>11300</v>
      </c>
    </row>
    <row r="412" spans="2:8">
      <c r="B412" t="s">
        <v>442</v>
      </c>
      <c r="C412" t="s">
        <v>243</v>
      </c>
      <c r="D412">
        <v>3015</v>
      </c>
      <c r="E412">
        <v>3015</v>
      </c>
      <c r="F412">
        <v>3015</v>
      </c>
      <c r="G412">
        <v>3015</v>
      </c>
      <c r="H412">
        <v>200</v>
      </c>
    </row>
    <row r="413" spans="2:8">
      <c r="B413" t="s">
        <v>442</v>
      </c>
      <c r="C413" t="s">
        <v>244</v>
      </c>
      <c r="D413">
        <v>3015</v>
      </c>
      <c r="E413">
        <v>3015</v>
      </c>
      <c r="F413">
        <v>3015</v>
      </c>
      <c r="G413">
        <v>3015</v>
      </c>
      <c r="H413">
        <v>500</v>
      </c>
    </row>
    <row r="414" spans="2:8">
      <c r="B414" t="s">
        <v>442</v>
      </c>
      <c r="C414" t="s">
        <v>245</v>
      </c>
      <c r="D414">
        <v>3015</v>
      </c>
      <c r="E414">
        <v>3015</v>
      </c>
      <c r="F414">
        <v>3010</v>
      </c>
      <c r="G414">
        <v>3010</v>
      </c>
      <c r="H414">
        <v>17700</v>
      </c>
    </row>
    <row r="415" spans="2:8">
      <c r="B415" t="s">
        <v>442</v>
      </c>
      <c r="C415" t="s">
        <v>246</v>
      </c>
      <c r="D415">
        <v>3010</v>
      </c>
      <c r="E415">
        <v>3010</v>
      </c>
      <c r="F415">
        <v>3005</v>
      </c>
      <c r="G415">
        <v>3005</v>
      </c>
      <c r="H415">
        <v>6400</v>
      </c>
    </row>
    <row r="416" spans="2:8">
      <c r="B416" t="s">
        <v>442</v>
      </c>
      <c r="C416" t="s">
        <v>247</v>
      </c>
      <c r="D416">
        <v>3010</v>
      </c>
      <c r="E416">
        <v>3010</v>
      </c>
      <c r="F416">
        <v>3005</v>
      </c>
      <c r="G416">
        <v>3010</v>
      </c>
      <c r="H416">
        <v>1000</v>
      </c>
    </row>
    <row r="417" spans="2:8">
      <c r="B417" t="s">
        <v>442</v>
      </c>
      <c r="C417" t="s">
        <v>248</v>
      </c>
      <c r="D417">
        <v>3005</v>
      </c>
      <c r="E417">
        <v>3005</v>
      </c>
      <c r="F417">
        <v>3005</v>
      </c>
      <c r="G417">
        <v>3005</v>
      </c>
      <c r="H417">
        <v>700</v>
      </c>
    </row>
    <row r="418" spans="2:8">
      <c r="B418" t="s">
        <v>442</v>
      </c>
      <c r="C418" t="s">
        <v>249</v>
      </c>
      <c r="D418">
        <v>3010</v>
      </c>
      <c r="E418">
        <v>3010</v>
      </c>
      <c r="F418">
        <v>3005</v>
      </c>
      <c r="G418">
        <v>3010</v>
      </c>
      <c r="H418">
        <v>1400</v>
      </c>
    </row>
    <row r="419" spans="2:8">
      <c r="B419" t="s">
        <v>442</v>
      </c>
      <c r="C419" t="s">
        <v>250</v>
      </c>
      <c r="D419">
        <v>3005</v>
      </c>
      <c r="E419">
        <v>3010</v>
      </c>
      <c r="F419">
        <v>3005</v>
      </c>
      <c r="G419">
        <v>3005</v>
      </c>
      <c r="H419">
        <v>32800</v>
      </c>
    </row>
    <row r="420" spans="2:8">
      <c r="B420" t="s">
        <v>442</v>
      </c>
      <c r="C420" t="s">
        <v>251</v>
      </c>
      <c r="D420">
        <v>3005</v>
      </c>
      <c r="E420">
        <v>3010</v>
      </c>
      <c r="F420">
        <v>3005</v>
      </c>
      <c r="G420">
        <v>3005</v>
      </c>
      <c r="H420">
        <v>13600</v>
      </c>
    </row>
    <row r="421" spans="2:8">
      <c r="B421" t="s">
        <v>442</v>
      </c>
      <c r="C421" t="s">
        <v>252</v>
      </c>
      <c r="D421">
        <v>3005</v>
      </c>
      <c r="E421">
        <v>3005</v>
      </c>
      <c r="F421">
        <v>3005</v>
      </c>
      <c r="G421">
        <v>3005</v>
      </c>
      <c r="H421">
        <v>200</v>
      </c>
    </row>
    <row r="422" spans="2:8">
      <c r="B422" t="s">
        <v>442</v>
      </c>
      <c r="C422" t="s">
        <v>253</v>
      </c>
      <c r="D422">
        <v>3005</v>
      </c>
      <c r="E422">
        <v>3005</v>
      </c>
      <c r="F422">
        <v>3005</v>
      </c>
      <c r="G422">
        <v>3005</v>
      </c>
      <c r="H422">
        <v>900</v>
      </c>
    </row>
    <row r="423" spans="2:8">
      <c r="B423" t="s">
        <v>442</v>
      </c>
      <c r="C423" t="s">
        <v>254</v>
      </c>
      <c r="D423">
        <v>3005</v>
      </c>
      <c r="E423">
        <v>3005</v>
      </c>
      <c r="F423">
        <v>3005</v>
      </c>
      <c r="G423">
        <v>3005</v>
      </c>
      <c r="H423">
        <v>300</v>
      </c>
    </row>
    <row r="424" spans="2:8">
      <c r="B424" t="s">
        <v>442</v>
      </c>
      <c r="C424" t="s">
        <v>255</v>
      </c>
      <c r="D424">
        <v>3005</v>
      </c>
      <c r="E424">
        <v>3005</v>
      </c>
      <c r="F424">
        <v>3005</v>
      </c>
      <c r="G424">
        <v>3005</v>
      </c>
      <c r="H424">
        <v>700</v>
      </c>
    </row>
    <row r="425" spans="2:8">
      <c r="B425" t="s">
        <v>442</v>
      </c>
      <c r="C425" t="s">
        <v>256</v>
      </c>
      <c r="D425">
        <v>3005</v>
      </c>
      <c r="E425">
        <v>3005</v>
      </c>
      <c r="F425">
        <v>3000</v>
      </c>
      <c r="G425">
        <v>3000</v>
      </c>
      <c r="H425">
        <v>2600</v>
      </c>
    </row>
    <row r="426" spans="2:8">
      <c r="B426" t="s">
        <v>442</v>
      </c>
      <c r="C426" t="s">
        <v>257</v>
      </c>
      <c r="D426">
        <v>3000</v>
      </c>
      <c r="E426">
        <v>3000</v>
      </c>
      <c r="F426">
        <v>2985</v>
      </c>
      <c r="G426">
        <v>2993</v>
      </c>
      <c r="H426">
        <v>345000</v>
      </c>
    </row>
    <row r="427" spans="2:8">
      <c r="B427" t="s">
        <v>442</v>
      </c>
      <c r="C427" t="s">
        <v>258</v>
      </c>
      <c r="D427">
        <v>2995</v>
      </c>
      <c r="E427">
        <v>2998</v>
      </c>
      <c r="F427">
        <v>2995</v>
      </c>
      <c r="G427">
        <v>2997</v>
      </c>
      <c r="H427">
        <v>15300</v>
      </c>
    </row>
    <row r="428" spans="2:8">
      <c r="B428" t="s">
        <v>442</v>
      </c>
      <c r="C428" t="s">
        <v>259</v>
      </c>
      <c r="D428">
        <v>2996</v>
      </c>
      <c r="E428">
        <v>2999</v>
      </c>
      <c r="F428">
        <v>2996</v>
      </c>
      <c r="G428">
        <v>2999</v>
      </c>
      <c r="H428">
        <v>15700</v>
      </c>
    </row>
    <row r="429" spans="2:8">
      <c r="B429" t="s">
        <v>442</v>
      </c>
      <c r="C429" t="s">
        <v>260</v>
      </c>
      <c r="D429">
        <v>2999</v>
      </c>
      <c r="E429">
        <v>3000</v>
      </c>
      <c r="F429">
        <v>2999</v>
      </c>
      <c r="G429">
        <v>3000</v>
      </c>
      <c r="H429">
        <v>3000</v>
      </c>
    </row>
    <row r="430" spans="2:8">
      <c r="B430" t="s">
        <v>442</v>
      </c>
      <c r="C430" t="s">
        <v>261</v>
      </c>
      <c r="D430">
        <v>3005</v>
      </c>
      <c r="E430">
        <v>3005</v>
      </c>
      <c r="F430">
        <v>3000</v>
      </c>
      <c r="G430">
        <v>3000</v>
      </c>
      <c r="H430">
        <v>1200</v>
      </c>
    </row>
    <row r="431" spans="2:8">
      <c r="B431" t="s">
        <v>442</v>
      </c>
      <c r="C431" t="s">
        <v>262</v>
      </c>
      <c r="D431">
        <v>3000</v>
      </c>
      <c r="E431">
        <v>3005</v>
      </c>
      <c r="F431">
        <v>3000</v>
      </c>
      <c r="G431">
        <v>3005</v>
      </c>
      <c r="H431">
        <v>700</v>
      </c>
    </row>
    <row r="432" spans="2:8">
      <c r="B432" t="s">
        <v>442</v>
      </c>
      <c r="C432" t="s">
        <v>263</v>
      </c>
      <c r="D432">
        <v>3000</v>
      </c>
      <c r="E432">
        <v>3005</v>
      </c>
      <c r="F432">
        <v>2995</v>
      </c>
      <c r="G432">
        <v>2997</v>
      </c>
      <c r="H432">
        <v>23100</v>
      </c>
    </row>
    <row r="433" spans="2:8">
      <c r="B433" t="s">
        <v>442</v>
      </c>
      <c r="C433" t="s">
        <v>264</v>
      </c>
      <c r="D433">
        <v>2996</v>
      </c>
      <c r="E433">
        <v>2997</v>
      </c>
      <c r="F433">
        <v>2992</v>
      </c>
      <c r="G433">
        <v>2993</v>
      </c>
      <c r="H433">
        <v>14400</v>
      </c>
    </row>
    <row r="434" spans="2:8">
      <c r="B434" t="s">
        <v>442</v>
      </c>
      <c r="C434" t="s">
        <v>265</v>
      </c>
      <c r="D434">
        <v>2993</v>
      </c>
      <c r="E434">
        <v>2999</v>
      </c>
      <c r="F434">
        <v>2993</v>
      </c>
      <c r="G434">
        <v>2995</v>
      </c>
      <c r="H434">
        <v>9400</v>
      </c>
    </row>
    <row r="435" spans="2:8">
      <c r="B435" t="s">
        <v>442</v>
      </c>
      <c r="C435" t="s">
        <v>266</v>
      </c>
      <c r="D435">
        <v>2996</v>
      </c>
      <c r="E435">
        <v>2997</v>
      </c>
      <c r="F435">
        <v>2996</v>
      </c>
      <c r="G435">
        <v>2996</v>
      </c>
      <c r="H435">
        <v>2800</v>
      </c>
    </row>
    <row r="436" spans="2:8">
      <c r="B436" t="s">
        <v>442</v>
      </c>
      <c r="C436" t="s">
        <v>267</v>
      </c>
      <c r="D436">
        <v>2995</v>
      </c>
      <c r="E436">
        <v>2997</v>
      </c>
      <c r="F436">
        <v>2993</v>
      </c>
      <c r="G436">
        <v>2997</v>
      </c>
      <c r="H436">
        <v>6300</v>
      </c>
    </row>
    <row r="437" spans="2:8">
      <c r="B437" t="s">
        <v>442</v>
      </c>
      <c r="C437" t="s">
        <v>268</v>
      </c>
      <c r="D437">
        <v>2997</v>
      </c>
      <c r="E437">
        <v>2997</v>
      </c>
      <c r="F437">
        <v>2995</v>
      </c>
      <c r="G437">
        <v>2996</v>
      </c>
      <c r="H437">
        <v>5200</v>
      </c>
    </row>
    <row r="438" spans="2:8">
      <c r="B438" t="s">
        <v>442</v>
      </c>
      <c r="C438" t="s">
        <v>269</v>
      </c>
      <c r="D438">
        <v>2997</v>
      </c>
      <c r="E438">
        <v>3000</v>
      </c>
      <c r="F438">
        <v>2995</v>
      </c>
      <c r="G438">
        <v>3000</v>
      </c>
      <c r="H438">
        <v>11600</v>
      </c>
    </row>
    <row r="439" spans="2:8">
      <c r="B439" t="s">
        <v>442</v>
      </c>
      <c r="C439" t="s">
        <v>270</v>
      </c>
      <c r="D439">
        <v>3005</v>
      </c>
      <c r="E439">
        <v>3005</v>
      </c>
      <c r="F439">
        <v>3000</v>
      </c>
      <c r="G439">
        <v>3000</v>
      </c>
      <c r="H439">
        <v>800</v>
      </c>
    </row>
    <row r="440" spans="2:8">
      <c r="B440" t="s">
        <v>442</v>
      </c>
      <c r="C440" t="s">
        <v>271</v>
      </c>
      <c r="D440">
        <v>3000</v>
      </c>
      <c r="E440">
        <v>3000</v>
      </c>
      <c r="F440">
        <v>3000</v>
      </c>
      <c r="G440">
        <v>3000</v>
      </c>
      <c r="H440">
        <v>700</v>
      </c>
    </row>
    <row r="441" spans="2:8">
      <c r="B441" t="s">
        <v>442</v>
      </c>
      <c r="C441" t="s">
        <v>272</v>
      </c>
      <c r="D441">
        <v>3000</v>
      </c>
      <c r="E441">
        <v>3005</v>
      </c>
      <c r="F441">
        <v>2994</v>
      </c>
      <c r="G441">
        <v>2997</v>
      </c>
      <c r="H441">
        <v>18900</v>
      </c>
    </row>
    <row r="442" spans="2:8">
      <c r="B442" t="s">
        <v>442</v>
      </c>
      <c r="C442" t="s">
        <v>273</v>
      </c>
      <c r="D442">
        <v>2999</v>
      </c>
      <c r="E442">
        <v>2999</v>
      </c>
      <c r="F442">
        <v>2995</v>
      </c>
      <c r="G442">
        <v>2997</v>
      </c>
      <c r="H442">
        <v>8100</v>
      </c>
    </row>
    <row r="443" spans="2:8">
      <c r="B443" t="s">
        <v>442</v>
      </c>
      <c r="C443" t="s">
        <v>274</v>
      </c>
      <c r="D443">
        <v>2998</v>
      </c>
      <c r="E443">
        <v>3000</v>
      </c>
      <c r="F443">
        <v>2998</v>
      </c>
      <c r="G443">
        <v>2998</v>
      </c>
      <c r="H443">
        <v>2400</v>
      </c>
    </row>
    <row r="444" spans="2:8">
      <c r="B444" t="s">
        <v>442</v>
      </c>
      <c r="C444" t="s">
        <v>275</v>
      </c>
      <c r="D444">
        <v>2997</v>
      </c>
      <c r="E444">
        <v>2998</v>
      </c>
      <c r="F444">
        <v>2995</v>
      </c>
      <c r="G444">
        <v>2998</v>
      </c>
      <c r="H444">
        <v>5900</v>
      </c>
    </row>
    <row r="445" spans="2:8">
      <c r="B445" t="s">
        <v>442</v>
      </c>
      <c r="C445" t="s">
        <v>276</v>
      </c>
      <c r="D445">
        <v>2997</v>
      </c>
      <c r="E445">
        <v>2997</v>
      </c>
      <c r="F445">
        <v>2996</v>
      </c>
      <c r="G445">
        <v>2997</v>
      </c>
      <c r="H445">
        <v>1000</v>
      </c>
    </row>
    <row r="446" spans="2:8">
      <c r="B446" t="s">
        <v>442</v>
      </c>
      <c r="C446" t="s">
        <v>277</v>
      </c>
      <c r="D446">
        <v>2998</v>
      </c>
      <c r="E446">
        <v>3000</v>
      </c>
      <c r="F446">
        <v>2998</v>
      </c>
      <c r="G446">
        <v>3000</v>
      </c>
      <c r="H446">
        <v>2200</v>
      </c>
    </row>
    <row r="447" spans="2:8">
      <c r="B447" t="s">
        <v>442</v>
      </c>
      <c r="C447" t="s">
        <v>278</v>
      </c>
      <c r="D447">
        <v>3000</v>
      </c>
      <c r="E447">
        <v>3005</v>
      </c>
      <c r="F447">
        <v>3000</v>
      </c>
      <c r="G447">
        <v>3005</v>
      </c>
      <c r="H447">
        <v>5100</v>
      </c>
    </row>
    <row r="448" spans="2:8">
      <c r="B448" t="s">
        <v>442</v>
      </c>
      <c r="C448" t="s">
        <v>279</v>
      </c>
      <c r="D448">
        <v>3005</v>
      </c>
      <c r="E448">
        <v>3005</v>
      </c>
      <c r="F448">
        <v>3000</v>
      </c>
      <c r="G448">
        <v>3000</v>
      </c>
      <c r="H448">
        <v>1000</v>
      </c>
    </row>
    <row r="449" spans="2:8">
      <c r="B449" t="s">
        <v>442</v>
      </c>
      <c r="C449" t="s">
        <v>280</v>
      </c>
      <c r="D449">
        <v>3005</v>
      </c>
      <c r="E449">
        <v>3005</v>
      </c>
      <c r="F449">
        <v>3005</v>
      </c>
      <c r="G449">
        <v>3005</v>
      </c>
      <c r="H449">
        <v>4900</v>
      </c>
    </row>
    <row r="450" spans="2:8">
      <c r="B450" t="s">
        <v>442</v>
      </c>
      <c r="C450" t="s">
        <v>281</v>
      </c>
      <c r="D450">
        <v>3005</v>
      </c>
      <c r="E450">
        <v>3005</v>
      </c>
      <c r="F450">
        <v>3005</v>
      </c>
      <c r="G450">
        <v>3005</v>
      </c>
      <c r="H450">
        <v>200</v>
      </c>
    </row>
    <row r="451" spans="2:8">
      <c r="B451" t="s">
        <v>442</v>
      </c>
      <c r="C451" t="s">
        <v>282</v>
      </c>
      <c r="D451">
        <v>3005</v>
      </c>
      <c r="E451">
        <v>3005</v>
      </c>
      <c r="F451">
        <v>3005</v>
      </c>
      <c r="G451">
        <v>3005</v>
      </c>
      <c r="H451">
        <v>300</v>
      </c>
    </row>
    <row r="452" spans="2:8">
      <c r="B452" t="s">
        <v>442</v>
      </c>
      <c r="C452" t="s">
        <v>283</v>
      </c>
      <c r="D452">
        <v>3005</v>
      </c>
      <c r="E452">
        <v>3005</v>
      </c>
      <c r="F452">
        <v>3005</v>
      </c>
      <c r="G452">
        <v>3005</v>
      </c>
      <c r="H452">
        <v>200</v>
      </c>
    </row>
    <row r="453" spans="2:8">
      <c r="B453" t="s">
        <v>442</v>
      </c>
      <c r="C453" t="s">
        <v>284</v>
      </c>
      <c r="D453">
        <v>3000</v>
      </c>
      <c r="E453">
        <v>3005</v>
      </c>
      <c r="F453">
        <v>3000</v>
      </c>
      <c r="G453">
        <v>3005</v>
      </c>
      <c r="H453">
        <v>1200</v>
      </c>
    </row>
    <row r="454" spans="2:8">
      <c r="B454" t="s">
        <v>442</v>
      </c>
      <c r="C454" t="s">
        <v>285</v>
      </c>
      <c r="D454">
        <v>3005</v>
      </c>
      <c r="E454">
        <v>3005</v>
      </c>
      <c r="F454">
        <v>3000</v>
      </c>
      <c r="G454">
        <v>3000</v>
      </c>
      <c r="H454">
        <v>600</v>
      </c>
    </row>
    <row r="455" spans="2:8">
      <c r="B455" t="s">
        <v>442</v>
      </c>
      <c r="C455" t="s">
        <v>286</v>
      </c>
      <c r="D455">
        <v>3005</v>
      </c>
      <c r="E455">
        <v>3005</v>
      </c>
      <c r="F455">
        <v>3000</v>
      </c>
      <c r="G455">
        <v>3000</v>
      </c>
      <c r="H455">
        <v>800</v>
      </c>
    </row>
    <row r="456" spans="2:8">
      <c r="B456" t="s">
        <v>442</v>
      </c>
      <c r="C456" t="s">
        <v>287</v>
      </c>
      <c r="D456">
        <v>3000</v>
      </c>
      <c r="E456">
        <v>3005</v>
      </c>
      <c r="F456">
        <v>2996</v>
      </c>
      <c r="G456">
        <v>2997</v>
      </c>
      <c r="H456">
        <v>14600</v>
      </c>
    </row>
    <row r="457" spans="2:8">
      <c r="B457" t="s">
        <v>442</v>
      </c>
      <c r="C457" t="s">
        <v>288</v>
      </c>
      <c r="D457">
        <v>2996</v>
      </c>
      <c r="E457">
        <v>3005</v>
      </c>
      <c r="F457">
        <v>2996</v>
      </c>
      <c r="G457">
        <v>3005</v>
      </c>
      <c r="H457">
        <v>4500</v>
      </c>
    </row>
    <row r="458" spans="2:8">
      <c r="B458" t="s">
        <v>442</v>
      </c>
      <c r="C458" t="s">
        <v>289</v>
      </c>
      <c r="D458">
        <v>3000</v>
      </c>
      <c r="E458">
        <v>3000</v>
      </c>
      <c r="F458">
        <v>2999</v>
      </c>
      <c r="G458">
        <v>3000</v>
      </c>
      <c r="H458">
        <v>2500</v>
      </c>
    </row>
    <row r="459" spans="2:8">
      <c r="B459" t="s">
        <v>442</v>
      </c>
      <c r="C459" t="s">
        <v>290</v>
      </c>
      <c r="D459">
        <v>2999</v>
      </c>
      <c r="E459">
        <v>2999</v>
      </c>
      <c r="F459">
        <v>2998</v>
      </c>
      <c r="G459">
        <v>2998</v>
      </c>
      <c r="H459">
        <v>5400</v>
      </c>
    </row>
    <row r="460" spans="2:8">
      <c r="B460" t="s">
        <v>442</v>
      </c>
      <c r="C460" t="s">
        <v>291</v>
      </c>
      <c r="D460">
        <v>2998</v>
      </c>
      <c r="E460">
        <v>3000</v>
      </c>
      <c r="F460">
        <v>2998</v>
      </c>
      <c r="G460">
        <v>3000</v>
      </c>
      <c r="H460">
        <v>11500</v>
      </c>
    </row>
    <row r="461" spans="2:8">
      <c r="B461" t="s">
        <v>442</v>
      </c>
      <c r="C461" t="s">
        <v>292</v>
      </c>
      <c r="D461">
        <v>3000</v>
      </c>
      <c r="E461">
        <v>3005</v>
      </c>
      <c r="F461">
        <v>3000</v>
      </c>
      <c r="G461">
        <v>3005</v>
      </c>
      <c r="H461">
        <v>800</v>
      </c>
    </row>
    <row r="462" spans="2:8">
      <c r="B462" t="s">
        <v>442</v>
      </c>
      <c r="C462" t="s">
        <v>293</v>
      </c>
      <c r="D462">
        <v>3000</v>
      </c>
      <c r="E462">
        <v>3005</v>
      </c>
      <c r="F462">
        <v>3000</v>
      </c>
      <c r="G462">
        <v>3005</v>
      </c>
      <c r="H462">
        <v>500</v>
      </c>
    </row>
    <row r="463" spans="2:8">
      <c r="B463" t="s">
        <v>442</v>
      </c>
      <c r="C463" t="s">
        <v>294</v>
      </c>
      <c r="D463">
        <v>3000</v>
      </c>
      <c r="E463">
        <v>3005</v>
      </c>
      <c r="F463">
        <v>3000</v>
      </c>
      <c r="G463">
        <v>3005</v>
      </c>
      <c r="H463">
        <v>700</v>
      </c>
    </row>
    <row r="464" spans="2:8">
      <c r="B464" t="s">
        <v>442</v>
      </c>
      <c r="C464" t="s">
        <v>295</v>
      </c>
      <c r="D464">
        <v>3000</v>
      </c>
      <c r="E464">
        <v>3000</v>
      </c>
      <c r="F464">
        <v>3000</v>
      </c>
      <c r="G464">
        <v>3000</v>
      </c>
      <c r="H464">
        <v>100</v>
      </c>
    </row>
    <row r="465" spans="2:8">
      <c r="B465" t="s">
        <v>442</v>
      </c>
      <c r="C465" t="s">
        <v>296</v>
      </c>
      <c r="D465">
        <v>3000</v>
      </c>
      <c r="E465">
        <v>3005</v>
      </c>
      <c r="F465">
        <v>3000</v>
      </c>
      <c r="G465">
        <v>3005</v>
      </c>
      <c r="H465">
        <v>300</v>
      </c>
    </row>
    <row r="466" spans="2:8">
      <c r="B466" t="s">
        <v>442</v>
      </c>
      <c r="C466" t="s">
        <v>297</v>
      </c>
      <c r="D466">
        <v>3000</v>
      </c>
      <c r="E466">
        <v>3005</v>
      </c>
      <c r="F466">
        <v>3000</v>
      </c>
      <c r="G466">
        <v>3005</v>
      </c>
      <c r="H466">
        <v>1600</v>
      </c>
    </row>
    <row r="467" spans="2:8">
      <c r="B467" t="s">
        <v>442</v>
      </c>
      <c r="C467" t="s">
        <v>298</v>
      </c>
      <c r="D467">
        <v>3005</v>
      </c>
      <c r="E467">
        <v>3005</v>
      </c>
      <c r="F467">
        <v>3005</v>
      </c>
      <c r="G467">
        <v>3005</v>
      </c>
      <c r="H467">
        <v>200</v>
      </c>
    </row>
    <row r="468" spans="2:8">
      <c r="B468" t="s">
        <v>442</v>
      </c>
      <c r="C468" t="s">
        <v>299</v>
      </c>
      <c r="D468">
        <v>3005</v>
      </c>
      <c r="E468">
        <v>3005</v>
      </c>
      <c r="F468">
        <v>3000</v>
      </c>
      <c r="G468">
        <v>3005</v>
      </c>
      <c r="H468">
        <v>500</v>
      </c>
    </row>
    <row r="469" spans="2:8">
      <c r="B469" t="s">
        <v>442</v>
      </c>
      <c r="C469" t="s">
        <v>300</v>
      </c>
      <c r="D469">
        <v>3005</v>
      </c>
      <c r="E469">
        <v>3005</v>
      </c>
      <c r="F469">
        <v>3000</v>
      </c>
      <c r="G469">
        <v>3000</v>
      </c>
      <c r="H469">
        <v>400</v>
      </c>
    </row>
    <row r="470" spans="2:8">
      <c r="B470" t="s">
        <v>442</v>
      </c>
      <c r="C470" t="s">
        <v>301</v>
      </c>
      <c r="D470">
        <v>3000</v>
      </c>
      <c r="E470">
        <v>3005</v>
      </c>
      <c r="F470">
        <v>3000</v>
      </c>
      <c r="G470">
        <v>3005</v>
      </c>
      <c r="H470">
        <v>1500</v>
      </c>
    </row>
    <row r="471" spans="2:8">
      <c r="B471" t="s">
        <v>442</v>
      </c>
      <c r="C471" t="s">
        <v>302</v>
      </c>
      <c r="D471">
        <v>3005</v>
      </c>
      <c r="E471">
        <v>3005</v>
      </c>
      <c r="F471">
        <v>2991</v>
      </c>
      <c r="G471">
        <v>2992</v>
      </c>
      <c r="H471">
        <v>66300</v>
      </c>
    </row>
    <row r="472" spans="2:8">
      <c r="B472" t="s">
        <v>442</v>
      </c>
      <c r="C472" t="s">
        <v>303</v>
      </c>
      <c r="D472">
        <v>2992</v>
      </c>
      <c r="E472">
        <v>2994</v>
      </c>
      <c r="F472">
        <v>2992</v>
      </c>
      <c r="G472">
        <v>2994</v>
      </c>
      <c r="H472">
        <v>9200</v>
      </c>
    </row>
    <row r="473" spans="2:8">
      <c r="B473" t="s">
        <v>442</v>
      </c>
      <c r="C473" t="s">
        <v>304</v>
      </c>
      <c r="D473">
        <v>2994</v>
      </c>
      <c r="E473">
        <v>2994</v>
      </c>
      <c r="F473">
        <v>2991</v>
      </c>
      <c r="G473">
        <v>2991</v>
      </c>
      <c r="H473">
        <v>13300</v>
      </c>
    </row>
    <row r="474" spans="2:8">
      <c r="B474" t="s">
        <v>442</v>
      </c>
      <c r="C474" t="s">
        <v>305</v>
      </c>
      <c r="D474">
        <v>2992</v>
      </c>
      <c r="E474">
        <v>2992</v>
      </c>
      <c r="F474">
        <v>2992</v>
      </c>
      <c r="G474">
        <v>2992</v>
      </c>
      <c r="H474">
        <v>1800</v>
      </c>
    </row>
    <row r="475" spans="2:8">
      <c r="B475" t="s">
        <v>442</v>
      </c>
      <c r="C475" t="s">
        <v>306</v>
      </c>
      <c r="D475">
        <v>2992</v>
      </c>
      <c r="E475">
        <v>2993</v>
      </c>
      <c r="F475">
        <v>2991</v>
      </c>
      <c r="G475">
        <v>2991</v>
      </c>
      <c r="H475">
        <v>8500</v>
      </c>
    </row>
    <row r="476" spans="2:8">
      <c r="B476" t="s">
        <v>442</v>
      </c>
      <c r="C476" t="s">
        <v>307</v>
      </c>
      <c r="D476">
        <v>2991</v>
      </c>
      <c r="E476">
        <v>2992</v>
      </c>
      <c r="F476">
        <v>2991</v>
      </c>
      <c r="G476">
        <v>2992</v>
      </c>
      <c r="H476">
        <v>2900</v>
      </c>
    </row>
    <row r="477" spans="2:8">
      <c r="B477" t="s">
        <v>442</v>
      </c>
      <c r="C477" t="s">
        <v>308</v>
      </c>
      <c r="D477">
        <v>2991</v>
      </c>
      <c r="E477">
        <v>2995</v>
      </c>
      <c r="F477">
        <v>2991</v>
      </c>
      <c r="G477">
        <v>2995</v>
      </c>
      <c r="H477">
        <v>6200</v>
      </c>
    </row>
    <row r="478" spans="2:8">
      <c r="B478" t="s">
        <v>442</v>
      </c>
      <c r="C478" t="s">
        <v>309</v>
      </c>
      <c r="D478">
        <v>2995</v>
      </c>
      <c r="E478">
        <v>2997</v>
      </c>
      <c r="F478">
        <v>2994</v>
      </c>
      <c r="G478">
        <v>2996</v>
      </c>
      <c r="H478">
        <v>3200</v>
      </c>
    </row>
    <row r="479" spans="2:8">
      <c r="B479" t="s">
        <v>442</v>
      </c>
      <c r="C479" t="s">
        <v>310</v>
      </c>
      <c r="D479">
        <v>2996</v>
      </c>
      <c r="E479">
        <v>2997</v>
      </c>
      <c r="F479">
        <v>2996</v>
      </c>
      <c r="G479">
        <v>2997</v>
      </c>
      <c r="H479">
        <v>1600</v>
      </c>
    </row>
    <row r="480" spans="2:8">
      <c r="B480" t="s">
        <v>442</v>
      </c>
      <c r="C480" t="s">
        <v>311</v>
      </c>
      <c r="D480">
        <v>2997</v>
      </c>
      <c r="E480">
        <v>3000</v>
      </c>
      <c r="F480">
        <v>2997</v>
      </c>
      <c r="G480">
        <v>2998</v>
      </c>
      <c r="H480">
        <v>12500</v>
      </c>
    </row>
    <row r="481" spans="2:8">
      <c r="B481" t="s">
        <v>442</v>
      </c>
      <c r="C481" t="s">
        <v>312</v>
      </c>
      <c r="D481">
        <v>2998</v>
      </c>
      <c r="E481">
        <v>2999</v>
      </c>
      <c r="F481">
        <v>2997</v>
      </c>
      <c r="G481">
        <v>2998</v>
      </c>
      <c r="H481">
        <v>4200</v>
      </c>
    </row>
    <row r="482" spans="2:8">
      <c r="B482" t="s">
        <v>442</v>
      </c>
      <c r="C482" t="s">
        <v>313</v>
      </c>
      <c r="D482">
        <v>2999</v>
      </c>
      <c r="E482">
        <v>3005</v>
      </c>
      <c r="F482">
        <v>2994</v>
      </c>
      <c r="G482">
        <v>2995</v>
      </c>
      <c r="H482">
        <v>32300</v>
      </c>
    </row>
    <row r="483" spans="2:8">
      <c r="B483" t="s">
        <v>442</v>
      </c>
      <c r="C483" t="s">
        <v>314</v>
      </c>
      <c r="D483">
        <v>2997</v>
      </c>
      <c r="E483">
        <v>2999</v>
      </c>
      <c r="F483">
        <v>2996</v>
      </c>
      <c r="G483">
        <v>2996</v>
      </c>
      <c r="H483">
        <v>6200</v>
      </c>
    </row>
    <row r="484" spans="2:8">
      <c r="B484" t="s">
        <v>442</v>
      </c>
      <c r="C484" t="s">
        <v>315</v>
      </c>
      <c r="D484">
        <v>2996</v>
      </c>
      <c r="E484">
        <v>2997</v>
      </c>
      <c r="F484">
        <v>2995</v>
      </c>
      <c r="G484">
        <v>2996</v>
      </c>
      <c r="H484">
        <v>2800</v>
      </c>
    </row>
    <row r="485" spans="2:8">
      <c r="B485" t="s">
        <v>442</v>
      </c>
      <c r="C485" t="s">
        <v>316</v>
      </c>
      <c r="D485">
        <v>2995</v>
      </c>
      <c r="E485">
        <v>2995</v>
      </c>
      <c r="F485">
        <v>2995</v>
      </c>
      <c r="G485">
        <v>2995</v>
      </c>
      <c r="H485">
        <v>1700</v>
      </c>
    </row>
    <row r="486" spans="2:8">
      <c r="B486" t="s">
        <v>442</v>
      </c>
      <c r="C486" t="s">
        <v>317</v>
      </c>
      <c r="D486">
        <v>2995</v>
      </c>
      <c r="E486">
        <v>2997</v>
      </c>
      <c r="F486">
        <v>2994</v>
      </c>
      <c r="G486">
        <v>2997</v>
      </c>
      <c r="H486">
        <v>20100</v>
      </c>
    </row>
    <row r="487" spans="2:8">
      <c r="B487" t="s">
        <v>442</v>
      </c>
      <c r="C487" t="s">
        <v>318</v>
      </c>
      <c r="D487">
        <v>2996</v>
      </c>
      <c r="E487">
        <v>3000</v>
      </c>
      <c r="F487">
        <v>2996</v>
      </c>
      <c r="G487">
        <v>2998</v>
      </c>
      <c r="H487">
        <v>11200</v>
      </c>
    </row>
    <row r="488" spans="2:8">
      <c r="B488" t="s">
        <v>442</v>
      </c>
      <c r="C488" t="s">
        <v>319</v>
      </c>
      <c r="D488">
        <v>2997</v>
      </c>
      <c r="E488">
        <v>2998</v>
      </c>
      <c r="F488">
        <v>2997</v>
      </c>
      <c r="G488">
        <v>2997</v>
      </c>
      <c r="H488">
        <v>1800</v>
      </c>
    </row>
    <row r="489" spans="2:8">
      <c r="B489" t="s">
        <v>442</v>
      </c>
      <c r="C489" t="s">
        <v>320</v>
      </c>
      <c r="D489">
        <v>2998</v>
      </c>
      <c r="E489">
        <v>3000</v>
      </c>
      <c r="F489">
        <v>2998</v>
      </c>
      <c r="G489">
        <v>2999</v>
      </c>
      <c r="H489">
        <v>7300</v>
      </c>
    </row>
    <row r="490" spans="2:8">
      <c r="B490" t="s">
        <v>442</v>
      </c>
      <c r="C490" t="s">
        <v>321</v>
      </c>
      <c r="D490">
        <v>2999</v>
      </c>
      <c r="E490">
        <v>3000</v>
      </c>
      <c r="F490">
        <v>2997</v>
      </c>
      <c r="G490">
        <v>2999</v>
      </c>
      <c r="H490">
        <v>5500</v>
      </c>
    </row>
    <row r="491" spans="2:8">
      <c r="B491" t="s">
        <v>442</v>
      </c>
      <c r="C491" t="s">
        <v>322</v>
      </c>
      <c r="D491">
        <v>3000</v>
      </c>
      <c r="E491">
        <v>3000</v>
      </c>
      <c r="F491">
        <v>2998</v>
      </c>
      <c r="G491">
        <v>2998</v>
      </c>
      <c r="H491">
        <v>2900</v>
      </c>
    </row>
    <row r="492" spans="2:8">
      <c r="B492" t="s">
        <v>442</v>
      </c>
      <c r="C492" t="s">
        <v>323</v>
      </c>
      <c r="D492">
        <v>2998</v>
      </c>
      <c r="E492">
        <v>3000</v>
      </c>
      <c r="F492">
        <v>2998</v>
      </c>
      <c r="G492">
        <v>3000</v>
      </c>
      <c r="H492">
        <v>4300</v>
      </c>
    </row>
    <row r="493" spans="2:8">
      <c r="B493" t="s">
        <v>442</v>
      </c>
      <c r="C493" t="s">
        <v>324</v>
      </c>
      <c r="D493">
        <v>3005</v>
      </c>
      <c r="E493">
        <v>3005</v>
      </c>
      <c r="F493">
        <v>3005</v>
      </c>
      <c r="G493">
        <v>3005</v>
      </c>
      <c r="H493">
        <v>100</v>
      </c>
    </row>
    <row r="494" spans="2:8">
      <c r="B494" t="s">
        <v>442</v>
      </c>
      <c r="C494" t="s">
        <v>325</v>
      </c>
      <c r="D494">
        <v>3000</v>
      </c>
      <c r="E494">
        <v>3005</v>
      </c>
      <c r="F494">
        <v>3000</v>
      </c>
      <c r="G494">
        <v>3005</v>
      </c>
      <c r="H494">
        <v>600</v>
      </c>
    </row>
    <row r="495" spans="2:8">
      <c r="B495" t="s">
        <v>442</v>
      </c>
      <c r="C495" t="s">
        <v>326</v>
      </c>
      <c r="D495">
        <v>3000</v>
      </c>
      <c r="E495">
        <v>3005</v>
      </c>
      <c r="F495">
        <v>3000</v>
      </c>
      <c r="G495">
        <v>3005</v>
      </c>
      <c r="H495">
        <v>31600</v>
      </c>
    </row>
    <row r="496" spans="2:8">
      <c r="B496" t="s">
        <v>442</v>
      </c>
      <c r="C496" t="s">
        <v>327</v>
      </c>
      <c r="D496">
        <v>3005</v>
      </c>
      <c r="E496">
        <v>3010</v>
      </c>
      <c r="F496">
        <v>3005</v>
      </c>
      <c r="G496">
        <v>3010</v>
      </c>
      <c r="H496">
        <v>900</v>
      </c>
    </row>
    <row r="497" spans="2:8">
      <c r="B497" t="s">
        <v>442</v>
      </c>
      <c r="C497" t="s">
        <v>328</v>
      </c>
      <c r="D497">
        <v>3010</v>
      </c>
      <c r="E497">
        <v>3010</v>
      </c>
      <c r="F497">
        <v>3005</v>
      </c>
      <c r="G497">
        <v>3010</v>
      </c>
      <c r="H497">
        <v>1600</v>
      </c>
    </row>
    <row r="498" spans="2:8">
      <c r="B498" t="s">
        <v>442</v>
      </c>
      <c r="C498" t="s">
        <v>329</v>
      </c>
      <c r="D498">
        <v>3010</v>
      </c>
      <c r="E498">
        <v>3015</v>
      </c>
      <c r="F498">
        <v>3010</v>
      </c>
      <c r="G498">
        <v>3015</v>
      </c>
      <c r="H498">
        <v>52300</v>
      </c>
    </row>
    <row r="499" spans="2:8">
      <c r="B499" t="s">
        <v>442</v>
      </c>
      <c r="C499" t="s">
        <v>330</v>
      </c>
      <c r="D499">
        <v>3015</v>
      </c>
      <c r="E499">
        <v>3015</v>
      </c>
      <c r="F499">
        <v>3010</v>
      </c>
      <c r="G499">
        <v>3015</v>
      </c>
      <c r="H499">
        <v>7200</v>
      </c>
    </row>
    <row r="500" spans="2:8">
      <c r="B500" t="s">
        <v>442</v>
      </c>
      <c r="C500" t="s">
        <v>331</v>
      </c>
      <c r="D500">
        <v>3015</v>
      </c>
      <c r="E500">
        <v>3015</v>
      </c>
      <c r="F500">
        <v>3015</v>
      </c>
      <c r="G500">
        <v>3015</v>
      </c>
      <c r="H500">
        <v>1300</v>
      </c>
    </row>
    <row r="501" spans="2:8">
      <c r="B501" t="s">
        <v>442</v>
      </c>
      <c r="C501" t="s">
        <v>332</v>
      </c>
      <c r="D501">
        <v>3015</v>
      </c>
      <c r="E501">
        <v>3020</v>
      </c>
      <c r="F501">
        <v>3015</v>
      </c>
      <c r="G501">
        <v>3020</v>
      </c>
      <c r="H501">
        <v>31400</v>
      </c>
    </row>
    <row r="502" spans="2:8">
      <c r="B502" t="s">
        <v>442</v>
      </c>
      <c r="C502" t="s">
        <v>333</v>
      </c>
      <c r="D502">
        <v>3020</v>
      </c>
      <c r="E502">
        <v>3020</v>
      </c>
      <c r="F502">
        <v>3020</v>
      </c>
      <c r="G502">
        <v>3020</v>
      </c>
      <c r="H502">
        <v>6300</v>
      </c>
    </row>
    <row r="503" spans="2:8">
      <c r="B503" t="s">
        <v>442</v>
      </c>
      <c r="C503" t="s">
        <v>334</v>
      </c>
      <c r="D503">
        <v>3020</v>
      </c>
      <c r="E503">
        <v>3020</v>
      </c>
      <c r="F503">
        <v>3020</v>
      </c>
      <c r="G503">
        <v>3020</v>
      </c>
      <c r="H503">
        <v>300</v>
      </c>
    </row>
    <row r="504" spans="2:8">
      <c r="B504" t="s">
        <v>442</v>
      </c>
      <c r="C504" t="s">
        <v>335</v>
      </c>
      <c r="D504">
        <v>3015</v>
      </c>
      <c r="E504">
        <v>3015</v>
      </c>
      <c r="F504">
        <v>3010</v>
      </c>
      <c r="G504">
        <v>3010</v>
      </c>
      <c r="H504">
        <v>7800</v>
      </c>
    </row>
    <row r="505" spans="2:8">
      <c r="B505" t="s">
        <v>442</v>
      </c>
      <c r="C505" t="s">
        <v>336</v>
      </c>
      <c r="D505">
        <v>3010</v>
      </c>
      <c r="E505">
        <v>3015</v>
      </c>
      <c r="F505">
        <v>3010</v>
      </c>
      <c r="G505">
        <v>3015</v>
      </c>
      <c r="H505">
        <v>500</v>
      </c>
    </row>
    <row r="506" spans="2:8">
      <c r="B506" t="s">
        <v>442</v>
      </c>
      <c r="C506" t="s">
        <v>337</v>
      </c>
      <c r="D506">
        <v>3015</v>
      </c>
      <c r="E506">
        <v>3015</v>
      </c>
      <c r="F506">
        <v>3010</v>
      </c>
      <c r="G506">
        <v>3010</v>
      </c>
      <c r="H506">
        <v>3500</v>
      </c>
    </row>
    <row r="507" spans="2:8">
      <c r="B507" t="s">
        <v>442</v>
      </c>
      <c r="C507" t="s">
        <v>338</v>
      </c>
      <c r="D507">
        <v>3010</v>
      </c>
      <c r="E507">
        <v>3015</v>
      </c>
      <c r="F507">
        <v>3010</v>
      </c>
      <c r="G507">
        <v>3010</v>
      </c>
      <c r="H507">
        <v>12500</v>
      </c>
    </row>
    <row r="508" spans="2:8">
      <c r="B508" t="s">
        <v>442</v>
      </c>
      <c r="C508" t="s">
        <v>339</v>
      </c>
      <c r="D508">
        <v>3010</v>
      </c>
      <c r="E508">
        <v>3010</v>
      </c>
      <c r="F508">
        <v>3005</v>
      </c>
      <c r="G508">
        <v>3005</v>
      </c>
      <c r="H508">
        <v>1600</v>
      </c>
    </row>
    <row r="509" spans="2:8">
      <c r="B509" t="s">
        <v>442</v>
      </c>
      <c r="C509" t="s">
        <v>340</v>
      </c>
      <c r="D509">
        <v>3005</v>
      </c>
      <c r="E509">
        <v>3010</v>
      </c>
      <c r="F509">
        <v>3005</v>
      </c>
      <c r="G509">
        <v>3005</v>
      </c>
      <c r="H509">
        <v>1500</v>
      </c>
    </row>
    <row r="510" spans="2:8">
      <c r="B510" t="s">
        <v>442</v>
      </c>
      <c r="C510" t="s">
        <v>341</v>
      </c>
      <c r="D510">
        <v>3005</v>
      </c>
      <c r="E510">
        <v>3010</v>
      </c>
      <c r="F510">
        <v>3005</v>
      </c>
      <c r="G510">
        <v>3010</v>
      </c>
      <c r="H510">
        <v>1200</v>
      </c>
    </row>
    <row r="511" spans="2:8">
      <c r="B511" t="s">
        <v>442</v>
      </c>
      <c r="C511" t="s">
        <v>342</v>
      </c>
      <c r="D511">
        <v>3010</v>
      </c>
      <c r="E511">
        <v>3010</v>
      </c>
      <c r="F511">
        <v>3010</v>
      </c>
      <c r="G511">
        <v>3010</v>
      </c>
      <c r="H511">
        <v>2600</v>
      </c>
    </row>
    <row r="512" spans="2:8">
      <c r="B512" t="s">
        <v>442</v>
      </c>
      <c r="C512" t="s">
        <v>343</v>
      </c>
      <c r="D512">
        <v>3010</v>
      </c>
      <c r="E512">
        <v>3015</v>
      </c>
      <c r="F512">
        <v>3010</v>
      </c>
      <c r="G512">
        <v>3015</v>
      </c>
      <c r="H512">
        <v>9700</v>
      </c>
    </row>
    <row r="513" spans="2:8">
      <c r="B513" t="s">
        <v>442</v>
      </c>
      <c r="C513" t="s">
        <v>344</v>
      </c>
      <c r="D513">
        <v>3010</v>
      </c>
      <c r="E513">
        <v>3015</v>
      </c>
      <c r="F513">
        <v>3010</v>
      </c>
      <c r="G513">
        <v>3015</v>
      </c>
      <c r="H513">
        <v>500</v>
      </c>
    </row>
    <row r="514" spans="2:8">
      <c r="B514" t="s">
        <v>442</v>
      </c>
      <c r="C514" t="s">
        <v>345</v>
      </c>
      <c r="D514">
        <v>3015</v>
      </c>
      <c r="E514">
        <v>3015</v>
      </c>
      <c r="F514">
        <v>3015</v>
      </c>
      <c r="G514">
        <v>3015</v>
      </c>
      <c r="H514">
        <v>16600</v>
      </c>
    </row>
    <row r="515" spans="2:8">
      <c r="B515" t="s">
        <v>442</v>
      </c>
      <c r="C515" t="s">
        <v>346</v>
      </c>
      <c r="D515">
        <v>3020</v>
      </c>
      <c r="E515">
        <v>3020</v>
      </c>
      <c r="F515">
        <v>3015</v>
      </c>
      <c r="G515">
        <v>3020</v>
      </c>
      <c r="H515">
        <v>700</v>
      </c>
    </row>
    <row r="516" spans="2:8">
      <c r="B516" t="s">
        <v>442</v>
      </c>
      <c r="C516" t="s">
        <v>347</v>
      </c>
      <c r="D516">
        <v>3020</v>
      </c>
      <c r="E516">
        <v>3020</v>
      </c>
      <c r="F516">
        <v>3015</v>
      </c>
      <c r="G516">
        <v>3020</v>
      </c>
      <c r="H516">
        <v>1300</v>
      </c>
    </row>
    <row r="517" spans="2:8">
      <c r="B517" t="s">
        <v>442</v>
      </c>
      <c r="C517" t="s">
        <v>348</v>
      </c>
      <c r="D517">
        <v>3020</v>
      </c>
      <c r="E517">
        <v>3020</v>
      </c>
      <c r="F517">
        <v>3015</v>
      </c>
      <c r="G517">
        <v>3020</v>
      </c>
      <c r="H517">
        <v>300</v>
      </c>
    </row>
    <row r="518" spans="2:8">
      <c r="B518" t="s">
        <v>442</v>
      </c>
      <c r="C518" t="s">
        <v>349</v>
      </c>
      <c r="D518">
        <v>3015</v>
      </c>
      <c r="E518">
        <v>3020</v>
      </c>
      <c r="F518">
        <v>3015</v>
      </c>
      <c r="G518">
        <v>3015</v>
      </c>
      <c r="H518">
        <v>2600</v>
      </c>
    </row>
    <row r="519" spans="2:8">
      <c r="B519" t="s">
        <v>442</v>
      </c>
      <c r="C519" t="s">
        <v>350</v>
      </c>
      <c r="D519">
        <v>3020</v>
      </c>
      <c r="E519">
        <v>3020</v>
      </c>
      <c r="F519">
        <v>3015</v>
      </c>
      <c r="G519">
        <v>3015</v>
      </c>
      <c r="H519">
        <v>700</v>
      </c>
    </row>
    <row r="520" spans="2:8">
      <c r="B520" t="s">
        <v>442</v>
      </c>
      <c r="C520" t="s">
        <v>351</v>
      </c>
      <c r="D520">
        <v>3020</v>
      </c>
      <c r="E520">
        <v>3020</v>
      </c>
      <c r="F520">
        <v>3015</v>
      </c>
      <c r="G520">
        <v>3020</v>
      </c>
      <c r="H520">
        <v>3400</v>
      </c>
    </row>
    <row r="521" spans="2:8">
      <c r="B521" t="s">
        <v>442</v>
      </c>
      <c r="C521" t="s">
        <v>352</v>
      </c>
      <c r="D521">
        <v>3015</v>
      </c>
      <c r="E521">
        <v>3020</v>
      </c>
      <c r="F521">
        <v>3015</v>
      </c>
      <c r="G521">
        <v>3020</v>
      </c>
      <c r="H521">
        <v>2600</v>
      </c>
    </row>
    <row r="522" spans="2:8">
      <c r="B522" t="s">
        <v>442</v>
      </c>
      <c r="C522" t="s">
        <v>353</v>
      </c>
      <c r="D522">
        <v>3015</v>
      </c>
      <c r="E522">
        <v>3020</v>
      </c>
      <c r="F522">
        <v>3015</v>
      </c>
      <c r="G522">
        <v>3020</v>
      </c>
      <c r="H522">
        <v>20200</v>
      </c>
    </row>
    <row r="523" spans="2:8">
      <c r="B523" t="s">
        <v>442</v>
      </c>
      <c r="C523" t="s">
        <v>354</v>
      </c>
      <c r="D523">
        <v>3020</v>
      </c>
      <c r="E523">
        <v>3020</v>
      </c>
      <c r="F523">
        <v>3015</v>
      </c>
      <c r="G523">
        <v>3020</v>
      </c>
      <c r="H523">
        <v>700</v>
      </c>
    </row>
    <row r="524" spans="2:8">
      <c r="B524" t="s">
        <v>442</v>
      </c>
      <c r="C524" t="s">
        <v>355</v>
      </c>
      <c r="D524">
        <v>3015</v>
      </c>
      <c r="E524">
        <v>3020</v>
      </c>
      <c r="F524">
        <v>3015</v>
      </c>
      <c r="G524">
        <v>3015</v>
      </c>
      <c r="H524">
        <v>10400</v>
      </c>
    </row>
    <row r="525" spans="2:8">
      <c r="B525" t="s">
        <v>442</v>
      </c>
      <c r="C525" t="s">
        <v>356</v>
      </c>
      <c r="D525">
        <v>3010</v>
      </c>
      <c r="E525">
        <v>3015</v>
      </c>
      <c r="F525">
        <v>3010</v>
      </c>
      <c r="G525">
        <v>3010</v>
      </c>
      <c r="H525">
        <v>17800</v>
      </c>
    </row>
    <row r="526" spans="2:8">
      <c r="B526" t="s">
        <v>442</v>
      </c>
      <c r="C526" t="s">
        <v>357</v>
      </c>
      <c r="D526">
        <v>3015</v>
      </c>
      <c r="E526">
        <v>3015</v>
      </c>
      <c r="F526">
        <v>3010</v>
      </c>
      <c r="G526">
        <v>3010</v>
      </c>
      <c r="H526">
        <v>2700</v>
      </c>
    </row>
    <row r="527" spans="2:8">
      <c r="B527" t="s">
        <v>442</v>
      </c>
      <c r="C527" t="s">
        <v>358</v>
      </c>
      <c r="D527">
        <v>3015</v>
      </c>
      <c r="E527">
        <v>3015</v>
      </c>
      <c r="F527">
        <v>3010</v>
      </c>
      <c r="G527">
        <v>3010</v>
      </c>
      <c r="H527">
        <v>1300</v>
      </c>
    </row>
    <row r="528" spans="2:8">
      <c r="B528" t="s">
        <v>442</v>
      </c>
      <c r="C528" t="s">
        <v>359</v>
      </c>
      <c r="D528">
        <v>3010</v>
      </c>
      <c r="E528">
        <v>3015</v>
      </c>
      <c r="F528">
        <v>3010</v>
      </c>
      <c r="G528">
        <v>3015</v>
      </c>
      <c r="H528">
        <v>400</v>
      </c>
    </row>
    <row r="529" spans="2:8">
      <c r="B529" t="s">
        <v>442</v>
      </c>
      <c r="C529" t="s">
        <v>360</v>
      </c>
      <c r="D529">
        <v>3010</v>
      </c>
      <c r="E529">
        <v>3015</v>
      </c>
      <c r="F529">
        <v>3010</v>
      </c>
      <c r="G529">
        <v>3010</v>
      </c>
      <c r="H529">
        <v>500</v>
      </c>
    </row>
    <row r="530" spans="2:8">
      <c r="B530" t="s">
        <v>442</v>
      </c>
      <c r="C530" t="s">
        <v>361</v>
      </c>
      <c r="D530">
        <v>3015</v>
      </c>
      <c r="E530">
        <v>3015</v>
      </c>
      <c r="F530">
        <v>3010</v>
      </c>
      <c r="G530">
        <v>3010</v>
      </c>
      <c r="H530">
        <v>300</v>
      </c>
    </row>
    <row r="531" spans="2:8">
      <c r="B531" t="s">
        <v>442</v>
      </c>
      <c r="C531" t="s">
        <v>362</v>
      </c>
      <c r="D531">
        <v>3015</v>
      </c>
      <c r="E531">
        <v>3015</v>
      </c>
      <c r="F531">
        <v>3015</v>
      </c>
      <c r="G531">
        <v>3015</v>
      </c>
      <c r="H531">
        <v>1600</v>
      </c>
    </row>
    <row r="532" spans="2:8">
      <c r="B532" t="s">
        <v>442</v>
      </c>
      <c r="C532" t="s">
        <v>363</v>
      </c>
      <c r="D532">
        <v>3015</v>
      </c>
      <c r="E532">
        <v>3015</v>
      </c>
      <c r="F532">
        <v>3015</v>
      </c>
      <c r="G532">
        <v>3015</v>
      </c>
      <c r="H532">
        <v>200</v>
      </c>
    </row>
    <row r="533" spans="2:8">
      <c r="B533" t="s">
        <v>442</v>
      </c>
      <c r="C533" t="s">
        <v>364</v>
      </c>
      <c r="D533">
        <v>3015</v>
      </c>
      <c r="E533">
        <v>3015</v>
      </c>
      <c r="F533">
        <v>3010</v>
      </c>
      <c r="G533">
        <v>3010</v>
      </c>
      <c r="H533">
        <v>400</v>
      </c>
    </row>
    <row r="534" spans="2:8">
      <c r="B534" t="s">
        <v>442</v>
      </c>
      <c r="C534" t="s">
        <v>365</v>
      </c>
      <c r="D534">
        <v>3010</v>
      </c>
      <c r="E534">
        <v>3015</v>
      </c>
      <c r="F534">
        <v>3010</v>
      </c>
      <c r="G534">
        <v>3015</v>
      </c>
      <c r="H534">
        <v>3200</v>
      </c>
    </row>
    <row r="535" spans="2:8">
      <c r="B535" t="s">
        <v>442</v>
      </c>
      <c r="C535" t="s">
        <v>366</v>
      </c>
      <c r="D535">
        <v>3015</v>
      </c>
      <c r="E535">
        <v>3015</v>
      </c>
      <c r="F535">
        <v>3010</v>
      </c>
      <c r="G535">
        <v>3010</v>
      </c>
      <c r="H535">
        <v>800</v>
      </c>
    </row>
    <row r="536" spans="2:8">
      <c r="B536" t="s">
        <v>442</v>
      </c>
      <c r="C536" t="s">
        <v>367</v>
      </c>
      <c r="D536">
        <v>3015</v>
      </c>
      <c r="E536">
        <v>3015</v>
      </c>
      <c r="F536">
        <v>3010</v>
      </c>
      <c r="G536">
        <v>3015</v>
      </c>
      <c r="H536">
        <v>600</v>
      </c>
    </row>
    <row r="537" spans="2:8">
      <c r="B537" t="s">
        <v>442</v>
      </c>
      <c r="C537" t="s">
        <v>368</v>
      </c>
      <c r="D537">
        <v>3015</v>
      </c>
      <c r="E537">
        <v>3015</v>
      </c>
      <c r="F537">
        <v>3010</v>
      </c>
      <c r="G537">
        <v>3010</v>
      </c>
      <c r="H537">
        <v>1600</v>
      </c>
    </row>
    <row r="538" spans="2:8">
      <c r="B538" t="s">
        <v>442</v>
      </c>
      <c r="C538" t="s">
        <v>369</v>
      </c>
      <c r="D538">
        <v>3010</v>
      </c>
      <c r="E538">
        <v>3015</v>
      </c>
      <c r="F538">
        <v>3010</v>
      </c>
      <c r="G538">
        <v>3010</v>
      </c>
      <c r="H538">
        <v>600</v>
      </c>
    </row>
    <row r="539" spans="2:8">
      <c r="B539" t="s">
        <v>442</v>
      </c>
      <c r="C539" t="s">
        <v>370</v>
      </c>
      <c r="D539">
        <v>3010</v>
      </c>
      <c r="E539">
        <v>3015</v>
      </c>
      <c r="F539">
        <v>3010</v>
      </c>
      <c r="G539">
        <v>3015</v>
      </c>
      <c r="H539">
        <v>800</v>
      </c>
    </row>
    <row r="540" spans="2:8">
      <c r="B540" t="s">
        <v>442</v>
      </c>
      <c r="C540" t="s">
        <v>371</v>
      </c>
      <c r="D540">
        <v>3015</v>
      </c>
      <c r="E540">
        <v>3015</v>
      </c>
      <c r="F540">
        <v>3010</v>
      </c>
      <c r="G540">
        <v>3010</v>
      </c>
      <c r="H540">
        <v>300</v>
      </c>
    </row>
    <row r="541" spans="2:8">
      <c r="B541" t="s">
        <v>442</v>
      </c>
      <c r="C541" t="s">
        <v>372</v>
      </c>
      <c r="D541">
        <v>3010</v>
      </c>
      <c r="E541">
        <v>3010</v>
      </c>
      <c r="F541">
        <v>3010</v>
      </c>
      <c r="G541">
        <v>3010</v>
      </c>
      <c r="H541">
        <v>4400</v>
      </c>
    </row>
    <row r="542" spans="2:8">
      <c r="B542" t="s">
        <v>442</v>
      </c>
      <c r="C542" t="s">
        <v>373</v>
      </c>
      <c r="D542">
        <v>3015</v>
      </c>
      <c r="E542">
        <v>3015</v>
      </c>
      <c r="F542">
        <v>3015</v>
      </c>
      <c r="G542">
        <v>3015</v>
      </c>
      <c r="H542">
        <v>300</v>
      </c>
    </row>
    <row r="543" spans="2:8">
      <c r="B543" t="s">
        <v>442</v>
      </c>
      <c r="C543" t="s">
        <v>374</v>
      </c>
      <c r="D543">
        <v>3015</v>
      </c>
      <c r="E543">
        <v>3015</v>
      </c>
      <c r="F543">
        <v>3010</v>
      </c>
      <c r="G543">
        <v>3015</v>
      </c>
      <c r="H543">
        <v>300</v>
      </c>
    </row>
    <row r="544" spans="2:8">
      <c r="B544" t="s">
        <v>442</v>
      </c>
      <c r="C544" t="s">
        <v>375</v>
      </c>
      <c r="D544">
        <v>3010</v>
      </c>
      <c r="E544">
        <v>3015</v>
      </c>
      <c r="F544">
        <v>3010</v>
      </c>
      <c r="G544">
        <v>3015</v>
      </c>
      <c r="H544">
        <v>1500</v>
      </c>
    </row>
    <row r="545" spans="2:8">
      <c r="B545" t="s">
        <v>442</v>
      </c>
      <c r="C545" t="s">
        <v>376</v>
      </c>
      <c r="D545">
        <v>3010</v>
      </c>
      <c r="E545">
        <v>3015</v>
      </c>
      <c r="F545">
        <v>3010</v>
      </c>
      <c r="G545">
        <v>3015</v>
      </c>
      <c r="H545">
        <v>5600</v>
      </c>
    </row>
    <row r="546" spans="2:8">
      <c r="B546" t="s">
        <v>442</v>
      </c>
      <c r="C546" t="s">
        <v>377</v>
      </c>
      <c r="D546">
        <v>3015</v>
      </c>
      <c r="E546">
        <v>3015</v>
      </c>
      <c r="F546">
        <v>3015</v>
      </c>
      <c r="G546">
        <v>3015</v>
      </c>
      <c r="H546">
        <v>1000</v>
      </c>
    </row>
    <row r="547" spans="2:8">
      <c r="B547" t="s">
        <v>442</v>
      </c>
      <c r="C547" t="s">
        <v>378</v>
      </c>
      <c r="D547">
        <v>3010</v>
      </c>
      <c r="E547">
        <v>3010</v>
      </c>
      <c r="F547">
        <v>3010</v>
      </c>
      <c r="G547">
        <v>3010</v>
      </c>
      <c r="H547">
        <v>600</v>
      </c>
    </row>
    <row r="548" spans="2:8">
      <c r="B548" t="s">
        <v>442</v>
      </c>
      <c r="C548" t="s">
        <v>379</v>
      </c>
      <c r="D548">
        <v>3015</v>
      </c>
      <c r="E548">
        <v>3020</v>
      </c>
      <c r="F548">
        <v>3015</v>
      </c>
      <c r="G548">
        <v>3020</v>
      </c>
      <c r="H548">
        <v>46900</v>
      </c>
    </row>
    <row r="549" spans="2:8">
      <c r="B549" t="s">
        <v>442</v>
      </c>
      <c r="C549" t="s">
        <v>380</v>
      </c>
      <c r="D549">
        <v>3015</v>
      </c>
      <c r="E549">
        <v>3020</v>
      </c>
      <c r="F549">
        <v>3015</v>
      </c>
      <c r="G549">
        <v>3020</v>
      </c>
      <c r="H549">
        <v>1000</v>
      </c>
    </row>
    <row r="550" spans="2:8">
      <c r="B550" t="s">
        <v>442</v>
      </c>
      <c r="C550" t="s">
        <v>381</v>
      </c>
      <c r="D550">
        <v>3020</v>
      </c>
      <c r="E550">
        <v>3020</v>
      </c>
      <c r="F550">
        <v>3015</v>
      </c>
      <c r="G550">
        <v>3020</v>
      </c>
      <c r="H550">
        <v>900</v>
      </c>
    </row>
    <row r="551" spans="2:8">
      <c r="B551" t="s">
        <v>442</v>
      </c>
      <c r="C551" t="s">
        <v>382</v>
      </c>
      <c r="D551">
        <v>3020</v>
      </c>
      <c r="E551">
        <v>3025</v>
      </c>
      <c r="F551">
        <v>3020</v>
      </c>
      <c r="G551">
        <v>3025</v>
      </c>
      <c r="H551">
        <v>14700</v>
      </c>
    </row>
    <row r="552" spans="2:8">
      <c r="B552" t="s">
        <v>442</v>
      </c>
      <c r="C552" t="s">
        <v>383</v>
      </c>
      <c r="D552">
        <v>3025</v>
      </c>
      <c r="E552">
        <v>3025</v>
      </c>
      <c r="F552">
        <v>3025</v>
      </c>
      <c r="G552">
        <v>3025</v>
      </c>
      <c r="H552">
        <v>500</v>
      </c>
    </row>
    <row r="553" spans="2:8">
      <c r="B553" t="s">
        <v>442</v>
      </c>
      <c r="C553" t="s">
        <v>384</v>
      </c>
      <c r="D553">
        <v>3025</v>
      </c>
      <c r="E553">
        <v>3025</v>
      </c>
      <c r="F553">
        <v>3025</v>
      </c>
      <c r="G553">
        <v>3025</v>
      </c>
      <c r="H553">
        <v>200</v>
      </c>
    </row>
    <row r="554" spans="2:8">
      <c r="B554" t="s">
        <v>442</v>
      </c>
      <c r="C554" t="s">
        <v>385</v>
      </c>
      <c r="D554">
        <v>3020</v>
      </c>
      <c r="E554">
        <v>3025</v>
      </c>
      <c r="F554">
        <v>3020</v>
      </c>
      <c r="G554">
        <v>3025</v>
      </c>
      <c r="H554">
        <v>400</v>
      </c>
    </row>
    <row r="555" spans="2:8">
      <c r="B555" t="s">
        <v>442</v>
      </c>
      <c r="C555" t="s">
        <v>386</v>
      </c>
      <c r="D555">
        <v>3025</v>
      </c>
      <c r="E555">
        <v>3025</v>
      </c>
      <c r="F555">
        <v>3025</v>
      </c>
      <c r="G555">
        <v>3025</v>
      </c>
      <c r="H555">
        <v>400</v>
      </c>
    </row>
    <row r="556" spans="2:8">
      <c r="B556" t="s">
        <v>442</v>
      </c>
      <c r="C556" t="s">
        <v>387</v>
      </c>
      <c r="D556">
        <v>3025</v>
      </c>
      <c r="E556">
        <v>3025</v>
      </c>
      <c r="F556">
        <v>3020</v>
      </c>
      <c r="G556">
        <v>3020</v>
      </c>
      <c r="H556">
        <v>1100</v>
      </c>
    </row>
    <row r="557" spans="2:8">
      <c r="B557" t="s">
        <v>442</v>
      </c>
      <c r="C557" t="s">
        <v>388</v>
      </c>
      <c r="D557">
        <v>3025</v>
      </c>
      <c r="E557">
        <v>3025</v>
      </c>
      <c r="F557">
        <v>3020</v>
      </c>
      <c r="G557">
        <v>3025</v>
      </c>
      <c r="H557">
        <v>900</v>
      </c>
    </row>
    <row r="558" spans="2:8">
      <c r="B558" t="s">
        <v>442</v>
      </c>
      <c r="C558" t="s">
        <v>389</v>
      </c>
      <c r="D558">
        <v>3025</v>
      </c>
      <c r="E558">
        <v>3025</v>
      </c>
      <c r="F558">
        <v>3025</v>
      </c>
      <c r="G558">
        <v>3025</v>
      </c>
      <c r="H558">
        <v>300</v>
      </c>
    </row>
    <row r="559" spans="2:8">
      <c r="B559" t="s">
        <v>442</v>
      </c>
      <c r="C559" t="s">
        <v>390</v>
      </c>
      <c r="D559">
        <v>3025</v>
      </c>
      <c r="E559">
        <v>3025</v>
      </c>
      <c r="F559">
        <v>3020</v>
      </c>
      <c r="G559">
        <v>3025</v>
      </c>
      <c r="H559">
        <v>700</v>
      </c>
    </row>
    <row r="560" spans="2:8">
      <c r="B560" t="s">
        <v>442</v>
      </c>
      <c r="C560" t="s">
        <v>391</v>
      </c>
      <c r="D560">
        <v>3020</v>
      </c>
      <c r="E560">
        <v>3020</v>
      </c>
      <c r="F560">
        <v>3020</v>
      </c>
      <c r="G560">
        <v>3020</v>
      </c>
      <c r="H560">
        <v>16400</v>
      </c>
    </row>
    <row r="561" spans="2:8">
      <c r="B561" t="s">
        <v>442</v>
      </c>
      <c r="C561" t="s">
        <v>392</v>
      </c>
      <c r="D561" t="s">
        <v>8</v>
      </c>
      <c r="E561" t="s">
        <v>8</v>
      </c>
      <c r="F561" t="s">
        <v>8</v>
      </c>
      <c r="G561" t="s">
        <v>8</v>
      </c>
      <c r="H561">
        <v>0</v>
      </c>
    </row>
    <row r="562" spans="2:8">
      <c r="B562" t="s">
        <v>442</v>
      </c>
      <c r="C562" t="s">
        <v>393</v>
      </c>
      <c r="D562">
        <v>3020</v>
      </c>
      <c r="E562">
        <v>3020</v>
      </c>
      <c r="F562">
        <v>3015</v>
      </c>
      <c r="G562">
        <v>3015</v>
      </c>
      <c r="H562">
        <v>1500</v>
      </c>
    </row>
    <row r="563" spans="2:8">
      <c r="B563" t="s">
        <v>442</v>
      </c>
      <c r="C563" t="s">
        <v>394</v>
      </c>
      <c r="D563">
        <v>3015</v>
      </c>
      <c r="E563">
        <v>3020</v>
      </c>
      <c r="F563">
        <v>3015</v>
      </c>
      <c r="G563">
        <v>3020</v>
      </c>
      <c r="H563">
        <v>2600</v>
      </c>
    </row>
    <row r="564" spans="2:8">
      <c r="B564" t="s">
        <v>442</v>
      </c>
      <c r="C564" t="s">
        <v>395</v>
      </c>
      <c r="D564">
        <v>3020</v>
      </c>
      <c r="E564">
        <v>3020</v>
      </c>
      <c r="F564">
        <v>3020</v>
      </c>
      <c r="G564">
        <v>3020</v>
      </c>
      <c r="H564">
        <v>400</v>
      </c>
    </row>
    <row r="565" spans="2:8">
      <c r="B565" t="s">
        <v>442</v>
      </c>
      <c r="C565" t="s">
        <v>396</v>
      </c>
      <c r="D565">
        <v>3020</v>
      </c>
      <c r="E565">
        <v>3020</v>
      </c>
      <c r="F565">
        <v>3020</v>
      </c>
      <c r="G565">
        <v>3020</v>
      </c>
      <c r="H565">
        <v>200</v>
      </c>
    </row>
    <row r="566" spans="2:8">
      <c r="B566" t="s">
        <v>442</v>
      </c>
      <c r="C566" t="s">
        <v>397</v>
      </c>
      <c r="D566">
        <v>3020</v>
      </c>
      <c r="E566">
        <v>3020</v>
      </c>
      <c r="F566">
        <v>3020</v>
      </c>
      <c r="G566">
        <v>3020</v>
      </c>
      <c r="H566">
        <v>400</v>
      </c>
    </row>
    <row r="567" spans="2:8">
      <c r="B567" t="s">
        <v>442</v>
      </c>
      <c r="C567" t="s">
        <v>398</v>
      </c>
      <c r="D567">
        <v>3020</v>
      </c>
      <c r="E567">
        <v>3020</v>
      </c>
      <c r="F567">
        <v>3020</v>
      </c>
      <c r="G567">
        <v>3020</v>
      </c>
      <c r="H567">
        <v>400</v>
      </c>
    </row>
    <row r="568" spans="2:8">
      <c r="B568" t="s">
        <v>442</v>
      </c>
      <c r="C568" t="s">
        <v>399</v>
      </c>
      <c r="D568">
        <v>3020</v>
      </c>
      <c r="E568">
        <v>3020</v>
      </c>
      <c r="F568">
        <v>3020</v>
      </c>
      <c r="G568">
        <v>3020</v>
      </c>
      <c r="H568">
        <v>300</v>
      </c>
    </row>
    <row r="569" spans="2:8">
      <c r="B569" t="s">
        <v>442</v>
      </c>
      <c r="C569" t="s">
        <v>400</v>
      </c>
      <c r="D569">
        <v>3015</v>
      </c>
      <c r="E569">
        <v>3015</v>
      </c>
      <c r="F569">
        <v>3015</v>
      </c>
      <c r="G569">
        <v>3015</v>
      </c>
      <c r="H569">
        <v>18300</v>
      </c>
    </row>
    <row r="570" spans="2:8">
      <c r="B570" t="s">
        <v>442</v>
      </c>
      <c r="C570" t="s">
        <v>401</v>
      </c>
      <c r="D570">
        <v>3015</v>
      </c>
      <c r="E570">
        <v>3015</v>
      </c>
      <c r="F570">
        <v>3015</v>
      </c>
      <c r="G570">
        <v>3015</v>
      </c>
      <c r="H570">
        <v>100</v>
      </c>
    </row>
    <row r="571" spans="2:8">
      <c r="B571" t="s">
        <v>442</v>
      </c>
      <c r="C571" t="s">
        <v>402</v>
      </c>
      <c r="D571">
        <v>3015</v>
      </c>
      <c r="E571">
        <v>3015</v>
      </c>
      <c r="F571">
        <v>3015</v>
      </c>
      <c r="G571">
        <v>3015</v>
      </c>
      <c r="H571">
        <v>200</v>
      </c>
    </row>
    <row r="572" spans="2:8">
      <c r="B572" t="s">
        <v>442</v>
      </c>
      <c r="C572" t="s">
        <v>403</v>
      </c>
      <c r="D572">
        <v>3015</v>
      </c>
      <c r="E572">
        <v>3015</v>
      </c>
      <c r="F572">
        <v>3010</v>
      </c>
      <c r="G572">
        <v>3010</v>
      </c>
      <c r="H572">
        <v>2300</v>
      </c>
    </row>
    <row r="573" spans="2:8">
      <c r="B573" t="s">
        <v>442</v>
      </c>
      <c r="C573" t="s">
        <v>404</v>
      </c>
      <c r="D573">
        <v>3010</v>
      </c>
      <c r="E573">
        <v>3015</v>
      </c>
      <c r="F573">
        <v>3010</v>
      </c>
      <c r="G573">
        <v>3015</v>
      </c>
      <c r="H573">
        <v>1500</v>
      </c>
    </row>
    <row r="574" spans="2:8">
      <c r="B574" t="s">
        <v>442</v>
      </c>
      <c r="C574" t="s">
        <v>405</v>
      </c>
      <c r="D574">
        <v>3015</v>
      </c>
      <c r="E574">
        <v>3015</v>
      </c>
      <c r="F574">
        <v>3015</v>
      </c>
      <c r="G574">
        <v>3015</v>
      </c>
      <c r="H574">
        <v>200</v>
      </c>
    </row>
    <row r="575" spans="2:8">
      <c r="B575" t="s">
        <v>442</v>
      </c>
      <c r="C575" t="s">
        <v>406</v>
      </c>
      <c r="D575">
        <v>3015</v>
      </c>
      <c r="E575">
        <v>3015</v>
      </c>
      <c r="F575">
        <v>3010</v>
      </c>
      <c r="G575">
        <v>3010</v>
      </c>
      <c r="H575">
        <v>300</v>
      </c>
    </row>
    <row r="576" spans="2:8">
      <c r="B576" t="s">
        <v>442</v>
      </c>
      <c r="C576" t="s">
        <v>407</v>
      </c>
      <c r="D576">
        <v>3015</v>
      </c>
      <c r="E576">
        <v>3015</v>
      </c>
      <c r="F576">
        <v>3010</v>
      </c>
      <c r="G576">
        <v>3010</v>
      </c>
      <c r="H576">
        <v>800</v>
      </c>
    </row>
    <row r="577" spans="2:8">
      <c r="B577" t="s">
        <v>442</v>
      </c>
      <c r="C577" t="s">
        <v>408</v>
      </c>
      <c r="D577">
        <v>3010</v>
      </c>
      <c r="E577">
        <v>3010</v>
      </c>
      <c r="F577">
        <v>3010</v>
      </c>
      <c r="G577">
        <v>3010</v>
      </c>
      <c r="H577">
        <v>10000</v>
      </c>
    </row>
    <row r="578" spans="2:8">
      <c r="B578" t="s">
        <v>442</v>
      </c>
      <c r="C578" t="s">
        <v>409</v>
      </c>
      <c r="D578">
        <v>3010</v>
      </c>
      <c r="E578">
        <v>3010</v>
      </c>
      <c r="F578">
        <v>3010</v>
      </c>
      <c r="G578">
        <v>3010</v>
      </c>
      <c r="H578">
        <v>6400</v>
      </c>
    </row>
    <row r="579" spans="2:8">
      <c r="B579" t="s">
        <v>442</v>
      </c>
      <c r="C579" t="s">
        <v>410</v>
      </c>
      <c r="D579">
        <v>3010</v>
      </c>
      <c r="E579">
        <v>3010</v>
      </c>
      <c r="F579">
        <v>3010</v>
      </c>
      <c r="G579">
        <v>3010</v>
      </c>
      <c r="H579">
        <v>200</v>
      </c>
    </row>
    <row r="580" spans="2:8">
      <c r="B580" t="s">
        <v>442</v>
      </c>
      <c r="C580" t="s">
        <v>411</v>
      </c>
      <c r="D580">
        <v>3010</v>
      </c>
      <c r="E580">
        <v>3010</v>
      </c>
      <c r="F580">
        <v>3005</v>
      </c>
      <c r="G580">
        <v>3010</v>
      </c>
      <c r="H580">
        <v>900</v>
      </c>
    </row>
    <row r="581" spans="2:8">
      <c r="B581" t="s">
        <v>442</v>
      </c>
      <c r="C581" t="s">
        <v>412</v>
      </c>
      <c r="D581">
        <v>3010</v>
      </c>
      <c r="E581">
        <v>3010</v>
      </c>
      <c r="F581">
        <v>3010</v>
      </c>
      <c r="G581">
        <v>3010</v>
      </c>
      <c r="H581">
        <v>400</v>
      </c>
    </row>
    <row r="582" spans="2:8">
      <c r="B582" t="s">
        <v>442</v>
      </c>
      <c r="C582" t="s">
        <v>413</v>
      </c>
      <c r="D582">
        <v>3010</v>
      </c>
      <c r="E582">
        <v>3010</v>
      </c>
      <c r="F582">
        <v>3005</v>
      </c>
      <c r="G582">
        <v>3010</v>
      </c>
      <c r="H582">
        <v>1800</v>
      </c>
    </row>
    <row r="583" spans="2:8">
      <c r="B583" t="s">
        <v>442</v>
      </c>
      <c r="C583" t="s">
        <v>414</v>
      </c>
      <c r="D583">
        <v>3005</v>
      </c>
      <c r="E583">
        <v>3005</v>
      </c>
      <c r="F583">
        <v>3005</v>
      </c>
      <c r="G583">
        <v>3005</v>
      </c>
      <c r="H583">
        <v>19000</v>
      </c>
    </row>
    <row r="584" spans="2:8">
      <c r="B584" t="s">
        <v>442</v>
      </c>
      <c r="C584" t="s">
        <v>415</v>
      </c>
      <c r="D584">
        <v>3000</v>
      </c>
      <c r="E584">
        <v>3000</v>
      </c>
      <c r="F584">
        <v>3000</v>
      </c>
      <c r="G584">
        <v>3000</v>
      </c>
      <c r="H584">
        <v>6200</v>
      </c>
    </row>
    <row r="585" spans="2:8">
      <c r="B585" t="s">
        <v>442</v>
      </c>
      <c r="C585" t="s">
        <v>416</v>
      </c>
      <c r="D585">
        <v>3000</v>
      </c>
      <c r="E585">
        <v>3005</v>
      </c>
      <c r="F585">
        <v>3000</v>
      </c>
      <c r="G585">
        <v>3005</v>
      </c>
      <c r="H585">
        <v>2700</v>
      </c>
    </row>
    <row r="586" spans="2:8">
      <c r="B586" t="s">
        <v>442</v>
      </c>
      <c r="C586" t="s">
        <v>417</v>
      </c>
      <c r="D586">
        <v>3005</v>
      </c>
      <c r="E586">
        <v>3005</v>
      </c>
      <c r="F586">
        <v>3000</v>
      </c>
      <c r="G586">
        <v>3005</v>
      </c>
      <c r="H586">
        <v>2100</v>
      </c>
    </row>
    <row r="587" spans="2:8">
      <c r="B587" t="s">
        <v>442</v>
      </c>
      <c r="C587" t="s">
        <v>418</v>
      </c>
      <c r="D587">
        <v>3005</v>
      </c>
      <c r="E587">
        <v>3005</v>
      </c>
      <c r="F587">
        <v>2994</v>
      </c>
      <c r="G587">
        <v>2996</v>
      </c>
      <c r="H587">
        <v>64800</v>
      </c>
    </row>
    <row r="588" spans="2:8">
      <c r="B588" t="s">
        <v>442</v>
      </c>
      <c r="C588" t="s">
        <v>419</v>
      </c>
      <c r="D588">
        <v>2997</v>
      </c>
      <c r="E588">
        <v>2999</v>
      </c>
      <c r="F588">
        <v>2997</v>
      </c>
      <c r="G588">
        <v>2999</v>
      </c>
      <c r="H588">
        <v>8000</v>
      </c>
    </row>
    <row r="589" spans="2:8">
      <c r="B589" t="s">
        <v>442</v>
      </c>
      <c r="C589" t="s">
        <v>420</v>
      </c>
      <c r="D589">
        <v>2998</v>
      </c>
      <c r="E589">
        <v>2999</v>
      </c>
      <c r="F589">
        <v>2997</v>
      </c>
      <c r="G589">
        <v>2997</v>
      </c>
      <c r="H589">
        <v>9200</v>
      </c>
    </row>
    <row r="590" spans="2:8">
      <c r="B590" t="s">
        <v>442</v>
      </c>
      <c r="C590" t="s">
        <v>421</v>
      </c>
      <c r="D590">
        <v>2997</v>
      </c>
      <c r="E590">
        <v>2998</v>
      </c>
      <c r="F590">
        <v>2995</v>
      </c>
      <c r="G590">
        <v>2995</v>
      </c>
      <c r="H590">
        <v>6100</v>
      </c>
    </row>
    <row r="591" spans="2:8">
      <c r="B591" t="s">
        <v>442</v>
      </c>
      <c r="C591" t="s">
        <v>422</v>
      </c>
      <c r="D591">
        <v>2996</v>
      </c>
      <c r="E591">
        <v>2996</v>
      </c>
      <c r="F591">
        <v>2994</v>
      </c>
      <c r="G591">
        <v>2995</v>
      </c>
      <c r="H591">
        <v>5600</v>
      </c>
    </row>
    <row r="592" spans="2:8">
      <c r="B592" t="s">
        <v>442</v>
      </c>
      <c r="C592" t="s">
        <v>423</v>
      </c>
      <c r="D592">
        <v>2994</v>
      </c>
      <c r="E592">
        <v>2994</v>
      </c>
      <c r="F592">
        <v>2993</v>
      </c>
      <c r="G592">
        <v>2993</v>
      </c>
      <c r="H592">
        <v>5600</v>
      </c>
    </row>
    <row r="593" spans="2:8">
      <c r="B593" t="s">
        <v>442</v>
      </c>
      <c r="C593" t="s">
        <v>424</v>
      </c>
      <c r="D593">
        <v>2992</v>
      </c>
      <c r="E593">
        <v>2995</v>
      </c>
      <c r="F593">
        <v>2990</v>
      </c>
      <c r="G593">
        <v>2993</v>
      </c>
      <c r="H593">
        <v>28600</v>
      </c>
    </row>
    <row r="594" spans="2:8">
      <c r="B594" t="s">
        <v>442</v>
      </c>
      <c r="C594" t="s">
        <v>425</v>
      </c>
      <c r="D594">
        <v>2994</v>
      </c>
      <c r="E594">
        <v>2995</v>
      </c>
      <c r="F594">
        <v>2993</v>
      </c>
      <c r="G594">
        <v>2995</v>
      </c>
      <c r="H594">
        <v>4400</v>
      </c>
    </row>
    <row r="595" spans="2:8">
      <c r="B595" t="s">
        <v>442</v>
      </c>
      <c r="C595" t="s">
        <v>426</v>
      </c>
      <c r="D595">
        <v>2994</v>
      </c>
      <c r="E595">
        <v>2995</v>
      </c>
      <c r="F595">
        <v>2993</v>
      </c>
      <c r="G595">
        <v>2994</v>
      </c>
      <c r="H595">
        <v>4600</v>
      </c>
    </row>
    <row r="596" spans="2:8">
      <c r="B596" t="s">
        <v>442</v>
      </c>
      <c r="C596" t="s">
        <v>427</v>
      </c>
      <c r="D596">
        <v>2994</v>
      </c>
      <c r="E596">
        <v>2998</v>
      </c>
      <c r="F596">
        <v>2994</v>
      </c>
      <c r="G596">
        <v>2997</v>
      </c>
      <c r="H596">
        <v>13100</v>
      </c>
    </row>
    <row r="597" spans="2:8">
      <c r="B597" t="s">
        <v>442</v>
      </c>
      <c r="C597" t="s">
        <v>428</v>
      </c>
      <c r="D597">
        <v>2997</v>
      </c>
      <c r="E597">
        <v>2997</v>
      </c>
      <c r="F597">
        <v>2996</v>
      </c>
      <c r="G597">
        <v>2996</v>
      </c>
      <c r="H597">
        <v>3700</v>
      </c>
    </row>
    <row r="598" spans="2:8">
      <c r="B598" t="s">
        <v>442</v>
      </c>
      <c r="C598" t="s">
        <v>429</v>
      </c>
      <c r="D598">
        <v>2995</v>
      </c>
      <c r="E598">
        <v>2998</v>
      </c>
      <c r="F598">
        <v>2995</v>
      </c>
      <c r="G598">
        <v>2995</v>
      </c>
      <c r="H598">
        <v>15500</v>
      </c>
    </row>
    <row r="599" spans="2:8">
      <c r="B599" t="s">
        <v>442</v>
      </c>
      <c r="C599" t="s">
        <v>430</v>
      </c>
      <c r="D599">
        <v>2996</v>
      </c>
      <c r="E599">
        <v>2998</v>
      </c>
      <c r="F599">
        <v>2996</v>
      </c>
      <c r="G599">
        <v>2998</v>
      </c>
      <c r="H599">
        <v>2100</v>
      </c>
    </row>
    <row r="600" spans="2:8">
      <c r="B600" t="s">
        <v>442</v>
      </c>
      <c r="C600" t="s">
        <v>431</v>
      </c>
      <c r="D600">
        <v>2998</v>
      </c>
      <c r="E600">
        <v>2998</v>
      </c>
      <c r="F600">
        <v>2997</v>
      </c>
      <c r="G600">
        <v>2998</v>
      </c>
      <c r="H600">
        <v>2000</v>
      </c>
    </row>
    <row r="601" spans="2:8">
      <c r="B601" t="s">
        <v>442</v>
      </c>
      <c r="C601" t="s">
        <v>9</v>
      </c>
      <c r="D601">
        <v>2997</v>
      </c>
      <c r="E601">
        <v>2997</v>
      </c>
      <c r="F601">
        <v>2993</v>
      </c>
      <c r="G601">
        <v>2993</v>
      </c>
      <c r="H601">
        <v>12200</v>
      </c>
    </row>
    <row r="602" spans="2:8">
      <c r="B602" t="s">
        <v>442</v>
      </c>
      <c r="C602" t="s">
        <v>10</v>
      </c>
      <c r="D602">
        <v>2993</v>
      </c>
      <c r="E602">
        <v>2994</v>
      </c>
      <c r="F602">
        <v>2993</v>
      </c>
      <c r="G602">
        <v>2994</v>
      </c>
      <c r="H602">
        <v>2300</v>
      </c>
    </row>
    <row r="603" spans="2:8">
      <c r="B603" t="s">
        <v>442</v>
      </c>
      <c r="C603" t="s">
        <v>11</v>
      </c>
      <c r="D603">
        <v>2995</v>
      </c>
      <c r="E603">
        <v>2995</v>
      </c>
      <c r="F603">
        <v>2994</v>
      </c>
      <c r="G603">
        <v>2994</v>
      </c>
      <c r="H603">
        <v>2300</v>
      </c>
    </row>
    <row r="604" spans="2:8">
      <c r="B604" t="s">
        <v>442</v>
      </c>
      <c r="C604" t="s">
        <v>12</v>
      </c>
      <c r="D604">
        <v>2994</v>
      </c>
      <c r="E604">
        <v>2995</v>
      </c>
      <c r="F604">
        <v>2994</v>
      </c>
      <c r="G604">
        <v>2995</v>
      </c>
      <c r="H604">
        <v>1200</v>
      </c>
    </row>
    <row r="605" spans="2:8">
      <c r="B605" t="s">
        <v>442</v>
      </c>
      <c r="C605" t="s">
        <v>13</v>
      </c>
      <c r="D605">
        <v>2995</v>
      </c>
      <c r="E605">
        <v>3000</v>
      </c>
      <c r="F605">
        <v>2994</v>
      </c>
      <c r="G605">
        <v>3000</v>
      </c>
      <c r="H605">
        <v>10800</v>
      </c>
    </row>
    <row r="606" spans="2:8">
      <c r="B606" t="s">
        <v>442</v>
      </c>
      <c r="C606" t="s">
        <v>14</v>
      </c>
      <c r="D606">
        <v>3000</v>
      </c>
      <c r="E606">
        <v>3005</v>
      </c>
      <c r="F606">
        <v>3000</v>
      </c>
      <c r="G606">
        <v>3005</v>
      </c>
      <c r="H606">
        <v>1000</v>
      </c>
    </row>
    <row r="607" spans="2:8">
      <c r="B607" t="s">
        <v>442</v>
      </c>
      <c r="C607" t="s">
        <v>15</v>
      </c>
      <c r="D607">
        <v>3000</v>
      </c>
      <c r="E607">
        <v>3005</v>
      </c>
      <c r="F607">
        <v>3000</v>
      </c>
      <c r="G607">
        <v>3000</v>
      </c>
      <c r="H607">
        <v>1100</v>
      </c>
    </row>
    <row r="608" spans="2:8">
      <c r="B608" t="s">
        <v>442</v>
      </c>
      <c r="C608" t="s">
        <v>16</v>
      </c>
      <c r="D608">
        <v>3005</v>
      </c>
      <c r="E608">
        <v>3005</v>
      </c>
      <c r="F608">
        <v>3000</v>
      </c>
      <c r="G608">
        <v>3000</v>
      </c>
      <c r="H608">
        <v>800</v>
      </c>
    </row>
    <row r="609" spans="2:8">
      <c r="B609" t="s">
        <v>442</v>
      </c>
      <c r="C609" t="s">
        <v>17</v>
      </c>
      <c r="D609">
        <v>3005</v>
      </c>
      <c r="E609">
        <v>3005</v>
      </c>
      <c r="F609">
        <v>3000</v>
      </c>
      <c r="G609">
        <v>3005</v>
      </c>
      <c r="H609">
        <v>400</v>
      </c>
    </row>
    <row r="610" spans="2:8">
      <c r="B610" t="s">
        <v>442</v>
      </c>
      <c r="C610" t="s">
        <v>18</v>
      </c>
      <c r="D610">
        <v>3005</v>
      </c>
      <c r="E610">
        <v>3005</v>
      </c>
      <c r="F610">
        <v>3000</v>
      </c>
      <c r="G610">
        <v>3005</v>
      </c>
      <c r="H610">
        <v>3100</v>
      </c>
    </row>
    <row r="611" spans="2:8">
      <c r="B611" t="s">
        <v>442</v>
      </c>
      <c r="C611" t="s">
        <v>19</v>
      </c>
      <c r="D611">
        <v>3005</v>
      </c>
      <c r="E611">
        <v>3005</v>
      </c>
      <c r="F611">
        <v>3005</v>
      </c>
      <c r="G611">
        <v>3005</v>
      </c>
      <c r="H611">
        <v>400</v>
      </c>
    </row>
    <row r="612" spans="2:8">
      <c r="B612" t="s">
        <v>442</v>
      </c>
      <c r="C612" t="s">
        <v>20</v>
      </c>
      <c r="D612">
        <v>3005</v>
      </c>
      <c r="E612">
        <v>3005</v>
      </c>
      <c r="F612">
        <v>3000</v>
      </c>
      <c r="G612">
        <v>3005</v>
      </c>
      <c r="H612">
        <v>2600</v>
      </c>
    </row>
    <row r="613" spans="2:8">
      <c r="B613" t="s">
        <v>442</v>
      </c>
      <c r="C613" t="s">
        <v>21</v>
      </c>
      <c r="D613">
        <v>3005</v>
      </c>
      <c r="E613">
        <v>3005</v>
      </c>
      <c r="F613">
        <v>2993</v>
      </c>
      <c r="G613">
        <v>2997</v>
      </c>
      <c r="H613">
        <v>31400</v>
      </c>
    </row>
    <row r="614" spans="2:8">
      <c r="B614" t="s">
        <v>442</v>
      </c>
      <c r="C614" t="s">
        <v>22</v>
      </c>
      <c r="D614">
        <v>2997</v>
      </c>
      <c r="E614">
        <v>2997</v>
      </c>
      <c r="F614">
        <v>2996</v>
      </c>
      <c r="G614">
        <v>2996</v>
      </c>
      <c r="H614">
        <v>2000</v>
      </c>
    </row>
    <row r="615" spans="2:8">
      <c r="B615" t="s">
        <v>442</v>
      </c>
      <c r="C615" t="s">
        <v>23</v>
      </c>
      <c r="D615">
        <v>2995</v>
      </c>
      <c r="E615">
        <v>2995</v>
      </c>
      <c r="F615">
        <v>2982</v>
      </c>
      <c r="G615">
        <v>2982</v>
      </c>
      <c r="H615">
        <v>80000</v>
      </c>
    </row>
    <row r="616" spans="2:8">
      <c r="B616" t="s">
        <v>442</v>
      </c>
      <c r="C616" t="s">
        <v>24</v>
      </c>
      <c r="D616">
        <v>2982</v>
      </c>
      <c r="E616">
        <v>2987</v>
      </c>
      <c r="F616">
        <v>2980</v>
      </c>
      <c r="G616">
        <v>2986</v>
      </c>
      <c r="H616">
        <v>20900</v>
      </c>
    </row>
    <row r="617" spans="2:8">
      <c r="B617" t="s">
        <v>442</v>
      </c>
      <c r="C617" t="s">
        <v>25</v>
      </c>
      <c r="D617">
        <v>2987</v>
      </c>
      <c r="E617">
        <v>2987</v>
      </c>
      <c r="F617">
        <v>2986</v>
      </c>
      <c r="G617">
        <v>2986</v>
      </c>
      <c r="H617">
        <v>4100</v>
      </c>
    </row>
    <row r="618" spans="2:8">
      <c r="B618" t="s">
        <v>442</v>
      </c>
      <c r="C618" t="s">
        <v>26</v>
      </c>
      <c r="D618">
        <v>2986</v>
      </c>
      <c r="E618">
        <v>2987</v>
      </c>
      <c r="F618">
        <v>2984</v>
      </c>
      <c r="G618">
        <v>2986</v>
      </c>
      <c r="H618">
        <v>15000</v>
      </c>
    </row>
    <row r="619" spans="2:8">
      <c r="B619" t="s">
        <v>442</v>
      </c>
      <c r="C619" t="s">
        <v>27</v>
      </c>
      <c r="D619">
        <v>2986</v>
      </c>
      <c r="E619">
        <v>2987</v>
      </c>
      <c r="F619">
        <v>2984</v>
      </c>
      <c r="G619">
        <v>2987</v>
      </c>
      <c r="H619">
        <v>14500</v>
      </c>
    </row>
    <row r="620" spans="2:8">
      <c r="B620" t="s">
        <v>442</v>
      </c>
      <c r="C620" t="s">
        <v>28</v>
      </c>
      <c r="D620">
        <v>2986</v>
      </c>
      <c r="E620">
        <v>2989</v>
      </c>
      <c r="F620">
        <v>2986</v>
      </c>
      <c r="G620">
        <v>2988</v>
      </c>
      <c r="H620">
        <v>8200</v>
      </c>
    </row>
    <row r="621" spans="2:8">
      <c r="B621" t="s">
        <v>442</v>
      </c>
      <c r="C621" t="s">
        <v>29</v>
      </c>
      <c r="D621">
        <v>2988</v>
      </c>
      <c r="E621">
        <v>2989</v>
      </c>
      <c r="F621">
        <v>2986</v>
      </c>
      <c r="G621">
        <v>2987</v>
      </c>
      <c r="H621">
        <v>8500</v>
      </c>
    </row>
    <row r="622" spans="2:8">
      <c r="B622" t="s">
        <v>442</v>
      </c>
      <c r="C622" t="s">
        <v>30</v>
      </c>
      <c r="D622">
        <v>2986</v>
      </c>
      <c r="E622">
        <v>2988</v>
      </c>
      <c r="F622">
        <v>2986</v>
      </c>
      <c r="G622">
        <v>2986</v>
      </c>
      <c r="H622">
        <v>3300</v>
      </c>
    </row>
    <row r="623" spans="2:8">
      <c r="B623" t="s">
        <v>442</v>
      </c>
      <c r="C623" t="s">
        <v>31</v>
      </c>
      <c r="D623">
        <v>2986</v>
      </c>
      <c r="E623">
        <v>2986</v>
      </c>
      <c r="F623">
        <v>2979</v>
      </c>
      <c r="G623">
        <v>2982</v>
      </c>
      <c r="H623">
        <v>114800</v>
      </c>
    </row>
    <row r="624" spans="2:8">
      <c r="B624" t="s">
        <v>442</v>
      </c>
      <c r="C624" t="s">
        <v>32</v>
      </c>
      <c r="D624">
        <v>2983</v>
      </c>
      <c r="E624">
        <v>2986</v>
      </c>
      <c r="F624">
        <v>2982</v>
      </c>
      <c r="G624">
        <v>2985</v>
      </c>
      <c r="H624">
        <v>7900</v>
      </c>
    </row>
    <row r="625" spans="2:8">
      <c r="B625" t="s">
        <v>442</v>
      </c>
      <c r="C625" t="s">
        <v>33</v>
      </c>
      <c r="D625">
        <v>2984</v>
      </c>
      <c r="E625">
        <v>2989</v>
      </c>
      <c r="F625">
        <v>2984</v>
      </c>
      <c r="G625">
        <v>2988</v>
      </c>
      <c r="H625">
        <v>14200</v>
      </c>
    </row>
    <row r="626" spans="2:8">
      <c r="B626" t="s">
        <v>442</v>
      </c>
      <c r="C626" t="s">
        <v>34</v>
      </c>
      <c r="D626">
        <v>2989</v>
      </c>
      <c r="E626">
        <v>2990</v>
      </c>
      <c r="F626">
        <v>2988</v>
      </c>
      <c r="G626">
        <v>2989</v>
      </c>
      <c r="H626">
        <v>7900</v>
      </c>
    </row>
    <row r="627" spans="2:8">
      <c r="B627" t="s">
        <v>442</v>
      </c>
      <c r="C627" t="s">
        <v>35</v>
      </c>
      <c r="D627">
        <v>2988</v>
      </c>
      <c r="E627">
        <v>2989</v>
      </c>
      <c r="F627">
        <v>2987</v>
      </c>
      <c r="G627">
        <v>2989</v>
      </c>
      <c r="H627">
        <v>3100</v>
      </c>
    </row>
    <row r="628" spans="2:8">
      <c r="B628" t="s">
        <v>442</v>
      </c>
      <c r="C628" t="s">
        <v>36</v>
      </c>
      <c r="D628">
        <v>2988</v>
      </c>
      <c r="E628">
        <v>2989</v>
      </c>
      <c r="F628">
        <v>2988</v>
      </c>
      <c r="G628">
        <v>2989</v>
      </c>
      <c r="H628">
        <v>3300</v>
      </c>
    </row>
    <row r="629" spans="2:8">
      <c r="B629" t="s">
        <v>442</v>
      </c>
      <c r="C629" t="s">
        <v>37</v>
      </c>
      <c r="D629">
        <v>2989</v>
      </c>
      <c r="E629">
        <v>2990</v>
      </c>
      <c r="F629">
        <v>2985</v>
      </c>
      <c r="G629">
        <v>2986</v>
      </c>
      <c r="H629">
        <v>24400</v>
      </c>
    </row>
    <row r="630" spans="2:8">
      <c r="B630" t="s">
        <v>442</v>
      </c>
      <c r="C630" t="s">
        <v>38</v>
      </c>
      <c r="D630">
        <v>2986</v>
      </c>
      <c r="E630">
        <v>2989</v>
      </c>
      <c r="F630">
        <v>2985</v>
      </c>
      <c r="G630">
        <v>2988</v>
      </c>
      <c r="H630">
        <v>9100</v>
      </c>
    </row>
    <row r="631" spans="2:8">
      <c r="B631" t="s">
        <v>442</v>
      </c>
      <c r="C631" t="s">
        <v>39</v>
      </c>
      <c r="D631">
        <v>2987</v>
      </c>
      <c r="E631">
        <v>2990</v>
      </c>
      <c r="F631">
        <v>2987</v>
      </c>
      <c r="G631">
        <v>2989</v>
      </c>
      <c r="H631">
        <v>4900</v>
      </c>
    </row>
    <row r="632" spans="2:8">
      <c r="B632" t="s">
        <v>442</v>
      </c>
      <c r="C632" t="s">
        <v>40</v>
      </c>
      <c r="D632">
        <v>2989</v>
      </c>
      <c r="E632">
        <v>2992</v>
      </c>
      <c r="F632">
        <v>2989</v>
      </c>
      <c r="G632">
        <v>2990</v>
      </c>
      <c r="H632">
        <v>14700</v>
      </c>
    </row>
    <row r="633" spans="2:8">
      <c r="B633" t="s">
        <v>442</v>
      </c>
      <c r="C633" t="s">
        <v>41</v>
      </c>
      <c r="D633">
        <v>2990</v>
      </c>
      <c r="E633">
        <v>2991</v>
      </c>
      <c r="F633">
        <v>2989</v>
      </c>
      <c r="G633">
        <v>2989</v>
      </c>
      <c r="H633">
        <v>4800</v>
      </c>
    </row>
    <row r="634" spans="2:8">
      <c r="B634" t="s">
        <v>442</v>
      </c>
      <c r="C634" t="s">
        <v>42</v>
      </c>
      <c r="D634">
        <v>2989</v>
      </c>
      <c r="E634">
        <v>2989</v>
      </c>
      <c r="F634">
        <v>2988</v>
      </c>
      <c r="G634">
        <v>2988</v>
      </c>
      <c r="H634">
        <v>3800</v>
      </c>
    </row>
    <row r="635" spans="2:8">
      <c r="B635" t="s">
        <v>442</v>
      </c>
      <c r="C635" t="s">
        <v>43</v>
      </c>
      <c r="D635">
        <v>2988</v>
      </c>
      <c r="E635">
        <v>2991</v>
      </c>
      <c r="F635">
        <v>2988</v>
      </c>
      <c r="G635">
        <v>2991</v>
      </c>
      <c r="H635">
        <v>3500</v>
      </c>
    </row>
    <row r="636" spans="2:8">
      <c r="B636" t="s">
        <v>442</v>
      </c>
      <c r="C636" t="s">
        <v>44</v>
      </c>
      <c r="D636">
        <v>2990</v>
      </c>
      <c r="E636">
        <v>2990</v>
      </c>
      <c r="F636">
        <v>2987</v>
      </c>
      <c r="G636">
        <v>2989</v>
      </c>
      <c r="H636">
        <v>6700</v>
      </c>
    </row>
    <row r="637" spans="2:8">
      <c r="B637" t="s">
        <v>442</v>
      </c>
      <c r="C637" t="s">
        <v>45</v>
      </c>
      <c r="D637">
        <v>2990</v>
      </c>
      <c r="E637">
        <v>2991</v>
      </c>
      <c r="F637">
        <v>2989</v>
      </c>
      <c r="G637">
        <v>2990</v>
      </c>
      <c r="H637">
        <v>11300</v>
      </c>
    </row>
    <row r="638" spans="2:8">
      <c r="B638" t="s">
        <v>442</v>
      </c>
      <c r="C638" t="s">
        <v>46</v>
      </c>
      <c r="D638">
        <v>2990</v>
      </c>
      <c r="E638">
        <v>2991</v>
      </c>
      <c r="F638">
        <v>2989</v>
      </c>
      <c r="G638">
        <v>2991</v>
      </c>
      <c r="H638">
        <v>3400</v>
      </c>
    </row>
    <row r="639" spans="2:8">
      <c r="B639" t="s">
        <v>442</v>
      </c>
      <c r="C639" t="s">
        <v>47</v>
      </c>
      <c r="D639">
        <v>2990</v>
      </c>
      <c r="E639">
        <v>2990</v>
      </c>
      <c r="F639">
        <v>2988</v>
      </c>
      <c r="G639">
        <v>2989</v>
      </c>
      <c r="H639">
        <v>5300</v>
      </c>
    </row>
    <row r="640" spans="2:8">
      <c r="B640" t="s">
        <v>442</v>
      </c>
      <c r="C640" t="s">
        <v>48</v>
      </c>
      <c r="D640">
        <v>2989</v>
      </c>
      <c r="E640">
        <v>2990</v>
      </c>
      <c r="F640">
        <v>2989</v>
      </c>
      <c r="G640">
        <v>2990</v>
      </c>
      <c r="H640">
        <v>2800</v>
      </c>
    </row>
    <row r="641" spans="2:8">
      <c r="B641" t="s">
        <v>442</v>
      </c>
      <c r="C641" t="s">
        <v>49</v>
      </c>
      <c r="D641">
        <v>2990</v>
      </c>
      <c r="E641">
        <v>2993</v>
      </c>
      <c r="F641">
        <v>2989</v>
      </c>
      <c r="G641">
        <v>2993</v>
      </c>
      <c r="H641">
        <v>6100</v>
      </c>
    </row>
    <row r="642" spans="2:8">
      <c r="B642" t="s">
        <v>442</v>
      </c>
      <c r="C642" t="s">
        <v>50</v>
      </c>
      <c r="D642">
        <v>2993</v>
      </c>
      <c r="E642">
        <v>2997</v>
      </c>
      <c r="F642">
        <v>2993</v>
      </c>
      <c r="G642">
        <v>2996</v>
      </c>
      <c r="H642">
        <v>12300</v>
      </c>
    </row>
    <row r="643" spans="2:8">
      <c r="B643" t="s">
        <v>442</v>
      </c>
      <c r="C643" t="s">
        <v>51</v>
      </c>
      <c r="D643">
        <v>2996</v>
      </c>
      <c r="E643">
        <v>2999</v>
      </c>
      <c r="F643">
        <v>2995</v>
      </c>
      <c r="G643">
        <v>2999</v>
      </c>
      <c r="H643">
        <v>9000</v>
      </c>
    </row>
    <row r="644" spans="2:8">
      <c r="B644" t="s">
        <v>442</v>
      </c>
      <c r="C644" t="s">
        <v>52</v>
      </c>
      <c r="D644">
        <v>2998</v>
      </c>
      <c r="E644">
        <v>2999</v>
      </c>
      <c r="F644">
        <v>2997</v>
      </c>
      <c r="G644">
        <v>2998</v>
      </c>
      <c r="H644">
        <v>17100</v>
      </c>
    </row>
    <row r="645" spans="2:8">
      <c r="B645" t="s">
        <v>442</v>
      </c>
      <c r="C645" t="s">
        <v>53</v>
      </c>
      <c r="D645">
        <v>2998</v>
      </c>
      <c r="E645">
        <v>2998</v>
      </c>
      <c r="F645">
        <v>2996</v>
      </c>
      <c r="G645">
        <v>2996</v>
      </c>
      <c r="H645">
        <v>4000</v>
      </c>
    </row>
    <row r="646" spans="2:8">
      <c r="B646" t="s">
        <v>442</v>
      </c>
      <c r="C646" t="s">
        <v>54</v>
      </c>
      <c r="D646">
        <v>2996</v>
      </c>
      <c r="E646">
        <v>2996</v>
      </c>
      <c r="F646">
        <v>2995</v>
      </c>
      <c r="G646">
        <v>2996</v>
      </c>
      <c r="H646">
        <v>2500</v>
      </c>
    </row>
    <row r="647" spans="2:8">
      <c r="B647" t="s">
        <v>442</v>
      </c>
      <c r="C647" t="s">
        <v>55</v>
      </c>
      <c r="D647">
        <v>2996</v>
      </c>
      <c r="E647">
        <v>2998</v>
      </c>
      <c r="F647">
        <v>2995</v>
      </c>
      <c r="G647">
        <v>2998</v>
      </c>
      <c r="H647">
        <v>6100</v>
      </c>
    </row>
    <row r="648" spans="2:8">
      <c r="B648" t="s">
        <v>442</v>
      </c>
      <c r="C648" t="s">
        <v>56</v>
      </c>
      <c r="D648">
        <v>2998</v>
      </c>
      <c r="E648">
        <v>2998</v>
      </c>
      <c r="F648">
        <v>2997</v>
      </c>
      <c r="G648">
        <v>2997</v>
      </c>
      <c r="H648">
        <v>8800</v>
      </c>
    </row>
    <row r="649" spans="2:8">
      <c r="B649" t="s">
        <v>442</v>
      </c>
      <c r="C649" t="s">
        <v>57</v>
      </c>
      <c r="D649">
        <v>2997</v>
      </c>
      <c r="E649">
        <v>2999</v>
      </c>
      <c r="F649">
        <v>2996</v>
      </c>
      <c r="G649">
        <v>2999</v>
      </c>
      <c r="H649">
        <v>6100</v>
      </c>
    </row>
    <row r="650" spans="2:8">
      <c r="B650" t="s">
        <v>442</v>
      </c>
      <c r="C650" t="s">
        <v>58</v>
      </c>
      <c r="D650">
        <v>2999</v>
      </c>
      <c r="E650">
        <v>3005</v>
      </c>
      <c r="F650">
        <v>2994</v>
      </c>
      <c r="G650">
        <v>2998</v>
      </c>
      <c r="H650">
        <v>72700</v>
      </c>
    </row>
    <row r="651" spans="2:8">
      <c r="B651" t="s">
        <v>442</v>
      </c>
      <c r="C651" t="s">
        <v>59</v>
      </c>
      <c r="D651">
        <v>2999</v>
      </c>
      <c r="E651">
        <v>3015</v>
      </c>
      <c r="F651">
        <v>2996</v>
      </c>
      <c r="G651">
        <v>3000</v>
      </c>
      <c r="H651">
        <v>56500</v>
      </c>
    </row>
    <row r="652" spans="2:8">
      <c r="B652" t="s">
        <v>442</v>
      </c>
      <c r="C652" t="s">
        <v>60</v>
      </c>
      <c r="D652">
        <v>3000</v>
      </c>
      <c r="E652">
        <v>3000</v>
      </c>
      <c r="F652">
        <v>3000</v>
      </c>
      <c r="G652">
        <v>3000</v>
      </c>
      <c r="H652">
        <v>200</v>
      </c>
    </row>
    <row r="653" spans="2:8">
      <c r="B653" t="s">
        <v>442</v>
      </c>
      <c r="C653" t="s">
        <v>61</v>
      </c>
      <c r="D653">
        <v>3005</v>
      </c>
      <c r="E653">
        <v>3005</v>
      </c>
      <c r="F653">
        <v>3005</v>
      </c>
      <c r="G653">
        <v>3005</v>
      </c>
      <c r="H653">
        <v>700</v>
      </c>
    </row>
    <row r="654" spans="2:8">
      <c r="B654" t="s">
        <v>442</v>
      </c>
      <c r="C654" t="s">
        <v>62</v>
      </c>
      <c r="D654">
        <v>3000</v>
      </c>
      <c r="E654">
        <v>3010</v>
      </c>
      <c r="F654">
        <v>3000</v>
      </c>
      <c r="G654">
        <v>3010</v>
      </c>
      <c r="H654">
        <v>12200</v>
      </c>
    </row>
    <row r="655" spans="2:8">
      <c r="B655" t="s">
        <v>442</v>
      </c>
      <c r="C655" t="s">
        <v>63</v>
      </c>
      <c r="D655">
        <v>3005</v>
      </c>
      <c r="E655">
        <v>3015</v>
      </c>
      <c r="F655">
        <v>3005</v>
      </c>
      <c r="G655">
        <v>3015</v>
      </c>
      <c r="H655">
        <v>13500</v>
      </c>
    </row>
    <row r="656" spans="2:8">
      <c r="B656" t="s">
        <v>442</v>
      </c>
      <c r="C656" t="s">
        <v>64</v>
      </c>
      <c r="D656">
        <v>3015</v>
      </c>
      <c r="E656">
        <v>3015</v>
      </c>
      <c r="F656">
        <v>3010</v>
      </c>
      <c r="G656">
        <v>3015</v>
      </c>
      <c r="H656">
        <v>3800</v>
      </c>
    </row>
    <row r="657" spans="2:8">
      <c r="B657" t="s">
        <v>442</v>
      </c>
      <c r="C657" t="s">
        <v>65</v>
      </c>
      <c r="D657">
        <v>3010</v>
      </c>
      <c r="E657">
        <v>3010</v>
      </c>
      <c r="F657">
        <v>3010</v>
      </c>
      <c r="G657">
        <v>3010</v>
      </c>
      <c r="H657">
        <v>8000</v>
      </c>
    </row>
    <row r="658" spans="2:8">
      <c r="B658" t="s">
        <v>442</v>
      </c>
      <c r="C658" t="s">
        <v>66</v>
      </c>
      <c r="D658">
        <v>3005</v>
      </c>
      <c r="E658">
        <v>3010</v>
      </c>
      <c r="F658">
        <v>3005</v>
      </c>
      <c r="G658">
        <v>3005</v>
      </c>
      <c r="H658">
        <v>4500</v>
      </c>
    </row>
    <row r="659" spans="2:8">
      <c r="B659" t="s">
        <v>442</v>
      </c>
      <c r="C659" t="s">
        <v>164</v>
      </c>
      <c r="D659">
        <v>3010</v>
      </c>
      <c r="E659">
        <v>3015</v>
      </c>
      <c r="F659">
        <v>3005</v>
      </c>
      <c r="G659">
        <v>3010</v>
      </c>
      <c r="H659">
        <v>27700</v>
      </c>
    </row>
    <row r="660" spans="2:8">
      <c r="B660" t="s">
        <v>442</v>
      </c>
      <c r="C660" t="s">
        <v>165</v>
      </c>
      <c r="D660">
        <v>3005</v>
      </c>
      <c r="E660">
        <v>3015</v>
      </c>
      <c r="F660">
        <v>3005</v>
      </c>
      <c r="G660">
        <v>3005</v>
      </c>
      <c r="H660">
        <v>19100</v>
      </c>
    </row>
    <row r="661" spans="2:8">
      <c r="B661" t="s">
        <v>442</v>
      </c>
      <c r="C661" t="s">
        <v>67</v>
      </c>
      <c r="D661" t="s">
        <v>8</v>
      </c>
      <c r="E661" t="s">
        <v>8</v>
      </c>
      <c r="F661" t="s">
        <v>8</v>
      </c>
      <c r="G661" t="s">
        <v>8</v>
      </c>
      <c r="H661">
        <v>0</v>
      </c>
    </row>
    <row r="662" spans="2:8">
      <c r="B662" t="s">
        <v>442</v>
      </c>
      <c r="C662" t="s">
        <v>68</v>
      </c>
      <c r="D662" t="s">
        <v>8</v>
      </c>
      <c r="E662" t="s">
        <v>8</v>
      </c>
      <c r="F662" t="s">
        <v>8</v>
      </c>
      <c r="G662" t="s">
        <v>8</v>
      </c>
      <c r="H662">
        <v>0</v>
      </c>
    </row>
    <row r="663" spans="2:8">
      <c r="B663" t="s">
        <v>442</v>
      </c>
      <c r="C663" t="s">
        <v>69</v>
      </c>
      <c r="D663" t="s">
        <v>8</v>
      </c>
      <c r="E663" t="s">
        <v>8</v>
      </c>
      <c r="F663" t="s">
        <v>8</v>
      </c>
      <c r="G663" t="s">
        <v>8</v>
      </c>
      <c r="H663">
        <v>0</v>
      </c>
    </row>
    <row r="664" spans="2:8">
      <c r="B664" t="s">
        <v>442</v>
      </c>
      <c r="C664" t="s">
        <v>70</v>
      </c>
      <c r="D664" t="s">
        <v>8</v>
      </c>
      <c r="E664" t="s">
        <v>8</v>
      </c>
      <c r="F664" t="s">
        <v>8</v>
      </c>
      <c r="G664" t="s">
        <v>8</v>
      </c>
      <c r="H664">
        <v>0</v>
      </c>
    </row>
    <row r="665" spans="2:8">
      <c r="B665" t="s">
        <v>442</v>
      </c>
      <c r="C665" t="s">
        <v>71</v>
      </c>
      <c r="D665" t="s">
        <v>8</v>
      </c>
      <c r="E665" t="s">
        <v>8</v>
      </c>
      <c r="F665" t="s">
        <v>8</v>
      </c>
      <c r="G665" t="s">
        <v>8</v>
      </c>
      <c r="H665">
        <v>0</v>
      </c>
    </row>
    <row r="666" spans="2:8">
      <c r="B666" t="s">
        <v>442</v>
      </c>
      <c r="C666" t="s">
        <v>72</v>
      </c>
      <c r="D666">
        <v>3015</v>
      </c>
      <c r="E666">
        <v>3015</v>
      </c>
      <c r="F666">
        <v>3015</v>
      </c>
      <c r="G666">
        <v>3015</v>
      </c>
      <c r="H666">
        <v>184300</v>
      </c>
    </row>
    <row r="667" spans="2:8">
      <c r="B667" t="s">
        <v>443</v>
      </c>
      <c r="C667" t="s">
        <v>166</v>
      </c>
      <c r="D667">
        <v>3015</v>
      </c>
      <c r="E667">
        <v>3015</v>
      </c>
      <c r="F667">
        <v>2997</v>
      </c>
      <c r="G667">
        <v>3010</v>
      </c>
      <c r="H667">
        <v>76000</v>
      </c>
    </row>
    <row r="668" spans="2:8">
      <c r="B668" t="s">
        <v>443</v>
      </c>
      <c r="C668" t="s">
        <v>167</v>
      </c>
      <c r="D668">
        <v>3005</v>
      </c>
      <c r="E668">
        <v>3010</v>
      </c>
      <c r="F668">
        <v>2999</v>
      </c>
      <c r="G668">
        <v>3010</v>
      </c>
      <c r="H668">
        <v>23600</v>
      </c>
    </row>
    <row r="669" spans="2:8">
      <c r="B669" t="s">
        <v>443</v>
      </c>
      <c r="C669" t="s">
        <v>168</v>
      </c>
      <c r="D669">
        <v>3010</v>
      </c>
      <c r="E669">
        <v>3020</v>
      </c>
      <c r="F669">
        <v>3010</v>
      </c>
      <c r="G669">
        <v>3015</v>
      </c>
      <c r="H669">
        <v>17400</v>
      </c>
    </row>
    <row r="670" spans="2:8">
      <c r="B670" t="s">
        <v>443</v>
      </c>
      <c r="C670" t="s">
        <v>169</v>
      </c>
      <c r="D670">
        <v>3015</v>
      </c>
      <c r="E670">
        <v>3020</v>
      </c>
      <c r="F670">
        <v>3010</v>
      </c>
      <c r="G670">
        <v>3015</v>
      </c>
      <c r="H670">
        <v>15500</v>
      </c>
    </row>
    <row r="671" spans="2:8">
      <c r="B671" t="s">
        <v>443</v>
      </c>
      <c r="C671" t="s">
        <v>170</v>
      </c>
      <c r="D671">
        <v>3015</v>
      </c>
      <c r="E671">
        <v>3015</v>
      </c>
      <c r="F671">
        <v>3010</v>
      </c>
      <c r="G671">
        <v>3010</v>
      </c>
      <c r="H671">
        <v>7100</v>
      </c>
    </row>
    <row r="672" spans="2:8">
      <c r="B672" t="s">
        <v>443</v>
      </c>
      <c r="C672" t="s">
        <v>171</v>
      </c>
      <c r="D672">
        <v>3005</v>
      </c>
      <c r="E672">
        <v>3005</v>
      </c>
      <c r="F672">
        <v>2992</v>
      </c>
      <c r="G672">
        <v>2993</v>
      </c>
      <c r="H672">
        <v>41100</v>
      </c>
    </row>
    <row r="673" spans="2:8">
      <c r="B673" t="s">
        <v>443</v>
      </c>
      <c r="C673" t="s">
        <v>172</v>
      </c>
      <c r="D673">
        <v>2995</v>
      </c>
      <c r="E673">
        <v>3005</v>
      </c>
      <c r="F673">
        <v>2993</v>
      </c>
      <c r="G673">
        <v>3005</v>
      </c>
      <c r="H673">
        <v>12400</v>
      </c>
    </row>
    <row r="674" spans="2:8">
      <c r="B674" t="s">
        <v>443</v>
      </c>
      <c r="C674" t="s">
        <v>173</v>
      </c>
      <c r="D674">
        <v>3005</v>
      </c>
      <c r="E674">
        <v>3005</v>
      </c>
      <c r="F674">
        <v>3000</v>
      </c>
      <c r="G674">
        <v>3000</v>
      </c>
      <c r="H674">
        <v>4900</v>
      </c>
    </row>
    <row r="675" spans="2:8">
      <c r="B675" t="s">
        <v>443</v>
      </c>
      <c r="C675" t="s">
        <v>174</v>
      </c>
      <c r="D675">
        <v>3000</v>
      </c>
      <c r="E675">
        <v>3005</v>
      </c>
      <c r="F675">
        <v>2998</v>
      </c>
      <c r="G675">
        <v>3005</v>
      </c>
      <c r="H675">
        <v>21100</v>
      </c>
    </row>
    <row r="676" spans="2:8">
      <c r="B676" t="s">
        <v>443</v>
      </c>
      <c r="C676" t="s">
        <v>175</v>
      </c>
      <c r="D676">
        <v>3000</v>
      </c>
      <c r="E676">
        <v>3005</v>
      </c>
      <c r="F676">
        <v>2993</v>
      </c>
      <c r="G676">
        <v>3000</v>
      </c>
      <c r="H676">
        <v>25200</v>
      </c>
    </row>
    <row r="677" spans="2:8">
      <c r="B677" t="s">
        <v>443</v>
      </c>
      <c r="C677" t="s">
        <v>176</v>
      </c>
      <c r="D677">
        <v>3000</v>
      </c>
      <c r="E677">
        <v>3000</v>
      </c>
      <c r="F677">
        <v>3000</v>
      </c>
      <c r="G677">
        <v>3000</v>
      </c>
      <c r="H677">
        <v>900</v>
      </c>
    </row>
    <row r="678" spans="2:8">
      <c r="B678" t="s">
        <v>443</v>
      </c>
      <c r="C678" t="s">
        <v>177</v>
      </c>
      <c r="D678">
        <v>3005</v>
      </c>
      <c r="E678">
        <v>3015</v>
      </c>
      <c r="F678">
        <v>3005</v>
      </c>
      <c r="G678">
        <v>3015</v>
      </c>
      <c r="H678">
        <v>17100</v>
      </c>
    </row>
    <row r="679" spans="2:8">
      <c r="B679" t="s">
        <v>443</v>
      </c>
      <c r="C679" t="s">
        <v>178</v>
      </c>
      <c r="D679">
        <v>3010</v>
      </c>
      <c r="E679">
        <v>3015</v>
      </c>
      <c r="F679">
        <v>3010</v>
      </c>
      <c r="G679">
        <v>3015</v>
      </c>
      <c r="H679">
        <v>1000</v>
      </c>
    </row>
    <row r="680" spans="2:8">
      <c r="B680" t="s">
        <v>443</v>
      </c>
      <c r="C680" t="s">
        <v>179</v>
      </c>
      <c r="D680">
        <v>3010</v>
      </c>
      <c r="E680">
        <v>3015</v>
      </c>
      <c r="F680">
        <v>3010</v>
      </c>
      <c r="G680">
        <v>3010</v>
      </c>
      <c r="H680">
        <v>2200</v>
      </c>
    </row>
    <row r="681" spans="2:8">
      <c r="B681" t="s">
        <v>443</v>
      </c>
      <c r="C681" t="s">
        <v>180</v>
      </c>
      <c r="D681">
        <v>3015</v>
      </c>
      <c r="E681">
        <v>3015</v>
      </c>
      <c r="F681">
        <v>3010</v>
      </c>
      <c r="G681">
        <v>3010</v>
      </c>
      <c r="H681">
        <v>14200</v>
      </c>
    </row>
    <row r="682" spans="2:8">
      <c r="B682" t="s">
        <v>443</v>
      </c>
      <c r="C682" t="s">
        <v>181</v>
      </c>
      <c r="D682">
        <v>3015</v>
      </c>
      <c r="E682">
        <v>3015</v>
      </c>
      <c r="F682">
        <v>3015</v>
      </c>
      <c r="G682">
        <v>3015</v>
      </c>
      <c r="H682">
        <v>10600</v>
      </c>
    </row>
    <row r="683" spans="2:8">
      <c r="B683" t="s">
        <v>443</v>
      </c>
      <c r="C683" t="s">
        <v>182</v>
      </c>
      <c r="D683">
        <v>3015</v>
      </c>
      <c r="E683">
        <v>3015</v>
      </c>
      <c r="F683">
        <v>3015</v>
      </c>
      <c r="G683">
        <v>3015</v>
      </c>
      <c r="H683">
        <v>1900</v>
      </c>
    </row>
    <row r="684" spans="2:8">
      <c r="B684" t="s">
        <v>443</v>
      </c>
      <c r="C684" t="s">
        <v>183</v>
      </c>
      <c r="D684">
        <v>3015</v>
      </c>
      <c r="E684">
        <v>3015</v>
      </c>
      <c r="F684">
        <v>3015</v>
      </c>
      <c r="G684">
        <v>3015</v>
      </c>
      <c r="H684">
        <v>700</v>
      </c>
    </row>
    <row r="685" spans="2:8">
      <c r="B685" t="s">
        <v>443</v>
      </c>
      <c r="C685" t="s">
        <v>184</v>
      </c>
      <c r="D685">
        <v>3015</v>
      </c>
      <c r="E685">
        <v>3020</v>
      </c>
      <c r="F685">
        <v>3010</v>
      </c>
      <c r="G685">
        <v>3010</v>
      </c>
      <c r="H685">
        <v>3300</v>
      </c>
    </row>
    <row r="686" spans="2:8">
      <c r="B686" t="s">
        <v>443</v>
      </c>
      <c r="C686" t="s">
        <v>185</v>
      </c>
      <c r="D686">
        <v>3010</v>
      </c>
      <c r="E686">
        <v>3015</v>
      </c>
      <c r="F686">
        <v>3010</v>
      </c>
      <c r="G686">
        <v>3015</v>
      </c>
      <c r="H686">
        <v>1800</v>
      </c>
    </row>
    <row r="687" spans="2:8">
      <c r="B687" t="s">
        <v>443</v>
      </c>
      <c r="C687" t="s">
        <v>186</v>
      </c>
      <c r="D687">
        <v>3015</v>
      </c>
      <c r="E687">
        <v>3020</v>
      </c>
      <c r="F687">
        <v>3015</v>
      </c>
      <c r="G687">
        <v>3020</v>
      </c>
      <c r="H687">
        <v>1900</v>
      </c>
    </row>
    <row r="688" spans="2:8">
      <c r="B688" t="s">
        <v>443</v>
      </c>
      <c r="C688" t="s">
        <v>187</v>
      </c>
      <c r="D688">
        <v>3020</v>
      </c>
      <c r="E688">
        <v>3020</v>
      </c>
      <c r="F688">
        <v>3015</v>
      </c>
      <c r="G688">
        <v>3020</v>
      </c>
      <c r="H688">
        <v>8000</v>
      </c>
    </row>
    <row r="689" spans="2:8">
      <c r="B689" t="s">
        <v>443</v>
      </c>
      <c r="C689" t="s">
        <v>188</v>
      </c>
      <c r="D689">
        <v>3020</v>
      </c>
      <c r="E689">
        <v>3025</v>
      </c>
      <c r="F689">
        <v>3020</v>
      </c>
      <c r="G689">
        <v>3025</v>
      </c>
      <c r="H689">
        <v>10000</v>
      </c>
    </row>
    <row r="690" spans="2:8">
      <c r="B690" t="s">
        <v>443</v>
      </c>
      <c r="C690" t="s">
        <v>189</v>
      </c>
      <c r="D690">
        <v>3025</v>
      </c>
      <c r="E690">
        <v>3025</v>
      </c>
      <c r="F690">
        <v>3020</v>
      </c>
      <c r="G690">
        <v>3025</v>
      </c>
      <c r="H690">
        <v>2400</v>
      </c>
    </row>
    <row r="691" spans="2:8">
      <c r="B691" t="s">
        <v>443</v>
      </c>
      <c r="C691" t="s">
        <v>190</v>
      </c>
      <c r="D691">
        <v>3025</v>
      </c>
      <c r="E691">
        <v>3025</v>
      </c>
      <c r="F691">
        <v>3020</v>
      </c>
      <c r="G691">
        <v>3020</v>
      </c>
      <c r="H691">
        <v>9200</v>
      </c>
    </row>
    <row r="692" spans="2:8">
      <c r="B692" t="s">
        <v>443</v>
      </c>
      <c r="C692" t="s">
        <v>191</v>
      </c>
      <c r="D692">
        <v>3020</v>
      </c>
      <c r="E692">
        <v>3020</v>
      </c>
      <c r="F692">
        <v>3015</v>
      </c>
      <c r="G692">
        <v>3020</v>
      </c>
      <c r="H692">
        <v>1000</v>
      </c>
    </row>
    <row r="693" spans="2:8">
      <c r="B693" t="s">
        <v>443</v>
      </c>
      <c r="C693" t="s">
        <v>192</v>
      </c>
      <c r="D693">
        <v>3020</v>
      </c>
      <c r="E693">
        <v>3020</v>
      </c>
      <c r="F693">
        <v>3020</v>
      </c>
      <c r="G693">
        <v>3020</v>
      </c>
      <c r="H693">
        <v>4000</v>
      </c>
    </row>
    <row r="694" spans="2:8">
      <c r="B694" t="s">
        <v>443</v>
      </c>
      <c r="C694" t="s">
        <v>193</v>
      </c>
      <c r="D694">
        <v>3020</v>
      </c>
      <c r="E694">
        <v>3020</v>
      </c>
      <c r="F694">
        <v>3010</v>
      </c>
      <c r="G694">
        <v>3015</v>
      </c>
      <c r="H694">
        <v>13100</v>
      </c>
    </row>
    <row r="695" spans="2:8">
      <c r="B695" t="s">
        <v>443</v>
      </c>
      <c r="C695" t="s">
        <v>194</v>
      </c>
      <c r="D695">
        <v>3020</v>
      </c>
      <c r="E695">
        <v>3025</v>
      </c>
      <c r="F695">
        <v>3020</v>
      </c>
      <c r="G695">
        <v>3025</v>
      </c>
      <c r="H695">
        <v>6600</v>
      </c>
    </row>
    <row r="696" spans="2:8">
      <c r="B696" t="s">
        <v>443</v>
      </c>
      <c r="C696" t="s">
        <v>195</v>
      </c>
      <c r="D696">
        <v>3025</v>
      </c>
      <c r="E696">
        <v>3025</v>
      </c>
      <c r="F696">
        <v>3020</v>
      </c>
      <c r="G696">
        <v>3025</v>
      </c>
      <c r="H696">
        <v>14700</v>
      </c>
    </row>
    <row r="697" spans="2:8">
      <c r="B697" t="s">
        <v>443</v>
      </c>
      <c r="C697" t="s">
        <v>196</v>
      </c>
      <c r="D697">
        <v>3025</v>
      </c>
      <c r="E697">
        <v>3030</v>
      </c>
      <c r="F697">
        <v>3020</v>
      </c>
      <c r="G697">
        <v>3025</v>
      </c>
      <c r="H697">
        <v>7000</v>
      </c>
    </row>
    <row r="698" spans="2:8">
      <c r="B698" t="s">
        <v>443</v>
      </c>
      <c r="C698" t="s">
        <v>197</v>
      </c>
      <c r="D698">
        <v>3020</v>
      </c>
      <c r="E698">
        <v>3025</v>
      </c>
      <c r="F698">
        <v>3020</v>
      </c>
      <c r="G698">
        <v>3025</v>
      </c>
      <c r="H698">
        <v>4000</v>
      </c>
    </row>
    <row r="699" spans="2:8">
      <c r="B699" t="s">
        <v>443</v>
      </c>
      <c r="C699" t="s">
        <v>198</v>
      </c>
      <c r="D699">
        <v>3025</v>
      </c>
      <c r="E699">
        <v>3030</v>
      </c>
      <c r="F699">
        <v>3025</v>
      </c>
      <c r="G699">
        <v>3030</v>
      </c>
      <c r="H699">
        <v>2600</v>
      </c>
    </row>
    <row r="700" spans="2:8">
      <c r="B700" t="s">
        <v>443</v>
      </c>
      <c r="C700" t="s">
        <v>199</v>
      </c>
      <c r="D700">
        <v>3025</v>
      </c>
      <c r="E700">
        <v>3025</v>
      </c>
      <c r="F700">
        <v>3025</v>
      </c>
      <c r="G700">
        <v>3025</v>
      </c>
      <c r="H700">
        <v>1800</v>
      </c>
    </row>
    <row r="701" spans="2:8">
      <c r="B701" t="s">
        <v>443</v>
      </c>
      <c r="C701" t="s">
        <v>200</v>
      </c>
      <c r="D701">
        <v>3030</v>
      </c>
      <c r="E701">
        <v>3030</v>
      </c>
      <c r="F701">
        <v>3030</v>
      </c>
      <c r="G701">
        <v>3030</v>
      </c>
      <c r="H701">
        <v>500</v>
      </c>
    </row>
    <row r="702" spans="2:8">
      <c r="B702" t="s">
        <v>443</v>
      </c>
      <c r="C702" t="s">
        <v>201</v>
      </c>
      <c r="D702">
        <v>3030</v>
      </c>
      <c r="E702">
        <v>3030</v>
      </c>
      <c r="F702">
        <v>3025</v>
      </c>
      <c r="G702">
        <v>3025</v>
      </c>
      <c r="H702">
        <v>1200</v>
      </c>
    </row>
    <row r="703" spans="2:8">
      <c r="B703" t="s">
        <v>443</v>
      </c>
      <c r="C703" t="s">
        <v>202</v>
      </c>
      <c r="D703">
        <v>3025</v>
      </c>
      <c r="E703">
        <v>3025</v>
      </c>
      <c r="F703">
        <v>3020</v>
      </c>
      <c r="G703">
        <v>3025</v>
      </c>
      <c r="H703">
        <v>10800</v>
      </c>
    </row>
    <row r="704" spans="2:8">
      <c r="B704" t="s">
        <v>443</v>
      </c>
      <c r="C704" t="s">
        <v>203</v>
      </c>
      <c r="D704">
        <v>3025</v>
      </c>
      <c r="E704">
        <v>3025</v>
      </c>
      <c r="F704">
        <v>3020</v>
      </c>
      <c r="G704">
        <v>3020</v>
      </c>
      <c r="H704">
        <v>14000</v>
      </c>
    </row>
    <row r="705" spans="2:8">
      <c r="B705" t="s">
        <v>443</v>
      </c>
      <c r="C705" t="s">
        <v>204</v>
      </c>
      <c r="D705">
        <v>3020</v>
      </c>
      <c r="E705">
        <v>3020</v>
      </c>
      <c r="F705">
        <v>3010</v>
      </c>
      <c r="G705">
        <v>3015</v>
      </c>
      <c r="H705">
        <v>10100</v>
      </c>
    </row>
    <row r="706" spans="2:8">
      <c r="B706" t="s">
        <v>443</v>
      </c>
      <c r="C706" t="s">
        <v>205</v>
      </c>
      <c r="D706">
        <v>3010</v>
      </c>
      <c r="E706">
        <v>3020</v>
      </c>
      <c r="F706">
        <v>3010</v>
      </c>
      <c r="G706">
        <v>3020</v>
      </c>
      <c r="H706">
        <v>3500</v>
      </c>
    </row>
    <row r="707" spans="2:8">
      <c r="B707" t="s">
        <v>443</v>
      </c>
      <c r="C707" t="s">
        <v>206</v>
      </c>
      <c r="D707">
        <v>3020</v>
      </c>
      <c r="E707">
        <v>3020</v>
      </c>
      <c r="F707">
        <v>3015</v>
      </c>
      <c r="G707">
        <v>3015</v>
      </c>
      <c r="H707">
        <v>1500</v>
      </c>
    </row>
    <row r="708" spans="2:8">
      <c r="B708" t="s">
        <v>443</v>
      </c>
      <c r="C708" t="s">
        <v>207</v>
      </c>
      <c r="D708">
        <v>3015</v>
      </c>
      <c r="E708">
        <v>3015</v>
      </c>
      <c r="F708">
        <v>3015</v>
      </c>
      <c r="G708">
        <v>3015</v>
      </c>
      <c r="H708">
        <v>7100</v>
      </c>
    </row>
    <row r="709" spans="2:8">
      <c r="B709" t="s">
        <v>443</v>
      </c>
      <c r="C709" t="s">
        <v>208</v>
      </c>
      <c r="D709">
        <v>3010</v>
      </c>
      <c r="E709">
        <v>3010</v>
      </c>
      <c r="F709">
        <v>3010</v>
      </c>
      <c r="G709">
        <v>3010</v>
      </c>
      <c r="H709">
        <v>1000</v>
      </c>
    </row>
    <row r="710" spans="2:8">
      <c r="B710" t="s">
        <v>443</v>
      </c>
      <c r="C710" t="s">
        <v>209</v>
      </c>
      <c r="D710">
        <v>3010</v>
      </c>
      <c r="E710">
        <v>3010</v>
      </c>
      <c r="F710">
        <v>3010</v>
      </c>
      <c r="G710">
        <v>3010</v>
      </c>
      <c r="H710">
        <v>13000</v>
      </c>
    </row>
    <row r="711" spans="2:8">
      <c r="B711" t="s">
        <v>443</v>
      </c>
      <c r="C711" t="s">
        <v>210</v>
      </c>
      <c r="D711">
        <v>3010</v>
      </c>
      <c r="E711">
        <v>3010</v>
      </c>
      <c r="F711">
        <v>3005</v>
      </c>
      <c r="G711">
        <v>3010</v>
      </c>
      <c r="H711">
        <v>900</v>
      </c>
    </row>
    <row r="712" spans="2:8">
      <c r="B712" t="s">
        <v>443</v>
      </c>
      <c r="C712" t="s">
        <v>211</v>
      </c>
      <c r="D712">
        <v>3010</v>
      </c>
      <c r="E712">
        <v>3010</v>
      </c>
      <c r="F712">
        <v>3010</v>
      </c>
      <c r="G712">
        <v>3010</v>
      </c>
      <c r="H712">
        <v>2300</v>
      </c>
    </row>
    <row r="713" spans="2:8">
      <c r="B713" t="s">
        <v>443</v>
      </c>
      <c r="C713" t="s">
        <v>212</v>
      </c>
      <c r="D713">
        <v>3010</v>
      </c>
      <c r="E713">
        <v>3015</v>
      </c>
      <c r="F713">
        <v>3010</v>
      </c>
      <c r="G713">
        <v>3015</v>
      </c>
      <c r="H713">
        <v>800</v>
      </c>
    </row>
    <row r="714" spans="2:8">
      <c r="B714" t="s">
        <v>443</v>
      </c>
      <c r="C714" t="s">
        <v>213</v>
      </c>
      <c r="D714">
        <v>3010</v>
      </c>
      <c r="E714">
        <v>3010</v>
      </c>
      <c r="F714">
        <v>3010</v>
      </c>
      <c r="G714">
        <v>3010</v>
      </c>
      <c r="H714">
        <v>12400</v>
      </c>
    </row>
    <row r="715" spans="2:8">
      <c r="B715" t="s">
        <v>443</v>
      </c>
      <c r="C715" t="s">
        <v>214</v>
      </c>
      <c r="D715">
        <v>3010</v>
      </c>
      <c r="E715">
        <v>3010</v>
      </c>
      <c r="F715">
        <v>3010</v>
      </c>
      <c r="G715">
        <v>3010</v>
      </c>
      <c r="H715">
        <v>1000</v>
      </c>
    </row>
    <row r="716" spans="2:8">
      <c r="B716" t="s">
        <v>443</v>
      </c>
      <c r="C716" t="s">
        <v>215</v>
      </c>
      <c r="D716">
        <v>3010</v>
      </c>
      <c r="E716">
        <v>3015</v>
      </c>
      <c r="F716">
        <v>3010</v>
      </c>
      <c r="G716">
        <v>3010</v>
      </c>
      <c r="H716">
        <v>3900</v>
      </c>
    </row>
    <row r="717" spans="2:8">
      <c r="B717" t="s">
        <v>443</v>
      </c>
      <c r="C717" t="s">
        <v>216</v>
      </c>
      <c r="D717">
        <v>3010</v>
      </c>
      <c r="E717">
        <v>3015</v>
      </c>
      <c r="F717">
        <v>3010</v>
      </c>
      <c r="G717">
        <v>3010</v>
      </c>
      <c r="H717">
        <v>3100</v>
      </c>
    </row>
    <row r="718" spans="2:8">
      <c r="B718" t="s">
        <v>443</v>
      </c>
      <c r="C718" t="s">
        <v>217</v>
      </c>
      <c r="D718">
        <v>3010</v>
      </c>
      <c r="E718">
        <v>3010</v>
      </c>
      <c r="F718">
        <v>3010</v>
      </c>
      <c r="G718">
        <v>3010</v>
      </c>
      <c r="H718">
        <v>3000</v>
      </c>
    </row>
    <row r="719" spans="2:8">
      <c r="B719" t="s">
        <v>443</v>
      </c>
      <c r="C719" t="s">
        <v>218</v>
      </c>
      <c r="D719">
        <v>3005</v>
      </c>
      <c r="E719">
        <v>3010</v>
      </c>
      <c r="F719">
        <v>3005</v>
      </c>
      <c r="G719">
        <v>3010</v>
      </c>
      <c r="H719">
        <v>300</v>
      </c>
    </row>
    <row r="720" spans="2:8">
      <c r="B720" t="s">
        <v>443</v>
      </c>
      <c r="C720" t="s">
        <v>219</v>
      </c>
      <c r="D720">
        <v>3010</v>
      </c>
      <c r="E720">
        <v>3010</v>
      </c>
      <c r="F720">
        <v>3005</v>
      </c>
      <c r="G720">
        <v>3005</v>
      </c>
      <c r="H720">
        <v>300</v>
      </c>
    </row>
    <row r="721" spans="2:8">
      <c r="B721" t="s">
        <v>443</v>
      </c>
      <c r="C721" t="s">
        <v>220</v>
      </c>
      <c r="D721">
        <v>3005</v>
      </c>
      <c r="E721">
        <v>3005</v>
      </c>
      <c r="F721">
        <v>3005</v>
      </c>
      <c r="G721">
        <v>3005</v>
      </c>
      <c r="H721">
        <v>3500</v>
      </c>
    </row>
    <row r="722" spans="2:8">
      <c r="B722" t="s">
        <v>443</v>
      </c>
      <c r="C722" t="s">
        <v>221</v>
      </c>
      <c r="D722">
        <v>3005</v>
      </c>
      <c r="E722">
        <v>3015</v>
      </c>
      <c r="F722">
        <v>3005</v>
      </c>
      <c r="G722">
        <v>3010</v>
      </c>
      <c r="H722">
        <v>6600</v>
      </c>
    </row>
    <row r="723" spans="2:8">
      <c r="B723" t="s">
        <v>443</v>
      </c>
      <c r="C723" t="s">
        <v>222</v>
      </c>
      <c r="D723">
        <v>3010</v>
      </c>
      <c r="E723">
        <v>3010</v>
      </c>
      <c r="F723">
        <v>3010</v>
      </c>
      <c r="G723">
        <v>3010</v>
      </c>
      <c r="H723">
        <v>2200</v>
      </c>
    </row>
    <row r="724" spans="2:8">
      <c r="B724" t="s">
        <v>443</v>
      </c>
      <c r="C724" t="s">
        <v>223</v>
      </c>
      <c r="D724">
        <v>3010</v>
      </c>
      <c r="E724">
        <v>3010</v>
      </c>
      <c r="F724">
        <v>3010</v>
      </c>
      <c r="G724">
        <v>3010</v>
      </c>
      <c r="H724">
        <v>200</v>
      </c>
    </row>
    <row r="725" spans="2:8">
      <c r="B725" t="s">
        <v>443</v>
      </c>
      <c r="C725" t="s">
        <v>224</v>
      </c>
      <c r="D725">
        <v>3015</v>
      </c>
      <c r="E725">
        <v>3015</v>
      </c>
      <c r="F725">
        <v>3015</v>
      </c>
      <c r="G725">
        <v>3015</v>
      </c>
      <c r="H725">
        <v>500</v>
      </c>
    </row>
    <row r="726" spans="2:8">
      <c r="B726" t="s">
        <v>443</v>
      </c>
      <c r="C726" t="s">
        <v>225</v>
      </c>
      <c r="D726">
        <v>3015</v>
      </c>
      <c r="E726">
        <v>3020</v>
      </c>
      <c r="F726">
        <v>3015</v>
      </c>
      <c r="G726">
        <v>3020</v>
      </c>
      <c r="H726">
        <v>10800</v>
      </c>
    </row>
    <row r="727" spans="2:8">
      <c r="B727" t="s">
        <v>443</v>
      </c>
      <c r="C727" t="s">
        <v>226</v>
      </c>
      <c r="D727">
        <v>3015</v>
      </c>
      <c r="E727">
        <v>3025</v>
      </c>
      <c r="F727">
        <v>3015</v>
      </c>
      <c r="G727">
        <v>3020</v>
      </c>
      <c r="H727">
        <v>10100</v>
      </c>
    </row>
    <row r="728" spans="2:8">
      <c r="B728" t="s">
        <v>443</v>
      </c>
      <c r="C728" t="s">
        <v>227</v>
      </c>
      <c r="D728">
        <v>3025</v>
      </c>
      <c r="E728">
        <v>3025</v>
      </c>
      <c r="F728">
        <v>3020</v>
      </c>
      <c r="G728">
        <v>3025</v>
      </c>
      <c r="H728">
        <v>1800</v>
      </c>
    </row>
    <row r="729" spans="2:8">
      <c r="B729" t="s">
        <v>443</v>
      </c>
      <c r="C729" t="s">
        <v>228</v>
      </c>
      <c r="D729">
        <v>3020</v>
      </c>
      <c r="E729">
        <v>3020</v>
      </c>
      <c r="F729">
        <v>3020</v>
      </c>
      <c r="G729">
        <v>3020</v>
      </c>
      <c r="H729">
        <v>200</v>
      </c>
    </row>
    <row r="730" spans="2:8">
      <c r="B730" t="s">
        <v>443</v>
      </c>
      <c r="C730" t="s">
        <v>229</v>
      </c>
      <c r="D730">
        <v>3025</v>
      </c>
      <c r="E730">
        <v>3030</v>
      </c>
      <c r="F730">
        <v>3025</v>
      </c>
      <c r="G730">
        <v>3030</v>
      </c>
      <c r="H730">
        <v>37600</v>
      </c>
    </row>
    <row r="731" spans="2:8">
      <c r="B731" t="s">
        <v>443</v>
      </c>
      <c r="C731" t="s">
        <v>230</v>
      </c>
      <c r="D731">
        <v>3030</v>
      </c>
      <c r="E731">
        <v>3035</v>
      </c>
      <c r="F731">
        <v>3030</v>
      </c>
      <c r="G731">
        <v>3030</v>
      </c>
      <c r="H731">
        <v>1400</v>
      </c>
    </row>
    <row r="732" spans="2:8">
      <c r="B732" t="s">
        <v>443</v>
      </c>
      <c r="C732" t="s">
        <v>231</v>
      </c>
      <c r="D732">
        <v>3030</v>
      </c>
      <c r="E732">
        <v>3030</v>
      </c>
      <c r="F732">
        <v>3030</v>
      </c>
      <c r="G732">
        <v>3030</v>
      </c>
      <c r="H732">
        <v>6700</v>
      </c>
    </row>
    <row r="733" spans="2:8">
      <c r="B733" t="s">
        <v>443</v>
      </c>
      <c r="C733" t="s">
        <v>232</v>
      </c>
      <c r="D733">
        <v>3030</v>
      </c>
      <c r="E733">
        <v>3030</v>
      </c>
      <c r="F733">
        <v>3030</v>
      </c>
      <c r="G733">
        <v>3030</v>
      </c>
      <c r="H733">
        <v>3600</v>
      </c>
    </row>
    <row r="734" spans="2:8">
      <c r="B734" t="s">
        <v>443</v>
      </c>
      <c r="C734" t="s">
        <v>233</v>
      </c>
      <c r="D734">
        <v>3025</v>
      </c>
      <c r="E734">
        <v>3030</v>
      </c>
      <c r="F734">
        <v>3025</v>
      </c>
      <c r="G734">
        <v>3030</v>
      </c>
      <c r="H734">
        <v>1400</v>
      </c>
    </row>
    <row r="735" spans="2:8">
      <c r="B735" t="s">
        <v>443</v>
      </c>
      <c r="C735" t="s">
        <v>234</v>
      </c>
      <c r="D735">
        <v>3030</v>
      </c>
      <c r="E735">
        <v>3030</v>
      </c>
      <c r="F735">
        <v>3025</v>
      </c>
      <c r="G735">
        <v>3030</v>
      </c>
      <c r="H735">
        <v>1500</v>
      </c>
    </row>
    <row r="736" spans="2:8">
      <c r="B736" t="s">
        <v>443</v>
      </c>
      <c r="C736" t="s">
        <v>235</v>
      </c>
      <c r="D736">
        <v>3025</v>
      </c>
      <c r="E736">
        <v>3030</v>
      </c>
      <c r="F736">
        <v>3025</v>
      </c>
      <c r="G736">
        <v>3030</v>
      </c>
      <c r="H736">
        <v>800</v>
      </c>
    </row>
    <row r="737" spans="2:8">
      <c r="B737" t="s">
        <v>443</v>
      </c>
      <c r="C737" t="s">
        <v>236</v>
      </c>
      <c r="D737">
        <v>3030</v>
      </c>
      <c r="E737">
        <v>3030</v>
      </c>
      <c r="F737">
        <v>3030</v>
      </c>
      <c r="G737">
        <v>3030</v>
      </c>
      <c r="H737">
        <v>1200</v>
      </c>
    </row>
    <row r="738" spans="2:8">
      <c r="B738" t="s">
        <v>443</v>
      </c>
      <c r="C738" t="s">
        <v>237</v>
      </c>
      <c r="D738">
        <v>3025</v>
      </c>
      <c r="E738">
        <v>3035</v>
      </c>
      <c r="F738">
        <v>3025</v>
      </c>
      <c r="G738">
        <v>3030</v>
      </c>
      <c r="H738">
        <v>8200</v>
      </c>
    </row>
    <row r="739" spans="2:8">
      <c r="B739" t="s">
        <v>443</v>
      </c>
      <c r="C739" t="s">
        <v>238</v>
      </c>
      <c r="D739">
        <v>3030</v>
      </c>
      <c r="E739">
        <v>3035</v>
      </c>
      <c r="F739">
        <v>3030</v>
      </c>
      <c r="G739">
        <v>3035</v>
      </c>
      <c r="H739">
        <v>500</v>
      </c>
    </row>
    <row r="740" spans="2:8">
      <c r="B740" t="s">
        <v>443</v>
      </c>
      <c r="C740" t="s">
        <v>239</v>
      </c>
      <c r="D740">
        <v>3035</v>
      </c>
      <c r="E740">
        <v>3040</v>
      </c>
      <c r="F740">
        <v>3035</v>
      </c>
      <c r="G740">
        <v>3040</v>
      </c>
      <c r="H740">
        <v>19700</v>
      </c>
    </row>
    <row r="741" spans="2:8">
      <c r="B741" t="s">
        <v>443</v>
      </c>
      <c r="C741" t="s">
        <v>240</v>
      </c>
      <c r="D741">
        <v>3040</v>
      </c>
      <c r="E741">
        <v>3040</v>
      </c>
      <c r="F741">
        <v>3035</v>
      </c>
      <c r="G741">
        <v>3035</v>
      </c>
      <c r="H741">
        <v>3200</v>
      </c>
    </row>
    <row r="742" spans="2:8">
      <c r="B742" t="s">
        <v>443</v>
      </c>
      <c r="C742" t="s">
        <v>241</v>
      </c>
      <c r="D742">
        <v>3035</v>
      </c>
      <c r="E742">
        <v>3035</v>
      </c>
      <c r="F742">
        <v>3035</v>
      </c>
      <c r="G742">
        <v>3035</v>
      </c>
      <c r="H742">
        <v>400</v>
      </c>
    </row>
    <row r="743" spans="2:8">
      <c r="B743" t="s">
        <v>443</v>
      </c>
      <c r="C743" t="s">
        <v>242</v>
      </c>
      <c r="D743">
        <v>3035</v>
      </c>
      <c r="E743">
        <v>3045</v>
      </c>
      <c r="F743">
        <v>3035</v>
      </c>
      <c r="G743">
        <v>3040</v>
      </c>
      <c r="H743">
        <v>30900</v>
      </c>
    </row>
    <row r="744" spans="2:8">
      <c r="B744" t="s">
        <v>443</v>
      </c>
      <c r="C744" t="s">
        <v>243</v>
      </c>
      <c r="D744">
        <v>3040</v>
      </c>
      <c r="E744">
        <v>3055</v>
      </c>
      <c r="F744">
        <v>3040</v>
      </c>
      <c r="G744">
        <v>3055</v>
      </c>
      <c r="H744">
        <v>113300</v>
      </c>
    </row>
    <row r="745" spans="2:8">
      <c r="B745" t="s">
        <v>443</v>
      </c>
      <c r="C745" t="s">
        <v>244</v>
      </c>
      <c r="D745">
        <v>3050</v>
      </c>
      <c r="E745">
        <v>3055</v>
      </c>
      <c r="F745">
        <v>3050</v>
      </c>
      <c r="G745">
        <v>3050</v>
      </c>
      <c r="H745">
        <v>4100</v>
      </c>
    </row>
    <row r="746" spans="2:8">
      <c r="B746" t="s">
        <v>443</v>
      </c>
      <c r="C746" t="s">
        <v>245</v>
      </c>
      <c r="D746">
        <v>3055</v>
      </c>
      <c r="E746">
        <v>3055</v>
      </c>
      <c r="F746">
        <v>3050</v>
      </c>
      <c r="G746">
        <v>3050</v>
      </c>
      <c r="H746">
        <v>1100</v>
      </c>
    </row>
    <row r="747" spans="2:8">
      <c r="B747" t="s">
        <v>443</v>
      </c>
      <c r="C747" t="s">
        <v>246</v>
      </c>
      <c r="D747">
        <v>3050</v>
      </c>
      <c r="E747">
        <v>3060</v>
      </c>
      <c r="F747">
        <v>3050</v>
      </c>
      <c r="G747">
        <v>3060</v>
      </c>
      <c r="H747">
        <v>29300</v>
      </c>
    </row>
    <row r="748" spans="2:8">
      <c r="B748" t="s">
        <v>443</v>
      </c>
      <c r="C748" t="s">
        <v>247</v>
      </c>
      <c r="D748">
        <v>3065</v>
      </c>
      <c r="E748">
        <v>3065</v>
      </c>
      <c r="F748">
        <v>3060</v>
      </c>
      <c r="G748">
        <v>3065</v>
      </c>
      <c r="H748">
        <v>3000</v>
      </c>
    </row>
    <row r="749" spans="2:8">
      <c r="B749" t="s">
        <v>443</v>
      </c>
      <c r="C749" t="s">
        <v>248</v>
      </c>
      <c r="D749">
        <v>3065</v>
      </c>
      <c r="E749">
        <v>3065</v>
      </c>
      <c r="F749">
        <v>3060</v>
      </c>
      <c r="G749">
        <v>3065</v>
      </c>
      <c r="H749">
        <v>8000</v>
      </c>
    </row>
    <row r="750" spans="2:8">
      <c r="B750" t="s">
        <v>443</v>
      </c>
      <c r="C750" t="s">
        <v>249</v>
      </c>
      <c r="D750">
        <v>3065</v>
      </c>
      <c r="E750">
        <v>3065</v>
      </c>
      <c r="F750">
        <v>3060</v>
      </c>
      <c r="G750">
        <v>3065</v>
      </c>
      <c r="H750">
        <v>2500</v>
      </c>
    </row>
    <row r="751" spans="2:8">
      <c r="B751" t="s">
        <v>443</v>
      </c>
      <c r="C751" t="s">
        <v>250</v>
      </c>
      <c r="D751">
        <v>3060</v>
      </c>
      <c r="E751">
        <v>3060</v>
      </c>
      <c r="F751">
        <v>3055</v>
      </c>
      <c r="G751">
        <v>3060</v>
      </c>
      <c r="H751">
        <v>14500</v>
      </c>
    </row>
    <row r="752" spans="2:8">
      <c r="B752" t="s">
        <v>443</v>
      </c>
      <c r="C752" t="s">
        <v>251</v>
      </c>
      <c r="D752">
        <v>3055</v>
      </c>
      <c r="E752">
        <v>3060</v>
      </c>
      <c r="F752">
        <v>3050</v>
      </c>
      <c r="G752">
        <v>3050</v>
      </c>
      <c r="H752">
        <v>13300</v>
      </c>
    </row>
    <row r="753" spans="2:8">
      <c r="B753" t="s">
        <v>443</v>
      </c>
      <c r="C753" t="s">
        <v>252</v>
      </c>
      <c r="D753">
        <v>3050</v>
      </c>
      <c r="E753">
        <v>3055</v>
      </c>
      <c r="F753">
        <v>3050</v>
      </c>
      <c r="G753">
        <v>3055</v>
      </c>
      <c r="H753">
        <v>3100</v>
      </c>
    </row>
    <row r="754" spans="2:8">
      <c r="B754" t="s">
        <v>443</v>
      </c>
      <c r="C754" t="s">
        <v>253</v>
      </c>
      <c r="D754">
        <v>3055</v>
      </c>
      <c r="E754">
        <v>3060</v>
      </c>
      <c r="F754">
        <v>3055</v>
      </c>
      <c r="G754">
        <v>3060</v>
      </c>
      <c r="H754">
        <v>10500</v>
      </c>
    </row>
    <row r="755" spans="2:8">
      <c r="B755" t="s">
        <v>443</v>
      </c>
      <c r="C755" t="s">
        <v>254</v>
      </c>
      <c r="D755">
        <v>3060</v>
      </c>
      <c r="E755">
        <v>3060</v>
      </c>
      <c r="F755">
        <v>3060</v>
      </c>
      <c r="G755">
        <v>3060</v>
      </c>
      <c r="H755">
        <v>1100</v>
      </c>
    </row>
    <row r="756" spans="2:8">
      <c r="B756" t="s">
        <v>443</v>
      </c>
      <c r="C756" t="s">
        <v>255</v>
      </c>
      <c r="D756">
        <v>3055</v>
      </c>
      <c r="E756">
        <v>3055</v>
      </c>
      <c r="F756">
        <v>3055</v>
      </c>
      <c r="G756">
        <v>3055</v>
      </c>
      <c r="H756">
        <v>2000</v>
      </c>
    </row>
    <row r="757" spans="2:8">
      <c r="B757" t="s">
        <v>443</v>
      </c>
      <c r="C757" t="s">
        <v>256</v>
      </c>
      <c r="D757">
        <v>3055</v>
      </c>
      <c r="E757">
        <v>3055</v>
      </c>
      <c r="F757">
        <v>3055</v>
      </c>
      <c r="G757">
        <v>3055</v>
      </c>
      <c r="H757">
        <v>700</v>
      </c>
    </row>
    <row r="758" spans="2:8">
      <c r="B758" t="s">
        <v>443</v>
      </c>
      <c r="C758" t="s">
        <v>257</v>
      </c>
      <c r="D758">
        <v>3060</v>
      </c>
      <c r="E758">
        <v>3060</v>
      </c>
      <c r="F758">
        <v>3055</v>
      </c>
      <c r="G758">
        <v>3055</v>
      </c>
      <c r="H758">
        <v>11100</v>
      </c>
    </row>
    <row r="759" spans="2:8">
      <c r="B759" t="s">
        <v>443</v>
      </c>
      <c r="C759" t="s">
        <v>258</v>
      </c>
      <c r="D759">
        <v>3050</v>
      </c>
      <c r="E759">
        <v>3055</v>
      </c>
      <c r="F759">
        <v>3050</v>
      </c>
      <c r="G759">
        <v>3050</v>
      </c>
      <c r="H759">
        <v>3200</v>
      </c>
    </row>
    <row r="760" spans="2:8">
      <c r="B760" t="s">
        <v>443</v>
      </c>
      <c r="C760" t="s">
        <v>259</v>
      </c>
      <c r="D760">
        <v>3050</v>
      </c>
      <c r="E760">
        <v>3050</v>
      </c>
      <c r="F760">
        <v>3050</v>
      </c>
      <c r="G760">
        <v>3050</v>
      </c>
      <c r="H760">
        <v>3100</v>
      </c>
    </row>
    <row r="761" spans="2:8">
      <c r="B761" t="s">
        <v>443</v>
      </c>
      <c r="C761" t="s">
        <v>260</v>
      </c>
      <c r="D761">
        <v>3050</v>
      </c>
      <c r="E761">
        <v>3055</v>
      </c>
      <c r="F761">
        <v>3050</v>
      </c>
      <c r="G761">
        <v>3055</v>
      </c>
      <c r="H761">
        <v>1800</v>
      </c>
    </row>
    <row r="762" spans="2:8">
      <c r="B762" t="s">
        <v>443</v>
      </c>
      <c r="C762" t="s">
        <v>261</v>
      </c>
      <c r="D762">
        <v>3050</v>
      </c>
      <c r="E762">
        <v>3050</v>
      </c>
      <c r="F762">
        <v>3050</v>
      </c>
      <c r="G762">
        <v>3050</v>
      </c>
      <c r="H762">
        <v>3200</v>
      </c>
    </row>
    <row r="763" spans="2:8">
      <c r="B763" t="s">
        <v>443</v>
      </c>
      <c r="C763" t="s">
        <v>262</v>
      </c>
      <c r="D763">
        <v>3055</v>
      </c>
      <c r="E763">
        <v>3055</v>
      </c>
      <c r="F763">
        <v>3050</v>
      </c>
      <c r="G763">
        <v>3050</v>
      </c>
      <c r="H763">
        <v>5300</v>
      </c>
    </row>
    <row r="764" spans="2:8">
      <c r="B764" t="s">
        <v>443</v>
      </c>
      <c r="C764" t="s">
        <v>263</v>
      </c>
      <c r="D764">
        <v>3045</v>
      </c>
      <c r="E764">
        <v>3050</v>
      </c>
      <c r="F764">
        <v>3045</v>
      </c>
      <c r="G764">
        <v>3050</v>
      </c>
      <c r="H764">
        <v>2500</v>
      </c>
    </row>
    <row r="765" spans="2:8">
      <c r="B765" t="s">
        <v>443</v>
      </c>
      <c r="C765" t="s">
        <v>264</v>
      </c>
      <c r="D765">
        <v>3050</v>
      </c>
      <c r="E765">
        <v>3050</v>
      </c>
      <c r="F765">
        <v>3045</v>
      </c>
      <c r="G765">
        <v>3045</v>
      </c>
      <c r="H765">
        <v>6200</v>
      </c>
    </row>
    <row r="766" spans="2:8">
      <c r="B766" t="s">
        <v>443</v>
      </c>
      <c r="C766" t="s">
        <v>265</v>
      </c>
      <c r="D766">
        <v>3045</v>
      </c>
      <c r="E766">
        <v>3050</v>
      </c>
      <c r="F766">
        <v>3040</v>
      </c>
      <c r="G766">
        <v>3045</v>
      </c>
      <c r="H766">
        <v>2000</v>
      </c>
    </row>
    <row r="767" spans="2:8">
      <c r="B767" t="s">
        <v>443</v>
      </c>
      <c r="C767" t="s">
        <v>266</v>
      </c>
      <c r="D767">
        <v>3045</v>
      </c>
      <c r="E767">
        <v>3045</v>
      </c>
      <c r="F767">
        <v>3045</v>
      </c>
      <c r="G767">
        <v>3045</v>
      </c>
      <c r="H767">
        <v>6800</v>
      </c>
    </row>
    <row r="768" spans="2:8">
      <c r="B768" t="s">
        <v>443</v>
      </c>
      <c r="C768" t="s">
        <v>267</v>
      </c>
      <c r="D768">
        <v>3045</v>
      </c>
      <c r="E768">
        <v>3045</v>
      </c>
      <c r="F768">
        <v>3045</v>
      </c>
      <c r="G768">
        <v>3045</v>
      </c>
      <c r="H768">
        <v>600</v>
      </c>
    </row>
    <row r="769" spans="2:8">
      <c r="B769" t="s">
        <v>443</v>
      </c>
      <c r="C769" t="s">
        <v>268</v>
      </c>
      <c r="D769">
        <v>3050</v>
      </c>
      <c r="E769">
        <v>3050</v>
      </c>
      <c r="F769">
        <v>3050</v>
      </c>
      <c r="G769">
        <v>3050</v>
      </c>
      <c r="H769">
        <v>1400</v>
      </c>
    </row>
    <row r="770" spans="2:8">
      <c r="B770" t="s">
        <v>443</v>
      </c>
      <c r="C770" t="s">
        <v>269</v>
      </c>
      <c r="D770">
        <v>3050</v>
      </c>
      <c r="E770">
        <v>3050</v>
      </c>
      <c r="F770">
        <v>3040</v>
      </c>
      <c r="G770">
        <v>3040</v>
      </c>
      <c r="H770">
        <v>6400</v>
      </c>
    </row>
    <row r="771" spans="2:8">
      <c r="B771" t="s">
        <v>443</v>
      </c>
      <c r="C771" t="s">
        <v>270</v>
      </c>
      <c r="D771">
        <v>3045</v>
      </c>
      <c r="E771">
        <v>3045</v>
      </c>
      <c r="F771">
        <v>3040</v>
      </c>
      <c r="G771">
        <v>3040</v>
      </c>
      <c r="H771">
        <v>2500</v>
      </c>
    </row>
    <row r="772" spans="2:8">
      <c r="B772" t="s">
        <v>443</v>
      </c>
      <c r="C772" t="s">
        <v>271</v>
      </c>
      <c r="D772">
        <v>3040</v>
      </c>
      <c r="E772">
        <v>3045</v>
      </c>
      <c r="F772">
        <v>3040</v>
      </c>
      <c r="G772">
        <v>3045</v>
      </c>
      <c r="H772">
        <v>600</v>
      </c>
    </row>
    <row r="773" spans="2:8">
      <c r="B773" t="s">
        <v>443</v>
      </c>
      <c r="C773" t="s">
        <v>272</v>
      </c>
      <c r="D773">
        <v>3045</v>
      </c>
      <c r="E773">
        <v>3045</v>
      </c>
      <c r="F773">
        <v>3040</v>
      </c>
      <c r="G773">
        <v>3040</v>
      </c>
      <c r="H773">
        <v>1200</v>
      </c>
    </row>
    <row r="774" spans="2:8">
      <c r="B774" t="s">
        <v>443</v>
      </c>
      <c r="C774" t="s">
        <v>273</v>
      </c>
      <c r="D774">
        <v>3045</v>
      </c>
      <c r="E774">
        <v>3045</v>
      </c>
      <c r="F774">
        <v>3045</v>
      </c>
      <c r="G774">
        <v>3045</v>
      </c>
      <c r="H774">
        <v>400</v>
      </c>
    </row>
    <row r="775" spans="2:8">
      <c r="B775" t="s">
        <v>443</v>
      </c>
      <c r="C775" t="s">
        <v>274</v>
      </c>
      <c r="D775">
        <v>3040</v>
      </c>
      <c r="E775">
        <v>3040</v>
      </c>
      <c r="F775">
        <v>3040</v>
      </c>
      <c r="G775">
        <v>3040</v>
      </c>
      <c r="H775">
        <v>5200</v>
      </c>
    </row>
    <row r="776" spans="2:8">
      <c r="B776" t="s">
        <v>443</v>
      </c>
      <c r="C776" t="s">
        <v>275</v>
      </c>
      <c r="D776">
        <v>3045</v>
      </c>
      <c r="E776">
        <v>3045</v>
      </c>
      <c r="F776">
        <v>3040</v>
      </c>
      <c r="G776">
        <v>3040</v>
      </c>
      <c r="H776">
        <v>600</v>
      </c>
    </row>
    <row r="777" spans="2:8">
      <c r="B777" t="s">
        <v>443</v>
      </c>
      <c r="C777" t="s">
        <v>276</v>
      </c>
      <c r="D777">
        <v>3040</v>
      </c>
      <c r="E777">
        <v>3045</v>
      </c>
      <c r="F777">
        <v>3040</v>
      </c>
      <c r="G777">
        <v>3045</v>
      </c>
      <c r="H777">
        <v>700</v>
      </c>
    </row>
    <row r="778" spans="2:8">
      <c r="B778" t="s">
        <v>443</v>
      </c>
      <c r="C778" t="s">
        <v>277</v>
      </c>
      <c r="D778">
        <v>3045</v>
      </c>
      <c r="E778">
        <v>3045</v>
      </c>
      <c r="F778">
        <v>3045</v>
      </c>
      <c r="G778">
        <v>3045</v>
      </c>
      <c r="H778">
        <v>3700</v>
      </c>
    </row>
    <row r="779" spans="2:8">
      <c r="B779" t="s">
        <v>443</v>
      </c>
      <c r="C779" t="s">
        <v>278</v>
      </c>
      <c r="D779">
        <v>3045</v>
      </c>
      <c r="E779">
        <v>3050</v>
      </c>
      <c r="F779">
        <v>3045</v>
      </c>
      <c r="G779">
        <v>3050</v>
      </c>
      <c r="H779">
        <v>3400</v>
      </c>
    </row>
    <row r="780" spans="2:8">
      <c r="B780" t="s">
        <v>443</v>
      </c>
      <c r="C780" t="s">
        <v>279</v>
      </c>
      <c r="D780" t="s">
        <v>8</v>
      </c>
      <c r="E780" t="s">
        <v>8</v>
      </c>
      <c r="F780" t="s">
        <v>8</v>
      </c>
      <c r="G780" t="s">
        <v>8</v>
      </c>
      <c r="H780">
        <v>0</v>
      </c>
    </row>
    <row r="781" spans="2:8">
      <c r="B781" t="s">
        <v>443</v>
      </c>
      <c r="C781" t="s">
        <v>280</v>
      </c>
      <c r="D781">
        <v>3050</v>
      </c>
      <c r="E781">
        <v>3050</v>
      </c>
      <c r="F781">
        <v>3045</v>
      </c>
      <c r="G781">
        <v>3045</v>
      </c>
      <c r="H781">
        <v>900</v>
      </c>
    </row>
    <row r="782" spans="2:8">
      <c r="B782" t="s">
        <v>443</v>
      </c>
      <c r="C782" t="s">
        <v>281</v>
      </c>
      <c r="D782">
        <v>3045</v>
      </c>
      <c r="E782">
        <v>3050</v>
      </c>
      <c r="F782">
        <v>3045</v>
      </c>
      <c r="G782">
        <v>3050</v>
      </c>
      <c r="H782">
        <v>400</v>
      </c>
    </row>
    <row r="783" spans="2:8">
      <c r="B783" t="s">
        <v>443</v>
      </c>
      <c r="C783" t="s">
        <v>282</v>
      </c>
      <c r="D783">
        <v>3050</v>
      </c>
      <c r="E783">
        <v>3050</v>
      </c>
      <c r="F783">
        <v>3050</v>
      </c>
      <c r="G783">
        <v>3050</v>
      </c>
      <c r="H783">
        <v>300</v>
      </c>
    </row>
    <row r="784" spans="2:8">
      <c r="B784" t="s">
        <v>443</v>
      </c>
      <c r="C784" t="s">
        <v>283</v>
      </c>
      <c r="D784" t="s">
        <v>8</v>
      </c>
      <c r="E784" t="s">
        <v>8</v>
      </c>
      <c r="F784" t="s">
        <v>8</v>
      </c>
      <c r="G784" t="s">
        <v>8</v>
      </c>
      <c r="H784">
        <v>0</v>
      </c>
    </row>
    <row r="785" spans="2:8">
      <c r="B785" t="s">
        <v>443</v>
      </c>
      <c r="C785" t="s">
        <v>284</v>
      </c>
      <c r="D785">
        <v>3050</v>
      </c>
      <c r="E785">
        <v>3050</v>
      </c>
      <c r="F785">
        <v>3050</v>
      </c>
      <c r="G785">
        <v>3050</v>
      </c>
      <c r="H785">
        <v>2800</v>
      </c>
    </row>
    <row r="786" spans="2:8">
      <c r="B786" t="s">
        <v>443</v>
      </c>
      <c r="C786" t="s">
        <v>285</v>
      </c>
      <c r="D786">
        <v>3050</v>
      </c>
      <c r="E786">
        <v>3050</v>
      </c>
      <c r="F786">
        <v>3045</v>
      </c>
      <c r="G786">
        <v>3045</v>
      </c>
      <c r="H786">
        <v>1600</v>
      </c>
    </row>
    <row r="787" spans="2:8">
      <c r="B787" t="s">
        <v>443</v>
      </c>
      <c r="C787" t="s">
        <v>286</v>
      </c>
      <c r="D787">
        <v>3045</v>
      </c>
      <c r="E787">
        <v>3045</v>
      </c>
      <c r="F787">
        <v>3045</v>
      </c>
      <c r="G787">
        <v>3045</v>
      </c>
      <c r="H787">
        <v>2600</v>
      </c>
    </row>
    <row r="788" spans="2:8">
      <c r="B788" t="s">
        <v>443</v>
      </c>
      <c r="C788" t="s">
        <v>287</v>
      </c>
      <c r="D788">
        <v>3045</v>
      </c>
      <c r="E788">
        <v>3045</v>
      </c>
      <c r="F788">
        <v>3045</v>
      </c>
      <c r="G788">
        <v>3045</v>
      </c>
      <c r="H788">
        <v>200</v>
      </c>
    </row>
    <row r="789" spans="2:8">
      <c r="B789" t="s">
        <v>443</v>
      </c>
      <c r="C789" t="s">
        <v>288</v>
      </c>
      <c r="D789">
        <v>3050</v>
      </c>
      <c r="E789">
        <v>3050</v>
      </c>
      <c r="F789">
        <v>3050</v>
      </c>
      <c r="G789">
        <v>3050</v>
      </c>
      <c r="H789">
        <v>100</v>
      </c>
    </row>
    <row r="790" spans="2:8">
      <c r="B790" t="s">
        <v>443</v>
      </c>
      <c r="C790" t="s">
        <v>289</v>
      </c>
      <c r="D790">
        <v>3045</v>
      </c>
      <c r="E790">
        <v>3045</v>
      </c>
      <c r="F790">
        <v>3045</v>
      </c>
      <c r="G790">
        <v>3045</v>
      </c>
      <c r="H790">
        <v>9400</v>
      </c>
    </row>
    <row r="791" spans="2:8">
      <c r="B791" t="s">
        <v>443</v>
      </c>
      <c r="C791" t="s">
        <v>290</v>
      </c>
      <c r="D791">
        <v>3045</v>
      </c>
      <c r="E791">
        <v>3050</v>
      </c>
      <c r="F791">
        <v>3045</v>
      </c>
      <c r="G791">
        <v>3045</v>
      </c>
      <c r="H791">
        <v>2500</v>
      </c>
    </row>
    <row r="792" spans="2:8">
      <c r="B792" t="s">
        <v>443</v>
      </c>
      <c r="C792" t="s">
        <v>291</v>
      </c>
      <c r="D792">
        <v>3045</v>
      </c>
      <c r="E792">
        <v>3055</v>
      </c>
      <c r="F792">
        <v>3045</v>
      </c>
      <c r="G792">
        <v>3055</v>
      </c>
      <c r="H792">
        <v>17300</v>
      </c>
    </row>
    <row r="793" spans="2:8">
      <c r="B793" t="s">
        <v>443</v>
      </c>
      <c r="C793" t="s">
        <v>292</v>
      </c>
      <c r="D793">
        <v>3055</v>
      </c>
      <c r="E793">
        <v>3055</v>
      </c>
      <c r="F793">
        <v>3050</v>
      </c>
      <c r="G793">
        <v>3055</v>
      </c>
      <c r="H793">
        <v>10100</v>
      </c>
    </row>
    <row r="794" spans="2:8">
      <c r="B794" t="s">
        <v>443</v>
      </c>
      <c r="C794" t="s">
        <v>293</v>
      </c>
      <c r="D794">
        <v>3055</v>
      </c>
      <c r="E794">
        <v>3055</v>
      </c>
      <c r="F794">
        <v>3050</v>
      </c>
      <c r="G794">
        <v>3055</v>
      </c>
      <c r="H794">
        <v>1900</v>
      </c>
    </row>
    <row r="795" spans="2:8">
      <c r="B795" t="s">
        <v>443</v>
      </c>
      <c r="C795" t="s">
        <v>294</v>
      </c>
      <c r="D795">
        <v>3055</v>
      </c>
      <c r="E795">
        <v>3055</v>
      </c>
      <c r="F795">
        <v>3055</v>
      </c>
      <c r="G795">
        <v>3055</v>
      </c>
      <c r="H795">
        <v>100</v>
      </c>
    </row>
    <row r="796" spans="2:8">
      <c r="B796" t="s">
        <v>443</v>
      </c>
      <c r="C796" t="s">
        <v>295</v>
      </c>
      <c r="D796">
        <v>3050</v>
      </c>
      <c r="E796">
        <v>3050</v>
      </c>
      <c r="F796">
        <v>3045</v>
      </c>
      <c r="G796">
        <v>3050</v>
      </c>
      <c r="H796">
        <v>10400</v>
      </c>
    </row>
    <row r="797" spans="2:8">
      <c r="B797" t="s">
        <v>443</v>
      </c>
      <c r="C797" t="s">
        <v>296</v>
      </c>
      <c r="D797">
        <v>3050</v>
      </c>
      <c r="E797">
        <v>3050</v>
      </c>
      <c r="F797">
        <v>3050</v>
      </c>
      <c r="G797">
        <v>3050</v>
      </c>
      <c r="H797">
        <v>900</v>
      </c>
    </row>
    <row r="798" spans="2:8">
      <c r="B798" t="s">
        <v>443</v>
      </c>
      <c r="C798" t="s">
        <v>297</v>
      </c>
      <c r="D798">
        <v>3050</v>
      </c>
      <c r="E798">
        <v>3050</v>
      </c>
      <c r="F798">
        <v>3045</v>
      </c>
      <c r="G798">
        <v>3045</v>
      </c>
      <c r="H798">
        <v>200</v>
      </c>
    </row>
    <row r="799" spans="2:8">
      <c r="B799" t="s">
        <v>443</v>
      </c>
      <c r="C799" t="s">
        <v>298</v>
      </c>
      <c r="D799">
        <v>3050</v>
      </c>
      <c r="E799">
        <v>3055</v>
      </c>
      <c r="F799">
        <v>3050</v>
      </c>
      <c r="G799">
        <v>3050</v>
      </c>
      <c r="H799">
        <v>2900</v>
      </c>
    </row>
    <row r="800" spans="2:8">
      <c r="B800" t="s">
        <v>443</v>
      </c>
      <c r="C800" t="s">
        <v>299</v>
      </c>
      <c r="D800">
        <v>3050</v>
      </c>
      <c r="E800">
        <v>3050</v>
      </c>
      <c r="F800">
        <v>3050</v>
      </c>
      <c r="G800">
        <v>3050</v>
      </c>
      <c r="H800">
        <v>400</v>
      </c>
    </row>
    <row r="801" spans="2:8">
      <c r="B801" t="s">
        <v>443</v>
      </c>
      <c r="C801" t="s">
        <v>300</v>
      </c>
      <c r="D801" t="s">
        <v>8</v>
      </c>
      <c r="E801" t="s">
        <v>8</v>
      </c>
      <c r="F801" t="s">
        <v>8</v>
      </c>
      <c r="G801" t="s">
        <v>8</v>
      </c>
      <c r="H801">
        <v>0</v>
      </c>
    </row>
    <row r="802" spans="2:8">
      <c r="B802" t="s">
        <v>443</v>
      </c>
      <c r="C802" t="s">
        <v>301</v>
      </c>
      <c r="D802">
        <v>3045</v>
      </c>
      <c r="E802">
        <v>3045</v>
      </c>
      <c r="F802">
        <v>3040</v>
      </c>
      <c r="G802">
        <v>3040</v>
      </c>
      <c r="H802">
        <v>11300</v>
      </c>
    </row>
    <row r="803" spans="2:8">
      <c r="B803" t="s">
        <v>443</v>
      </c>
      <c r="C803" t="s">
        <v>302</v>
      </c>
      <c r="D803">
        <v>3040</v>
      </c>
      <c r="E803">
        <v>3040</v>
      </c>
      <c r="F803">
        <v>3040</v>
      </c>
      <c r="G803">
        <v>3040</v>
      </c>
      <c r="H803">
        <v>2400</v>
      </c>
    </row>
    <row r="804" spans="2:8">
      <c r="B804" t="s">
        <v>443</v>
      </c>
      <c r="C804" t="s">
        <v>303</v>
      </c>
      <c r="D804">
        <v>3045</v>
      </c>
      <c r="E804">
        <v>3045</v>
      </c>
      <c r="F804">
        <v>3040</v>
      </c>
      <c r="G804">
        <v>3040</v>
      </c>
      <c r="H804">
        <v>200</v>
      </c>
    </row>
    <row r="805" spans="2:8">
      <c r="B805" t="s">
        <v>443</v>
      </c>
      <c r="C805" t="s">
        <v>304</v>
      </c>
      <c r="D805">
        <v>3045</v>
      </c>
      <c r="E805">
        <v>3045</v>
      </c>
      <c r="F805">
        <v>3040</v>
      </c>
      <c r="G805">
        <v>3040</v>
      </c>
      <c r="H805">
        <v>2700</v>
      </c>
    </row>
    <row r="806" spans="2:8">
      <c r="B806" t="s">
        <v>443</v>
      </c>
      <c r="C806" t="s">
        <v>305</v>
      </c>
      <c r="D806">
        <v>3040</v>
      </c>
      <c r="E806">
        <v>3040</v>
      </c>
      <c r="F806">
        <v>3040</v>
      </c>
      <c r="G806">
        <v>3040</v>
      </c>
      <c r="H806">
        <v>900</v>
      </c>
    </row>
    <row r="807" spans="2:8">
      <c r="B807" t="s">
        <v>443</v>
      </c>
      <c r="C807" t="s">
        <v>306</v>
      </c>
      <c r="D807">
        <v>3045</v>
      </c>
      <c r="E807">
        <v>3045</v>
      </c>
      <c r="F807">
        <v>3040</v>
      </c>
      <c r="G807">
        <v>3040</v>
      </c>
      <c r="H807">
        <v>1900</v>
      </c>
    </row>
    <row r="808" spans="2:8">
      <c r="B808" t="s">
        <v>443</v>
      </c>
      <c r="C808" t="s">
        <v>307</v>
      </c>
      <c r="D808">
        <v>3040</v>
      </c>
      <c r="E808">
        <v>3040</v>
      </c>
      <c r="F808">
        <v>3040</v>
      </c>
      <c r="G808">
        <v>3040</v>
      </c>
      <c r="H808">
        <v>400</v>
      </c>
    </row>
    <row r="809" spans="2:8">
      <c r="B809" t="s">
        <v>443</v>
      </c>
      <c r="C809" t="s">
        <v>308</v>
      </c>
      <c r="D809" t="s">
        <v>8</v>
      </c>
      <c r="E809" t="s">
        <v>8</v>
      </c>
      <c r="F809" t="s">
        <v>8</v>
      </c>
      <c r="G809" t="s">
        <v>8</v>
      </c>
      <c r="H809">
        <v>0</v>
      </c>
    </row>
    <row r="810" spans="2:8">
      <c r="B810" t="s">
        <v>443</v>
      </c>
      <c r="C810" t="s">
        <v>309</v>
      </c>
      <c r="D810">
        <v>3045</v>
      </c>
      <c r="E810">
        <v>3045</v>
      </c>
      <c r="F810">
        <v>3045</v>
      </c>
      <c r="G810">
        <v>3045</v>
      </c>
      <c r="H810">
        <v>500</v>
      </c>
    </row>
    <row r="811" spans="2:8">
      <c r="B811" t="s">
        <v>443</v>
      </c>
      <c r="C811" t="s">
        <v>310</v>
      </c>
      <c r="D811">
        <v>3040</v>
      </c>
      <c r="E811">
        <v>3045</v>
      </c>
      <c r="F811">
        <v>3040</v>
      </c>
      <c r="G811">
        <v>3045</v>
      </c>
      <c r="H811">
        <v>2600</v>
      </c>
    </row>
    <row r="812" spans="2:8">
      <c r="B812" t="s">
        <v>443</v>
      </c>
      <c r="C812" t="s">
        <v>311</v>
      </c>
      <c r="D812">
        <v>3040</v>
      </c>
      <c r="E812">
        <v>3040</v>
      </c>
      <c r="F812">
        <v>3035</v>
      </c>
      <c r="G812">
        <v>3040</v>
      </c>
      <c r="H812">
        <v>12300</v>
      </c>
    </row>
    <row r="813" spans="2:8">
      <c r="B813" t="s">
        <v>443</v>
      </c>
      <c r="C813" t="s">
        <v>312</v>
      </c>
      <c r="D813">
        <v>3040</v>
      </c>
      <c r="E813">
        <v>3040</v>
      </c>
      <c r="F813">
        <v>3040</v>
      </c>
      <c r="G813">
        <v>3040</v>
      </c>
      <c r="H813">
        <v>400</v>
      </c>
    </row>
    <row r="814" spans="2:8">
      <c r="B814" t="s">
        <v>443</v>
      </c>
      <c r="C814" t="s">
        <v>313</v>
      </c>
      <c r="D814">
        <v>3040</v>
      </c>
      <c r="E814">
        <v>3040</v>
      </c>
      <c r="F814">
        <v>3040</v>
      </c>
      <c r="G814">
        <v>3040</v>
      </c>
      <c r="H814">
        <v>2700</v>
      </c>
    </row>
    <row r="815" spans="2:8">
      <c r="B815" t="s">
        <v>443</v>
      </c>
      <c r="C815" t="s">
        <v>314</v>
      </c>
      <c r="D815">
        <v>3040</v>
      </c>
      <c r="E815">
        <v>3040</v>
      </c>
      <c r="F815">
        <v>3040</v>
      </c>
      <c r="G815">
        <v>3040</v>
      </c>
      <c r="H815">
        <v>500</v>
      </c>
    </row>
    <row r="816" spans="2:8">
      <c r="B816" t="s">
        <v>443</v>
      </c>
      <c r="C816" t="s">
        <v>315</v>
      </c>
      <c r="D816">
        <v>3040</v>
      </c>
      <c r="E816">
        <v>3040</v>
      </c>
      <c r="F816">
        <v>3035</v>
      </c>
      <c r="G816">
        <v>3035</v>
      </c>
      <c r="H816">
        <v>6400</v>
      </c>
    </row>
    <row r="817" spans="2:8">
      <c r="B817" t="s">
        <v>443</v>
      </c>
      <c r="C817" t="s">
        <v>316</v>
      </c>
      <c r="D817">
        <v>3040</v>
      </c>
      <c r="E817">
        <v>3040</v>
      </c>
      <c r="F817">
        <v>3040</v>
      </c>
      <c r="G817">
        <v>3040</v>
      </c>
      <c r="H817">
        <v>3800</v>
      </c>
    </row>
    <row r="818" spans="2:8">
      <c r="B818" t="s">
        <v>443</v>
      </c>
      <c r="C818" t="s">
        <v>317</v>
      </c>
      <c r="D818">
        <v>3040</v>
      </c>
      <c r="E818">
        <v>3040</v>
      </c>
      <c r="F818">
        <v>3040</v>
      </c>
      <c r="G818">
        <v>3040</v>
      </c>
      <c r="H818">
        <v>18300</v>
      </c>
    </row>
    <row r="819" spans="2:8">
      <c r="B819" t="s">
        <v>443</v>
      </c>
      <c r="C819" t="s">
        <v>318</v>
      </c>
      <c r="D819">
        <v>3040</v>
      </c>
      <c r="E819">
        <v>3040</v>
      </c>
      <c r="F819">
        <v>3035</v>
      </c>
      <c r="G819">
        <v>3035</v>
      </c>
      <c r="H819">
        <v>900</v>
      </c>
    </row>
    <row r="820" spans="2:8">
      <c r="B820" t="s">
        <v>443</v>
      </c>
      <c r="C820" t="s">
        <v>319</v>
      </c>
      <c r="D820">
        <v>3035</v>
      </c>
      <c r="E820">
        <v>3035</v>
      </c>
      <c r="F820">
        <v>3030</v>
      </c>
      <c r="G820">
        <v>3030</v>
      </c>
      <c r="H820">
        <v>12200</v>
      </c>
    </row>
    <row r="821" spans="2:8">
      <c r="B821" t="s">
        <v>443</v>
      </c>
      <c r="C821" t="s">
        <v>320</v>
      </c>
      <c r="D821">
        <v>3030</v>
      </c>
      <c r="E821">
        <v>3030</v>
      </c>
      <c r="F821">
        <v>3030</v>
      </c>
      <c r="G821">
        <v>3030</v>
      </c>
      <c r="H821">
        <v>100</v>
      </c>
    </row>
    <row r="822" spans="2:8">
      <c r="B822" t="s">
        <v>443</v>
      </c>
      <c r="C822" t="s">
        <v>321</v>
      </c>
      <c r="D822">
        <v>3030</v>
      </c>
      <c r="E822">
        <v>3035</v>
      </c>
      <c r="F822">
        <v>3030</v>
      </c>
      <c r="G822">
        <v>3035</v>
      </c>
      <c r="H822">
        <v>4500</v>
      </c>
    </row>
    <row r="823" spans="2:8">
      <c r="B823" t="s">
        <v>443</v>
      </c>
      <c r="C823" t="s">
        <v>322</v>
      </c>
      <c r="D823">
        <v>3035</v>
      </c>
      <c r="E823">
        <v>3035</v>
      </c>
      <c r="F823">
        <v>3035</v>
      </c>
      <c r="G823">
        <v>3035</v>
      </c>
      <c r="H823">
        <v>1100</v>
      </c>
    </row>
    <row r="824" spans="2:8">
      <c r="B824" t="s">
        <v>443</v>
      </c>
      <c r="C824" t="s">
        <v>323</v>
      </c>
      <c r="D824">
        <v>3035</v>
      </c>
      <c r="E824">
        <v>3035</v>
      </c>
      <c r="F824">
        <v>3035</v>
      </c>
      <c r="G824">
        <v>3035</v>
      </c>
      <c r="H824">
        <v>1700</v>
      </c>
    </row>
    <row r="825" spans="2:8">
      <c r="B825" t="s">
        <v>443</v>
      </c>
      <c r="C825" t="s">
        <v>324</v>
      </c>
      <c r="D825">
        <v>3035</v>
      </c>
      <c r="E825">
        <v>3040</v>
      </c>
      <c r="F825">
        <v>3035</v>
      </c>
      <c r="G825">
        <v>3040</v>
      </c>
      <c r="H825">
        <v>15300</v>
      </c>
    </row>
    <row r="826" spans="2:8">
      <c r="B826" t="s">
        <v>443</v>
      </c>
      <c r="C826" t="s">
        <v>325</v>
      </c>
      <c r="D826">
        <v>3040</v>
      </c>
      <c r="E826">
        <v>3045</v>
      </c>
      <c r="F826">
        <v>3040</v>
      </c>
      <c r="G826">
        <v>3045</v>
      </c>
      <c r="H826">
        <v>3200</v>
      </c>
    </row>
    <row r="827" spans="2:8">
      <c r="B827" t="s">
        <v>443</v>
      </c>
      <c r="C827" t="s">
        <v>326</v>
      </c>
      <c r="D827">
        <v>3040</v>
      </c>
      <c r="E827">
        <v>3040</v>
      </c>
      <c r="F827">
        <v>3040</v>
      </c>
      <c r="G827">
        <v>3040</v>
      </c>
      <c r="H827">
        <v>7900</v>
      </c>
    </row>
    <row r="828" spans="2:8">
      <c r="B828" t="s">
        <v>443</v>
      </c>
      <c r="C828" t="s">
        <v>327</v>
      </c>
      <c r="D828">
        <v>3040</v>
      </c>
      <c r="E828">
        <v>3040</v>
      </c>
      <c r="F828">
        <v>3040</v>
      </c>
      <c r="G828">
        <v>3040</v>
      </c>
      <c r="H828">
        <v>4300</v>
      </c>
    </row>
    <row r="829" spans="2:8">
      <c r="B829" t="s">
        <v>443</v>
      </c>
      <c r="C829" t="s">
        <v>328</v>
      </c>
      <c r="D829">
        <v>3045</v>
      </c>
      <c r="E829">
        <v>3045</v>
      </c>
      <c r="F829">
        <v>3040</v>
      </c>
      <c r="G829">
        <v>3045</v>
      </c>
      <c r="H829">
        <v>1600</v>
      </c>
    </row>
    <row r="830" spans="2:8">
      <c r="B830" t="s">
        <v>443</v>
      </c>
      <c r="C830" t="s">
        <v>329</v>
      </c>
      <c r="D830">
        <v>3040</v>
      </c>
      <c r="E830">
        <v>3040</v>
      </c>
      <c r="F830">
        <v>3040</v>
      </c>
      <c r="G830">
        <v>3040</v>
      </c>
      <c r="H830">
        <v>3800</v>
      </c>
    </row>
    <row r="831" spans="2:8">
      <c r="B831" t="s">
        <v>443</v>
      </c>
      <c r="C831" t="s">
        <v>330</v>
      </c>
      <c r="D831">
        <v>3035</v>
      </c>
      <c r="E831">
        <v>3035</v>
      </c>
      <c r="F831">
        <v>3035</v>
      </c>
      <c r="G831">
        <v>3035</v>
      </c>
      <c r="H831">
        <v>200</v>
      </c>
    </row>
    <row r="832" spans="2:8">
      <c r="B832" t="s">
        <v>443</v>
      </c>
      <c r="C832" t="s">
        <v>331</v>
      </c>
      <c r="D832" t="s">
        <v>8</v>
      </c>
      <c r="E832" t="s">
        <v>8</v>
      </c>
      <c r="F832" t="s">
        <v>8</v>
      </c>
      <c r="G832" t="s">
        <v>8</v>
      </c>
      <c r="H832">
        <v>0</v>
      </c>
    </row>
    <row r="833" spans="2:8">
      <c r="B833" t="s">
        <v>443</v>
      </c>
      <c r="C833" t="s">
        <v>332</v>
      </c>
      <c r="D833" t="s">
        <v>8</v>
      </c>
      <c r="E833" t="s">
        <v>8</v>
      </c>
      <c r="F833" t="s">
        <v>8</v>
      </c>
      <c r="G833" t="s">
        <v>8</v>
      </c>
      <c r="H833">
        <v>0</v>
      </c>
    </row>
    <row r="834" spans="2:8">
      <c r="B834" t="s">
        <v>443</v>
      </c>
      <c r="C834" t="s">
        <v>333</v>
      </c>
      <c r="D834">
        <v>3035</v>
      </c>
      <c r="E834">
        <v>3035</v>
      </c>
      <c r="F834">
        <v>3035</v>
      </c>
      <c r="G834">
        <v>3035</v>
      </c>
      <c r="H834">
        <v>1900</v>
      </c>
    </row>
    <row r="835" spans="2:8">
      <c r="B835" t="s">
        <v>443</v>
      </c>
      <c r="C835" t="s">
        <v>334</v>
      </c>
      <c r="D835">
        <v>3035</v>
      </c>
      <c r="E835">
        <v>3040</v>
      </c>
      <c r="F835">
        <v>3035</v>
      </c>
      <c r="G835">
        <v>3040</v>
      </c>
      <c r="H835">
        <v>24100</v>
      </c>
    </row>
    <row r="836" spans="2:8">
      <c r="B836" t="s">
        <v>443</v>
      </c>
      <c r="C836" t="s">
        <v>335</v>
      </c>
      <c r="D836">
        <v>3040</v>
      </c>
      <c r="E836">
        <v>3050</v>
      </c>
      <c r="F836">
        <v>3040</v>
      </c>
      <c r="G836">
        <v>3045</v>
      </c>
      <c r="H836">
        <v>8100</v>
      </c>
    </row>
    <row r="837" spans="2:8">
      <c r="B837" t="s">
        <v>443</v>
      </c>
      <c r="C837" t="s">
        <v>336</v>
      </c>
      <c r="D837">
        <v>3045</v>
      </c>
      <c r="E837">
        <v>3045</v>
      </c>
      <c r="F837">
        <v>3045</v>
      </c>
      <c r="G837">
        <v>3045</v>
      </c>
      <c r="H837">
        <v>200</v>
      </c>
    </row>
    <row r="838" spans="2:8">
      <c r="B838" t="s">
        <v>443</v>
      </c>
      <c r="C838" t="s">
        <v>337</v>
      </c>
      <c r="D838">
        <v>3050</v>
      </c>
      <c r="E838">
        <v>3080</v>
      </c>
      <c r="F838">
        <v>3050</v>
      </c>
      <c r="G838">
        <v>3075</v>
      </c>
      <c r="H838">
        <v>111200</v>
      </c>
    </row>
    <row r="839" spans="2:8">
      <c r="B839" t="s">
        <v>443</v>
      </c>
      <c r="C839" t="s">
        <v>338</v>
      </c>
      <c r="D839">
        <v>3075</v>
      </c>
      <c r="E839">
        <v>3080</v>
      </c>
      <c r="F839">
        <v>3070</v>
      </c>
      <c r="G839">
        <v>3075</v>
      </c>
      <c r="H839">
        <v>25600</v>
      </c>
    </row>
    <row r="840" spans="2:8">
      <c r="B840" t="s">
        <v>443</v>
      </c>
      <c r="C840" t="s">
        <v>339</v>
      </c>
      <c r="D840">
        <v>3075</v>
      </c>
      <c r="E840">
        <v>3080</v>
      </c>
      <c r="F840">
        <v>3070</v>
      </c>
      <c r="G840">
        <v>3075</v>
      </c>
      <c r="H840">
        <v>23100</v>
      </c>
    </row>
    <row r="841" spans="2:8">
      <c r="B841" t="s">
        <v>443</v>
      </c>
      <c r="C841" t="s">
        <v>340</v>
      </c>
      <c r="D841">
        <v>3070</v>
      </c>
      <c r="E841">
        <v>3075</v>
      </c>
      <c r="F841">
        <v>3070</v>
      </c>
      <c r="G841">
        <v>3075</v>
      </c>
      <c r="H841">
        <v>5000</v>
      </c>
    </row>
    <row r="842" spans="2:8">
      <c r="B842" t="s">
        <v>443</v>
      </c>
      <c r="C842" t="s">
        <v>341</v>
      </c>
      <c r="D842">
        <v>3075</v>
      </c>
      <c r="E842">
        <v>3080</v>
      </c>
      <c r="F842">
        <v>3075</v>
      </c>
      <c r="G842">
        <v>3075</v>
      </c>
      <c r="H842">
        <v>8600</v>
      </c>
    </row>
    <row r="843" spans="2:8">
      <c r="B843" t="s">
        <v>443</v>
      </c>
      <c r="C843" t="s">
        <v>342</v>
      </c>
      <c r="D843">
        <v>3075</v>
      </c>
      <c r="E843">
        <v>3075</v>
      </c>
      <c r="F843">
        <v>3070</v>
      </c>
      <c r="G843">
        <v>3075</v>
      </c>
      <c r="H843">
        <v>6400</v>
      </c>
    </row>
    <row r="844" spans="2:8">
      <c r="B844" t="s">
        <v>443</v>
      </c>
      <c r="C844" t="s">
        <v>343</v>
      </c>
      <c r="D844">
        <v>3070</v>
      </c>
      <c r="E844">
        <v>3070</v>
      </c>
      <c r="F844">
        <v>3070</v>
      </c>
      <c r="G844">
        <v>3070</v>
      </c>
      <c r="H844">
        <v>12700</v>
      </c>
    </row>
    <row r="845" spans="2:8">
      <c r="B845" t="s">
        <v>443</v>
      </c>
      <c r="C845" t="s">
        <v>344</v>
      </c>
      <c r="D845">
        <v>3070</v>
      </c>
      <c r="E845">
        <v>3075</v>
      </c>
      <c r="F845">
        <v>3070</v>
      </c>
      <c r="G845">
        <v>3070</v>
      </c>
      <c r="H845">
        <v>2100</v>
      </c>
    </row>
    <row r="846" spans="2:8">
      <c r="B846" t="s">
        <v>443</v>
      </c>
      <c r="C846" t="s">
        <v>345</v>
      </c>
      <c r="D846">
        <v>3070</v>
      </c>
      <c r="E846">
        <v>3075</v>
      </c>
      <c r="F846">
        <v>3070</v>
      </c>
      <c r="G846">
        <v>3075</v>
      </c>
      <c r="H846">
        <v>6200</v>
      </c>
    </row>
    <row r="847" spans="2:8">
      <c r="B847" t="s">
        <v>443</v>
      </c>
      <c r="C847" t="s">
        <v>346</v>
      </c>
      <c r="D847">
        <v>3070</v>
      </c>
      <c r="E847">
        <v>3070</v>
      </c>
      <c r="F847">
        <v>3070</v>
      </c>
      <c r="G847">
        <v>3070</v>
      </c>
      <c r="H847">
        <v>100</v>
      </c>
    </row>
    <row r="848" spans="2:8">
      <c r="B848" t="s">
        <v>443</v>
      </c>
      <c r="C848" t="s">
        <v>347</v>
      </c>
      <c r="D848">
        <v>3070</v>
      </c>
      <c r="E848">
        <v>3070</v>
      </c>
      <c r="F848">
        <v>3070</v>
      </c>
      <c r="G848">
        <v>3070</v>
      </c>
      <c r="H848">
        <v>800</v>
      </c>
    </row>
    <row r="849" spans="2:8">
      <c r="B849" t="s">
        <v>443</v>
      </c>
      <c r="C849" t="s">
        <v>348</v>
      </c>
      <c r="D849">
        <v>3070</v>
      </c>
      <c r="E849">
        <v>3070</v>
      </c>
      <c r="F849">
        <v>3070</v>
      </c>
      <c r="G849">
        <v>3070</v>
      </c>
      <c r="H849">
        <v>8300</v>
      </c>
    </row>
    <row r="850" spans="2:8">
      <c r="B850" t="s">
        <v>443</v>
      </c>
      <c r="C850" t="s">
        <v>349</v>
      </c>
      <c r="D850">
        <v>3065</v>
      </c>
      <c r="E850">
        <v>3070</v>
      </c>
      <c r="F850">
        <v>3065</v>
      </c>
      <c r="G850">
        <v>3065</v>
      </c>
      <c r="H850">
        <v>2200</v>
      </c>
    </row>
    <row r="851" spans="2:8">
      <c r="B851" t="s">
        <v>443</v>
      </c>
      <c r="C851" t="s">
        <v>350</v>
      </c>
      <c r="D851">
        <v>3065</v>
      </c>
      <c r="E851">
        <v>3070</v>
      </c>
      <c r="F851">
        <v>3065</v>
      </c>
      <c r="G851">
        <v>3070</v>
      </c>
      <c r="H851">
        <v>700</v>
      </c>
    </row>
    <row r="852" spans="2:8">
      <c r="B852" t="s">
        <v>443</v>
      </c>
      <c r="C852" t="s">
        <v>351</v>
      </c>
      <c r="D852">
        <v>3065</v>
      </c>
      <c r="E852">
        <v>3070</v>
      </c>
      <c r="F852">
        <v>3065</v>
      </c>
      <c r="G852">
        <v>3070</v>
      </c>
      <c r="H852">
        <v>500</v>
      </c>
    </row>
    <row r="853" spans="2:8">
      <c r="B853" t="s">
        <v>443</v>
      </c>
      <c r="C853" t="s">
        <v>352</v>
      </c>
      <c r="D853">
        <v>3070</v>
      </c>
      <c r="E853">
        <v>3070</v>
      </c>
      <c r="F853">
        <v>3065</v>
      </c>
      <c r="G853">
        <v>3070</v>
      </c>
      <c r="H853">
        <v>600</v>
      </c>
    </row>
    <row r="854" spans="2:8">
      <c r="B854" t="s">
        <v>443</v>
      </c>
      <c r="C854" t="s">
        <v>353</v>
      </c>
      <c r="D854">
        <v>3070</v>
      </c>
      <c r="E854">
        <v>3070</v>
      </c>
      <c r="F854">
        <v>3065</v>
      </c>
      <c r="G854">
        <v>3065</v>
      </c>
      <c r="H854">
        <v>1200</v>
      </c>
    </row>
    <row r="855" spans="2:8">
      <c r="B855" t="s">
        <v>443</v>
      </c>
      <c r="C855" t="s">
        <v>354</v>
      </c>
      <c r="D855">
        <v>3065</v>
      </c>
      <c r="E855">
        <v>3070</v>
      </c>
      <c r="F855">
        <v>3065</v>
      </c>
      <c r="G855">
        <v>3070</v>
      </c>
      <c r="H855">
        <v>2800</v>
      </c>
    </row>
    <row r="856" spans="2:8">
      <c r="B856" t="s">
        <v>443</v>
      </c>
      <c r="C856" t="s">
        <v>355</v>
      </c>
      <c r="D856">
        <v>3065</v>
      </c>
      <c r="E856">
        <v>3065</v>
      </c>
      <c r="F856">
        <v>3065</v>
      </c>
      <c r="G856">
        <v>3065</v>
      </c>
      <c r="H856">
        <v>600</v>
      </c>
    </row>
    <row r="857" spans="2:8">
      <c r="B857" t="s">
        <v>443</v>
      </c>
      <c r="C857" t="s">
        <v>356</v>
      </c>
      <c r="D857">
        <v>3065</v>
      </c>
      <c r="E857">
        <v>3070</v>
      </c>
      <c r="F857">
        <v>3065</v>
      </c>
      <c r="G857">
        <v>3065</v>
      </c>
      <c r="H857">
        <v>9700</v>
      </c>
    </row>
    <row r="858" spans="2:8">
      <c r="B858" t="s">
        <v>443</v>
      </c>
      <c r="C858" t="s">
        <v>357</v>
      </c>
      <c r="D858">
        <v>3070</v>
      </c>
      <c r="E858">
        <v>3070</v>
      </c>
      <c r="F858">
        <v>3070</v>
      </c>
      <c r="G858">
        <v>3070</v>
      </c>
      <c r="H858">
        <v>400</v>
      </c>
    </row>
    <row r="859" spans="2:8">
      <c r="B859" t="s">
        <v>443</v>
      </c>
      <c r="C859" t="s">
        <v>358</v>
      </c>
      <c r="D859">
        <v>3065</v>
      </c>
      <c r="E859">
        <v>3065</v>
      </c>
      <c r="F859">
        <v>3065</v>
      </c>
      <c r="G859">
        <v>3065</v>
      </c>
      <c r="H859">
        <v>400</v>
      </c>
    </row>
    <row r="860" spans="2:8">
      <c r="B860" t="s">
        <v>443</v>
      </c>
      <c r="C860" t="s">
        <v>359</v>
      </c>
      <c r="D860">
        <v>3065</v>
      </c>
      <c r="E860">
        <v>3070</v>
      </c>
      <c r="F860">
        <v>3065</v>
      </c>
      <c r="G860">
        <v>3065</v>
      </c>
      <c r="H860">
        <v>1200</v>
      </c>
    </row>
    <row r="861" spans="2:8">
      <c r="B861" t="s">
        <v>443</v>
      </c>
      <c r="C861" t="s">
        <v>360</v>
      </c>
      <c r="D861">
        <v>3065</v>
      </c>
      <c r="E861">
        <v>3070</v>
      </c>
      <c r="F861">
        <v>3065</v>
      </c>
      <c r="G861">
        <v>3070</v>
      </c>
      <c r="H861">
        <v>6500</v>
      </c>
    </row>
    <row r="862" spans="2:8">
      <c r="B862" t="s">
        <v>443</v>
      </c>
      <c r="C862" t="s">
        <v>361</v>
      </c>
      <c r="D862">
        <v>3065</v>
      </c>
      <c r="E862">
        <v>3065</v>
      </c>
      <c r="F862">
        <v>3065</v>
      </c>
      <c r="G862">
        <v>3065</v>
      </c>
      <c r="H862">
        <v>100</v>
      </c>
    </row>
    <row r="863" spans="2:8">
      <c r="B863" t="s">
        <v>443</v>
      </c>
      <c r="C863" t="s">
        <v>362</v>
      </c>
      <c r="D863">
        <v>3065</v>
      </c>
      <c r="E863">
        <v>3065</v>
      </c>
      <c r="F863">
        <v>3065</v>
      </c>
      <c r="G863">
        <v>3065</v>
      </c>
      <c r="H863">
        <v>300</v>
      </c>
    </row>
    <row r="864" spans="2:8">
      <c r="B864" t="s">
        <v>443</v>
      </c>
      <c r="C864" t="s">
        <v>363</v>
      </c>
      <c r="D864">
        <v>3065</v>
      </c>
      <c r="E864">
        <v>3070</v>
      </c>
      <c r="F864">
        <v>3065</v>
      </c>
      <c r="G864">
        <v>3065</v>
      </c>
      <c r="H864">
        <v>500</v>
      </c>
    </row>
    <row r="865" spans="2:8">
      <c r="B865" t="s">
        <v>443</v>
      </c>
      <c r="C865" t="s">
        <v>364</v>
      </c>
      <c r="D865" t="s">
        <v>8</v>
      </c>
      <c r="E865" t="s">
        <v>8</v>
      </c>
      <c r="F865" t="s">
        <v>8</v>
      </c>
      <c r="G865" t="s">
        <v>8</v>
      </c>
      <c r="H865">
        <v>0</v>
      </c>
    </row>
    <row r="866" spans="2:8">
      <c r="B866" t="s">
        <v>443</v>
      </c>
      <c r="C866" t="s">
        <v>365</v>
      </c>
      <c r="D866">
        <v>3065</v>
      </c>
      <c r="E866">
        <v>3065</v>
      </c>
      <c r="F866">
        <v>3065</v>
      </c>
      <c r="G866">
        <v>3065</v>
      </c>
      <c r="H866">
        <v>300</v>
      </c>
    </row>
    <row r="867" spans="2:8">
      <c r="B867" t="s">
        <v>443</v>
      </c>
      <c r="C867" t="s">
        <v>366</v>
      </c>
      <c r="D867">
        <v>3065</v>
      </c>
      <c r="E867">
        <v>3065</v>
      </c>
      <c r="F867">
        <v>3065</v>
      </c>
      <c r="G867">
        <v>3065</v>
      </c>
      <c r="H867">
        <v>10200</v>
      </c>
    </row>
    <row r="868" spans="2:8">
      <c r="B868" t="s">
        <v>443</v>
      </c>
      <c r="C868" t="s">
        <v>367</v>
      </c>
      <c r="D868">
        <v>3065</v>
      </c>
      <c r="E868">
        <v>3065</v>
      </c>
      <c r="F868">
        <v>3065</v>
      </c>
      <c r="G868">
        <v>3065</v>
      </c>
      <c r="H868">
        <v>300</v>
      </c>
    </row>
    <row r="869" spans="2:8">
      <c r="B869" t="s">
        <v>443</v>
      </c>
      <c r="C869" t="s">
        <v>368</v>
      </c>
      <c r="D869">
        <v>3065</v>
      </c>
      <c r="E869">
        <v>3065</v>
      </c>
      <c r="F869">
        <v>3065</v>
      </c>
      <c r="G869">
        <v>3065</v>
      </c>
      <c r="H869">
        <v>5100</v>
      </c>
    </row>
    <row r="870" spans="2:8">
      <c r="B870" t="s">
        <v>443</v>
      </c>
      <c r="C870" t="s">
        <v>369</v>
      </c>
      <c r="D870" t="s">
        <v>8</v>
      </c>
      <c r="E870" t="s">
        <v>8</v>
      </c>
      <c r="F870" t="s">
        <v>8</v>
      </c>
      <c r="G870" t="s">
        <v>8</v>
      </c>
      <c r="H870">
        <v>0</v>
      </c>
    </row>
    <row r="871" spans="2:8">
      <c r="B871" t="s">
        <v>443</v>
      </c>
      <c r="C871" t="s">
        <v>370</v>
      </c>
      <c r="D871">
        <v>3065</v>
      </c>
      <c r="E871">
        <v>3070</v>
      </c>
      <c r="F871">
        <v>3065</v>
      </c>
      <c r="G871">
        <v>3070</v>
      </c>
      <c r="H871">
        <v>2400</v>
      </c>
    </row>
    <row r="872" spans="2:8">
      <c r="B872" t="s">
        <v>443</v>
      </c>
      <c r="C872" t="s">
        <v>371</v>
      </c>
      <c r="D872">
        <v>3070</v>
      </c>
      <c r="E872">
        <v>3070</v>
      </c>
      <c r="F872">
        <v>3070</v>
      </c>
      <c r="G872">
        <v>3070</v>
      </c>
      <c r="H872">
        <v>1700</v>
      </c>
    </row>
    <row r="873" spans="2:8">
      <c r="B873" t="s">
        <v>443</v>
      </c>
      <c r="C873" t="s">
        <v>372</v>
      </c>
      <c r="D873">
        <v>3070</v>
      </c>
      <c r="E873">
        <v>3070</v>
      </c>
      <c r="F873">
        <v>3070</v>
      </c>
      <c r="G873">
        <v>3070</v>
      </c>
      <c r="H873">
        <v>1000</v>
      </c>
    </row>
    <row r="874" spans="2:8">
      <c r="B874" t="s">
        <v>443</v>
      </c>
      <c r="C874" t="s">
        <v>373</v>
      </c>
      <c r="D874" t="s">
        <v>8</v>
      </c>
      <c r="E874" t="s">
        <v>8</v>
      </c>
      <c r="F874" t="s">
        <v>8</v>
      </c>
      <c r="G874" t="s">
        <v>8</v>
      </c>
      <c r="H874">
        <v>0</v>
      </c>
    </row>
    <row r="875" spans="2:8">
      <c r="B875" t="s">
        <v>443</v>
      </c>
      <c r="C875" t="s">
        <v>374</v>
      </c>
      <c r="D875">
        <v>3070</v>
      </c>
      <c r="E875">
        <v>3070</v>
      </c>
      <c r="F875">
        <v>3065</v>
      </c>
      <c r="G875">
        <v>3065</v>
      </c>
      <c r="H875">
        <v>400</v>
      </c>
    </row>
    <row r="876" spans="2:8">
      <c r="B876" t="s">
        <v>443</v>
      </c>
      <c r="C876" t="s">
        <v>375</v>
      </c>
      <c r="D876">
        <v>3070</v>
      </c>
      <c r="E876">
        <v>3070</v>
      </c>
      <c r="F876">
        <v>3065</v>
      </c>
      <c r="G876">
        <v>3070</v>
      </c>
      <c r="H876">
        <v>27700</v>
      </c>
    </row>
    <row r="877" spans="2:8">
      <c r="B877" t="s">
        <v>443</v>
      </c>
      <c r="C877" t="s">
        <v>376</v>
      </c>
      <c r="D877">
        <v>3070</v>
      </c>
      <c r="E877">
        <v>3070</v>
      </c>
      <c r="F877">
        <v>3070</v>
      </c>
      <c r="G877">
        <v>3070</v>
      </c>
      <c r="H877">
        <v>1800</v>
      </c>
    </row>
    <row r="878" spans="2:8">
      <c r="B878" t="s">
        <v>443</v>
      </c>
      <c r="C878" t="s">
        <v>377</v>
      </c>
      <c r="D878">
        <v>3070</v>
      </c>
      <c r="E878">
        <v>3070</v>
      </c>
      <c r="F878">
        <v>3070</v>
      </c>
      <c r="G878">
        <v>3070</v>
      </c>
      <c r="H878">
        <v>300</v>
      </c>
    </row>
    <row r="879" spans="2:8">
      <c r="B879" t="s">
        <v>443</v>
      </c>
      <c r="C879" t="s">
        <v>378</v>
      </c>
      <c r="D879">
        <v>3070</v>
      </c>
      <c r="E879">
        <v>3070</v>
      </c>
      <c r="F879">
        <v>3070</v>
      </c>
      <c r="G879">
        <v>3070</v>
      </c>
      <c r="H879">
        <v>400</v>
      </c>
    </row>
    <row r="880" spans="2:8">
      <c r="B880" t="s">
        <v>443</v>
      </c>
      <c r="C880" t="s">
        <v>379</v>
      </c>
      <c r="D880">
        <v>3070</v>
      </c>
      <c r="E880">
        <v>3070</v>
      </c>
      <c r="F880">
        <v>3070</v>
      </c>
      <c r="G880">
        <v>3070</v>
      </c>
      <c r="H880">
        <v>600</v>
      </c>
    </row>
    <row r="881" spans="2:8">
      <c r="B881" t="s">
        <v>443</v>
      </c>
      <c r="C881" t="s">
        <v>380</v>
      </c>
      <c r="D881" t="s">
        <v>8</v>
      </c>
      <c r="E881" t="s">
        <v>8</v>
      </c>
      <c r="F881" t="s">
        <v>8</v>
      </c>
      <c r="G881" t="s">
        <v>8</v>
      </c>
      <c r="H881">
        <v>0</v>
      </c>
    </row>
    <row r="882" spans="2:8">
      <c r="B882" t="s">
        <v>443</v>
      </c>
      <c r="C882" t="s">
        <v>381</v>
      </c>
      <c r="D882">
        <v>3065</v>
      </c>
      <c r="E882">
        <v>3065</v>
      </c>
      <c r="F882">
        <v>3065</v>
      </c>
      <c r="G882">
        <v>3065</v>
      </c>
      <c r="H882">
        <v>100</v>
      </c>
    </row>
    <row r="883" spans="2:8">
      <c r="B883" t="s">
        <v>443</v>
      </c>
      <c r="C883" t="s">
        <v>382</v>
      </c>
      <c r="D883" t="s">
        <v>8</v>
      </c>
      <c r="E883" t="s">
        <v>8</v>
      </c>
      <c r="F883" t="s">
        <v>8</v>
      </c>
      <c r="G883" t="s">
        <v>8</v>
      </c>
      <c r="H883">
        <v>0</v>
      </c>
    </row>
    <row r="884" spans="2:8">
      <c r="B884" t="s">
        <v>443</v>
      </c>
      <c r="C884" t="s">
        <v>383</v>
      </c>
      <c r="D884">
        <v>3065</v>
      </c>
      <c r="E884">
        <v>3070</v>
      </c>
      <c r="F884">
        <v>3065</v>
      </c>
      <c r="G884">
        <v>3070</v>
      </c>
      <c r="H884">
        <v>300</v>
      </c>
    </row>
    <row r="885" spans="2:8">
      <c r="B885" t="s">
        <v>443</v>
      </c>
      <c r="C885" t="s">
        <v>384</v>
      </c>
      <c r="D885">
        <v>3065</v>
      </c>
      <c r="E885">
        <v>3065</v>
      </c>
      <c r="F885">
        <v>3065</v>
      </c>
      <c r="G885">
        <v>3065</v>
      </c>
      <c r="H885">
        <v>1100</v>
      </c>
    </row>
    <row r="886" spans="2:8">
      <c r="B886" t="s">
        <v>443</v>
      </c>
      <c r="C886" t="s">
        <v>385</v>
      </c>
      <c r="D886">
        <v>3065</v>
      </c>
      <c r="E886">
        <v>3070</v>
      </c>
      <c r="F886">
        <v>3065</v>
      </c>
      <c r="G886">
        <v>3065</v>
      </c>
      <c r="H886">
        <v>7900</v>
      </c>
    </row>
    <row r="887" spans="2:8">
      <c r="B887" t="s">
        <v>443</v>
      </c>
      <c r="C887" t="s">
        <v>386</v>
      </c>
      <c r="D887">
        <v>3060</v>
      </c>
      <c r="E887">
        <v>3065</v>
      </c>
      <c r="F887">
        <v>3060</v>
      </c>
      <c r="G887">
        <v>3065</v>
      </c>
      <c r="H887">
        <v>1300</v>
      </c>
    </row>
    <row r="888" spans="2:8">
      <c r="B888" t="s">
        <v>443</v>
      </c>
      <c r="C888" t="s">
        <v>387</v>
      </c>
      <c r="D888">
        <v>3065</v>
      </c>
      <c r="E888">
        <v>3065</v>
      </c>
      <c r="F888">
        <v>3065</v>
      </c>
      <c r="G888">
        <v>3065</v>
      </c>
      <c r="H888">
        <v>500</v>
      </c>
    </row>
    <row r="889" spans="2:8">
      <c r="B889" t="s">
        <v>443</v>
      </c>
      <c r="C889" t="s">
        <v>388</v>
      </c>
      <c r="D889">
        <v>3065</v>
      </c>
      <c r="E889">
        <v>3065</v>
      </c>
      <c r="F889">
        <v>3065</v>
      </c>
      <c r="G889">
        <v>3065</v>
      </c>
      <c r="H889">
        <v>100</v>
      </c>
    </row>
    <row r="890" spans="2:8">
      <c r="B890" t="s">
        <v>443</v>
      </c>
      <c r="C890" t="s">
        <v>389</v>
      </c>
      <c r="D890">
        <v>3060</v>
      </c>
      <c r="E890">
        <v>3060</v>
      </c>
      <c r="F890">
        <v>3055</v>
      </c>
      <c r="G890">
        <v>3055</v>
      </c>
      <c r="H890">
        <v>18800</v>
      </c>
    </row>
    <row r="891" spans="2:8">
      <c r="B891" t="s">
        <v>443</v>
      </c>
      <c r="C891" t="s">
        <v>390</v>
      </c>
      <c r="D891">
        <v>3055</v>
      </c>
      <c r="E891">
        <v>3055</v>
      </c>
      <c r="F891">
        <v>3055</v>
      </c>
      <c r="G891">
        <v>3055</v>
      </c>
      <c r="H891">
        <v>1900</v>
      </c>
    </row>
    <row r="892" spans="2:8">
      <c r="B892" t="s">
        <v>443</v>
      </c>
      <c r="C892" t="s">
        <v>391</v>
      </c>
      <c r="D892">
        <v>3055</v>
      </c>
      <c r="E892">
        <v>3055</v>
      </c>
      <c r="F892">
        <v>3055</v>
      </c>
      <c r="G892">
        <v>3055</v>
      </c>
      <c r="H892">
        <v>100</v>
      </c>
    </row>
    <row r="893" spans="2:8">
      <c r="B893" t="s">
        <v>443</v>
      </c>
      <c r="C893" t="s">
        <v>392</v>
      </c>
      <c r="D893">
        <v>3060</v>
      </c>
      <c r="E893">
        <v>3060</v>
      </c>
      <c r="F893">
        <v>3055</v>
      </c>
      <c r="G893">
        <v>3055</v>
      </c>
      <c r="H893">
        <v>1400</v>
      </c>
    </row>
    <row r="894" spans="2:8">
      <c r="B894" t="s">
        <v>443</v>
      </c>
      <c r="C894" t="s">
        <v>393</v>
      </c>
      <c r="D894">
        <v>3055</v>
      </c>
      <c r="E894">
        <v>3055</v>
      </c>
      <c r="F894">
        <v>3055</v>
      </c>
      <c r="G894">
        <v>3055</v>
      </c>
      <c r="H894">
        <v>100</v>
      </c>
    </row>
    <row r="895" spans="2:8">
      <c r="B895" t="s">
        <v>443</v>
      </c>
      <c r="C895" t="s">
        <v>394</v>
      </c>
      <c r="D895">
        <v>3055</v>
      </c>
      <c r="E895">
        <v>3055</v>
      </c>
      <c r="F895">
        <v>3055</v>
      </c>
      <c r="G895">
        <v>3055</v>
      </c>
      <c r="H895">
        <v>10400</v>
      </c>
    </row>
    <row r="896" spans="2:8">
      <c r="B896" t="s">
        <v>443</v>
      </c>
      <c r="C896" t="s">
        <v>395</v>
      </c>
      <c r="D896">
        <v>3055</v>
      </c>
      <c r="E896">
        <v>3055</v>
      </c>
      <c r="F896">
        <v>3055</v>
      </c>
      <c r="G896">
        <v>3055</v>
      </c>
      <c r="H896">
        <v>100</v>
      </c>
    </row>
    <row r="897" spans="2:8">
      <c r="B897" t="s">
        <v>443</v>
      </c>
      <c r="C897" t="s">
        <v>396</v>
      </c>
      <c r="D897">
        <v>3055</v>
      </c>
      <c r="E897">
        <v>3055</v>
      </c>
      <c r="F897">
        <v>3055</v>
      </c>
      <c r="G897">
        <v>3055</v>
      </c>
      <c r="H897">
        <v>400</v>
      </c>
    </row>
    <row r="898" spans="2:8">
      <c r="B898" t="s">
        <v>443</v>
      </c>
      <c r="C898" t="s">
        <v>397</v>
      </c>
      <c r="D898">
        <v>3060</v>
      </c>
      <c r="E898">
        <v>3060</v>
      </c>
      <c r="F898">
        <v>3060</v>
      </c>
      <c r="G898">
        <v>3060</v>
      </c>
      <c r="H898">
        <v>2300</v>
      </c>
    </row>
    <row r="899" spans="2:8">
      <c r="B899" t="s">
        <v>443</v>
      </c>
      <c r="C899" t="s">
        <v>398</v>
      </c>
      <c r="D899">
        <v>3060</v>
      </c>
      <c r="E899">
        <v>3060</v>
      </c>
      <c r="F899">
        <v>3060</v>
      </c>
      <c r="G899">
        <v>3060</v>
      </c>
      <c r="H899">
        <v>100</v>
      </c>
    </row>
    <row r="900" spans="2:8">
      <c r="B900" t="s">
        <v>443</v>
      </c>
      <c r="C900" t="s">
        <v>399</v>
      </c>
      <c r="D900" t="s">
        <v>8</v>
      </c>
      <c r="E900" t="s">
        <v>8</v>
      </c>
      <c r="F900" t="s">
        <v>8</v>
      </c>
      <c r="G900" t="s">
        <v>8</v>
      </c>
      <c r="H900">
        <v>0</v>
      </c>
    </row>
    <row r="901" spans="2:8">
      <c r="B901" t="s">
        <v>443</v>
      </c>
      <c r="C901" t="s">
        <v>400</v>
      </c>
      <c r="D901">
        <v>3060</v>
      </c>
      <c r="E901">
        <v>3060</v>
      </c>
      <c r="F901">
        <v>3060</v>
      </c>
      <c r="G901">
        <v>3060</v>
      </c>
      <c r="H901">
        <v>600</v>
      </c>
    </row>
    <row r="902" spans="2:8">
      <c r="B902" t="s">
        <v>443</v>
      </c>
      <c r="C902" t="s">
        <v>401</v>
      </c>
      <c r="D902" t="s">
        <v>8</v>
      </c>
      <c r="E902" t="s">
        <v>8</v>
      </c>
      <c r="F902" t="s">
        <v>8</v>
      </c>
      <c r="G902" t="s">
        <v>8</v>
      </c>
      <c r="H902">
        <v>0</v>
      </c>
    </row>
    <row r="903" spans="2:8">
      <c r="B903" t="s">
        <v>443</v>
      </c>
      <c r="C903" t="s">
        <v>402</v>
      </c>
      <c r="D903">
        <v>3060</v>
      </c>
      <c r="E903">
        <v>3060</v>
      </c>
      <c r="F903">
        <v>3060</v>
      </c>
      <c r="G903">
        <v>3060</v>
      </c>
      <c r="H903">
        <v>200</v>
      </c>
    </row>
    <row r="904" spans="2:8">
      <c r="B904" t="s">
        <v>443</v>
      </c>
      <c r="C904" t="s">
        <v>403</v>
      </c>
      <c r="D904">
        <v>3055</v>
      </c>
      <c r="E904">
        <v>3060</v>
      </c>
      <c r="F904">
        <v>3055</v>
      </c>
      <c r="G904">
        <v>3055</v>
      </c>
      <c r="H904">
        <v>2000</v>
      </c>
    </row>
    <row r="905" spans="2:8">
      <c r="B905" t="s">
        <v>443</v>
      </c>
      <c r="C905" t="s">
        <v>404</v>
      </c>
      <c r="D905">
        <v>3055</v>
      </c>
      <c r="E905">
        <v>3055</v>
      </c>
      <c r="F905">
        <v>3055</v>
      </c>
      <c r="G905">
        <v>3055</v>
      </c>
      <c r="H905">
        <v>200</v>
      </c>
    </row>
    <row r="906" spans="2:8">
      <c r="B906" t="s">
        <v>443</v>
      </c>
      <c r="C906" t="s">
        <v>405</v>
      </c>
      <c r="D906">
        <v>3055</v>
      </c>
      <c r="E906">
        <v>3060</v>
      </c>
      <c r="F906">
        <v>3055</v>
      </c>
      <c r="G906">
        <v>3060</v>
      </c>
      <c r="H906">
        <v>11400</v>
      </c>
    </row>
    <row r="907" spans="2:8">
      <c r="B907" t="s">
        <v>443</v>
      </c>
      <c r="C907" t="s">
        <v>406</v>
      </c>
      <c r="D907">
        <v>3060</v>
      </c>
      <c r="E907">
        <v>3065</v>
      </c>
      <c r="F907">
        <v>3060</v>
      </c>
      <c r="G907">
        <v>3065</v>
      </c>
      <c r="H907">
        <v>4300</v>
      </c>
    </row>
    <row r="908" spans="2:8">
      <c r="B908" t="s">
        <v>443</v>
      </c>
      <c r="C908" t="s">
        <v>407</v>
      </c>
      <c r="D908">
        <v>3065</v>
      </c>
      <c r="E908">
        <v>3065</v>
      </c>
      <c r="F908">
        <v>3065</v>
      </c>
      <c r="G908">
        <v>3065</v>
      </c>
      <c r="H908">
        <v>16400</v>
      </c>
    </row>
    <row r="909" spans="2:8">
      <c r="B909" t="s">
        <v>443</v>
      </c>
      <c r="C909" t="s">
        <v>408</v>
      </c>
      <c r="D909">
        <v>3065</v>
      </c>
      <c r="E909">
        <v>3070</v>
      </c>
      <c r="F909">
        <v>3065</v>
      </c>
      <c r="G909">
        <v>3070</v>
      </c>
      <c r="H909">
        <v>300</v>
      </c>
    </row>
    <row r="910" spans="2:8">
      <c r="B910" t="s">
        <v>443</v>
      </c>
      <c r="C910" t="s">
        <v>409</v>
      </c>
      <c r="D910">
        <v>3065</v>
      </c>
      <c r="E910">
        <v>3065</v>
      </c>
      <c r="F910">
        <v>3065</v>
      </c>
      <c r="G910">
        <v>3065</v>
      </c>
      <c r="H910">
        <v>1100</v>
      </c>
    </row>
    <row r="911" spans="2:8">
      <c r="B911" t="s">
        <v>443</v>
      </c>
      <c r="C911" t="s">
        <v>410</v>
      </c>
      <c r="D911">
        <v>3065</v>
      </c>
      <c r="E911">
        <v>3070</v>
      </c>
      <c r="F911">
        <v>3065</v>
      </c>
      <c r="G911">
        <v>3065</v>
      </c>
      <c r="H911">
        <v>800</v>
      </c>
    </row>
    <row r="912" spans="2:8">
      <c r="B912" t="s">
        <v>443</v>
      </c>
      <c r="C912" t="s">
        <v>411</v>
      </c>
      <c r="D912">
        <v>3070</v>
      </c>
      <c r="E912">
        <v>3070</v>
      </c>
      <c r="F912">
        <v>3065</v>
      </c>
      <c r="G912">
        <v>3065</v>
      </c>
      <c r="H912">
        <v>5100</v>
      </c>
    </row>
    <row r="913" spans="2:8">
      <c r="B913" t="s">
        <v>443</v>
      </c>
      <c r="C913" t="s">
        <v>412</v>
      </c>
      <c r="D913">
        <v>3070</v>
      </c>
      <c r="E913">
        <v>3070</v>
      </c>
      <c r="F913">
        <v>3070</v>
      </c>
      <c r="G913">
        <v>3070</v>
      </c>
      <c r="H913">
        <v>33700</v>
      </c>
    </row>
    <row r="914" spans="2:8">
      <c r="B914" t="s">
        <v>443</v>
      </c>
      <c r="C914" t="s">
        <v>413</v>
      </c>
      <c r="D914">
        <v>3075</v>
      </c>
      <c r="E914">
        <v>3075</v>
      </c>
      <c r="F914">
        <v>3075</v>
      </c>
      <c r="G914">
        <v>3075</v>
      </c>
      <c r="H914">
        <v>900</v>
      </c>
    </row>
    <row r="915" spans="2:8">
      <c r="B915" t="s">
        <v>443</v>
      </c>
      <c r="C915" t="s">
        <v>414</v>
      </c>
      <c r="D915">
        <v>3075</v>
      </c>
      <c r="E915">
        <v>3080</v>
      </c>
      <c r="F915">
        <v>3075</v>
      </c>
      <c r="G915">
        <v>3080</v>
      </c>
      <c r="H915">
        <v>21800</v>
      </c>
    </row>
    <row r="916" spans="2:8">
      <c r="B916" t="s">
        <v>443</v>
      </c>
      <c r="C916" t="s">
        <v>415</v>
      </c>
      <c r="D916">
        <v>3080</v>
      </c>
      <c r="E916">
        <v>3080</v>
      </c>
      <c r="F916">
        <v>3075</v>
      </c>
      <c r="G916">
        <v>3075</v>
      </c>
      <c r="H916">
        <v>10300</v>
      </c>
    </row>
    <row r="917" spans="2:8">
      <c r="B917" t="s">
        <v>443</v>
      </c>
      <c r="C917" t="s">
        <v>416</v>
      </c>
      <c r="D917">
        <v>3075</v>
      </c>
      <c r="E917">
        <v>3075</v>
      </c>
      <c r="F917">
        <v>3070</v>
      </c>
      <c r="G917">
        <v>3070</v>
      </c>
      <c r="H917">
        <v>500</v>
      </c>
    </row>
    <row r="918" spans="2:8">
      <c r="B918" t="s">
        <v>443</v>
      </c>
      <c r="C918" t="s">
        <v>417</v>
      </c>
      <c r="D918">
        <v>3070</v>
      </c>
      <c r="E918">
        <v>3070</v>
      </c>
      <c r="F918">
        <v>3070</v>
      </c>
      <c r="G918">
        <v>3070</v>
      </c>
      <c r="H918">
        <v>2700</v>
      </c>
    </row>
    <row r="919" spans="2:8">
      <c r="B919" t="s">
        <v>443</v>
      </c>
      <c r="C919" t="s">
        <v>418</v>
      </c>
      <c r="D919">
        <v>3070</v>
      </c>
      <c r="E919">
        <v>3070</v>
      </c>
      <c r="F919">
        <v>3070</v>
      </c>
      <c r="G919">
        <v>3070</v>
      </c>
      <c r="H919">
        <v>600</v>
      </c>
    </row>
    <row r="920" spans="2:8">
      <c r="B920" t="s">
        <v>443</v>
      </c>
      <c r="C920" t="s">
        <v>419</v>
      </c>
      <c r="D920">
        <v>3070</v>
      </c>
      <c r="E920">
        <v>3070</v>
      </c>
      <c r="F920">
        <v>3070</v>
      </c>
      <c r="G920">
        <v>3070</v>
      </c>
      <c r="H920">
        <v>300</v>
      </c>
    </row>
    <row r="921" spans="2:8">
      <c r="B921" t="s">
        <v>443</v>
      </c>
      <c r="C921" t="s">
        <v>420</v>
      </c>
      <c r="D921">
        <v>3075</v>
      </c>
      <c r="E921">
        <v>3075</v>
      </c>
      <c r="F921">
        <v>3070</v>
      </c>
      <c r="G921">
        <v>3070</v>
      </c>
      <c r="H921">
        <v>1800</v>
      </c>
    </row>
    <row r="922" spans="2:8">
      <c r="B922" t="s">
        <v>443</v>
      </c>
      <c r="C922" t="s">
        <v>421</v>
      </c>
      <c r="D922">
        <v>3070</v>
      </c>
      <c r="E922">
        <v>3075</v>
      </c>
      <c r="F922">
        <v>3070</v>
      </c>
      <c r="G922">
        <v>3075</v>
      </c>
      <c r="H922">
        <v>300</v>
      </c>
    </row>
    <row r="923" spans="2:8">
      <c r="B923" t="s">
        <v>443</v>
      </c>
      <c r="C923" t="s">
        <v>422</v>
      </c>
      <c r="D923">
        <v>3075</v>
      </c>
      <c r="E923">
        <v>3075</v>
      </c>
      <c r="F923">
        <v>3075</v>
      </c>
      <c r="G923">
        <v>3075</v>
      </c>
      <c r="H923">
        <v>300</v>
      </c>
    </row>
    <row r="924" spans="2:8">
      <c r="B924" t="s">
        <v>443</v>
      </c>
      <c r="C924" t="s">
        <v>423</v>
      </c>
      <c r="D924">
        <v>3070</v>
      </c>
      <c r="E924">
        <v>3075</v>
      </c>
      <c r="F924">
        <v>3070</v>
      </c>
      <c r="G924">
        <v>3070</v>
      </c>
      <c r="H924">
        <v>2500</v>
      </c>
    </row>
    <row r="925" spans="2:8">
      <c r="B925" t="s">
        <v>443</v>
      </c>
      <c r="C925" t="s">
        <v>424</v>
      </c>
      <c r="D925">
        <v>3075</v>
      </c>
      <c r="E925">
        <v>3075</v>
      </c>
      <c r="F925">
        <v>3075</v>
      </c>
      <c r="G925">
        <v>3075</v>
      </c>
      <c r="H925">
        <v>1000</v>
      </c>
    </row>
    <row r="926" spans="2:8">
      <c r="B926" t="s">
        <v>443</v>
      </c>
      <c r="C926" t="s">
        <v>425</v>
      </c>
      <c r="D926">
        <v>3070</v>
      </c>
      <c r="E926">
        <v>3070</v>
      </c>
      <c r="F926">
        <v>3065</v>
      </c>
      <c r="G926">
        <v>3065</v>
      </c>
      <c r="H926">
        <v>11000</v>
      </c>
    </row>
    <row r="927" spans="2:8">
      <c r="B927" t="s">
        <v>443</v>
      </c>
      <c r="C927" t="s">
        <v>426</v>
      </c>
      <c r="D927">
        <v>3070</v>
      </c>
      <c r="E927">
        <v>3070</v>
      </c>
      <c r="F927">
        <v>3070</v>
      </c>
      <c r="G927">
        <v>3070</v>
      </c>
      <c r="H927">
        <v>9600</v>
      </c>
    </row>
    <row r="928" spans="2:8">
      <c r="B928" t="s">
        <v>443</v>
      </c>
      <c r="C928" t="s">
        <v>427</v>
      </c>
      <c r="D928">
        <v>3070</v>
      </c>
      <c r="E928">
        <v>3070</v>
      </c>
      <c r="F928">
        <v>3070</v>
      </c>
      <c r="G928">
        <v>3070</v>
      </c>
      <c r="H928">
        <v>1100</v>
      </c>
    </row>
    <row r="929" spans="2:8">
      <c r="B929" t="s">
        <v>443</v>
      </c>
      <c r="C929" t="s">
        <v>428</v>
      </c>
      <c r="D929">
        <v>3070</v>
      </c>
      <c r="E929">
        <v>3075</v>
      </c>
      <c r="F929">
        <v>3070</v>
      </c>
      <c r="G929">
        <v>3075</v>
      </c>
      <c r="H929">
        <v>2100</v>
      </c>
    </row>
    <row r="930" spans="2:8">
      <c r="B930" t="s">
        <v>443</v>
      </c>
      <c r="C930" t="s">
        <v>429</v>
      </c>
      <c r="D930" t="s">
        <v>8</v>
      </c>
      <c r="E930" t="s">
        <v>8</v>
      </c>
      <c r="F930" t="s">
        <v>8</v>
      </c>
      <c r="G930" t="s">
        <v>8</v>
      </c>
      <c r="H930">
        <v>0</v>
      </c>
    </row>
    <row r="931" spans="2:8">
      <c r="B931" t="s">
        <v>443</v>
      </c>
      <c r="C931" t="s">
        <v>430</v>
      </c>
      <c r="D931">
        <v>3070</v>
      </c>
      <c r="E931">
        <v>3070</v>
      </c>
      <c r="F931">
        <v>3070</v>
      </c>
      <c r="G931">
        <v>3070</v>
      </c>
      <c r="H931">
        <v>600</v>
      </c>
    </row>
    <row r="932" spans="2:8">
      <c r="B932" t="s">
        <v>443</v>
      </c>
      <c r="C932" t="s">
        <v>431</v>
      </c>
      <c r="D932">
        <v>3070</v>
      </c>
      <c r="E932">
        <v>3070</v>
      </c>
      <c r="F932">
        <v>3070</v>
      </c>
      <c r="G932">
        <v>3070</v>
      </c>
      <c r="H932">
        <v>4100</v>
      </c>
    </row>
    <row r="933" spans="2:8">
      <c r="B933" t="s">
        <v>443</v>
      </c>
      <c r="C933" t="s">
        <v>9</v>
      </c>
      <c r="D933">
        <v>3070</v>
      </c>
      <c r="E933">
        <v>3070</v>
      </c>
      <c r="F933">
        <v>3070</v>
      </c>
      <c r="G933">
        <v>3070</v>
      </c>
      <c r="H933">
        <v>500</v>
      </c>
    </row>
    <row r="934" spans="2:8">
      <c r="B934" t="s">
        <v>443</v>
      </c>
      <c r="C934" t="s">
        <v>10</v>
      </c>
      <c r="D934">
        <v>3070</v>
      </c>
      <c r="E934">
        <v>3075</v>
      </c>
      <c r="F934">
        <v>3070</v>
      </c>
      <c r="G934">
        <v>3075</v>
      </c>
      <c r="H934">
        <v>200</v>
      </c>
    </row>
    <row r="935" spans="2:8">
      <c r="B935" t="s">
        <v>443</v>
      </c>
      <c r="C935" t="s">
        <v>11</v>
      </c>
      <c r="D935">
        <v>3070</v>
      </c>
      <c r="E935">
        <v>3070</v>
      </c>
      <c r="F935">
        <v>3070</v>
      </c>
      <c r="G935">
        <v>3070</v>
      </c>
      <c r="H935">
        <v>2400</v>
      </c>
    </row>
    <row r="936" spans="2:8">
      <c r="B936" t="s">
        <v>443</v>
      </c>
      <c r="C936" t="s">
        <v>12</v>
      </c>
      <c r="D936">
        <v>3070</v>
      </c>
      <c r="E936">
        <v>3075</v>
      </c>
      <c r="F936">
        <v>3070</v>
      </c>
      <c r="G936">
        <v>3070</v>
      </c>
      <c r="H936">
        <v>4900</v>
      </c>
    </row>
    <row r="937" spans="2:8">
      <c r="B937" t="s">
        <v>443</v>
      </c>
      <c r="C937" t="s">
        <v>13</v>
      </c>
      <c r="D937">
        <v>3070</v>
      </c>
      <c r="E937">
        <v>3070</v>
      </c>
      <c r="F937">
        <v>3070</v>
      </c>
      <c r="G937">
        <v>3070</v>
      </c>
      <c r="H937">
        <v>1600</v>
      </c>
    </row>
    <row r="938" spans="2:8">
      <c r="B938" t="s">
        <v>443</v>
      </c>
      <c r="C938" t="s">
        <v>14</v>
      </c>
      <c r="D938">
        <v>3070</v>
      </c>
      <c r="E938">
        <v>3075</v>
      </c>
      <c r="F938">
        <v>3070</v>
      </c>
      <c r="G938">
        <v>3070</v>
      </c>
      <c r="H938">
        <v>9100</v>
      </c>
    </row>
    <row r="939" spans="2:8">
      <c r="B939" t="s">
        <v>443</v>
      </c>
      <c r="C939" t="s">
        <v>15</v>
      </c>
      <c r="D939">
        <v>3070</v>
      </c>
      <c r="E939">
        <v>3070</v>
      </c>
      <c r="F939">
        <v>3065</v>
      </c>
      <c r="G939">
        <v>3070</v>
      </c>
      <c r="H939">
        <v>1100</v>
      </c>
    </row>
    <row r="940" spans="2:8">
      <c r="B940" t="s">
        <v>443</v>
      </c>
      <c r="C940" t="s">
        <v>16</v>
      </c>
      <c r="D940">
        <v>3070</v>
      </c>
      <c r="E940">
        <v>3070</v>
      </c>
      <c r="F940">
        <v>3070</v>
      </c>
      <c r="G940">
        <v>3070</v>
      </c>
      <c r="H940">
        <v>500</v>
      </c>
    </row>
    <row r="941" spans="2:8">
      <c r="B941" t="s">
        <v>443</v>
      </c>
      <c r="C941" t="s">
        <v>17</v>
      </c>
      <c r="D941">
        <v>3070</v>
      </c>
      <c r="E941">
        <v>3070</v>
      </c>
      <c r="F941">
        <v>3070</v>
      </c>
      <c r="G941">
        <v>3070</v>
      </c>
      <c r="H941">
        <v>300</v>
      </c>
    </row>
    <row r="942" spans="2:8">
      <c r="B942" t="s">
        <v>443</v>
      </c>
      <c r="C942" t="s">
        <v>18</v>
      </c>
      <c r="D942">
        <v>3070</v>
      </c>
      <c r="E942">
        <v>3070</v>
      </c>
      <c r="F942">
        <v>3070</v>
      </c>
      <c r="G942">
        <v>3070</v>
      </c>
      <c r="H942">
        <v>10700</v>
      </c>
    </row>
    <row r="943" spans="2:8">
      <c r="B943" t="s">
        <v>443</v>
      </c>
      <c r="C943" t="s">
        <v>19</v>
      </c>
      <c r="D943">
        <v>3070</v>
      </c>
      <c r="E943">
        <v>3070</v>
      </c>
      <c r="F943">
        <v>3065</v>
      </c>
      <c r="G943">
        <v>3065</v>
      </c>
      <c r="H943">
        <v>1000</v>
      </c>
    </row>
    <row r="944" spans="2:8">
      <c r="B944" t="s">
        <v>443</v>
      </c>
      <c r="C944" t="s">
        <v>20</v>
      </c>
      <c r="D944">
        <v>3065</v>
      </c>
      <c r="E944">
        <v>3070</v>
      </c>
      <c r="F944">
        <v>3065</v>
      </c>
      <c r="G944">
        <v>3070</v>
      </c>
      <c r="H944">
        <v>3900</v>
      </c>
    </row>
    <row r="945" spans="2:8">
      <c r="B945" t="s">
        <v>443</v>
      </c>
      <c r="C945" t="s">
        <v>21</v>
      </c>
      <c r="D945">
        <v>3070</v>
      </c>
      <c r="E945">
        <v>3070</v>
      </c>
      <c r="F945">
        <v>3070</v>
      </c>
      <c r="G945">
        <v>3070</v>
      </c>
      <c r="H945">
        <v>500</v>
      </c>
    </row>
    <row r="946" spans="2:8">
      <c r="B946" t="s">
        <v>443</v>
      </c>
      <c r="C946" t="s">
        <v>22</v>
      </c>
      <c r="D946">
        <v>3070</v>
      </c>
      <c r="E946">
        <v>3075</v>
      </c>
      <c r="F946">
        <v>3070</v>
      </c>
      <c r="G946">
        <v>3075</v>
      </c>
      <c r="H946">
        <v>31600</v>
      </c>
    </row>
    <row r="947" spans="2:8">
      <c r="B947" t="s">
        <v>443</v>
      </c>
      <c r="C947" t="s">
        <v>23</v>
      </c>
      <c r="D947">
        <v>3070</v>
      </c>
      <c r="E947">
        <v>3070</v>
      </c>
      <c r="F947">
        <v>3070</v>
      </c>
      <c r="G947">
        <v>3070</v>
      </c>
      <c r="H947">
        <v>100</v>
      </c>
    </row>
    <row r="948" spans="2:8">
      <c r="B948" t="s">
        <v>443</v>
      </c>
      <c r="C948" t="s">
        <v>24</v>
      </c>
      <c r="D948">
        <v>3070</v>
      </c>
      <c r="E948">
        <v>3070</v>
      </c>
      <c r="F948">
        <v>3070</v>
      </c>
      <c r="G948">
        <v>3070</v>
      </c>
      <c r="H948">
        <v>12300</v>
      </c>
    </row>
    <row r="949" spans="2:8">
      <c r="B949" t="s">
        <v>443</v>
      </c>
      <c r="C949" t="s">
        <v>25</v>
      </c>
      <c r="D949">
        <v>3070</v>
      </c>
      <c r="E949">
        <v>3075</v>
      </c>
      <c r="F949">
        <v>3070</v>
      </c>
      <c r="G949">
        <v>3075</v>
      </c>
      <c r="H949">
        <v>1500</v>
      </c>
    </row>
    <row r="950" spans="2:8">
      <c r="B950" t="s">
        <v>443</v>
      </c>
      <c r="C950" t="s">
        <v>26</v>
      </c>
      <c r="D950">
        <v>3075</v>
      </c>
      <c r="E950">
        <v>3075</v>
      </c>
      <c r="F950">
        <v>3075</v>
      </c>
      <c r="G950">
        <v>3075</v>
      </c>
      <c r="H950">
        <v>5000</v>
      </c>
    </row>
    <row r="951" spans="2:8">
      <c r="B951" t="s">
        <v>443</v>
      </c>
      <c r="C951" t="s">
        <v>27</v>
      </c>
      <c r="D951">
        <v>3070</v>
      </c>
      <c r="E951">
        <v>3070</v>
      </c>
      <c r="F951">
        <v>3070</v>
      </c>
      <c r="G951">
        <v>3070</v>
      </c>
      <c r="H951">
        <v>1300</v>
      </c>
    </row>
    <row r="952" spans="2:8">
      <c r="B952" t="s">
        <v>443</v>
      </c>
      <c r="C952" t="s">
        <v>28</v>
      </c>
      <c r="D952">
        <v>3070</v>
      </c>
      <c r="E952">
        <v>3070</v>
      </c>
      <c r="F952">
        <v>3070</v>
      </c>
      <c r="G952">
        <v>3070</v>
      </c>
      <c r="H952">
        <v>500</v>
      </c>
    </row>
    <row r="953" spans="2:8">
      <c r="B953" t="s">
        <v>443</v>
      </c>
      <c r="C953" t="s">
        <v>29</v>
      </c>
      <c r="D953">
        <v>3070</v>
      </c>
      <c r="E953">
        <v>3075</v>
      </c>
      <c r="F953">
        <v>3070</v>
      </c>
      <c r="G953">
        <v>3075</v>
      </c>
      <c r="H953">
        <v>500</v>
      </c>
    </row>
    <row r="954" spans="2:8">
      <c r="B954" t="s">
        <v>443</v>
      </c>
      <c r="C954" t="s">
        <v>30</v>
      </c>
      <c r="D954">
        <v>3070</v>
      </c>
      <c r="E954">
        <v>3070</v>
      </c>
      <c r="F954">
        <v>3070</v>
      </c>
      <c r="G954">
        <v>3070</v>
      </c>
      <c r="H954">
        <v>100</v>
      </c>
    </row>
    <row r="955" spans="2:8">
      <c r="B955" t="s">
        <v>443</v>
      </c>
      <c r="C955" t="s">
        <v>31</v>
      </c>
      <c r="D955">
        <v>3070</v>
      </c>
      <c r="E955">
        <v>3070</v>
      </c>
      <c r="F955">
        <v>3070</v>
      </c>
      <c r="G955">
        <v>3070</v>
      </c>
      <c r="H955">
        <v>300</v>
      </c>
    </row>
    <row r="956" spans="2:8">
      <c r="B956" t="s">
        <v>443</v>
      </c>
      <c r="C956" t="s">
        <v>32</v>
      </c>
      <c r="D956">
        <v>3070</v>
      </c>
      <c r="E956">
        <v>3070</v>
      </c>
      <c r="F956">
        <v>3070</v>
      </c>
      <c r="G956">
        <v>3070</v>
      </c>
      <c r="H956">
        <v>3300</v>
      </c>
    </row>
    <row r="957" spans="2:8">
      <c r="B957" t="s">
        <v>443</v>
      </c>
      <c r="C957" t="s">
        <v>33</v>
      </c>
      <c r="D957">
        <v>3075</v>
      </c>
      <c r="E957">
        <v>3075</v>
      </c>
      <c r="F957">
        <v>3070</v>
      </c>
      <c r="G957">
        <v>3075</v>
      </c>
      <c r="H957">
        <v>19900</v>
      </c>
    </row>
    <row r="958" spans="2:8">
      <c r="B958" t="s">
        <v>443</v>
      </c>
      <c r="C958" t="s">
        <v>34</v>
      </c>
      <c r="D958">
        <v>3075</v>
      </c>
      <c r="E958">
        <v>3075</v>
      </c>
      <c r="F958">
        <v>3075</v>
      </c>
      <c r="G958">
        <v>3075</v>
      </c>
      <c r="H958">
        <v>6500</v>
      </c>
    </row>
    <row r="959" spans="2:8">
      <c r="B959" t="s">
        <v>443</v>
      </c>
      <c r="C959" t="s">
        <v>35</v>
      </c>
      <c r="D959">
        <v>3070</v>
      </c>
      <c r="E959">
        <v>3080</v>
      </c>
      <c r="F959">
        <v>3070</v>
      </c>
      <c r="G959">
        <v>3075</v>
      </c>
      <c r="H959">
        <v>36400</v>
      </c>
    </row>
    <row r="960" spans="2:8">
      <c r="B960" t="s">
        <v>443</v>
      </c>
      <c r="C960" t="s">
        <v>36</v>
      </c>
      <c r="D960">
        <v>3075</v>
      </c>
      <c r="E960">
        <v>3075</v>
      </c>
      <c r="F960">
        <v>3075</v>
      </c>
      <c r="G960">
        <v>3075</v>
      </c>
      <c r="H960">
        <v>2000</v>
      </c>
    </row>
    <row r="961" spans="2:8">
      <c r="B961" t="s">
        <v>443</v>
      </c>
      <c r="C961" t="s">
        <v>37</v>
      </c>
      <c r="D961">
        <v>3075</v>
      </c>
      <c r="E961">
        <v>3075</v>
      </c>
      <c r="F961">
        <v>3075</v>
      </c>
      <c r="G961">
        <v>3075</v>
      </c>
      <c r="H961">
        <v>4800</v>
      </c>
    </row>
    <row r="962" spans="2:8">
      <c r="B962" t="s">
        <v>443</v>
      </c>
      <c r="C962" t="s">
        <v>38</v>
      </c>
      <c r="D962" t="s">
        <v>8</v>
      </c>
      <c r="E962" t="s">
        <v>8</v>
      </c>
      <c r="F962" t="s">
        <v>8</v>
      </c>
      <c r="G962" t="s">
        <v>8</v>
      </c>
      <c r="H962">
        <v>0</v>
      </c>
    </row>
    <row r="963" spans="2:8">
      <c r="B963" t="s">
        <v>443</v>
      </c>
      <c r="C963" t="s">
        <v>39</v>
      </c>
      <c r="D963">
        <v>3070</v>
      </c>
      <c r="E963">
        <v>3070</v>
      </c>
      <c r="F963">
        <v>3070</v>
      </c>
      <c r="G963">
        <v>3070</v>
      </c>
      <c r="H963">
        <v>100</v>
      </c>
    </row>
    <row r="964" spans="2:8">
      <c r="B964" t="s">
        <v>443</v>
      </c>
      <c r="C964" t="s">
        <v>40</v>
      </c>
      <c r="D964">
        <v>3070</v>
      </c>
      <c r="E964">
        <v>3070</v>
      </c>
      <c r="F964">
        <v>3070</v>
      </c>
      <c r="G964">
        <v>3070</v>
      </c>
      <c r="H964">
        <v>1200</v>
      </c>
    </row>
    <row r="965" spans="2:8">
      <c r="B965" t="s">
        <v>443</v>
      </c>
      <c r="C965" t="s">
        <v>41</v>
      </c>
      <c r="D965">
        <v>3070</v>
      </c>
      <c r="E965">
        <v>3075</v>
      </c>
      <c r="F965">
        <v>3070</v>
      </c>
      <c r="G965">
        <v>3070</v>
      </c>
      <c r="H965">
        <v>400</v>
      </c>
    </row>
    <row r="966" spans="2:8">
      <c r="B966" t="s">
        <v>443</v>
      </c>
      <c r="C966" t="s">
        <v>42</v>
      </c>
      <c r="D966">
        <v>3075</v>
      </c>
      <c r="E966">
        <v>3075</v>
      </c>
      <c r="F966">
        <v>3075</v>
      </c>
      <c r="G966">
        <v>3075</v>
      </c>
      <c r="H966">
        <v>600</v>
      </c>
    </row>
    <row r="967" spans="2:8">
      <c r="B967" t="s">
        <v>443</v>
      </c>
      <c r="C967" t="s">
        <v>43</v>
      </c>
      <c r="D967">
        <v>3070</v>
      </c>
      <c r="E967">
        <v>3070</v>
      </c>
      <c r="F967">
        <v>3070</v>
      </c>
      <c r="G967">
        <v>3070</v>
      </c>
      <c r="H967">
        <v>1100</v>
      </c>
    </row>
    <row r="968" spans="2:8">
      <c r="B968" t="s">
        <v>443</v>
      </c>
      <c r="C968" t="s">
        <v>44</v>
      </c>
      <c r="D968">
        <v>3070</v>
      </c>
      <c r="E968">
        <v>3070</v>
      </c>
      <c r="F968">
        <v>3070</v>
      </c>
      <c r="G968">
        <v>3070</v>
      </c>
      <c r="H968">
        <v>100</v>
      </c>
    </row>
    <row r="969" spans="2:8">
      <c r="B969" t="s">
        <v>443</v>
      </c>
      <c r="C969" t="s">
        <v>45</v>
      </c>
      <c r="D969">
        <v>3075</v>
      </c>
      <c r="E969">
        <v>3075</v>
      </c>
      <c r="F969">
        <v>3075</v>
      </c>
      <c r="G969">
        <v>3075</v>
      </c>
      <c r="H969">
        <v>200</v>
      </c>
    </row>
    <row r="970" spans="2:8">
      <c r="B970" t="s">
        <v>443</v>
      </c>
      <c r="C970" t="s">
        <v>46</v>
      </c>
      <c r="D970">
        <v>3075</v>
      </c>
      <c r="E970">
        <v>3075</v>
      </c>
      <c r="F970">
        <v>3070</v>
      </c>
      <c r="G970">
        <v>3075</v>
      </c>
      <c r="H970">
        <v>300</v>
      </c>
    </row>
    <row r="971" spans="2:8">
      <c r="B971" t="s">
        <v>443</v>
      </c>
      <c r="C971" t="s">
        <v>47</v>
      </c>
      <c r="D971">
        <v>3075</v>
      </c>
      <c r="E971">
        <v>3080</v>
      </c>
      <c r="F971">
        <v>3075</v>
      </c>
      <c r="G971">
        <v>3080</v>
      </c>
      <c r="H971">
        <v>32100</v>
      </c>
    </row>
    <row r="972" spans="2:8">
      <c r="B972" t="s">
        <v>443</v>
      </c>
      <c r="C972" t="s">
        <v>48</v>
      </c>
      <c r="D972">
        <v>3075</v>
      </c>
      <c r="E972">
        <v>3075</v>
      </c>
      <c r="F972">
        <v>3075</v>
      </c>
      <c r="G972">
        <v>3075</v>
      </c>
      <c r="H972">
        <v>7800</v>
      </c>
    </row>
    <row r="973" spans="2:8">
      <c r="B973" t="s">
        <v>443</v>
      </c>
      <c r="C973" t="s">
        <v>49</v>
      </c>
      <c r="D973">
        <v>3075</v>
      </c>
      <c r="E973">
        <v>3075</v>
      </c>
      <c r="F973">
        <v>3075</v>
      </c>
      <c r="G973">
        <v>3075</v>
      </c>
      <c r="H973">
        <v>6300</v>
      </c>
    </row>
    <row r="974" spans="2:8">
      <c r="B974" t="s">
        <v>443</v>
      </c>
      <c r="C974" t="s">
        <v>50</v>
      </c>
      <c r="D974">
        <v>3075</v>
      </c>
      <c r="E974">
        <v>3075</v>
      </c>
      <c r="F974">
        <v>3075</v>
      </c>
      <c r="G974">
        <v>3075</v>
      </c>
      <c r="H974">
        <v>8700</v>
      </c>
    </row>
    <row r="975" spans="2:8">
      <c r="B975" t="s">
        <v>443</v>
      </c>
      <c r="C975" t="s">
        <v>51</v>
      </c>
      <c r="D975">
        <v>3075</v>
      </c>
      <c r="E975">
        <v>3075</v>
      </c>
      <c r="F975">
        <v>3075</v>
      </c>
      <c r="G975">
        <v>3075</v>
      </c>
      <c r="H975">
        <v>3200</v>
      </c>
    </row>
    <row r="976" spans="2:8">
      <c r="B976" t="s">
        <v>443</v>
      </c>
      <c r="C976" t="s">
        <v>52</v>
      </c>
      <c r="D976">
        <v>3075</v>
      </c>
      <c r="E976">
        <v>3075</v>
      </c>
      <c r="F976">
        <v>3070</v>
      </c>
      <c r="G976">
        <v>3075</v>
      </c>
      <c r="H976">
        <v>6400</v>
      </c>
    </row>
    <row r="977" spans="2:8">
      <c r="B977" t="s">
        <v>443</v>
      </c>
      <c r="C977" t="s">
        <v>53</v>
      </c>
      <c r="D977">
        <v>3075</v>
      </c>
      <c r="E977">
        <v>3075</v>
      </c>
      <c r="F977">
        <v>3070</v>
      </c>
      <c r="G977">
        <v>3075</v>
      </c>
      <c r="H977">
        <v>7100</v>
      </c>
    </row>
    <row r="978" spans="2:8">
      <c r="B978" t="s">
        <v>443</v>
      </c>
      <c r="C978" t="s">
        <v>54</v>
      </c>
      <c r="D978">
        <v>3075</v>
      </c>
      <c r="E978">
        <v>3075</v>
      </c>
      <c r="F978">
        <v>3075</v>
      </c>
      <c r="G978">
        <v>3075</v>
      </c>
      <c r="H978">
        <v>6400</v>
      </c>
    </row>
    <row r="979" spans="2:8">
      <c r="B979" t="s">
        <v>443</v>
      </c>
      <c r="C979" t="s">
        <v>55</v>
      </c>
      <c r="D979">
        <v>3075</v>
      </c>
      <c r="E979">
        <v>3075</v>
      </c>
      <c r="F979">
        <v>3075</v>
      </c>
      <c r="G979">
        <v>3075</v>
      </c>
      <c r="H979">
        <v>17800</v>
      </c>
    </row>
    <row r="980" spans="2:8">
      <c r="B980" t="s">
        <v>443</v>
      </c>
      <c r="C980" t="s">
        <v>56</v>
      </c>
      <c r="D980">
        <v>3075</v>
      </c>
      <c r="E980">
        <v>3085</v>
      </c>
      <c r="F980">
        <v>3075</v>
      </c>
      <c r="G980">
        <v>3080</v>
      </c>
      <c r="H980">
        <v>74700</v>
      </c>
    </row>
    <row r="981" spans="2:8">
      <c r="B981" t="s">
        <v>443</v>
      </c>
      <c r="C981" t="s">
        <v>57</v>
      </c>
      <c r="D981">
        <v>3085</v>
      </c>
      <c r="E981">
        <v>3085</v>
      </c>
      <c r="F981">
        <v>3080</v>
      </c>
      <c r="G981">
        <v>3080</v>
      </c>
      <c r="H981">
        <v>2900</v>
      </c>
    </row>
    <row r="982" spans="2:8">
      <c r="B982" t="s">
        <v>443</v>
      </c>
      <c r="C982" t="s">
        <v>58</v>
      </c>
      <c r="D982">
        <v>3085</v>
      </c>
      <c r="E982">
        <v>3085</v>
      </c>
      <c r="F982">
        <v>3080</v>
      </c>
      <c r="G982">
        <v>3080</v>
      </c>
      <c r="H982">
        <v>300</v>
      </c>
    </row>
    <row r="983" spans="2:8">
      <c r="B983" t="s">
        <v>443</v>
      </c>
      <c r="C983" t="s">
        <v>59</v>
      </c>
      <c r="D983">
        <v>3085</v>
      </c>
      <c r="E983">
        <v>3095</v>
      </c>
      <c r="F983">
        <v>3085</v>
      </c>
      <c r="G983">
        <v>3095</v>
      </c>
      <c r="H983">
        <v>58800</v>
      </c>
    </row>
    <row r="984" spans="2:8">
      <c r="B984" t="s">
        <v>443</v>
      </c>
      <c r="C984" t="s">
        <v>60</v>
      </c>
      <c r="D984">
        <v>3095</v>
      </c>
      <c r="E984">
        <v>3095</v>
      </c>
      <c r="F984">
        <v>3090</v>
      </c>
      <c r="G984">
        <v>3090</v>
      </c>
      <c r="H984">
        <v>3600</v>
      </c>
    </row>
    <row r="985" spans="2:8">
      <c r="B985" t="s">
        <v>443</v>
      </c>
      <c r="C985" t="s">
        <v>61</v>
      </c>
      <c r="D985">
        <v>3090</v>
      </c>
      <c r="E985">
        <v>3100</v>
      </c>
      <c r="F985">
        <v>3090</v>
      </c>
      <c r="G985">
        <v>3100</v>
      </c>
      <c r="H985">
        <v>47200</v>
      </c>
    </row>
    <row r="986" spans="2:8">
      <c r="B986" t="s">
        <v>443</v>
      </c>
      <c r="C986" t="s">
        <v>62</v>
      </c>
      <c r="D986">
        <v>3100</v>
      </c>
      <c r="E986">
        <v>3110</v>
      </c>
      <c r="F986">
        <v>3095</v>
      </c>
      <c r="G986">
        <v>3105</v>
      </c>
      <c r="H986">
        <v>127200</v>
      </c>
    </row>
    <row r="987" spans="2:8">
      <c r="B987" t="s">
        <v>443</v>
      </c>
      <c r="C987" t="s">
        <v>63</v>
      </c>
      <c r="D987">
        <v>3105</v>
      </c>
      <c r="E987">
        <v>3110</v>
      </c>
      <c r="F987">
        <v>3100</v>
      </c>
      <c r="G987">
        <v>3100</v>
      </c>
      <c r="H987">
        <v>21200</v>
      </c>
    </row>
    <row r="988" spans="2:8">
      <c r="B988" t="s">
        <v>443</v>
      </c>
      <c r="C988" t="s">
        <v>64</v>
      </c>
      <c r="D988">
        <v>3105</v>
      </c>
      <c r="E988">
        <v>3110</v>
      </c>
      <c r="F988">
        <v>3100</v>
      </c>
      <c r="G988">
        <v>3110</v>
      </c>
      <c r="H988">
        <v>15100</v>
      </c>
    </row>
    <row r="989" spans="2:8">
      <c r="B989" t="s">
        <v>443</v>
      </c>
      <c r="C989" t="s">
        <v>65</v>
      </c>
      <c r="D989">
        <v>3105</v>
      </c>
      <c r="E989">
        <v>3105</v>
      </c>
      <c r="F989">
        <v>3105</v>
      </c>
      <c r="G989">
        <v>3105</v>
      </c>
      <c r="H989">
        <v>1200</v>
      </c>
    </row>
    <row r="990" spans="2:8">
      <c r="B990" t="s">
        <v>443</v>
      </c>
      <c r="C990" t="s">
        <v>66</v>
      </c>
      <c r="D990">
        <v>3105</v>
      </c>
      <c r="E990">
        <v>3110</v>
      </c>
      <c r="F990">
        <v>3105</v>
      </c>
      <c r="G990">
        <v>3105</v>
      </c>
      <c r="H990">
        <v>17200</v>
      </c>
    </row>
    <row r="991" spans="2:8">
      <c r="B991" t="s">
        <v>443</v>
      </c>
      <c r="C991" t="s">
        <v>164</v>
      </c>
      <c r="D991">
        <v>3105</v>
      </c>
      <c r="E991">
        <v>3110</v>
      </c>
      <c r="F991">
        <v>3100</v>
      </c>
      <c r="G991">
        <v>3100</v>
      </c>
      <c r="H991">
        <v>12300</v>
      </c>
    </row>
    <row r="992" spans="2:8">
      <c r="B992" t="s">
        <v>443</v>
      </c>
      <c r="C992" t="s">
        <v>165</v>
      </c>
      <c r="D992">
        <v>3100</v>
      </c>
      <c r="E992">
        <v>3110</v>
      </c>
      <c r="F992">
        <v>3100</v>
      </c>
      <c r="G992">
        <v>3110</v>
      </c>
      <c r="H992">
        <v>41900</v>
      </c>
    </row>
    <row r="993" spans="2:8">
      <c r="B993" t="s">
        <v>443</v>
      </c>
      <c r="C993" t="s">
        <v>67</v>
      </c>
      <c r="D993" t="s">
        <v>8</v>
      </c>
      <c r="E993" t="s">
        <v>8</v>
      </c>
      <c r="F993" t="s">
        <v>8</v>
      </c>
      <c r="G993" t="s">
        <v>8</v>
      </c>
      <c r="H993">
        <v>0</v>
      </c>
    </row>
    <row r="994" spans="2:8">
      <c r="B994" t="s">
        <v>443</v>
      </c>
      <c r="C994" t="s">
        <v>68</v>
      </c>
      <c r="D994" t="s">
        <v>8</v>
      </c>
      <c r="E994" t="s">
        <v>8</v>
      </c>
      <c r="F994" t="s">
        <v>8</v>
      </c>
      <c r="G994" t="s">
        <v>8</v>
      </c>
      <c r="H994">
        <v>0</v>
      </c>
    </row>
    <row r="995" spans="2:8">
      <c r="B995" t="s">
        <v>443</v>
      </c>
      <c r="C995" t="s">
        <v>69</v>
      </c>
      <c r="D995" t="s">
        <v>8</v>
      </c>
      <c r="E995" t="s">
        <v>8</v>
      </c>
      <c r="F995" t="s">
        <v>8</v>
      </c>
      <c r="G995" t="s">
        <v>8</v>
      </c>
      <c r="H995">
        <v>0</v>
      </c>
    </row>
    <row r="996" spans="2:8">
      <c r="B996" t="s">
        <v>443</v>
      </c>
      <c r="C996" t="s">
        <v>70</v>
      </c>
      <c r="D996" t="s">
        <v>8</v>
      </c>
      <c r="E996" t="s">
        <v>8</v>
      </c>
      <c r="F996" t="s">
        <v>8</v>
      </c>
      <c r="G996" t="s">
        <v>8</v>
      </c>
      <c r="H996">
        <v>0</v>
      </c>
    </row>
    <row r="997" spans="2:8">
      <c r="B997" t="s">
        <v>443</v>
      </c>
      <c r="C997" t="s">
        <v>71</v>
      </c>
      <c r="D997" t="s">
        <v>8</v>
      </c>
      <c r="E997" t="s">
        <v>8</v>
      </c>
      <c r="F997" t="s">
        <v>8</v>
      </c>
      <c r="G997" t="s">
        <v>8</v>
      </c>
      <c r="H997">
        <v>0</v>
      </c>
    </row>
    <row r="998" spans="2:8">
      <c r="B998" t="s">
        <v>443</v>
      </c>
      <c r="C998" t="s">
        <v>72</v>
      </c>
      <c r="D998">
        <v>3110</v>
      </c>
      <c r="E998">
        <v>3110</v>
      </c>
      <c r="F998">
        <v>3110</v>
      </c>
      <c r="G998">
        <v>3110</v>
      </c>
      <c r="H998">
        <v>284500</v>
      </c>
    </row>
    <row r="999" spans="2:8">
      <c r="B999" t="s">
        <v>463</v>
      </c>
      <c r="C999" t="s">
        <v>166</v>
      </c>
      <c r="D999">
        <v>3110</v>
      </c>
      <c r="E999">
        <v>3135</v>
      </c>
      <c r="F999">
        <v>3105</v>
      </c>
      <c r="G999">
        <v>3125</v>
      </c>
      <c r="H999">
        <v>146300</v>
      </c>
    </row>
    <row r="1000" spans="2:8">
      <c r="B1000" t="s">
        <v>463</v>
      </c>
      <c r="C1000" t="s">
        <v>167</v>
      </c>
      <c r="D1000">
        <v>3125</v>
      </c>
      <c r="E1000">
        <v>3155</v>
      </c>
      <c r="F1000">
        <v>3120</v>
      </c>
      <c r="G1000">
        <v>3145</v>
      </c>
      <c r="H1000">
        <v>112400</v>
      </c>
    </row>
    <row r="1001" spans="2:8">
      <c r="B1001" t="s">
        <v>463</v>
      </c>
      <c r="C1001" t="s">
        <v>168</v>
      </c>
      <c r="D1001">
        <v>3150</v>
      </c>
      <c r="E1001">
        <v>3165</v>
      </c>
      <c r="F1001">
        <v>3140</v>
      </c>
      <c r="G1001">
        <v>3160</v>
      </c>
      <c r="H1001">
        <v>65100</v>
      </c>
    </row>
    <row r="1002" spans="2:8">
      <c r="B1002" t="s">
        <v>463</v>
      </c>
      <c r="C1002" t="s">
        <v>169</v>
      </c>
      <c r="D1002">
        <v>3160</v>
      </c>
      <c r="E1002">
        <v>3165</v>
      </c>
      <c r="F1002">
        <v>3140</v>
      </c>
      <c r="G1002">
        <v>3140</v>
      </c>
      <c r="H1002">
        <v>57100</v>
      </c>
    </row>
    <row r="1003" spans="2:8">
      <c r="B1003" t="s">
        <v>463</v>
      </c>
      <c r="C1003" t="s">
        <v>170</v>
      </c>
      <c r="D1003">
        <v>3135</v>
      </c>
      <c r="E1003">
        <v>3140</v>
      </c>
      <c r="F1003">
        <v>3130</v>
      </c>
      <c r="G1003">
        <v>3135</v>
      </c>
      <c r="H1003">
        <v>32100</v>
      </c>
    </row>
    <row r="1004" spans="2:8">
      <c r="B1004" t="s">
        <v>463</v>
      </c>
      <c r="C1004" t="s">
        <v>171</v>
      </c>
      <c r="D1004">
        <v>3140</v>
      </c>
      <c r="E1004">
        <v>3145</v>
      </c>
      <c r="F1004">
        <v>3135</v>
      </c>
      <c r="G1004">
        <v>3145</v>
      </c>
      <c r="H1004">
        <v>19700</v>
      </c>
    </row>
    <row r="1005" spans="2:8">
      <c r="B1005" t="s">
        <v>463</v>
      </c>
      <c r="C1005" t="s">
        <v>172</v>
      </c>
      <c r="D1005">
        <v>3150</v>
      </c>
      <c r="E1005">
        <v>3165</v>
      </c>
      <c r="F1005">
        <v>3145</v>
      </c>
      <c r="G1005">
        <v>3160</v>
      </c>
      <c r="H1005">
        <v>48900</v>
      </c>
    </row>
    <row r="1006" spans="2:8">
      <c r="B1006" t="s">
        <v>463</v>
      </c>
      <c r="C1006" t="s">
        <v>173</v>
      </c>
      <c r="D1006">
        <v>3165</v>
      </c>
      <c r="E1006">
        <v>3210</v>
      </c>
      <c r="F1006">
        <v>3165</v>
      </c>
      <c r="G1006">
        <v>3205</v>
      </c>
      <c r="H1006">
        <v>230800</v>
      </c>
    </row>
    <row r="1007" spans="2:8">
      <c r="B1007" t="s">
        <v>463</v>
      </c>
      <c r="C1007" t="s">
        <v>174</v>
      </c>
      <c r="D1007">
        <v>3205</v>
      </c>
      <c r="E1007">
        <v>3205</v>
      </c>
      <c r="F1007">
        <v>3185</v>
      </c>
      <c r="G1007">
        <v>3190</v>
      </c>
      <c r="H1007">
        <v>67500</v>
      </c>
    </row>
    <row r="1008" spans="2:8">
      <c r="B1008" t="s">
        <v>463</v>
      </c>
      <c r="C1008" t="s">
        <v>175</v>
      </c>
      <c r="D1008">
        <v>3190</v>
      </c>
      <c r="E1008">
        <v>3210</v>
      </c>
      <c r="F1008">
        <v>3185</v>
      </c>
      <c r="G1008">
        <v>3205</v>
      </c>
      <c r="H1008">
        <v>56900</v>
      </c>
    </row>
    <row r="1009" spans="2:8">
      <c r="B1009" t="s">
        <v>463</v>
      </c>
      <c r="C1009" t="s">
        <v>176</v>
      </c>
      <c r="D1009">
        <v>3205</v>
      </c>
      <c r="E1009">
        <v>3210</v>
      </c>
      <c r="F1009">
        <v>3200</v>
      </c>
      <c r="G1009">
        <v>3210</v>
      </c>
      <c r="H1009">
        <v>42100</v>
      </c>
    </row>
    <row r="1010" spans="2:8">
      <c r="B1010" t="s">
        <v>463</v>
      </c>
      <c r="C1010" t="s">
        <v>177</v>
      </c>
      <c r="D1010">
        <v>3210</v>
      </c>
      <c r="E1010">
        <v>3230</v>
      </c>
      <c r="F1010">
        <v>3200</v>
      </c>
      <c r="G1010">
        <v>3230</v>
      </c>
      <c r="H1010">
        <v>96300</v>
      </c>
    </row>
    <row r="1011" spans="2:8">
      <c r="B1011" t="s">
        <v>463</v>
      </c>
      <c r="C1011" t="s">
        <v>178</v>
      </c>
      <c r="D1011">
        <v>3230</v>
      </c>
      <c r="E1011">
        <v>3230</v>
      </c>
      <c r="F1011">
        <v>3215</v>
      </c>
      <c r="G1011">
        <v>3220</v>
      </c>
      <c r="H1011">
        <v>48000</v>
      </c>
    </row>
    <row r="1012" spans="2:8">
      <c r="B1012" t="s">
        <v>463</v>
      </c>
      <c r="C1012" t="s">
        <v>179</v>
      </c>
      <c r="D1012">
        <v>3215</v>
      </c>
      <c r="E1012">
        <v>3225</v>
      </c>
      <c r="F1012">
        <v>3215</v>
      </c>
      <c r="G1012">
        <v>3225</v>
      </c>
      <c r="H1012">
        <v>21700</v>
      </c>
    </row>
    <row r="1013" spans="2:8">
      <c r="B1013" t="s">
        <v>463</v>
      </c>
      <c r="C1013" t="s">
        <v>180</v>
      </c>
      <c r="D1013">
        <v>3225</v>
      </c>
      <c r="E1013">
        <v>3235</v>
      </c>
      <c r="F1013">
        <v>3200</v>
      </c>
      <c r="G1013">
        <v>3210</v>
      </c>
      <c r="H1013">
        <v>95100</v>
      </c>
    </row>
    <row r="1014" spans="2:8">
      <c r="B1014" t="s">
        <v>463</v>
      </c>
      <c r="C1014" t="s">
        <v>181</v>
      </c>
      <c r="D1014">
        <v>3205</v>
      </c>
      <c r="E1014">
        <v>3215</v>
      </c>
      <c r="F1014">
        <v>3200</v>
      </c>
      <c r="G1014">
        <v>3215</v>
      </c>
      <c r="H1014">
        <v>19200</v>
      </c>
    </row>
    <row r="1015" spans="2:8">
      <c r="B1015" t="s">
        <v>463</v>
      </c>
      <c r="C1015" t="s">
        <v>182</v>
      </c>
      <c r="D1015">
        <v>3215</v>
      </c>
      <c r="E1015">
        <v>3225</v>
      </c>
      <c r="F1015">
        <v>3205</v>
      </c>
      <c r="G1015">
        <v>3220</v>
      </c>
      <c r="H1015">
        <v>38800</v>
      </c>
    </row>
    <row r="1016" spans="2:8">
      <c r="B1016" t="s">
        <v>463</v>
      </c>
      <c r="C1016" t="s">
        <v>183</v>
      </c>
      <c r="D1016">
        <v>3225</v>
      </c>
      <c r="E1016">
        <v>3225</v>
      </c>
      <c r="F1016">
        <v>3215</v>
      </c>
      <c r="G1016">
        <v>3220</v>
      </c>
      <c r="H1016">
        <v>32900</v>
      </c>
    </row>
    <row r="1017" spans="2:8">
      <c r="B1017" t="s">
        <v>463</v>
      </c>
      <c r="C1017" t="s">
        <v>184</v>
      </c>
      <c r="D1017">
        <v>3220</v>
      </c>
      <c r="E1017">
        <v>3225</v>
      </c>
      <c r="F1017">
        <v>3220</v>
      </c>
      <c r="G1017">
        <v>3220</v>
      </c>
      <c r="H1017">
        <v>19900</v>
      </c>
    </row>
    <row r="1018" spans="2:8">
      <c r="B1018" t="s">
        <v>463</v>
      </c>
      <c r="C1018" t="s">
        <v>185</v>
      </c>
      <c r="D1018">
        <v>3220</v>
      </c>
      <c r="E1018">
        <v>3230</v>
      </c>
      <c r="F1018">
        <v>3215</v>
      </c>
      <c r="G1018">
        <v>3220</v>
      </c>
      <c r="H1018">
        <v>19500</v>
      </c>
    </row>
    <row r="1019" spans="2:8">
      <c r="B1019" t="s">
        <v>463</v>
      </c>
      <c r="C1019" t="s">
        <v>186</v>
      </c>
      <c r="D1019">
        <v>3220</v>
      </c>
      <c r="E1019">
        <v>3230</v>
      </c>
      <c r="F1019">
        <v>3215</v>
      </c>
      <c r="G1019">
        <v>3220</v>
      </c>
      <c r="H1019">
        <v>42500</v>
      </c>
    </row>
    <row r="1020" spans="2:8">
      <c r="B1020" t="s">
        <v>463</v>
      </c>
      <c r="C1020" t="s">
        <v>187</v>
      </c>
      <c r="D1020">
        <v>3215</v>
      </c>
      <c r="E1020">
        <v>3220</v>
      </c>
      <c r="F1020">
        <v>3210</v>
      </c>
      <c r="G1020">
        <v>3210</v>
      </c>
      <c r="H1020">
        <v>23800</v>
      </c>
    </row>
    <row r="1021" spans="2:8">
      <c r="B1021" t="s">
        <v>463</v>
      </c>
      <c r="C1021" t="s">
        <v>188</v>
      </c>
      <c r="D1021">
        <v>3220</v>
      </c>
      <c r="E1021">
        <v>3225</v>
      </c>
      <c r="F1021">
        <v>3210</v>
      </c>
      <c r="G1021">
        <v>3225</v>
      </c>
      <c r="H1021">
        <v>36300</v>
      </c>
    </row>
    <row r="1022" spans="2:8">
      <c r="B1022" t="s">
        <v>463</v>
      </c>
      <c r="C1022" t="s">
        <v>189</v>
      </c>
      <c r="D1022">
        <v>3225</v>
      </c>
      <c r="E1022">
        <v>3225</v>
      </c>
      <c r="F1022">
        <v>3220</v>
      </c>
      <c r="G1022">
        <v>3225</v>
      </c>
      <c r="H1022">
        <v>21100</v>
      </c>
    </row>
    <row r="1023" spans="2:8">
      <c r="B1023" t="s">
        <v>463</v>
      </c>
      <c r="C1023" t="s">
        <v>190</v>
      </c>
      <c r="D1023">
        <v>3225</v>
      </c>
      <c r="E1023">
        <v>3225</v>
      </c>
      <c r="F1023">
        <v>3215</v>
      </c>
      <c r="G1023">
        <v>3220</v>
      </c>
      <c r="H1023">
        <v>21300</v>
      </c>
    </row>
    <row r="1024" spans="2:8">
      <c r="B1024" t="s">
        <v>463</v>
      </c>
      <c r="C1024" t="s">
        <v>191</v>
      </c>
      <c r="D1024">
        <v>3215</v>
      </c>
      <c r="E1024">
        <v>3220</v>
      </c>
      <c r="F1024">
        <v>3210</v>
      </c>
      <c r="G1024">
        <v>3215</v>
      </c>
      <c r="H1024">
        <v>15600</v>
      </c>
    </row>
    <row r="1025" spans="2:8">
      <c r="B1025" t="s">
        <v>463</v>
      </c>
      <c r="C1025" t="s">
        <v>192</v>
      </c>
      <c r="D1025">
        <v>3215</v>
      </c>
      <c r="E1025">
        <v>3215</v>
      </c>
      <c r="F1025">
        <v>3210</v>
      </c>
      <c r="G1025">
        <v>3210</v>
      </c>
      <c r="H1025">
        <v>9700</v>
      </c>
    </row>
    <row r="1026" spans="2:8">
      <c r="B1026" t="s">
        <v>463</v>
      </c>
      <c r="C1026" t="s">
        <v>193</v>
      </c>
      <c r="D1026">
        <v>3215</v>
      </c>
      <c r="E1026">
        <v>3215</v>
      </c>
      <c r="F1026">
        <v>3210</v>
      </c>
      <c r="G1026">
        <v>3215</v>
      </c>
      <c r="H1026">
        <v>10400</v>
      </c>
    </row>
    <row r="1027" spans="2:8">
      <c r="B1027" t="s">
        <v>463</v>
      </c>
      <c r="C1027" t="s">
        <v>194</v>
      </c>
      <c r="D1027">
        <v>3210</v>
      </c>
      <c r="E1027">
        <v>3215</v>
      </c>
      <c r="F1027">
        <v>3205</v>
      </c>
      <c r="G1027">
        <v>3205</v>
      </c>
      <c r="H1027">
        <v>18700</v>
      </c>
    </row>
    <row r="1028" spans="2:8">
      <c r="B1028" t="s">
        <v>463</v>
      </c>
      <c r="C1028" t="s">
        <v>195</v>
      </c>
      <c r="D1028">
        <v>3210</v>
      </c>
      <c r="E1028">
        <v>3215</v>
      </c>
      <c r="F1028">
        <v>3205</v>
      </c>
      <c r="G1028">
        <v>3210</v>
      </c>
      <c r="H1028">
        <v>13000</v>
      </c>
    </row>
    <row r="1029" spans="2:8">
      <c r="B1029" t="s">
        <v>463</v>
      </c>
      <c r="C1029" t="s">
        <v>196</v>
      </c>
      <c r="D1029">
        <v>3215</v>
      </c>
      <c r="E1029">
        <v>3220</v>
      </c>
      <c r="F1029">
        <v>3215</v>
      </c>
      <c r="G1029">
        <v>3215</v>
      </c>
      <c r="H1029">
        <v>13400</v>
      </c>
    </row>
    <row r="1030" spans="2:8">
      <c r="B1030" t="s">
        <v>463</v>
      </c>
      <c r="C1030" t="s">
        <v>197</v>
      </c>
      <c r="D1030">
        <v>3215</v>
      </c>
      <c r="E1030">
        <v>3215</v>
      </c>
      <c r="F1030">
        <v>3210</v>
      </c>
      <c r="G1030">
        <v>3215</v>
      </c>
      <c r="H1030">
        <v>22500</v>
      </c>
    </row>
    <row r="1031" spans="2:8">
      <c r="B1031" t="s">
        <v>463</v>
      </c>
      <c r="C1031" t="s">
        <v>198</v>
      </c>
      <c r="D1031">
        <v>3215</v>
      </c>
      <c r="E1031">
        <v>3225</v>
      </c>
      <c r="F1031">
        <v>3215</v>
      </c>
      <c r="G1031">
        <v>3215</v>
      </c>
      <c r="H1031">
        <v>36100</v>
      </c>
    </row>
    <row r="1032" spans="2:8">
      <c r="B1032" t="s">
        <v>463</v>
      </c>
      <c r="C1032" t="s">
        <v>199</v>
      </c>
      <c r="D1032">
        <v>3220</v>
      </c>
      <c r="E1032">
        <v>3225</v>
      </c>
      <c r="F1032">
        <v>3210</v>
      </c>
      <c r="G1032">
        <v>3215</v>
      </c>
      <c r="H1032">
        <v>26800</v>
      </c>
    </row>
    <row r="1033" spans="2:8">
      <c r="B1033" t="s">
        <v>463</v>
      </c>
      <c r="C1033" t="s">
        <v>200</v>
      </c>
      <c r="D1033">
        <v>3215</v>
      </c>
      <c r="E1033">
        <v>3230</v>
      </c>
      <c r="F1033">
        <v>3215</v>
      </c>
      <c r="G1033">
        <v>3225</v>
      </c>
      <c r="H1033">
        <v>40100</v>
      </c>
    </row>
    <row r="1034" spans="2:8">
      <c r="B1034" t="s">
        <v>463</v>
      </c>
      <c r="C1034" t="s">
        <v>201</v>
      </c>
      <c r="D1034">
        <v>3225</v>
      </c>
      <c r="E1034">
        <v>3235</v>
      </c>
      <c r="F1034">
        <v>3225</v>
      </c>
      <c r="G1034">
        <v>3235</v>
      </c>
      <c r="H1034">
        <v>33800</v>
      </c>
    </row>
    <row r="1035" spans="2:8">
      <c r="B1035" t="s">
        <v>463</v>
      </c>
      <c r="C1035" t="s">
        <v>202</v>
      </c>
      <c r="D1035">
        <v>3235</v>
      </c>
      <c r="E1035">
        <v>3250</v>
      </c>
      <c r="F1035">
        <v>3235</v>
      </c>
      <c r="G1035">
        <v>3245</v>
      </c>
      <c r="H1035">
        <v>106900</v>
      </c>
    </row>
    <row r="1036" spans="2:8">
      <c r="B1036" t="s">
        <v>463</v>
      </c>
      <c r="C1036" t="s">
        <v>203</v>
      </c>
      <c r="D1036">
        <v>3245</v>
      </c>
      <c r="E1036">
        <v>3250</v>
      </c>
      <c r="F1036">
        <v>3245</v>
      </c>
      <c r="G1036">
        <v>3250</v>
      </c>
      <c r="H1036">
        <v>24300</v>
      </c>
    </row>
    <row r="1037" spans="2:8">
      <c r="B1037" t="s">
        <v>463</v>
      </c>
      <c r="C1037" t="s">
        <v>204</v>
      </c>
      <c r="D1037">
        <v>3250</v>
      </c>
      <c r="E1037">
        <v>3250</v>
      </c>
      <c r="F1037">
        <v>3240</v>
      </c>
      <c r="G1037">
        <v>3245</v>
      </c>
      <c r="H1037">
        <v>30300</v>
      </c>
    </row>
    <row r="1038" spans="2:8">
      <c r="B1038" t="s">
        <v>463</v>
      </c>
      <c r="C1038" t="s">
        <v>205</v>
      </c>
      <c r="D1038">
        <v>3245</v>
      </c>
      <c r="E1038">
        <v>3250</v>
      </c>
      <c r="F1038">
        <v>3240</v>
      </c>
      <c r="G1038">
        <v>3250</v>
      </c>
      <c r="H1038">
        <v>30900</v>
      </c>
    </row>
    <row r="1039" spans="2:8">
      <c r="B1039" t="s">
        <v>463</v>
      </c>
      <c r="C1039" t="s">
        <v>206</v>
      </c>
      <c r="D1039">
        <v>3250</v>
      </c>
      <c r="E1039">
        <v>3250</v>
      </c>
      <c r="F1039">
        <v>3245</v>
      </c>
      <c r="G1039">
        <v>3250</v>
      </c>
      <c r="H1039">
        <v>36700</v>
      </c>
    </row>
    <row r="1040" spans="2:8">
      <c r="B1040" t="s">
        <v>463</v>
      </c>
      <c r="C1040" t="s">
        <v>207</v>
      </c>
      <c r="D1040">
        <v>3255</v>
      </c>
      <c r="E1040">
        <v>3255</v>
      </c>
      <c r="F1040">
        <v>3245</v>
      </c>
      <c r="G1040">
        <v>3255</v>
      </c>
      <c r="H1040">
        <v>34000</v>
      </c>
    </row>
    <row r="1041" spans="2:8">
      <c r="B1041" t="s">
        <v>463</v>
      </c>
      <c r="C1041" t="s">
        <v>208</v>
      </c>
      <c r="D1041">
        <v>3250</v>
      </c>
      <c r="E1041">
        <v>3265</v>
      </c>
      <c r="F1041">
        <v>3250</v>
      </c>
      <c r="G1041">
        <v>3265</v>
      </c>
      <c r="H1041">
        <v>51600</v>
      </c>
    </row>
    <row r="1042" spans="2:8">
      <c r="B1042" t="s">
        <v>463</v>
      </c>
      <c r="C1042" t="s">
        <v>209</v>
      </c>
      <c r="D1042">
        <v>3265</v>
      </c>
      <c r="E1042">
        <v>3275</v>
      </c>
      <c r="F1042">
        <v>3265</v>
      </c>
      <c r="G1042">
        <v>3275</v>
      </c>
      <c r="H1042">
        <v>100300</v>
      </c>
    </row>
    <row r="1043" spans="2:8">
      <c r="B1043" t="s">
        <v>463</v>
      </c>
      <c r="C1043" t="s">
        <v>210</v>
      </c>
      <c r="D1043">
        <v>3275</v>
      </c>
      <c r="E1043">
        <v>3275</v>
      </c>
      <c r="F1043">
        <v>3265</v>
      </c>
      <c r="G1043">
        <v>3270</v>
      </c>
      <c r="H1043">
        <v>51700</v>
      </c>
    </row>
    <row r="1044" spans="2:8">
      <c r="B1044" t="s">
        <v>463</v>
      </c>
      <c r="C1044" t="s">
        <v>211</v>
      </c>
      <c r="D1044">
        <v>3275</v>
      </c>
      <c r="E1044">
        <v>3275</v>
      </c>
      <c r="F1044">
        <v>3270</v>
      </c>
      <c r="G1044">
        <v>3270</v>
      </c>
      <c r="H1044">
        <v>33800</v>
      </c>
    </row>
    <row r="1045" spans="2:8">
      <c r="B1045" t="s">
        <v>463</v>
      </c>
      <c r="C1045" t="s">
        <v>212</v>
      </c>
      <c r="D1045">
        <v>3270</v>
      </c>
      <c r="E1045">
        <v>3270</v>
      </c>
      <c r="F1045">
        <v>3260</v>
      </c>
      <c r="G1045">
        <v>3260</v>
      </c>
      <c r="H1045">
        <v>37100</v>
      </c>
    </row>
    <row r="1046" spans="2:8">
      <c r="B1046" t="s">
        <v>463</v>
      </c>
      <c r="C1046" t="s">
        <v>213</v>
      </c>
      <c r="D1046">
        <v>3265</v>
      </c>
      <c r="E1046">
        <v>3270</v>
      </c>
      <c r="F1046">
        <v>3260</v>
      </c>
      <c r="G1046">
        <v>3260</v>
      </c>
      <c r="H1046">
        <v>25800</v>
      </c>
    </row>
    <row r="1047" spans="2:8">
      <c r="B1047" t="s">
        <v>463</v>
      </c>
      <c r="C1047" t="s">
        <v>214</v>
      </c>
      <c r="D1047">
        <v>3260</v>
      </c>
      <c r="E1047">
        <v>3265</v>
      </c>
      <c r="F1047">
        <v>3260</v>
      </c>
      <c r="G1047">
        <v>3260</v>
      </c>
      <c r="H1047">
        <v>38800</v>
      </c>
    </row>
    <row r="1048" spans="2:8">
      <c r="B1048" t="s">
        <v>463</v>
      </c>
      <c r="C1048" t="s">
        <v>215</v>
      </c>
      <c r="D1048">
        <v>3260</v>
      </c>
      <c r="E1048">
        <v>3265</v>
      </c>
      <c r="F1048">
        <v>3260</v>
      </c>
      <c r="G1048">
        <v>3265</v>
      </c>
      <c r="H1048">
        <v>37600</v>
      </c>
    </row>
    <row r="1049" spans="2:8">
      <c r="B1049" t="s">
        <v>463</v>
      </c>
      <c r="C1049" t="s">
        <v>216</v>
      </c>
      <c r="D1049">
        <v>3260</v>
      </c>
      <c r="E1049">
        <v>3275</v>
      </c>
      <c r="F1049">
        <v>3260</v>
      </c>
      <c r="G1049">
        <v>3270</v>
      </c>
      <c r="H1049">
        <v>32700</v>
      </c>
    </row>
    <row r="1050" spans="2:8">
      <c r="B1050" t="s">
        <v>463</v>
      </c>
      <c r="C1050" t="s">
        <v>217</v>
      </c>
      <c r="D1050">
        <v>3270</v>
      </c>
      <c r="E1050">
        <v>3275</v>
      </c>
      <c r="F1050">
        <v>3265</v>
      </c>
      <c r="G1050">
        <v>3265</v>
      </c>
      <c r="H1050">
        <v>13600</v>
      </c>
    </row>
    <row r="1051" spans="2:8">
      <c r="B1051" t="s">
        <v>463</v>
      </c>
      <c r="C1051" t="s">
        <v>218</v>
      </c>
      <c r="D1051">
        <v>3265</v>
      </c>
      <c r="E1051">
        <v>3265</v>
      </c>
      <c r="F1051">
        <v>3255</v>
      </c>
      <c r="G1051">
        <v>3260</v>
      </c>
      <c r="H1051">
        <v>37700</v>
      </c>
    </row>
    <row r="1052" spans="2:8">
      <c r="B1052" t="s">
        <v>463</v>
      </c>
      <c r="C1052" t="s">
        <v>219</v>
      </c>
      <c r="D1052">
        <v>3260</v>
      </c>
      <c r="E1052">
        <v>3265</v>
      </c>
      <c r="F1052">
        <v>3260</v>
      </c>
      <c r="G1052">
        <v>3260</v>
      </c>
      <c r="H1052">
        <v>10500</v>
      </c>
    </row>
    <row r="1053" spans="2:8">
      <c r="B1053" t="s">
        <v>463</v>
      </c>
      <c r="C1053" t="s">
        <v>220</v>
      </c>
      <c r="D1053">
        <v>3260</v>
      </c>
      <c r="E1053">
        <v>3265</v>
      </c>
      <c r="F1053">
        <v>3255</v>
      </c>
      <c r="G1053">
        <v>3255</v>
      </c>
      <c r="H1053">
        <v>11700</v>
      </c>
    </row>
    <row r="1054" spans="2:8">
      <c r="B1054" t="s">
        <v>463</v>
      </c>
      <c r="C1054" t="s">
        <v>221</v>
      </c>
      <c r="D1054">
        <v>3255</v>
      </c>
      <c r="E1054">
        <v>3260</v>
      </c>
      <c r="F1054">
        <v>3255</v>
      </c>
      <c r="G1054">
        <v>3255</v>
      </c>
      <c r="H1054">
        <v>5900</v>
      </c>
    </row>
    <row r="1055" spans="2:8">
      <c r="B1055" t="s">
        <v>463</v>
      </c>
      <c r="C1055" t="s">
        <v>222</v>
      </c>
      <c r="D1055">
        <v>3255</v>
      </c>
      <c r="E1055">
        <v>3255</v>
      </c>
      <c r="F1055">
        <v>3235</v>
      </c>
      <c r="G1055">
        <v>3235</v>
      </c>
      <c r="H1055">
        <v>54500</v>
      </c>
    </row>
    <row r="1056" spans="2:8">
      <c r="B1056" t="s">
        <v>463</v>
      </c>
      <c r="C1056" t="s">
        <v>223</v>
      </c>
      <c r="D1056">
        <v>3235</v>
      </c>
      <c r="E1056">
        <v>3240</v>
      </c>
      <c r="F1056">
        <v>3235</v>
      </c>
      <c r="G1056">
        <v>3240</v>
      </c>
      <c r="H1056">
        <v>15500</v>
      </c>
    </row>
    <row r="1057" spans="2:8">
      <c r="B1057" t="s">
        <v>463</v>
      </c>
      <c r="C1057" t="s">
        <v>224</v>
      </c>
      <c r="D1057">
        <v>3240</v>
      </c>
      <c r="E1057">
        <v>3245</v>
      </c>
      <c r="F1057">
        <v>3235</v>
      </c>
      <c r="G1057">
        <v>3240</v>
      </c>
      <c r="H1057">
        <v>22700</v>
      </c>
    </row>
    <row r="1058" spans="2:8">
      <c r="B1058" t="s">
        <v>463</v>
      </c>
      <c r="C1058" t="s">
        <v>225</v>
      </c>
      <c r="D1058">
        <v>3240</v>
      </c>
      <c r="E1058">
        <v>3250</v>
      </c>
      <c r="F1058">
        <v>3235</v>
      </c>
      <c r="G1058">
        <v>3245</v>
      </c>
      <c r="H1058">
        <v>32200</v>
      </c>
    </row>
    <row r="1059" spans="2:8">
      <c r="B1059" t="s">
        <v>463</v>
      </c>
      <c r="C1059" t="s">
        <v>226</v>
      </c>
      <c r="D1059">
        <v>3240</v>
      </c>
      <c r="E1059">
        <v>3245</v>
      </c>
      <c r="F1059">
        <v>3235</v>
      </c>
      <c r="G1059">
        <v>3235</v>
      </c>
      <c r="H1059">
        <v>9900</v>
      </c>
    </row>
    <row r="1060" spans="2:8">
      <c r="B1060" t="s">
        <v>463</v>
      </c>
      <c r="C1060" t="s">
        <v>227</v>
      </c>
      <c r="D1060">
        <v>3235</v>
      </c>
      <c r="E1060">
        <v>3235</v>
      </c>
      <c r="F1060">
        <v>3225</v>
      </c>
      <c r="G1060">
        <v>3225</v>
      </c>
      <c r="H1060">
        <v>18700</v>
      </c>
    </row>
    <row r="1061" spans="2:8">
      <c r="B1061" t="s">
        <v>463</v>
      </c>
      <c r="C1061" t="s">
        <v>228</v>
      </c>
      <c r="D1061">
        <v>3230</v>
      </c>
      <c r="E1061">
        <v>3235</v>
      </c>
      <c r="F1061">
        <v>3230</v>
      </c>
      <c r="G1061">
        <v>3235</v>
      </c>
      <c r="H1061">
        <v>10600</v>
      </c>
    </row>
    <row r="1062" spans="2:8">
      <c r="B1062" t="s">
        <v>463</v>
      </c>
      <c r="C1062" t="s">
        <v>229</v>
      </c>
      <c r="D1062">
        <v>3230</v>
      </c>
      <c r="E1062">
        <v>3240</v>
      </c>
      <c r="F1062">
        <v>3230</v>
      </c>
      <c r="G1062">
        <v>3240</v>
      </c>
      <c r="H1062">
        <v>17800</v>
      </c>
    </row>
    <row r="1063" spans="2:8">
      <c r="B1063" t="s">
        <v>463</v>
      </c>
      <c r="C1063" t="s">
        <v>230</v>
      </c>
      <c r="D1063">
        <v>3240</v>
      </c>
      <c r="E1063">
        <v>3240</v>
      </c>
      <c r="F1063">
        <v>3230</v>
      </c>
      <c r="G1063">
        <v>3235</v>
      </c>
      <c r="H1063">
        <v>24600</v>
      </c>
    </row>
    <row r="1064" spans="2:8">
      <c r="B1064" t="s">
        <v>463</v>
      </c>
      <c r="C1064" t="s">
        <v>231</v>
      </c>
      <c r="D1064">
        <v>3240</v>
      </c>
      <c r="E1064">
        <v>3240</v>
      </c>
      <c r="F1064">
        <v>3235</v>
      </c>
      <c r="G1064">
        <v>3235</v>
      </c>
      <c r="H1064">
        <v>6900</v>
      </c>
    </row>
    <row r="1065" spans="2:8">
      <c r="B1065" t="s">
        <v>463</v>
      </c>
      <c r="C1065" t="s">
        <v>232</v>
      </c>
      <c r="D1065">
        <v>3240</v>
      </c>
      <c r="E1065">
        <v>3245</v>
      </c>
      <c r="F1065">
        <v>3240</v>
      </c>
      <c r="G1065">
        <v>3240</v>
      </c>
      <c r="H1065">
        <v>9900</v>
      </c>
    </row>
    <row r="1066" spans="2:8">
      <c r="B1066" t="s">
        <v>463</v>
      </c>
      <c r="C1066" t="s">
        <v>233</v>
      </c>
      <c r="D1066">
        <v>3240</v>
      </c>
      <c r="E1066">
        <v>3245</v>
      </c>
      <c r="F1066">
        <v>3240</v>
      </c>
      <c r="G1066">
        <v>3245</v>
      </c>
      <c r="H1066">
        <v>7100</v>
      </c>
    </row>
    <row r="1067" spans="2:8">
      <c r="B1067" t="s">
        <v>463</v>
      </c>
      <c r="C1067" t="s">
        <v>234</v>
      </c>
      <c r="D1067">
        <v>3240</v>
      </c>
      <c r="E1067">
        <v>3250</v>
      </c>
      <c r="F1067">
        <v>3240</v>
      </c>
      <c r="G1067">
        <v>3250</v>
      </c>
      <c r="H1067">
        <v>13000</v>
      </c>
    </row>
    <row r="1068" spans="2:8">
      <c r="B1068" t="s">
        <v>463</v>
      </c>
      <c r="C1068" t="s">
        <v>235</v>
      </c>
      <c r="D1068">
        <v>3250</v>
      </c>
      <c r="E1068">
        <v>3250</v>
      </c>
      <c r="F1068">
        <v>3240</v>
      </c>
      <c r="G1068">
        <v>3245</v>
      </c>
      <c r="H1068">
        <v>14500</v>
      </c>
    </row>
    <row r="1069" spans="2:8">
      <c r="B1069" t="s">
        <v>463</v>
      </c>
      <c r="C1069" t="s">
        <v>236</v>
      </c>
      <c r="D1069">
        <v>3245</v>
      </c>
      <c r="E1069">
        <v>3245</v>
      </c>
      <c r="F1069">
        <v>3240</v>
      </c>
      <c r="G1069">
        <v>3240</v>
      </c>
      <c r="H1069">
        <v>8600</v>
      </c>
    </row>
    <row r="1070" spans="2:8">
      <c r="B1070" t="s">
        <v>463</v>
      </c>
      <c r="C1070" t="s">
        <v>237</v>
      </c>
      <c r="D1070">
        <v>3245</v>
      </c>
      <c r="E1070">
        <v>3245</v>
      </c>
      <c r="F1070">
        <v>3235</v>
      </c>
      <c r="G1070">
        <v>3240</v>
      </c>
      <c r="H1070">
        <v>7800</v>
      </c>
    </row>
    <row r="1071" spans="2:8">
      <c r="B1071" t="s">
        <v>463</v>
      </c>
      <c r="C1071" t="s">
        <v>238</v>
      </c>
      <c r="D1071">
        <v>3240</v>
      </c>
      <c r="E1071">
        <v>3240</v>
      </c>
      <c r="F1071">
        <v>3240</v>
      </c>
      <c r="G1071">
        <v>3240</v>
      </c>
      <c r="H1071">
        <v>1600</v>
      </c>
    </row>
    <row r="1072" spans="2:8">
      <c r="B1072" t="s">
        <v>463</v>
      </c>
      <c r="C1072" t="s">
        <v>239</v>
      </c>
      <c r="D1072">
        <v>3240</v>
      </c>
      <c r="E1072">
        <v>3240</v>
      </c>
      <c r="F1072">
        <v>3235</v>
      </c>
      <c r="G1072">
        <v>3240</v>
      </c>
      <c r="H1072">
        <v>5000</v>
      </c>
    </row>
    <row r="1073" spans="2:8">
      <c r="B1073" t="s">
        <v>463</v>
      </c>
      <c r="C1073" t="s">
        <v>240</v>
      </c>
      <c r="D1073">
        <v>3240</v>
      </c>
      <c r="E1073">
        <v>3240</v>
      </c>
      <c r="F1073">
        <v>3235</v>
      </c>
      <c r="G1073">
        <v>3235</v>
      </c>
      <c r="H1073">
        <v>1000</v>
      </c>
    </row>
    <row r="1074" spans="2:8">
      <c r="B1074" t="s">
        <v>463</v>
      </c>
      <c r="C1074" t="s">
        <v>241</v>
      </c>
      <c r="D1074">
        <v>3235</v>
      </c>
      <c r="E1074">
        <v>3240</v>
      </c>
      <c r="F1074">
        <v>3235</v>
      </c>
      <c r="G1074">
        <v>3235</v>
      </c>
      <c r="H1074">
        <v>15500</v>
      </c>
    </row>
    <row r="1075" spans="2:8">
      <c r="B1075" t="s">
        <v>463</v>
      </c>
      <c r="C1075" t="s">
        <v>242</v>
      </c>
      <c r="D1075">
        <v>3235</v>
      </c>
      <c r="E1075">
        <v>3245</v>
      </c>
      <c r="F1075">
        <v>3235</v>
      </c>
      <c r="G1075">
        <v>3245</v>
      </c>
      <c r="H1075">
        <v>9900</v>
      </c>
    </row>
    <row r="1076" spans="2:8">
      <c r="B1076" t="s">
        <v>463</v>
      </c>
      <c r="C1076" t="s">
        <v>243</v>
      </c>
      <c r="D1076">
        <v>3240</v>
      </c>
      <c r="E1076">
        <v>3245</v>
      </c>
      <c r="F1076">
        <v>3240</v>
      </c>
      <c r="G1076">
        <v>3240</v>
      </c>
      <c r="H1076">
        <v>10800</v>
      </c>
    </row>
    <row r="1077" spans="2:8">
      <c r="B1077" t="s">
        <v>463</v>
      </c>
      <c r="C1077" t="s">
        <v>244</v>
      </c>
      <c r="D1077">
        <v>3240</v>
      </c>
      <c r="E1077">
        <v>3245</v>
      </c>
      <c r="F1077">
        <v>3240</v>
      </c>
      <c r="G1077">
        <v>3245</v>
      </c>
      <c r="H1077">
        <v>3100</v>
      </c>
    </row>
    <row r="1078" spans="2:8">
      <c r="B1078" t="s">
        <v>463</v>
      </c>
      <c r="C1078" t="s">
        <v>245</v>
      </c>
      <c r="D1078">
        <v>3245</v>
      </c>
      <c r="E1078">
        <v>3245</v>
      </c>
      <c r="F1078">
        <v>3240</v>
      </c>
      <c r="G1078">
        <v>3245</v>
      </c>
      <c r="H1078">
        <v>1200</v>
      </c>
    </row>
    <row r="1079" spans="2:8">
      <c r="B1079" t="s">
        <v>463</v>
      </c>
      <c r="C1079" t="s">
        <v>246</v>
      </c>
      <c r="D1079">
        <v>3240</v>
      </c>
      <c r="E1079">
        <v>3240</v>
      </c>
      <c r="F1079">
        <v>3240</v>
      </c>
      <c r="G1079">
        <v>3240</v>
      </c>
      <c r="H1079">
        <v>8100</v>
      </c>
    </row>
    <row r="1080" spans="2:8">
      <c r="B1080" t="s">
        <v>463</v>
      </c>
      <c r="C1080" t="s">
        <v>247</v>
      </c>
      <c r="D1080">
        <v>3235</v>
      </c>
      <c r="E1080">
        <v>3235</v>
      </c>
      <c r="F1080">
        <v>3230</v>
      </c>
      <c r="G1080">
        <v>3235</v>
      </c>
      <c r="H1080">
        <v>13800</v>
      </c>
    </row>
    <row r="1081" spans="2:8">
      <c r="B1081" t="s">
        <v>463</v>
      </c>
      <c r="C1081" t="s">
        <v>248</v>
      </c>
      <c r="D1081">
        <v>3235</v>
      </c>
      <c r="E1081">
        <v>3235</v>
      </c>
      <c r="F1081">
        <v>3225</v>
      </c>
      <c r="G1081">
        <v>3225</v>
      </c>
      <c r="H1081">
        <v>22000</v>
      </c>
    </row>
    <row r="1082" spans="2:8">
      <c r="B1082" t="s">
        <v>463</v>
      </c>
      <c r="C1082" t="s">
        <v>249</v>
      </c>
      <c r="D1082">
        <v>3225</v>
      </c>
      <c r="E1082">
        <v>3230</v>
      </c>
      <c r="F1082">
        <v>3220</v>
      </c>
      <c r="G1082">
        <v>3220</v>
      </c>
      <c r="H1082">
        <v>10900</v>
      </c>
    </row>
    <row r="1083" spans="2:8">
      <c r="B1083" t="s">
        <v>463</v>
      </c>
      <c r="C1083" t="s">
        <v>250</v>
      </c>
      <c r="D1083">
        <v>3225</v>
      </c>
      <c r="E1083">
        <v>3230</v>
      </c>
      <c r="F1083">
        <v>3225</v>
      </c>
      <c r="G1083">
        <v>3225</v>
      </c>
      <c r="H1083">
        <v>8500</v>
      </c>
    </row>
    <row r="1084" spans="2:8">
      <c r="B1084" t="s">
        <v>463</v>
      </c>
      <c r="C1084" t="s">
        <v>251</v>
      </c>
      <c r="D1084">
        <v>3230</v>
      </c>
      <c r="E1084">
        <v>3230</v>
      </c>
      <c r="F1084">
        <v>3220</v>
      </c>
      <c r="G1084">
        <v>3220</v>
      </c>
      <c r="H1084">
        <v>14500</v>
      </c>
    </row>
    <row r="1085" spans="2:8">
      <c r="B1085" t="s">
        <v>463</v>
      </c>
      <c r="C1085" t="s">
        <v>252</v>
      </c>
      <c r="D1085">
        <v>3225</v>
      </c>
      <c r="E1085">
        <v>3225</v>
      </c>
      <c r="F1085">
        <v>3205</v>
      </c>
      <c r="G1085">
        <v>3210</v>
      </c>
      <c r="H1085">
        <v>49500</v>
      </c>
    </row>
    <row r="1086" spans="2:8">
      <c r="B1086" t="s">
        <v>463</v>
      </c>
      <c r="C1086" t="s">
        <v>253</v>
      </c>
      <c r="D1086">
        <v>3205</v>
      </c>
      <c r="E1086">
        <v>3215</v>
      </c>
      <c r="F1086">
        <v>3205</v>
      </c>
      <c r="G1086">
        <v>3205</v>
      </c>
      <c r="H1086">
        <v>36900</v>
      </c>
    </row>
    <row r="1087" spans="2:8">
      <c r="B1087" t="s">
        <v>463</v>
      </c>
      <c r="C1087" t="s">
        <v>254</v>
      </c>
      <c r="D1087">
        <v>3205</v>
      </c>
      <c r="E1087">
        <v>3215</v>
      </c>
      <c r="F1087">
        <v>3205</v>
      </c>
      <c r="G1087">
        <v>3215</v>
      </c>
      <c r="H1087">
        <v>16800</v>
      </c>
    </row>
    <row r="1088" spans="2:8">
      <c r="B1088" t="s">
        <v>463</v>
      </c>
      <c r="C1088" t="s">
        <v>255</v>
      </c>
      <c r="D1088">
        <v>3210</v>
      </c>
      <c r="E1088">
        <v>3220</v>
      </c>
      <c r="F1088">
        <v>3210</v>
      </c>
      <c r="G1088">
        <v>3215</v>
      </c>
      <c r="H1088">
        <v>7500</v>
      </c>
    </row>
    <row r="1089" spans="2:8">
      <c r="B1089" t="s">
        <v>463</v>
      </c>
      <c r="C1089" t="s">
        <v>256</v>
      </c>
      <c r="D1089">
        <v>3215</v>
      </c>
      <c r="E1089">
        <v>3215</v>
      </c>
      <c r="F1089">
        <v>3210</v>
      </c>
      <c r="G1089">
        <v>3215</v>
      </c>
      <c r="H1089">
        <v>1600</v>
      </c>
    </row>
    <row r="1090" spans="2:8">
      <c r="B1090" t="s">
        <v>463</v>
      </c>
      <c r="C1090" t="s">
        <v>257</v>
      </c>
      <c r="D1090">
        <v>3215</v>
      </c>
      <c r="E1090">
        <v>3215</v>
      </c>
      <c r="F1090">
        <v>3215</v>
      </c>
      <c r="G1090">
        <v>3215</v>
      </c>
      <c r="H1090">
        <v>12400</v>
      </c>
    </row>
    <row r="1091" spans="2:8">
      <c r="B1091" t="s">
        <v>463</v>
      </c>
      <c r="C1091" t="s">
        <v>258</v>
      </c>
      <c r="D1091">
        <v>3210</v>
      </c>
      <c r="E1091">
        <v>3215</v>
      </c>
      <c r="F1091">
        <v>3210</v>
      </c>
      <c r="G1091">
        <v>3215</v>
      </c>
      <c r="H1091">
        <v>3600</v>
      </c>
    </row>
    <row r="1092" spans="2:8">
      <c r="B1092" t="s">
        <v>463</v>
      </c>
      <c r="C1092" t="s">
        <v>259</v>
      </c>
      <c r="D1092">
        <v>3215</v>
      </c>
      <c r="E1092">
        <v>3220</v>
      </c>
      <c r="F1092">
        <v>3210</v>
      </c>
      <c r="G1092">
        <v>3220</v>
      </c>
      <c r="H1092">
        <v>17400</v>
      </c>
    </row>
    <row r="1093" spans="2:8">
      <c r="B1093" t="s">
        <v>463</v>
      </c>
      <c r="C1093" t="s">
        <v>260</v>
      </c>
      <c r="D1093">
        <v>3220</v>
      </c>
      <c r="E1093">
        <v>3220</v>
      </c>
      <c r="F1093">
        <v>3215</v>
      </c>
      <c r="G1093">
        <v>3220</v>
      </c>
      <c r="H1093">
        <v>3200</v>
      </c>
    </row>
    <row r="1094" spans="2:8">
      <c r="B1094" t="s">
        <v>463</v>
      </c>
      <c r="C1094" t="s">
        <v>261</v>
      </c>
      <c r="D1094">
        <v>3225</v>
      </c>
      <c r="E1094">
        <v>3225</v>
      </c>
      <c r="F1094">
        <v>3220</v>
      </c>
      <c r="G1094">
        <v>3220</v>
      </c>
      <c r="H1094">
        <v>6700</v>
      </c>
    </row>
    <row r="1095" spans="2:8">
      <c r="B1095" t="s">
        <v>463</v>
      </c>
      <c r="C1095" t="s">
        <v>262</v>
      </c>
      <c r="D1095">
        <v>3215</v>
      </c>
      <c r="E1095">
        <v>3215</v>
      </c>
      <c r="F1095">
        <v>3215</v>
      </c>
      <c r="G1095">
        <v>3215</v>
      </c>
      <c r="H1095">
        <v>11900</v>
      </c>
    </row>
    <row r="1096" spans="2:8">
      <c r="B1096" t="s">
        <v>463</v>
      </c>
      <c r="C1096" t="s">
        <v>263</v>
      </c>
      <c r="D1096">
        <v>3215</v>
      </c>
      <c r="E1096">
        <v>3215</v>
      </c>
      <c r="F1096">
        <v>3210</v>
      </c>
      <c r="G1096">
        <v>3215</v>
      </c>
      <c r="H1096">
        <v>8000</v>
      </c>
    </row>
    <row r="1097" spans="2:8">
      <c r="B1097" t="s">
        <v>463</v>
      </c>
      <c r="C1097" t="s">
        <v>264</v>
      </c>
      <c r="D1097">
        <v>3215</v>
      </c>
      <c r="E1097">
        <v>3215</v>
      </c>
      <c r="F1097">
        <v>3210</v>
      </c>
      <c r="G1097">
        <v>3210</v>
      </c>
      <c r="H1097">
        <v>1800</v>
      </c>
    </row>
    <row r="1098" spans="2:8">
      <c r="B1098" t="s">
        <v>463</v>
      </c>
      <c r="C1098" t="s">
        <v>265</v>
      </c>
      <c r="D1098">
        <v>3210</v>
      </c>
      <c r="E1098">
        <v>3215</v>
      </c>
      <c r="F1098">
        <v>3210</v>
      </c>
      <c r="G1098">
        <v>3210</v>
      </c>
      <c r="H1098">
        <v>1500</v>
      </c>
    </row>
    <row r="1099" spans="2:8">
      <c r="B1099" t="s">
        <v>463</v>
      </c>
      <c r="C1099" t="s">
        <v>266</v>
      </c>
      <c r="D1099">
        <v>3210</v>
      </c>
      <c r="E1099">
        <v>3210</v>
      </c>
      <c r="F1099">
        <v>3205</v>
      </c>
      <c r="G1099">
        <v>3210</v>
      </c>
      <c r="H1099">
        <v>7600</v>
      </c>
    </row>
    <row r="1100" spans="2:8">
      <c r="B1100" t="s">
        <v>463</v>
      </c>
      <c r="C1100" t="s">
        <v>267</v>
      </c>
      <c r="D1100">
        <v>3205</v>
      </c>
      <c r="E1100">
        <v>3210</v>
      </c>
      <c r="F1100">
        <v>3205</v>
      </c>
      <c r="G1100">
        <v>3205</v>
      </c>
      <c r="H1100">
        <v>2700</v>
      </c>
    </row>
    <row r="1101" spans="2:8">
      <c r="B1101" t="s">
        <v>463</v>
      </c>
      <c r="C1101" t="s">
        <v>268</v>
      </c>
      <c r="D1101">
        <v>3205</v>
      </c>
      <c r="E1101">
        <v>3210</v>
      </c>
      <c r="F1101">
        <v>3205</v>
      </c>
      <c r="G1101">
        <v>3210</v>
      </c>
      <c r="H1101">
        <v>6500</v>
      </c>
    </row>
    <row r="1102" spans="2:8">
      <c r="B1102" t="s">
        <v>463</v>
      </c>
      <c r="C1102" t="s">
        <v>269</v>
      </c>
      <c r="D1102">
        <v>3210</v>
      </c>
      <c r="E1102">
        <v>3215</v>
      </c>
      <c r="F1102">
        <v>3205</v>
      </c>
      <c r="G1102">
        <v>3215</v>
      </c>
      <c r="H1102">
        <v>19000</v>
      </c>
    </row>
    <row r="1103" spans="2:8">
      <c r="B1103" t="s">
        <v>463</v>
      </c>
      <c r="C1103" t="s">
        <v>270</v>
      </c>
      <c r="D1103">
        <v>3215</v>
      </c>
      <c r="E1103">
        <v>3215</v>
      </c>
      <c r="F1103">
        <v>3210</v>
      </c>
      <c r="G1103">
        <v>3210</v>
      </c>
      <c r="H1103">
        <v>5300</v>
      </c>
    </row>
    <row r="1104" spans="2:8">
      <c r="B1104" t="s">
        <v>463</v>
      </c>
      <c r="C1104" t="s">
        <v>271</v>
      </c>
      <c r="D1104">
        <v>3215</v>
      </c>
      <c r="E1104">
        <v>3215</v>
      </c>
      <c r="F1104">
        <v>3210</v>
      </c>
      <c r="G1104">
        <v>3215</v>
      </c>
      <c r="H1104">
        <v>1700</v>
      </c>
    </row>
    <row r="1105" spans="2:8">
      <c r="B1105" t="s">
        <v>463</v>
      </c>
      <c r="C1105" t="s">
        <v>272</v>
      </c>
      <c r="D1105">
        <v>3215</v>
      </c>
      <c r="E1105">
        <v>3215</v>
      </c>
      <c r="F1105">
        <v>3215</v>
      </c>
      <c r="G1105">
        <v>3215</v>
      </c>
      <c r="H1105">
        <v>11600</v>
      </c>
    </row>
    <row r="1106" spans="2:8">
      <c r="B1106" t="s">
        <v>463</v>
      </c>
      <c r="C1106" t="s">
        <v>273</v>
      </c>
      <c r="D1106">
        <v>3210</v>
      </c>
      <c r="E1106">
        <v>3215</v>
      </c>
      <c r="F1106">
        <v>3210</v>
      </c>
      <c r="G1106">
        <v>3215</v>
      </c>
      <c r="H1106">
        <v>3200</v>
      </c>
    </row>
    <row r="1107" spans="2:8">
      <c r="B1107" t="s">
        <v>463</v>
      </c>
      <c r="C1107" t="s">
        <v>274</v>
      </c>
      <c r="D1107">
        <v>3215</v>
      </c>
      <c r="E1107">
        <v>3215</v>
      </c>
      <c r="F1107">
        <v>3210</v>
      </c>
      <c r="G1107">
        <v>3210</v>
      </c>
      <c r="H1107">
        <v>2400</v>
      </c>
    </row>
    <row r="1108" spans="2:8">
      <c r="B1108" t="s">
        <v>463</v>
      </c>
      <c r="C1108" t="s">
        <v>275</v>
      </c>
      <c r="D1108">
        <v>3210</v>
      </c>
      <c r="E1108">
        <v>3225</v>
      </c>
      <c r="F1108">
        <v>3210</v>
      </c>
      <c r="G1108">
        <v>3225</v>
      </c>
      <c r="H1108">
        <v>12700</v>
      </c>
    </row>
    <row r="1109" spans="2:8">
      <c r="B1109" t="s">
        <v>463</v>
      </c>
      <c r="C1109" t="s">
        <v>276</v>
      </c>
      <c r="D1109">
        <v>3225</v>
      </c>
      <c r="E1109">
        <v>3225</v>
      </c>
      <c r="F1109">
        <v>3215</v>
      </c>
      <c r="G1109">
        <v>3215</v>
      </c>
      <c r="H1109">
        <v>4000</v>
      </c>
    </row>
    <row r="1110" spans="2:8">
      <c r="B1110" t="s">
        <v>463</v>
      </c>
      <c r="C1110" t="s">
        <v>277</v>
      </c>
      <c r="D1110">
        <v>3220</v>
      </c>
      <c r="E1110">
        <v>3220</v>
      </c>
      <c r="F1110">
        <v>3220</v>
      </c>
      <c r="G1110">
        <v>3220</v>
      </c>
      <c r="H1110">
        <v>10300</v>
      </c>
    </row>
    <row r="1111" spans="2:8">
      <c r="B1111" t="s">
        <v>463</v>
      </c>
      <c r="C1111" t="s">
        <v>278</v>
      </c>
      <c r="D1111">
        <v>3220</v>
      </c>
      <c r="E1111">
        <v>3220</v>
      </c>
      <c r="F1111">
        <v>3215</v>
      </c>
      <c r="G1111">
        <v>3220</v>
      </c>
      <c r="H1111">
        <v>4300</v>
      </c>
    </row>
    <row r="1112" spans="2:8">
      <c r="B1112" t="s">
        <v>463</v>
      </c>
      <c r="C1112" t="s">
        <v>279</v>
      </c>
      <c r="D1112">
        <v>3215</v>
      </c>
      <c r="E1112">
        <v>3220</v>
      </c>
      <c r="F1112">
        <v>3215</v>
      </c>
      <c r="G1112">
        <v>3215</v>
      </c>
      <c r="H1112">
        <v>900</v>
      </c>
    </row>
    <row r="1113" spans="2:8">
      <c r="B1113" t="s">
        <v>463</v>
      </c>
      <c r="C1113" t="s">
        <v>280</v>
      </c>
      <c r="D1113">
        <v>3220</v>
      </c>
      <c r="E1113">
        <v>3220</v>
      </c>
      <c r="F1113">
        <v>3220</v>
      </c>
      <c r="G1113">
        <v>3220</v>
      </c>
      <c r="H1113">
        <v>2300</v>
      </c>
    </row>
    <row r="1114" spans="2:8">
      <c r="B1114" t="s">
        <v>463</v>
      </c>
      <c r="C1114" t="s">
        <v>281</v>
      </c>
      <c r="D1114">
        <v>3220</v>
      </c>
      <c r="E1114">
        <v>3220</v>
      </c>
      <c r="F1114">
        <v>3220</v>
      </c>
      <c r="G1114">
        <v>3220</v>
      </c>
      <c r="H1114">
        <v>6200</v>
      </c>
    </row>
    <row r="1115" spans="2:8">
      <c r="B1115" t="s">
        <v>463</v>
      </c>
      <c r="C1115" t="s">
        <v>282</v>
      </c>
      <c r="D1115">
        <v>3225</v>
      </c>
      <c r="E1115">
        <v>3230</v>
      </c>
      <c r="F1115">
        <v>3225</v>
      </c>
      <c r="G1115">
        <v>3230</v>
      </c>
      <c r="H1115">
        <v>9900</v>
      </c>
    </row>
    <row r="1116" spans="2:8">
      <c r="B1116" t="s">
        <v>463</v>
      </c>
      <c r="C1116" t="s">
        <v>283</v>
      </c>
      <c r="D1116">
        <v>3230</v>
      </c>
      <c r="E1116">
        <v>3235</v>
      </c>
      <c r="F1116">
        <v>3230</v>
      </c>
      <c r="G1116">
        <v>3235</v>
      </c>
      <c r="H1116">
        <v>17200</v>
      </c>
    </row>
    <row r="1117" spans="2:8">
      <c r="B1117" t="s">
        <v>463</v>
      </c>
      <c r="C1117" t="s">
        <v>284</v>
      </c>
      <c r="D1117">
        <v>3235</v>
      </c>
      <c r="E1117">
        <v>3235</v>
      </c>
      <c r="F1117">
        <v>3230</v>
      </c>
      <c r="G1117">
        <v>3230</v>
      </c>
      <c r="H1117">
        <v>2400</v>
      </c>
    </row>
    <row r="1118" spans="2:8">
      <c r="B1118" t="s">
        <v>463</v>
      </c>
      <c r="C1118" t="s">
        <v>285</v>
      </c>
      <c r="D1118">
        <v>3230</v>
      </c>
      <c r="E1118">
        <v>3245</v>
      </c>
      <c r="F1118">
        <v>3230</v>
      </c>
      <c r="G1118">
        <v>3245</v>
      </c>
      <c r="H1118">
        <v>26800</v>
      </c>
    </row>
    <row r="1119" spans="2:8">
      <c r="B1119" t="s">
        <v>463</v>
      </c>
      <c r="C1119" t="s">
        <v>286</v>
      </c>
      <c r="D1119">
        <v>3245</v>
      </c>
      <c r="E1119">
        <v>3245</v>
      </c>
      <c r="F1119">
        <v>3240</v>
      </c>
      <c r="G1119">
        <v>3245</v>
      </c>
      <c r="H1119">
        <v>2500</v>
      </c>
    </row>
    <row r="1120" spans="2:8">
      <c r="B1120" t="s">
        <v>463</v>
      </c>
      <c r="C1120" t="s">
        <v>287</v>
      </c>
      <c r="D1120">
        <v>3245</v>
      </c>
      <c r="E1120">
        <v>3250</v>
      </c>
      <c r="F1120">
        <v>3245</v>
      </c>
      <c r="G1120">
        <v>3250</v>
      </c>
      <c r="H1120">
        <v>20000</v>
      </c>
    </row>
    <row r="1121" spans="2:8">
      <c r="B1121" t="s">
        <v>463</v>
      </c>
      <c r="C1121" t="s">
        <v>288</v>
      </c>
      <c r="D1121">
        <v>3245</v>
      </c>
      <c r="E1121">
        <v>3250</v>
      </c>
      <c r="F1121">
        <v>3245</v>
      </c>
      <c r="G1121">
        <v>3245</v>
      </c>
      <c r="H1121">
        <v>3200</v>
      </c>
    </row>
    <row r="1122" spans="2:8">
      <c r="B1122" t="s">
        <v>463</v>
      </c>
      <c r="C1122" t="s">
        <v>289</v>
      </c>
      <c r="D1122">
        <v>3250</v>
      </c>
      <c r="E1122">
        <v>3250</v>
      </c>
      <c r="F1122">
        <v>3245</v>
      </c>
      <c r="G1122">
        <v>3245</v>
      </c>
      <c r="H1122">
        <v>13000</v>
      </c>
    </row>
    <row r="1123" spans="2:8">
      <c r="B1123" t="s">
        <v>463</v>
      </c>
      <c r="C1123" t="s">
        <v>290</v>
      </c>
      <c r="D1123">
        <v>3245</v>
      </c>
      <c r="E1123">
        <v>3245</v>
      </c>
      <c r="F1123">
        <v>3240</v>
      </c>
      <c r="G1123">
        <v>3245</v>
      </c>
      <c r="H1123">
        <v>8500</v>
      </c>
    </row>
    <row r="1124" spans="2:8">
      <c r="B1124" t="s">
        <v>463</v>
      </c>
      <c r="C1124" t="s">
        <v>291</v>
      </c>
      <c r="D1124">
        <v>3245</v>
      </c>
      <c r="E1124">
        <v>3245</v>
      </c>
      <c r="F1124">
        <v>3240</v>
      </c>
      <c r="G1124">
        <v>3245</v>
      </c>
      <c r="H1124">
        <v>15100</v>
      </c>
    </row>
    <row r="1125" spans="2:8">
      <c r="B1125" t="s">
        <v>463</v>
      </c>
      <c r="C1125" t="s">
        <v>292</v>
      </c>
      <c r="D1125">
        <v>3240</v>
      </c>
      <c r="E1125">
        <v>3240</v>
      </c>
      <c r="F1125">
        <v>3235</v>
      </c>
      <c r="G1125">
        <v>3235</v>
      </c>
      <c r="H1125">
        <v>12500</v>
      </c>
    </row>
    <row r="1126" spans="2:8">
      <c r="B1126" t="s">
        <v>463</v>
      </c>
      <c r="C1126" t="s">
        <v>293</v>
      </c>
      <c r="D1126">
        <v>3235</v>
      </c>
      <c r="E1126">
        <v>3235</v>
      </c>
      <c r="F1126">
        <v>3230</v>
      </c>
      <c r="G1126">
        <v>3235</v>
      </c>
      <c r="H1126">
        <v>10000</v>
      </c>
    </row>
    <row r="1127" spans="2:8">
      <c r="B1127" t="s">
        <v>463</v>
      </c>
      <c r="C1127" t="s">
        <v>294</v>
      </c>
      <c r="D1127">
        <v>3235</v>
      </c>
      <c r="E1127">
        <v>3235</v>
      </c>
      <c r="F1127">
        <v>3235</v>
      </c>
      <c r="G1127">
        <v>3235</v>
      </c>
      <c r="H1127">
        <v>500</v>
      </c>
    </row>
    <row r="1128" spans="2:8">
      <c r="B1128" t="s">
        <v>463</v>
      </c>
      <c r="C1128" t="s">
        <v>295</v>
      </c>
      <c r="D1128">
        <v>3235</v>
      </c>
      <c r="E1128">
        <v>3235</v>
      </c>
      <c r="F1128">
        <v>3235</v>
      </c>
      <c r="G1128">
        <v>3235</v>
      </c>
      <c r="H1128">
        <v>100</v>
      </c>
    </row>
    <row r="1129" spans="2:8">
      <c r="B1129" t="s">
        <v>463</v>
      </c>
      <c r="C1129" t="s">
        <v>296</v>
      </c>
      <c r="D1129">
        <v>3230</v>
      </c>
      <c r="E1129">
        <v>3235</v>
      </c>
      <c r="F1129">
        <v>3230</v>
      </c>
      <c r="G1129">
        <v>3235</v>
      </c>
      <c r="H1129">
        <v>2500</v>
      </c>
    </row>
    <row r="1130" spans="2:8">
      <c r="B1130" t="s">
        <v>463</v>
      </c>
      <c r="C1130" t="s">
        <v>297</v>
      </c>
      <c r="D1130">
        <v>3230</v>
      </c>
      <c r="E1130">
        <v>3235</v>
      </c>
      <c r="F1130">
        <v>3230</v>
      </c>
      <c r="G1130">
        <v>3230</v>
      </c>
      <c r="H1130">
        <v>900</v>
      </c>
    </row>
    <row r="1131" spans="2:8">
      <c r="B1131" t="s">
        <v>463</v>
      </c>
      <c r="C1131" t="s">
        <v>298</v>
      </c>
      <c r="D1131">
        <v>3230</v>
      </c>
      <c r="E1131">
        <v>3235</v>
      </c>
      <c r="F1131">
        <v>3230</v>
      </c>
      <c r="G1131">
        <v>3235</v>
      </c>
      <c r="H1131">
        <v>6400</v>
      </c>
    </row>
    <row r="1132" spans="2:8">
      <c r="B1132" t="s">
        <v>463</v>
      </c>
      <c r="C1132" t="s">
        <v>299</v>
      </c>
      <c r="D1132">
        <v>3240</v>
      </c>
      <c r="E1132">
        <v>3245</v>
      </c>
      <c r="F1132">
        <v>3240</v>
      </c>
      <c r="G1132">
        <v>3240</v>
      </c>
      <c r="H1132">
        <v>9000</v>
      </c>
    </row>
    <row r="1133" spans="2:8">
      <c r="B1133" t="s">
        <v>463</v>
      </c>
      <c r="C1133" t="s">
        <v>300</v>
      </c>
      <c r="D1133">
        <v>3240</v>
      </c>
      <c r="E1133">
        <v>3240</v>
      </c>
      <c r="F1133">
        <v>3240</v>
      </c>
      <c r="G1133">
        <v>3240</v>
      </c>
      <c r="H1133">
        <v>7800</v>
      </c>
    </row>
    <row r="1134" spans="2:8">
      <c r="B1134" t="s">
        <v>463</v>
      </c>
      <c r="C1134" t="s">
        <v>301</v>
      </c>
      <c r="D1134">
        <v>3240</v>
      </c>
      <c r="E1134">
        <v>3240</v>
      </c>
      <c r="F1134">
        <v>3240</v>
      </c>
      <c r="G1134">
        <v>3240</v>
      </c>
      <c r="H1134">
        <v>400</v>
      </c>
    </row>
    <row r="1135" spans="2:8">
      <c r="B1135" t="s">
        <v>463</v>
      </c>
      <c r="C1135" t="s">
        <v>302</v>
      </c>
      <c r="D1135">
        <v>3240</v>
      </c>
      <c r="E1135">
        <v>3240</v>
      </c>
      <c r="F1135">
        <v>3235</v>
      </c>
      <c r="G1135">
        <v>3240</v>
      </c>
      <c r="H1135">
        <v>7800</v>
      </c>
    </row>
    <row r="1136" spans="2:8">
      <c r="B1136" t="s">
        <v>463</v>
      </c>
      <c r="C1136" t="s">
        <v>303</v>
      </c>
      <c r="D1136">
        <v>3240</v>
      </c>
      <c r="E1136">
        <v>3240</v>
      </c>
      <c r="F1136">
        <v>3240</v>
      </c>
      <c r="G1136">
        <v>3240</v>
      </c>
      <c r="H1136">
        <v>400</v>
      </c>
    </row>
    <row r="1137" spans="2:8">
      <c r="B1137" t="s">
        <v>463</v>
      </c>
      <c r="C1137" t="s">
        <v>304</v>
      </c>
      <c r="D1137">
        <v>3240</v>
      </c>
      <c r="E1137">
        <v>3240</v>
      </c>
      <c r="F1137">
        <v>3235</v>
      </c>
      <c r="G1137">
        <v>3235</v>
      </c>
      <c r="H1137">
        <v>500</v>
      </c>
    </row>
    <row r="1138" spans="2:8">
      <c r="B1138" t="s">
        <v>463</v>
      </c>
      <c r="C1138" t="s">
        <v>305</v>
      </c>
      <c r="D1138">
        <v>3235</v>
      </c>
      <c r="E1138">
        <v>3235</v>
      </c>
      <c r="F1138">
        <v>3235</v>
      </c>
      <c r="G1138">
        <v>3235</v>
      </c>
      <c r="H1138">
        <v>400</v>
      </c>
    </row>
    <row r="1139" spans="2:8">
      <c r="B1139" t="s">
        <v>463</v>
      </c>
      <c r="C1139" t="s">
        <v>306</v>
      </c>
      <c r="D1139">
        <v>3240</v>
      </c>
      <c r="E1139">
        <v>3240</v>
      </c>
      <c r="F1139">
        <v>3235</v>
      </c>
      <c r="G1139">
        <v>3235</v>
      </c>
      <c r="H1139">
        <v>1900</v>
      </c>
    </row>
    <row r="1140" spans="2:8">
      <c r="B1140" t="s">
        <v>463</v>
      </c>
      <c r="C1140" t="s">
        <v>307</v>
      </c>
      <c r="D1140">
        <v>3235</v>
      </c>
      <c r="E1140">
        <v>3235</v>
      </c>
      <c r="F1140">
        <v>3235</v>
      </c>
      <c r="G1140">
        <v>3235</v>
      </c>
      <c r="H1140">
        <v>1300</v>
      </c>
    </row>
    <row r="1141" spans="2:8">
      <c r="B1141" t="s">
        <v>463</v>
      </c>
      <c r="C1141" t="s">
        <v>308</v>
      </c>
      <c r="D1141">
        <v>3235</v>
      </c>
      <c r="E1141">
        <v>3235</v>
      </c>
      <c r="F1141">
        <v>3230</v>
      </c>
      <c r="G1141">
        <v>3230</v>
      </c>
      <c r="H1141">
        <v>4100</v>
      </c>
    </row>
    <row r="1142" spans="2:8">
      <c r="B1142" t="s">
        <v>463</v>
      </c>
      <c r="C1142" t="s">
        <v>309</v>
      </c>
      <c r="D1142">
        <v>3230</v>
      </c>
      <c r="E1142">
        <v>3235</v>
      </c>
      <c r="F1142">
        <v>3230</v>
      </c>
      <c r="G1142">
        <v>3230</v>
      </c>
      <c r="H1142">
        <v>900</v>
      </c>
    </row>
    <row r="1143" spans="2:8">
      <c r="B1143" t="s">
        <v>463</v>
      </c>
      <c r="C1143" t="s">
        <v>310</v>
      </c>
      <c r="D1143">
        <v>3230</v>
      </c>
      <c r="E1143">
        <v>3235</v>
      </c>
      <c r="F1143">
        <v>3230</v>
      </c>
      <c r="G1143">
        <v>3230</v>
      </c>
      <c r="H1143">
        <v>7200</v>
      </c>
    </row>
    <row r="1144" spans="2:8">
      <c r="B1144" t="s">
        <v>463</v>
      </c>
      <c r="C1144" t="s">
        <v>311</v>
      </c>
      <c r="D1144">
        <v>3230</v>
      </c>
      <c r="E1144">
        <v>3235</v>
      </c>
      <c r="F1144">
        <v>3230</v>
      </c>
      <c r="G1144">
        <v>3235</v>
      </c>
      <c r="H1144">
        <v>1400</v>
      </c>
    </row>
    <row r="1145" spans="2:8">
      <c r="B1145" t="s">
        <v>463</v>
      </c>
      <c r="C1145" t="s">
        <v>312</v>
      </c>
      <c r="D1145">
        <v>3230</v>
      </c>
      <c r="E1145">
        <v>3235</v>
      </c>
      <c r="F1145">
        <v>3230</v>
      </c>
      <c r="G1145">
        <v>3235</v>
      </c>
      <c r="H1145">
        <v>1400</v>
      </c>
    </row>
    <row r="1146" spans="2:8">
      <c r="B1146" t="s">
        <v>463</v>
      </c>
      <c r="C1146" t="s">
        <v>313</v>
      </c>
      <c r="D1146">
        <v>3235</v>
      </c>
      <c r="E1146">
        <v>3235</v>
      </c>
      <c r="F1146">
        <v>3230</v>
      </c>
      <c r="G1146">
        <v>3230</v>
      </c>
      <c r="H1146">
        <v>2200</v>
      </c>
    </row>
    <row r="1147" spans="2:8">
      <c r="B1147" t="s">
        <v>463</v>
      </c>
      <c r="C1147" t="s">
        <v>314</v>
      </c>
      <c r="D1147">
        <v>3230</v>
      </c>
      <c r="E1147">
        <v>3230</v>
      </c>
      <c r="F1147">
        <v>3230</v>
      </c>
      <c r="G1147">
        <v>3230</v>
      </c>
      <c r="H1147">
        <v>1800</v>
      </c>
    </row>
    <row r="1148" spans="2:8">
      <c r="B1148" t="s">
        <v>463</v>
      </c>
      <c r="C1148" t="s">
        <v>315</v>
      </c>
      <c r="D1148">
        <v>3235</v>
      </c>
      <c r="E1148">
        <v>3235</v>
      </c>
      <c r="F1148">
        <v>3230</v>
      </c>
      <c r="G1148">
        <v>3235</v>
      </c>
      <c r="H1148">
        <v>17600</v>
      </c>
    </row>
    <row r="1149" spans="2:8">
      <c r="B1149" t="s">
        <v>463</v>
      </c>
      <c r="C1149" t="s">
        <v>316</v>
      </c>
      <c r="D1149">
        <v>3225</v>
      </c>
      <c r="E1149">
        <v>3225</v>
      </c>
      <c r="F1149">
        <v>3225</v>
      </c>
      <c r="G1149">
        <v>3225</v>
      </c>
      <c r="H1149">
        <v>13600</v>
      </c>
    </row>
    <row r="1150" spans="2:8">
      <c r="B1150" t="s">
        <v>463</v>
      </c>
      <c r="C1150" t="s">
        <v>317</v>
      </c>
      <c r="D1150">
        <v>3225</v>
      </c>
      <c r="E1150">
        <v>3225</v>
      </c>
      <c r="F1150">
        <v>3210</v>
      </c>
      <c r="G1150">
        <v>3220</v>
      </c>
      <c r="H1150">
        <v>58700</v>
      </c>
    </row>
    <row r="1151" spans="2:8">
      <c r="B1151" t="s">
        <v>463</v>
      </c>
      <c r="C1151" t="s">
        <v>318</v>
      </c>
      <c r="D1151">
        <v>3215</v>
      </c>
      <c r="E1151">
        <v>3220</v>
      </c>
      <c r="F1151">
        <v>3215</v>
      </c>
      <c r="G1151">
        <v>3215</v>
      </c>
      <c r="H1151">
        <v>4800</v>
      </c>
    </row>
    <row r="1152" spans="2:8">
      <c r="B1152" t="s">
        <v>463</v>
      </c>
      <c r="C1152" t="s">
        <v>319</v>
      </c>
      <c r="D1152">
        <v>3210</v>
      </c>
      <c r="E1152">
        <v>3220</v>
      </c>
      <c r="F1152">
        <v>3210</v>
      </c>
      <c r="G1152">
        <v>3220</v>
      </c>
      <c r="H1152">
        <v>12400</v>
      </c>
    </row>
    <row r="1153" spans="2:8">
      <c r="B1153" t="s">
        <v>463</v>
      </c>
      <c r="C1153" t="s">
        <v>320</v>
      </c>
      <c r="D1153">
        <v>3220</v>
      </c>
      <c r="E1153">
        <v>3220</v>
      </c>
      <c r="F1153">
        <v>3220</v>
      </c>
      <c r="G1153">
        <v>3220</v>
      </c>
      <c r="H1153">
        <v>12200</v>
      </c>
    </row>
    <row r="1154" spans="2:8">
      <c r="B1154" t="s">
        <v>463</v>
      </c>
      <c r="C1154" t="s">
        <v>321</v>
      </c>
      <c r="D1154">
        <v>3225</v>
      </c>
      <c r="E1154">
        <v>3230</v>
      </c>
      <c r="F1154">
        <v>3225</v>
      </c>
      <c r="G1154">
        <v>3225</v>
      </c>
      <c r="H1154">
        <v>18700</v>
      </c>
    </row>
    <row r="1155" spans="2:8">
      <c r="B1155" t="s">
        <v>463</v>
      </c>
      <c r="C1155" t="s">
        <v>322</v>
      </c>
      <c r="D1155">
        <v>3230</v>
      </c>
      <c r="E1155">
        <v>3230</v>
      </c>
      <c r="F1155">
        <v>3225</v>
      </c>
      <c r="G1155">
        <v>3225</v>
      </c>
      <c r="H1155">
        <v>11800</v>
      </c>
    </row>
    <row r="1156" spans="2:8">
      <c r="B1156" t="s">
        <v>463</v>
      </c>
      <c r="C1156" t="s">
        <v>323</v>
      </c>
      <c r="D1156">
        <v>3225</v>
      </c>
      <c r="E1156">
        <v>3225</v>
      </c>
      <c r="F1156">
        <v>3225</v>
      </c>
      <c r="G1156">
        <v>3225</v>
      </c>
      <c r="H1156">
        <v>2600</v>
      </c>
    </row>
    <row r="1157" spans="2:8">
      <c r="B1157" t="s">
        <v>463</v>
      </c>
      <c r="C1157" t="s">
        <v>324</v>
      </c>
      <c r="D1157">
        <v>3225</v>
      </c>
      <c r="E1157">
        <v>3225</v>
      </c>
      <c r="F1157">
        <v>3220</v>
      </c>
      <c r="G1157">
        <v>3220</v>
      </c>
      <c r="H1157">
        <v>7500</v>
      </c>
    </row>
    <row r="1158" spans="2:8">
      <c r="B1158" t="s">
        <v>463</v>
      </c>
      <c r="C1158" t="s">
        <v>325</v>
      </c>
      <c r="D1158">
        <v>3225</v>
      </c>
      <c r="E1158">
        <v>3225</v>
      </c>
      <c r="F1158">
        <v>3220</v>
      </c>
      <c r="G1158">
        <v>3220</v>
      </c>
      <c r="H1158">
        <v>2300</v>
      </c>
    </row>
    <row r="1159" spans="2:8">
      <c r="B1159" t="s">
        <v>463</v>
      </c>
      <c r="C1159" t="s">
        <v>326</v>
      </c>
      <c r="D1159">
        <v>3220</v>
      </c>
      <c r="E1159">
        <v>3220</v>
      </c>
      <c r="F1159">
        <v>3220</v>
      </c>
      <c r="G1159">
        <v>3220</v>
      </c>
      <c r="H1159">
        <v>19300</v>
      </c>
    </row>
    <row r="1160" spans="2:8">
      <c r="B1160" t="s">
        <v>463</v>
      </c>
      <c r="C1160" t="s">
        <v>327</v>
      </c>
      <c r="D1160">
        <v>3215</v>
      </c>
      <c r="E1160">
        <v>3215</v>
      </c>
      <c r="F1160">
        <v>3215</v>
      </c>
      <c r="G1160">
        <v>3215</v>
      </c>
      <c r="H1160">
        <v>2000</v>
      </c>
    </row>
    <row r="1161" spans="2:8">
      <c r="B1161" t="s">
        <v>463</v>
      </c>
      <c r="C1161" t="s">
        <v>328</v>
      </c>
      <c r="D1161">
        <v>3220</v>
      </c>
      <c r="E1161">
        <v>3220</v>
      </c>
      <c r="F1161">
        <v>3215</v>
      </c>
      <c r="G1161">
        <v>3215</v>
      </c>
      <c r="H1161">
        <v>600</v>
      </c>
    </row>
    <row r="1162" spans="2:8">
      <c r="B1162" t="s">
        <v>463</v>
      </c>
      <c r="C1162" t="s">
        <v>329</v>
      </c>
      <c r="D1162">
        <v>3220</v>
      </c>
      <c r="E1162">
        <v>3220</v>
      </c>
      <c r="F1162">
        <v>3215</v>
      </c>
      <c r="G1162">
        <v>3215</v>
      </c>
      <c r="H1162">
        <v>1300</v>
      </c>
    </row>
    <row r="1163" spans="2:8">
      <c r="B1163" t="s">
        <v>463</v>
      </c>
      <c r="C1163" t="s">
        <v>330</v>
      </c>
      <c r="D1163">
        <v>3215</v>
      </c>
      <c r="E1163">
        <v>3220</v>
      </c>
      <c r="F1163">
        <v>3215</v>
      </c>
      <c r="G1163">
        <v>3215</v>
      </c>
      <c r="H1163">
        <v>4800</v>
      </c>
    </row>
    <row r="1164" spans="2:8">
      <c r="B1164" t="s">
        <v>463</v>
      </c>
      <c r="C1164" t="s">
        <v>331</v>
      </c>
      <c r="D1164">
        <v>3215</v>
      </c>
      <c r="E1164">
        <v>3220</v>
      </c>
      <c r="F1164">
        <v>3215</v>
      </c>
      <c r="G1164">
        <v>3215</v>
      </c>
      <c r="H1164">
        <v>2500</v>
      </c>
    </row>
    <row r="1165" spans="2:8">
      <c r="B1165" t="s">
        <v>463</v>
      </c>
      <c r="C1165" t="s">
        <v>332</v>
      </c>
      <c r="D1165">
        <v>3215</v>
      </c>
      <c r="E1165">
        <v>3220</v>
      </c>
      <c r="F1165">
        <v>3215</v>
      </c>
      <c r="G1165">
        <v>3220</v>
      </c>
      <c r="H1165">
        <v>3200</v>
      </c>
    </row>
    <row r="1166" spans="2:8">
      <c r="B1166" t="s">
        <v>463</v>
      </c>
      <c r="C1166" t="s">
        <v>333</v>
      </c>
      <c r="D1166">
        <v>3215</v>
      </c>
      <c r="E1166">
        <v>3225</v>
      </c>
      <c r="F1166">
        <v>3215</v>
      </c>
      <c r="G1166">
        <v>3225</v>
      </c>
      <c r="H1166">
        <v>28700</v>
      </c>
    </row>
    <row r="1167" spans="2:8">
      <c r="B1167" t="s">
        <v>463</v>
      </c>
      <c r="C1167" t="s">
        <v>334</v>
      </c>
      <c r="D1167">
        <v>3225</v>
      </c>
      <c r="E1167">
        <v>3225</v>
      </c>
      <c r="F1167">
        <v>3220</v>
      </c>
      <c r="G1167">
        <v>3220</v>
      </c>
      <c r="H1167">
        <v>3100</v>
      </c>
    </row>
    <row r="1168" spans="2:8">
      <c r="B1168" t="s">
        <v>463</v>
      </c>
      <c r="C1168" t="s">
        <v>335</v>
      </c>
      <c r="D1168">
        <v>3220</v>
      </c>
      <c r="E1168">
        <v>3220</v>
      </c>
      <c r="F1168">
        <v>3220</v>
      </c>
      <c r="G1168">
        <v>3220</v>
      </c>
      <c r="H1168">
        <v>11000</v>
      </c>
    </row>
    <row r="1169" spans="2:8">
      <c r="B1169" t="s">
        <v>463</v>
      </c>
      <c r="C1169" t="s">
        <v>336</v>
      </c>
      <c r="D1169" t="s">
        <v>8</v>
      </c>
      <c r="E1169" t="s">
        <v>8</v>
      </c>
      <c r="F1169" t="s">
        <v>8</v>
      </c>
      <c r="G1169" t="s">
        <v>8</v>
      </c>
      <c r="H1169">
        <v>0</v>
      </c>
    </row>
    <row r="1170" spans="2:8">
      <c r="B1170" t="s">
        <v>463</v>
      </c>
      <c r="C1170" t="s">
        <v>337</v>
      </c>
      <c r="D1170">
        <v>3220</v>
      </c>
      <c r="E1170">
        <v>3220</v>
      </c>
      <c r="F1170">
        <v>3220</v>
      </c>
      <c r="G1170">
        <v>3220</v>
      </c>
      <c r="H1170">
        <v>15600</v>
      </c>
    </row>
    <row r="1171" spans="2:8">
      <c r="B1171" t="s">
        <v>463</v>
      </c>
      <c r="C1171" t="s">
        <v>338</v>
      </c>
      <c r="D1171">
        <v>3215</v>
      </c>
      <c r="E1171">
        <v>3215</v>
      </c>
      <c r="F1171">
        <v>3215</v>
      </c>
      <c r="G1171">
        <v>3215</v>
      </c>
      <c r="H1171">
        <v>200</v>
      </c>
    </row>
    <row r="1172" spans="2:8">
      <c r="B1172" t="s">
        <v>463</v>
      </c>
      <c r="C1172" t="s">
        <v>339</v>
      </c>
      <c r="D1172">
        <v>3220</v>
      </c>
      <c r="E1172">
        <v>3220</v>
      </c>
      <c r="F1172">
        <v>3220</v>
      </c>
      <c r="G1172">
        <v>3220</v>
      </c>
      <c r="H1172">
        <v>500</v>
      </c>
    </row>
    <row r="1173" spans="2:8">
      <c r="B1173" t="s">
        <v>463</v>
      </c>
      <c r="C1173" t="s">
        <v>340</v>
      </c>
      <c r="D1173">
        <v>3215</v>
      </c>
      <c r="E1173">
        <v>3220</v>
      </c>
      <c r="F1173">
        <v>3215</v>
      </c>
      <c r="G1173">
        <v>3220</v>
      </c>
      <c r="H1173">
        <v>10400</v>
      </c>
    </row>
    <row r="1174" spans="2:8">
      <c r="B1174" t="s">
        <v>463</v>
      </c>
      <c r="C1174" t="s">
        <v>341</v>
      </c>
      <c r="D1174">
        <v>3220</v>
      </c>
      <c r="E1174">
        <v>3220</v>
      </c>
      <c r="F1174">
        <v>3215</v>
      </c>
      <c r="G1174">
        <v>3220</v>
      </c>
      <c r="H1174">
        <v>1300</v>
      </c>
    </row>
    <row r="1175" spans="2:8">
      <c r="B1175" t="s">
        <v>463</v>
      </c>
      <c r="C1175" t="s">
        <v>342</v>
      </c>
      <c r="D1175">
        <v>3220</v>
      </c>
      <c r="E1175">
        <v>3220</v>
      </c>
      <c r="F1175">
        <v>3215</v>
      </c>
      <c r="G1175">
        <v>3215</v>
      </c>
      <c r="H1175">
        <v>700</v>
      </c>
    </row>
    <row r="1176" spans="2:8">
      <c r="B1176" t="s">
        <v>463</v>
      </c>
      <c r="C1176" t="s">
        <v>343</v>
      </c>
      <c r="D1176">
        <v>3215</v>
      </c>
      <c r="E1176">
        <v>3215</v>
      </c>
      <c r="F1176">
        <v>3215</v>
      </c>
      <c r="G1176">
        <v>3215</v>
      </c>
      <c r="H1176">
        <v>200</v>
      </c>
    </row>
    <row r="1177" spans="2:8">
      <c r="B1177" t="s">
        <v>463</v>
      </c>
      <c r="C1177" t="s">
        <v>344</v>
      </c>
      <c r="D1177">
        <v>3215</v>
      </c>
      <c r="E1177">
        <v>3220</v>
      </c>
      <c r="F1177">
        <v>3215</v>
      </c>
      <c r="G1177">
        <v>3220</v>
      </c>
      <c r="H1177">
        <v>2000</v>
      </c>
    </row>
    <row r="1178" spans="2:8">
      <c r="B1178" t="s">
        <v>463</v>
      </c>
      <c r="C1178" t="s">
        <v>345</v>
      </c>
      <c r="D1178">
        <v>3220</v>
      </c>
      <c r="E1178">
        <v>3220</v>
      </c>
      <c r="F1178">
        <v>3215</v>
      </c>
      <c r="G1178">
        <v>3215</v>
      </c>
      <c r="H1178">
        <v>700</v>
      </c>
    </row>
    <row r="1179" spans="2:8">
      <c r="B1179" t="s">
        <v>463</v>
      </c>
      <c r="C1179" t="s">
        <v>346</v>
      </c>
      <c r="D1179">
        <v>3220</v>
      </c>
      <c r="E1179">
        <v>3220</v>
      </c>
      <c r="F1179">
        <v>3215</v>
      </c>
      <c r="G1179">
        <v>3220</v>
      </c>
      <c r="H1179">
        <v>900</v>
      </c>
    </row>
    <row r="1180" spans="2:8">
      <c r="B1180" t="s">
        <v>463</v>
      </c>
      <c r="C1180" t="s">
        <v>347</v>
      </c>
      <c r="D1180">
        <v>3220</v>
      </c>
      <c r="E1180">
        <v>3220</v>
      </c>
      <c r="F1180">
        <v>3220</v>
      </c>
      <c r="G1180">
        <v>3220</v>
      </c>
      <c r="H1180">
        <v>10900</v>
      </c>
    </row>
    <row r="1181" spans="2:8">
      <c r="B1181" t="s">
        <v>463</v>
      </c>
      <c r="C1181" t="s">
        <v>348</v>
      </c>
      <c r="D1181">
        <v>3215</v>
      </c>
      <c r="E1181">
        <v>3215</v>
      </c>
      <c r="F1181">
        <v>3215</v>
      </c>
      <c r="G1181">
        <v>3215</v>
      </c>
      <c r="H1181">
        <v>8800</v>
      </c>
    </row>
    <row r="1182" spans="2:8">
      <c r="B1182" t="s">
        <v>463</v>
      </c>
      <c r="C1182" t="s">
        <v>349</v>
      </c>
      <c r="D1182">
        <v>3215</v>
      </c>
      <c r="E1182">
        <v>3215</v>
      </c>
      <c r="F1182">
        <v>3195</v>
      </c>
      <c r="G1182">
        <v>3195</v>
      </c>
      <c r="H1182">
        <v>103700</v>
      </c>
    </row>
    <row r="1183" spans="2:8">
      <c r="B1183" t="s">
        <v>463</v>
      </c>
      <c r="C1183" t="s">
        <v>350</v>
      </c>
      <c r="D1183">
        <v>3195</v>
      </c>
      <c r="E1183">
        <v>3195</v>
      </c>
      <c r="F1183">
        <v>3180</v>
      </c>
      <c r="G1183">
        <v>3190</v>
      </c>
      <c r="H1183">
        <v>56000</v>
      </c>
    </row>
    <row r="1184" spans="2:8">
      <c r="B1184" t="s">
        <v>463</v>
      </c>
      <c r="C1184" t="s">
        <v>351</v>
      </c>
      <c r="D1184">
        <v>3195</v>
      </c>
      <c r="E1184">
        <v>3195</v>
      </c>
      <c r="F1184">
        <v>3190</v>
      </c>
      <c r="G1184">
        <v>3190</v>
      </c>
      <c r="H1184">
        <v>3100</v>
      </c>
    </row>
    <row r="1185" spans="2:8">
      <c r="B1185" t="s">
        <v>463</v>
      </c>
      <c r="C1185" t="s">
        <v>352</v>
      </c>
      <c r="D1185">
        <v>3190</v>
      </c>
      <c r="E1185">
        <v>3195</v>
      </c>
      <c r="F1185">
        <v>3185</v>
      </c>
      <c r="G1185">
        <v>3185</v>
      </c>
      <c r="H1185">
        <v>20500</v>
      </c>
    </row>
    <row r="1186" spans="2:8">
      <c r="B1186" t="s">
        <v>463</v>
      </c>
      <c r="C1186" t="s">
        <v>353</v>
      </c>
      <c r="D1186">
        <v>3185</v>
      </c>
      <c r="E1186">
        <v>3185</v>
      </c>
      <c r="F1186">
        <v>3180</v>
      </c>
      <c r="G1186">
        <v>3185</v>
      </c>
      <c r="H1186">
        <v>23000</v>
      </c>
    </row>
    <row r="1187" spans="2:8">
      <c r="B1187" t="s">
        <v>463</v>
      </c>
      <c r="C1187" t="s">
        <v>354</v>
      </c>
      <c r="D1187">
        <v>3190</v>
      </c>
      <c r="E1187">
        <v>3190</v>
      </c>
      <c r="F1187">
        <v>3185</v>
      </c>
      <c r="G1187">
        <v>3190</v>
      </c>
      <c r="H1187">
        <v>19900</v>
      </c>
    </row>
    <row r="1188" spans="2:8">
      <c r="B1188" t="s">
        <v>463</v>
      </c>
      <c r="C1188" t="s">
        <v>355</v>
      </c>
      <c r="D1188">
        <v>3185</v>
      </c>
      <c r="E1188">
        <v>3190</v>
      </c>
      <c r="F1188">
        <v>3185</v>
      </c>
      <c r="G1188">
        <v>3185</v>
      </c>
      <c r="H1188">
        <v>18900</v>
      </c>
    </row>
    <row r="1189" spans="2:8">
      <c r="B1189" t="s">
        <v>463</v>
      </c>
      <c r="C1189" t="s">
        <v>356</v>
      </c>
      <c r="D1189">
        <v>3185</v>
      </c>
      <c r="E1189">
        <v>3190</v>
      </c>
      <c r="F1189">
        <v>3185</v>
      </c>
      <c r="G1189">
        <v>3185</v>
      </c>
      <c r="H1189">
        <v>2900</v>
      </c>
    </row>
    <row r="1190" spans="2:8">
      <c r="B1190" t="s">
        <v>463</v>
      </c>
      <c r="C1190" t="s">
        <v>357</v>
      </c>
      <c r="D1190">
        <v>3185</v>
      </c>
      <c r="E1190">
        <v>3190</v>
      </c>
      <c r="F1190">
        <v>3185</v>
      </c>
      <c r="G1190">
        <v>3185</v>
      </c>
      <c r="H1190">
        <v>600</v>
      </c>
    </row>
    <row r="1191" spans="2:8">
      <c r="B1191" t="s">
        <v>463</v>
      </c>
      <c r="C1191" t="s">
        <v>358</v>
      </c>
      <c r="D1191">
        <v>3185</v>
      </c>
      <c r="E1191">
        <v>3190</v>
      </c>
      <c r="F1191">
        <v>3185</v>
      </c>
      <c r="G1191">
        <v>3190</v>
      </c>
      <c r="H1191">
        <v>2100</v>
      </c>
    </row>
    <row r="1192" spans="2:8">
      <c r="B1192" t="s">
        <v>463</v>
      </c>
      <c r="C1192" t="s">
        <v>359</v>
      </c>
      <c r="D1192">
        <v>3190</v>
      </c>
      <c r="E1192">
        <v>3200</v>
      </c>
      <c r="F1192">
        <v>3190</v>
      </c>
      <c r="G1192">
        <v>3195</v>
      </c>
      <c r="H1192">
        <v>17300</v>
      </c>
    </row>
    <row r="1193" spans="2:8">
      <c r="B1193" t="s">
        <v>463</v>
      </c>
      <c r="C1193" t="s">
        <v>360</v>
      </c>
      <c r="D1193">
        <v>3195</v>
      </c>
      <c r="E1193">
        <v>3195</v>
      </c>
      <c r="F1193">
        <v>3195</v>
      </c>
      <c r="G1193">
        <v>3195</v>
      </c>
      <c r="H1193">
        <v>200</v>
      </c>
    </row>
    <row r="1194" spans="2:8">
      <c r="B1194" t="s">
        <v>463</v>
      </c>
      <c r="C1194" t="s">
        <v>361</v>
      </c>
      <c r="D1194">
        <v>3200</v>
      </c>
      <c r="E1194">
        <v>3200</v>
      </c>
      <c r="F1194">
        <v>3195</v>
      </c>
      <c r="G1194">
        <v>3195</v>
      </c>
      <c r="H1194">
        <v>500</v>
      </c>
    </row>
    <row r="1195" spans="2:8">
      <c r="B1195" t="s">
        <v>463</v>
      </c>
      <c r="C1195" t="s">
        <v>362</v>
      </c>
      <c r="D1195">
        <v>3200</v>
      </c>
      <c r="E1195">
        <v>3200</v>
      </c>
      <c r="F1195">
        <v>3190</v>
      </c>
      <c r="G1195">
        <v>3190</v>
      </c>
      <c r="H1195">
        <v>10300</v>
      </c>
    </row>
    <row r="1196" spans="2:8">
      <c r="B1196" t="s">
        <v>463</v>
      </c>
      <c r="C1196" t="s">
        <v>363</v>
      </c>
      <c r="D1196">
        <v>3190</v>
      </c>
      <c r="E1196">
        <v>3195</v>
      </c>
      <c r="F1196">
        <v>3190</v>
      </c>
      <c r="G1196">
        <v>3195</v>
      </c>
      <c r="H1196">
        <v>6300</v>
      </c>
    </row>
    <row r="1197" spans="2:8">
      <c r="B1197" t="s">
        <v>463</v>
      </c>
      <c r="C1197" t="s">
        <v>364</v>
      </c>
      <c r="D1197">
        <v>3190</v>
      </c>
      <c r="E1197">
        <v>3190</v>
      </c>
      <c r="F1197">
        <v>3185</v>
      </c>
      <c r="G1197">
        <v>3185</v>
      </c>
      <c r="H1197">
        <v>2500</v>
      </c>
    </row>
    <row r="1198" spans="2:8">
      <c r="B1198" t="s">
        <v>463</v>
      </c>
      <c r="C1198" t="s">
        <v>365</v>
      </c>
      <c r="D1198">
        <v>3185</v>
      </c>
      <c r="E1198">
        <v>3195</v>
      </c>
      <c r="F1198">
        <v>3185</v>
      </c>
      <c r="G1198">
        <v>3195</v>
      </c>
      <c r="H1198">
        <v>5700</v>
      </c>
    </row>
    <row r="1199" spans="2:8">
      <c r="B1199" t="s">
        <v>463</v>
      </c>
      <c r="C1199" t="s">
        <v>366</v>
      </c>
      <c r="D1199">
        <v>3195</v>
      </c>
      <c r="E1199">
        <v>3195</v>
      </c>
      <c r="F1199">
        <v>3190</v>
      </c>
      <c r="G1199">
        <v>3195</v>
      </c>
      <c r="H1199">
        <v>3400</v>
      </c>
    </row>
    <row r="1200" spans="2:8">
      <c r="B1200" t="s">
        <v>463</v>
      </c>
      <c r="C1200" t="s">
        <v>367</v>
      </c>
      <c r="D1200">
        <v>3190</v>
      </c>
      <c r="E1200">
        <v>3190</v>
      </c>
      <c r="F1200">
        <v>3190</v>
      </c>
      <c r="G1200">
        <v>3190</v>
      </c>
      <c r="H1200">
        <v>400</v>
      </c>
    </row>
    <row r="1201" spans="2:8">
      <c r="B1201" t="s">
        <v>463</v>
      </c>
      <c r="C1201" t="s">
        <v>368</v>
      </c>
      <c r="D1201">
        <v>3190</v>
      </c>
      <c r="E1201">
        <v>3195</v>
      </c>
      <c r="F1201">
        <v>3190</v>
      </c>
      <c r="G1201">
        <v>3195</v>
      </c>
      <c r="H1201">
        <v>6200</v>
      </c>
    </row>
    <row r="1202" spans="2:8">
      <c r="B1202" t="s">
        <v>463</v>
      </c>
      <c r="C1202" t="s">
        <v>369</v>
      </c>
      <c r="D1202">
        <v>3200</v>
      </c>
      <c r="E1202">
        <v>3200</v>
      </c>
      <c r="F1202">
        <v>3195</v>
      </c>
      <c r="G1202">
        <v>3195</v>
      </c>
      <c r="H1202">
        <v>5200</v>
      </c>
    </row>
    <row r="1203" spans="2:8">
      <c r="B1203" t="s">
        <v>463</v>
      </c>
      <c r="C1203" t="s">
        <v>370</v>
      </c>
      <c r="D1203">
        <v>3200</v>
      </c>
      <c r="E1203">
        <v>3200</v>
      </c>
      <c r="F1203">
        <v>3195</v>
      </c>
      <c r="G1203">
        <v>3200</v>
      </c>
      <c r="H1203">
        <v>11200</v>
      </c>
    </row>
    <row r="1204" spans="2:8">
      <c r="B1204" t="s">
        <v>463</v>
      </c>
      <c r="C1204" t="s">
        <v>371</v>
      </c>
      <c r="D1204">
        <v>3200</v>
      </c>
      <c r="E1204">
        <v>3205</v>
      </c>
      <c r="F1204">
        <v>3195</v>
      </c>
      <c r="G1204">
        <v>3205</v>
      </c>
      <c r="H1204">
        <v>3200</v>
      </c>
    </row>
    <row r="1205" spans="2:8">
      <c r="B1205" t="s">
        <v>463</v>
      </c>
      <c r="C1205" t="s">
        <v>372</v>
      </c>
      <c r="D1205">
        <v>3205</v>
      </c>
      <c r="E1205">
        <v>3205</v>
      </c>
      <c r="F1205">
        <v>3200</v>
      </c>
      <c r="G1205">
        <v>3200</v>
      </c>
      <c r="H1205">
        <v>7700</v>
      </c>
    </row>
    <row r="1206" spans="2:8">
      <c r="B1206" t="s">
        <v>463</v>
      </c>
      <c r="C1206" t="s">
        <v>373</v>
      </c>
      <c r="D1206">
        <v>3195</v>
      </c>
      <c r="E1206">
        <v>3195</v>
      </c>
      <c r="F1206">
        <v>3195</v>
      </c>
      <c r="G1206">
        <v>3195</v>
      </c>
      <c r="H1206">
        <v>400</v>
      </c>
    </row>
    <row r="1207" spans="2:8">
      <c r="B1207" t="s">
        <v>463</v>
      </c>
      <c r="C1207" t="s">
        <v>374</v>
      </c>
      <c r="D1207">
        <v>3195</v>
      </c>
      <c r="E1207">
        <v>3195</v>
      </c>
      <c r="F1207">
        <v>3195</v>
      </c>
      <c r="G1207">
        <v>3195</v>
      </c>
      <c r="H1207">
        <v>8200</v>
      </c>
    </row>
    <row r="1208" spans="2:8">
      <c r="B1208" t="s">
        <v>463</v>
      </c>
      <c r="C1208" t="s">
        <v>375</v>
      </c>
      <c r="D1208">
        <v>3195</v>
      </c>
      <c r="E1208">
        <v>3195</v>
      </c>
      <c r="F1208">
        <v>3195</v>
      </c>
      <c r="G1208">
        <v>3195</v>
      </c>
      <c r="H1208">
        <v>2000</v>
      </c>
    </row>
    <row r="1209" spans="2:8">
      <c r="B1209" t="s">
        <v>463</v>
      </c>
      <c r="C1209" t="s">
        <v>376</v>
      </c>
      <c r="D1209">
        <v>3195</v>
      </c>
      <c r="E1209">
        <v>3195</v>
      </c>
      <c r="F1209">
        <v>3195</v>
      </c>
      <c r="G1209">
        <v>3195</v>
      </c>
      <c r="H1209">
        <v>300</v>
      </c>
    </row>
    <row r="1210" spans="2:8">
      <c r="B1210" t="s">
        <v>463</v>
      </c>
      <c r="C1210" t="s">
        <v>377</v>
      </c>
      <c r="D1210">
        <v>3195</v>
      </c>
      <c r="E1210">
        <v>3200</v>
      </c>
      <c r="F1210">
        <v>3195</v>
      </c>
      <c r="G1210">
        <v>3200</v>
      </c>
      <c r="H1210">
        <v>2400</v>
      </c>
    </row>
    <row r="1211" spans="2:8">
      <c r="B1211" t="s">
        <v>463</v>
      </c>
      <c r="C1211" t="s">
        <v>378</v>
      </c>
      <c r="D1211">
        <v>3200</v>
      </c>
      <c r="E1211">
        <v>3200</v>
      </c>
      <c r="F1211">
        <v>3200</v>
      </c>
      <c r="G1211">
        <v>3200</v>
      </c>
      <c r="H1211">
        <v>100</v>
      </c>
    </row>
    <row r="1212" spans="2:8">
      <c r="B1212" t="s">
        <v>463</v>
      </c>
      <c r="C1212" t="s">
        <v>379</v>
      </c>
      <c r="D1212">
        <v>3195</v>
      </c>
      <c r="E1212">
        <v>3195</v>
      </c>
      <c r="F1212">
        <v>3195</v>
      </c>
      <c r="G1212">
        <v>3195</v>
      </c>
      <c r="H1212">
        <v>1400</v>
      </c>
    </row>
    <row r="1213" spans="2:8">
      <c r="B1213" t="s">
        <v>463</v>
      </c>
      <c r="C1213" t="s">
        <v>380</v>
      </c>
      <c r="D1213">
        <v>3195</v>
      </c>
      <c r="E1213">
        <v>3195</v>
      </c>
      <c r="F1213">
        <v>3190</v>
      </c>
      <c r="G1213">
        <v>3195</v>
      </c>
      <c r="H1213">
        <v>9300</v>
      </c>
    </row>
    <row r="1214" spans="2:8">
      <c r="B1214" t="s">
        <v>463</v>
      </c>
      <c r="C1214" t="s">
        <v>381</v>
      </c>
      <c r="D1214">
        <v>3195</v>
      </c>
      <c r="E1214">
        <v>3195</v>
      </c>
      <c r="F1214">
        <v>3190</v>
      </c>
      <c r="G1214">
        <v>3190</v>
      </c>
      <c r="H1214">
        <v>1200</v>
      </c>
    </row>
    <row r="1215" spans="2:8">
      <c r="B1215" t="s">
        <v>463</v>
      </c>
      <c r="C1215" t="s">
        <v>382</v>
      </c>
      <c r="D1215">
        <v>3190</v>
      </c>
      <c r="E1215">
        <v>3195</v>
      </c>
      <c r="F1215">
        <v>3190</v>
      </c>
      <c r="G1215">
        <v>3195</v>
      </c>
      <c r="H1215">
        <v>2500</v>
      </c>
    </row>
    <row r="1216" spans="2:8">
      <c r="B1216" t="s">
        <v>463</v>
      </c>
      <c r="C1216" t="s">
        <v>383</v>
      </c>
      <c r="D1216">
        <v>3195</v>
      </c>
      <c r="E1216">
        <v>3200</v>
      </c>
      <c r="F1216">
        <v>3195</v>
      </c>
      <c r="G1216">
        <v>3195</v>
      </c>
      <c r="H1216">
        <v>300</v>
      </c>
    </row>
    <row r="1217" spans="2:8">
      <c r="B1217" t="s">
        <v>463</v>
      </c>
      <c r="C1217" t="s">
        <v>384</v>
      </c>
      <c r="D1217">
        <v>3200</v>
      </c>
      <c r="E1217">
        <v>3200</v>
      </c>
      <c r="F1217">
        <v>3195</v>
      </c>
      <c r="G1217">
        <v>3195</v>
      </c>
      <c r="H1217">
        <v>4300</v>
      </c>
    </row>
    <row r="1218" spans="2:8">
      <c r="B1218" t="s">
        <v>463</v>
      </c>
      <c r="C1218" t="s">
        <v>385</v>
      </c>
      <c r="D1218">
        <v>3195</v>
      </c>
      <c r="E1218">
        <v>3195</v>
      </c>
      <c r="F1218">
        <v>3195</v>
      </c>
      <c r="G1218">
        <v>3195</v>
      </c>
      <c r="H1218">
        <v>3000</v>
      </c>
    </row>
    <row r="1219" spans="2:8">
      <c r="B1219" t="s">
        <v>463</v>
      </c>
      <c r="C1219" t="s">
        <v>386</v>
      </c>
      <c r="D1219">
        <v>3195</v>
      </c>
      <c r="E1219">
        <v>3195</v>
      </c>
      <c r="F1219">
        <v>3195</v>
      </c>
      <c r="G1219">
        <v>3195</v>
      </c>
      <c r="H1219">
        <v>100</v>
      </c>
    </row>
    <row r="1220" spans="2:8">
      <c r="B1220" t="s">
        <v>463</v>
      </c>
      <c r="C1220" t="s">
        <v>387</v>
      </c>
      <c r="D1220">
        <v>3195</v>
      </c>
      <c r="E1220">
        <v>3195</v>
      </c>
      <c r="F1220">
        <v>3195</v>
      </c>
      <c r="G1220">
        <v>3195</v>
      </c>
      <c r="H1220">
        <v>100</v>
      </c>
    </row>
    <row r="1221" spans="2:8">
      <c r="B1221" t="s">
        <v>463</v>
      </c>
      <c r="C1221" t="s">
        <v>388</v>
      </c>
      <c r="D1221">
        <v>3195</v>
      </c>
      <c r="E1221">
        <v>3195</v>
      </c>
      <c r="F1221">
        <v>3190</v>
      </c>
      <c r="G1221">
        <v>3190</v>
      </c>
      <c r="H1221">
        <v>4700</v>
      </c>
    </row>
    <row r="1222" spans="2:8">
      <c r="B1222" t="s">
        <v>463</v>
      </c>
      <c r="C1222" t="s">
        <v>389</v>
      </c>
      <c r="D1222">
        <v>3190</v>
      </c>
      <c r="E1222">
        <v>3195</v>
      </c>
      <c r="F1222">
        <v>3190</v>
      </c>
      <c r="G1222">
        <v>3195</v>
      </c>
      <c r="H1222">
        <v>3100</v>
      </c>
    </row>
    <row r="1223" spans="2:8">
      <c r="B1223" t="s">
        <v>463</v>
      </c>
      <c r="C1223" t="s">
        <v>390</v>
      </c>
      <c r="D1223">
        <v>3195</v>
      </c>
      <c r="E1223">
        <v>3195</v>
      </c>
      <c r="F1223">
        <v>3195</v>
      </c>
      <c r="G1223">
        <v>3195</v>
      </c>
      <c r="H1223">
        <v>4200</v>
      </c>
    </row>
    <row r="1224" spans="2:8">
      <c r="B1224" t="s">
        <v>463</v>
      </c>
      <c r="C1224" t="s">
        <v>391</v>
      </c>
      <c r="D1224">
        <v>3195</v>
      </c>
      <c r="E1224">
        <v>3195</v>
      </c>
      <c r="F1224">
        <v>3195</v>
      </c>
      <c r="G1224">
        <v>3195</v>
      </c>
      <c r="H1224">
        <v>1700</v>
      </c>
    </row>
    <row r="1225" spans="2:8">
      <c r="B1225" t="s">
        <v>463</v>
      </c>
      <c r="C1225" t="s">
        <v>392</v>
      </c>
      <c r="D1225">
        <v>3195</v>
      </c>
      <c r="E1225">
        <v>3200</v>
      </c>
      <c r="F1225">
        <v>3190</v>
      </c>
      <c r="G1225">
        <v>3190</v>
      </c>
      <c r="H1225">
        <v>7600</v>
      </c>
    </row>
    <row r="1226" spans="2:8">
      <c r="B1226" t="s">
        <v>463</v>
      </c>
      <c r="C1226" t="s">
        <v>393</v>
      </c>
      <c r="D1226">
        <v>3190</v>
      </c>
      <c r="E1226">
        <v>3195</v>
      </c>
      <c r="F1226">
        <v>3190</v>
      </c>
      <c r="G1226">
        <v>3195</v>
      </c>
      <c r="H1226">
        <v>200</v>
      </c>
    </row>
    <row r="1227" spans="2:8">
      <c r="B1227" t="s">
        <v>463</v>
      </c>
      <c r="C1227" t="s">
        <v>394</v>
      </c>
      <c r="D1227">
        <v>3190</v>
      </c>
      <c r="E1227">
        <v>3195</v>
      </c>
      <c r="F1227">
        <v>3190</v>
      </c>
      <c r="G1227">
        <v>3195</v>
      </c>
      <c r="H1227">
        <v>500</v>
      </c>
    </row>
    <row r="1228" spans="2:8">
      <c r="B1228" t="s">
        <v>463</v>
      </c>
      <c r="C1228" t="s">
        <v>395</v>
      </c>
      <c r="D1228">
        <v>3190</v>
      </c>
      <c r="E1228">
        <v>3195</v>
      </c>
      <c r="F1228">
        <v>3190</v>
      </c>
      <c r="G1228">
        <v>3195</v>
      </c>
      <c r="H1228">
        <v>6500</v>
      </c>
    </row>
    <row r="1229" spans="2:8">
      <c r="B1229" t="s">
        <v>463</v>
      </c>
      <c r="C1229" t="s">
        <v>396</v>
      </c>
      <c r="D1229">
        <v>3195</v>
      </c>
      <c r="E1229">
        <v>3200</v>
      </c>
      <c r="F1229">
        <v>3195</v>
      </c>
      <c r="G1229">
        <v>3195</v>
      </c>
      <c r="H1229">
        <v>11500</v>
      </c>
    </row>
    <row r="1230" spans="2:8">
      <c r="B1230" t="s">
        <v>463</v>
      </c>
      <c r="C1230" t="s">
        <v>397</v>
      </c>
      <c r="D1230">
        <v>3195</v>
      </c>
      <c r="E1230">
        <v>3195</v>
      </c>
      <c r="F1230">
        <v>3195</v>
      </c>
      <c r="G1230">
        <v>3195</v>
      </c>
      <c r="H1230">
        <v>1600</v>
      </c>
    </row>
    <row r="1231" spans="2:8">
      <c r="B1231" t="s">
        <v>463</v>
      </c>
      <c r="C1231" t="s">
        <v>398</v>
      </c>
      <c r="D1231">
        <v>3190</v>
      </c>
      <c r="E1231">
        <v>3195</v>
      </c>
      <c r="F1231">
        <v>3190</v>
      </c>
      <c r="G1231">
        <v>3195</v>
      </c>
      <c r="H1231">
        <v>4200</v>
      </c>
    </row>
    <row r="1232" spans="2:8">
      <c r="B1232" t="s">
        <v>463</v>
      </c>
      <c r="C1232" t="s">
        <v>399</v>
      </c>
      <c r="D1232">
        <v>3195</v>
      </c>
      <c r="E1232">
        <v>3195</v>
      </c>
      <c r="F1232">
        <v>3190</v>
      </c>
      <c r="G1232">
        <v>3190</v>
      </c>
      <c r="H1232">
        <v>1100</v>
      </c>
    </row>
    <row r="1233" spans="2:8">
      <c r="B1233" t="s">
        <v>463</v>
      </c>
      <c r="C1233" t="s">
        <v>400</v>
      </c>
      <c r="D1233">
        <v>3190</v>
      </c>
      <c r="E1233">
        <v>3195</v>
      </c>
      <c r="F1233">
        <v>3190</v>
      </c>
      <c r="G1233">
        <v>3195</v>
      </c>
      <c r="H1233">
        <v>6700</v>
      </c>
    </row>
    <row r="1234" spans="2:8">
      <c r="B1234" t="s">
        <v>463</v>
      </c>
      <c r="C1234" t="s">
        <v>401</v>
      </c>
      <c r="D1234">
        <v>3195</v>
      </c>
      <c r="E1234">
        <v>3195</v>
      </c>
      <c r="F1234">
        <v>3195</v>
      </c>
      <c r="G1234">
        <v>3195</v>
      </c>
      <c r="H1234">
        <v>2400</v>
      </c>
    </row>
    <row r="1235" spans="2:8">
      <c r="B1235" t="s">
        <v>463</v>
      </c>
      <c r="C1235" t="s">
        <v>402</v>
      </c>
      <c r="D1235">
        <v>3195</v>
      </c>
      <c r="E1235">
        <v>3205</v>
      </c>
      <c r="F1235">
        <v>3195</v>
      </c>
      <c r="G1235">
        <v>3205</v>
      </c>
      <c r="H1235">
        <v>16100</v>
      </c>
    </row>
    <row r="1236" spans="2:8">
      <c r="B1236" t="s">
        <v>463</v>
      </c>
      <c r="C1236" t="s">
        <v>403</v>
      </c>
      <c r="D1236">
        <v>3205</v>
      </c>
      <c r="E1236">
        <v>3205</v>
      </c>
      <c r="F1236">
        <v>3200</v>
      </c>
      <c r="G1236">
        <v>3205</v>
      </c>
      <c r="H1236">
        <v>3200</v>
      </c>
    </row>
    <row r="1237" spans="2:8">
      <c r="B1237" t="s">
        <v>463</v>
      </c>
      <c r="C1237" t="s">
        <v>404</v>
      </c>
      <c r="D1237">
        <v>3205</v>
      </c>
      <c r="E1237">
        <v>3205</v>
      </c>
      <c r="F1237">
        <v>3205</v>
      </c>
      <c r="G1237">
        <v>3205</v>
      </c>
      <c r="H1237">
        <v>14400</v>
      </c>
    </row>
    <row r="1238" spans="2:8">
      <c r="B1238" t="s">
        <v>463</v>
      </c>
      <c r="C1238" t="s">
        <v>405</v>
      </c>
      <c r="D1238">
        <v>3205</v>
      </c>
      <c r="E1238">
        <v>3210</v>
      </c>
      <c r="F1238">
        <v>3205</v>
      </c>
      <c r="G1238">
        <v>3210</v>
      </c>
      <c r="H1238">
        <v>4000</v>
      </c>
    </row>
    <row r="1239" spans="2:8">
      <c r="B1239" t="s">
        <v>463</v>
      </c>
      <c r="C1239" t="s">
        <v>406</v>
      </c>
      <c r="D1239">
        <v>3210</v>
      </c>
      <c r="E1239">
        <v>3210</v>
      </c>
      <c r="F1239">
        <v>3205</v>
      </c>
      <c r="G1239">
        <v>3205</v>
      </c>
      <c r="H1239">
        <v>400</v>
      </c>
    </row>
    <row r="1240" spans="2:8">
      <c r="B1240" t="s">
        <v>463</v>
      </c>
      <c r="C1240" t="s">
        <v>407</v>
      </c>
      <c r="D1240">
        <v>3210</v>
      </c>
      <c r="E1240">
        <v>3210</v>
      </c>
      <c r="F1240">
        <v>3205</v>
      </c>
      <c r="G1240">
        <v>3210</v>
      </c>
      <c r="H1240">
        <v>2500</v>
      </c>
    </row>
    <row r="1241" spans="2:8">
      <c r="B1241" t="s">
        <v>463</v>
      </c>
      <c r="C1241" t="s">
        <v>408</v>
      </c>
      <c r="D1241">
        <v>3210</v>
      </c>
      <c r="E1241">
        <v>3210</v>
      </c>
      <c r="F1241">
        <v>3205</v>
      </c>
      <c r="G1241">
        <v>3205</v>
      </c>
      <c r="H1241">
        <v>200</v>
      </c>
    </row>
    <row r="1242" spans="2:8">
      <c r="B1242" t="s">
        <v>463</v>
      </c>
      <c r="C1242" t="s">
        <v>409</v>
      </c>
      <c r="D1242">
        <v>3205</v>
      </c>
      <c r="E1242">
        <v>3210</v>
      </c>
      <c r="F1242">
        <v>3205</v>
      </c>
      <c r="G1242">
        <v>3210</v>
      </c>
      <c r="H1242">
        <v>1700</v>
      </c>
    </row>
    <row r="1243" spans="2:8">
      <c r="B1243" t="s">
        <v>463</v>
      </c>
      <c r="C1243" t="s">
        <v>410</v>
      </c>
      <c r="D1243">
        <v>3210</v>
      </c>
      <c r="E1243">
        <v>3210</v>
      </c>
      <c r="F1243">
        <v>3210</v>
      </c>
      <c r="G1243">
        <v>3210</v>
      </c>
      <c r="H1243">
        <v>100</v>
      </c>
    </row>
    <row r="1244" spans="2:8">
      <c r="B1244" t="s">
        <v>463</v>
      </c>
      <c r="C1244" t="s">
        <v>411</v>
      </c>
      <c r="D1244">
        <v>3210</v>
      </c>
      <c r="E1244">
        <v>3210</v>
      </c>
      <c r="F1244">
        <v>3210</v>
      </c>
      <c r="G1244">
        <v>3210</v>
      </c>
      <c r="H1244">
        <v>1700</v>
      </c>
    </row>
    <row r="1245" spans="2:8">
      <c r="B1245" t="s">
        <v>463</v>
      </c>
      <c r="C1245" t="s">
        <v>412</v>
      </c>
      <c r="D1245">
        <v>3210</v>
      </c>
      <c r="E1245">
        <v>3215</v>
      </c>
      <c r="F1245">
        <v>3210</v>
      </c>
      <c r="G1245">
        <v>3215</v>
      </c>
      <c r="H1245">
        <v>15900</v>
      </c>
    </row>
    <row r="1246" spans="2:8">
      <c r="B1246" t="s">
        <v>463</v>
      </c>
      <c r="C1246" t="s">
        <v>413</v>
      </c>
      <c r="D1246">
        <v>3215</v>
      </c>
      <c r="E1246">
        <v>3215</v>
      </c>
      <c r="F1246">
        <v>3210</v>
      </c>
      <c r="G1246">
        <v>3210</v>
      </c>
      <c r="H1246">
        <v>600</v>
      </c>
    </row>
    <row r="1247" spans="2:8">
      <c r="B1247" t="s">
        <v>463</v>
      </c>
      <c r="C1247" t="s">
        <v>414</v>
      </c>
      <c r="D1247">
        <v>3215</v>
      </c>
      <c r="E1247">
        <v>3215</v>
      </c>
      <c r="F1247">
        <v>3210</v>
      </c>
      <c r="G1247">
        <v>3215</v>
      </c>
      <c r="H1247">
        <v>1700</v>
      </c>
    </row>
    <row r="1248" spans="2:8">
      <c r="B1248" t="s">
        <v>463</v>
      </c>
      <c r="C1248" t="s">
        <v>415</v>
      </c>
      <c r="D1248">
        <v>3215</v>
      </c>
      <c r="E1248">
        <v>3215</v>
      </c>
      <c r="F1248">
        <v>3215</v>
      </c>
      <c r="G1248">
        <v>3215</v>
      </c>
      <c r="H1248">
        <v>300</v>
      </c>
    </row>
    <row r="1249" spans="2:8">
      <c r="B1249" t="s">
        <v>463</v>
      </c>
      <c r="C1249" t="s">
        <v>416</v>
      </c>
      <c r="D1249">
        <v>3215</v>
      </c>
      <c r="E1249">
        <v>3215</v>
      </c>
      <c r="F1249">
        <v>3215</v>
      </c>
      <c r="G1249">
        <v>3215</v>
      </c>
      <c r="H1249">
        <v>400</v>
      </c>
    </row>
    <row r="1250" spans="2:8">
      <c r="B1250" t="s">
        <v>463</v>
      </c>
      <c r="C1250" t="s">
        <v>417</v>
      </c>
      <c r="D1250">
        <v>3210</v>
      </c>
      <c r="E1250">
        <v>3225</v>
      </c>
      <c r="F1250">
        <v>3210</v>
      </c>
      <c r="G1250">
        <v>3225</v>
      </c>
      <c r="H1250">
        <v>33300</v>
      </c>
    </row>
    <row r="1251" spans="2:8">
      <c r="B1251" t="s">
        <v>463</v>
      </c>
      <c r="C1251" t="s">
        <v>418</v>
      </c>
      <c r="D1251">
        <v>3220</v>
      </c>
      <c r="E1251">
        <v>3225</v>
      </c>
      <c r="F1251">
        <v>3220</v>
      </c>
      <c r="G1251">
        <v>3225</v>
      </c>
      <c r="H1251">
        <v>3400</v>
      </c>
    </row>
    <row r="1252" spans="2:8">
      <c r="B1252" t="s">
        <v>463</v>
      </c>
      <c r="C1252" t="s">
        <v>419</v>
      </c>
      <c r="D1252">
        <v>3220</v>
      </c>
      <c r="E1252">
        <v>3225</v>
      </c>
      <c r="F1252">
        <v>3220</v>
      </c>
      <c r="G1252">
        <v>3225</v>
      </c>
      <c r="H1252">
        <v>2800</v>
      </c>
    </row>
    <row r="1253" spans="2:8">
      <c r="B1253" t="s">
        <v>463</v>
      </c>
      <c r="C1253" t="s">
        <v>420</v>
      </c>
      <c r="D1253">
        <v>3225</v>
      </c>
      <c r="E1253">
        <v>3230</v>
      </c>
      <c r="F1253">
        <v>3220</v>
      </c>
      <c r="G1253">
        <v>3230</v>
      </c>
      <c r="H1253">
        <v>3900</v>
      </c>
    </row>
    <row r="1254" spans="2:8">
      <c r="B1254" t="s">
        <v>463</v>
      </c>
      <c r="C1254" t="s">
        <v>421</v>
      </c>
      <c r="D1254">
        <v>3230</v>
      </c>
      <c r="E1254">
        <v>3230</v>
      </c>
      <c r="F1254">
        <v>3230</v>
      </c>
      <c r="G1254">
        <v>3230</v>
      </c>
      <c r="H1254">
        <v>32500</v>
      </c>
    </row>
    <row r="1255" spans="2:8">
      <c r="B1255" t="s">
        <v>463</v>
      </c>
      <c r="C1255" t="s">
        <v>422</v>
      </c>
      <c r="D1255">
        <v>3230</v>
      </c>
      <c r="E1255">
        <v>3230</v>
      </c>
      <c r="F1255">
        <v>3225</v>
      </c>
      <c r="G1255">
        <v>3230</v>
      </c>
      <c r="H1255">
        <v>400</v>
      </c>
    </row>
    <row r="1256" spans="2:8">
      <c r="B1256" t="s">
        <v>463</v>
      </c>
      <c r="C1256" t="s">
        <v>423</v>
      </c>
      <c r="D1256">
        <v>3230</v>
      </c>
      <c r="E1256">
        <v>3230</v>
      </c>
      <c r="F1256">
        <v>3225</v>
      </c>
      <c r="G1256">
        <v>3225</v>
      </c>
      <c r="H1256">
        <v>2600</v>
      </c>
    </row>
    <row r="1257" spans="2:8">
      <c r="B1257" t="s">
        <v>463</v>
      </c>
      <c r="C1257" t="s">
        <v>424</v>
      </c>
      <c r="D1257">
        <v>3225</v>
      </c>
      <c r="E1257">
        <v>3230</v>
      </c>
      <c r="F1257">
        <v>3225</v>
      </c>
      <c r="G1257">
        <v>3230</v>
      </c>
      <c r="H1257">
        <v>5900</v>
      </c>
    </row>
    <row r="1258" spans="2:8">
      <c r="B1258" t="s">
        <v>463</v>
      </c>
      <c r="C1258" t="s">
        <v>425</v>
      </c>
      <c r="D1258">
        <v>3225</v>
      </c>
      <c r="E1258">
        <v>3235</v>
      </c>
      <c r="F1258">
        <v>3225</v>
      </c>
      <c r="G1258">
        <v>3230</v>
      </c>
      <c r="H1258">
        <v>14700</v>
      </c>
    </row>
    <row r="1259" spans="2:8">
      <c r="B1259" t="s">
        <v>463</v>
      </c>
      <c r="C1259" t="s">
        <v>426</v>
      </c>
      <c r="D1259">
        <v>3230</v>
      </c>
      <c r="E1259">
        <v>3230</v>
      </c>
      <c r="F1259">
        <v>3225</v>
      </c>
      <c r="G1259">
        <v>3225</v>
      </c>
      <c r="H1259">
        <v>14500</v>
      </c>
    </row>
    <row r="1260" spans="2:8">
      <c r="B1260" t="s">
        <v>463</v>
      </c>
      <c r="C1260" t="s">
        <v>427</v>
      </c>
      <c r="D1260">
        <v>3225</v>
      </c>
      <c r="E1260">
        <v>3225</v>
      </c>
      <c r="F1260">
        <v>3225</v>
      </c>
      <c r="G1260">
        <v>3225</v>
      </c>
      <c r="H1260">
        <v>3900</v>
      </c>
    </row>
    <row r="1261" spans="2:8">
      <c r="B1261" t="s">
        <v>463</v>
      </c>
      <c r="C1261" t="s">
        <v>428</v>
      </c>
      <c r="D1261">
        <v>3225</v>
      </c>
      <c r="E1261">
        <v>3230</v>
      </c>
      <c r="F1261">
        <v>3225</v>
      </c>
      <c r="G1261">
        <v>3225</v>
      </c>
      <c r="H1261">
        <v>13800</v>
      </c>
    </row>
    <row r="1262" spans="2:8">
      <c r="B1262" t="s">
        <v>463</v>
      </c>
      <c r="C1262" t="s">
        <v>429</v>
      </c>
      <c r="D1262">
        <v>3225</v>
      </c>
      <c r="E1262">
        <v>3225</v>
      </c>
      <c r="F1262">
        <v>3225</v>
      </c>
      <c r="G1262">
        <v>3225</v>
      </c>
      <c r="H1262">
        <v>100</v>
      </c>
    </row>
    <row r="1263" spans="2:8">
      <c r="B1263" t="s">
        <v>463</v>
      </c>
      <c r="C1263" t="s">
        <v>430</v>
      </c>
      <c r="D1263" t="s">
        <v>8</v>
      </c>
      <c r="E1263" t="s">
        <v>8</v>
      </c>
      <c r="F1263" t="s">
        <v>8</v>
      </c>
      <c r="G1263" t="s">
        <v>8</v>
      </c>
      <c r="H1263">
        <v>0</v>
      </c>
    </row>
    <row r="1264" spans="2:8">
      <c r="B1264" t="s">
        <v>463</v>
      </c>
      <c r="C1264" t="s">
        <v>431</v>
      </c>
      <c r="D1264">
        <v>3225</v>
      </c>
      <c r="E1264">
        <v>3225</v>
      </c>
      <c r="F1264">
        <v>3220</v>
      </c>
      <c r="G1264">
        <v>3220</v>
      </c>
      <c r="H1264">
        <v>1600</v>
      </c>
    </row>
    <row r="1265" spans="2:8">
      <c r="B1265" t="s">
        <v>463</v>
      </c>
      <c r="C1265" t="s">
        <v>9</v>
      </c>
      <c r="D1265">
        <v>3220</v>
      </c>
      <c r="E1265">
        <v>3225</v>
      </c>
      <c r="F1265">
        <v>3220</v>
      </c>
      <c r="G1265">
        <v>3220</v>
      </c>
      <c r="H1265">
        <v>500</v>
      </c>
    </row>
    <row r="1266" spans="2:8">
      <c r="B1266" t="s">
        <v>463</v>
      </c>
      <c r="C1266" t="s">
        <v>10</v>
      </c>
      <c r="D1266">
        <v>3220</v>
      </c>
      <c r="E1266">
        <v>3220</v>
      </c>
      <c r="F1266">
        <v>3220</v>
      </c>
      <c r="G1266">
        <v>3220</v>
      </c>
      <c r="H1266">
        <v>1000</v>
      </c>
    </row>
    <row r="1267" spans="2:8">
      <c r="B1267" t="s">
        <v>463</v>
      </c>
      <c r="C1267" t="s">
        <v>11</v>
      </c>
      <c r="D1267">
        <v>3220</v>
      </c>
      <c r="E1267">
        <v>3225</v>
      </c>
      <c r="F1267">
        <v>3220</v>
      </c>
      <c r="G1267">
        <v>3220</v>
      </c>
      <c r="H1267">
        <v>2800</v>
      </c>
    </row>
    <row r="1268" spans="2:8">
      <c r="B1268" t="s">
        <v>463</v>
      </c>
      <c r="C1268" t="s">
        <v>12</v>
      </c>
      <c r="D1268">
        <v>3220</v>
      </c>
      <c r="E1268">
        <v>3225</v>
      </c>
      <c r="F1268">
        <v>3220</v>
      </c>
      <c r="G1268">
        <v>3225</v>
      </c>
      <c r="H1268">
        <v>600</v>
      </c>
    </row>
    <row r="1269" spans="2:8">
      <c r="B1269" t="s">
        <v>463</v>
      </c>
      <c r="C1269" t="s">
        <v>13</v>
      </c>
      <c r="D1269">
        <v>3225</v>
      </c>
      <c r="E1269">
        <v>3225</v>
      </c>
      <c r="F1269">
        <v>3220</v>
      </c>
      <c r="G1269">
        <v>3220</v>
      </c>
      <c r="H1269">
        <v>800</v>
      </c>
    </row>
    <row r="1270" spans="2:8">
      <c r="B1270" t="s">
        <v>463</v>
      </c>
      <c r="C1270" t="s">
        <v>14</v>
      </c>
      <c r="D1270">
        <v>3220</v>
      </c>
      <c r="E1270">
        <v>3225</v>
      </c>
      <c r="F1270">
        <v>3220</v>
      </c>
      <c r="G1270">
        <v>3225</v>
      </c>
      <c r="H1270">
        <v>500</v>
      </c>
    </row>
    <row r="1271" spans="2:8">
      <c r="B1271" t="s">
        <v>463</v>
      </c>
      <c r="C1271" t="s">
        <v>15</v>
      </c>
      <c r="D1271">
        <v>3220</v>
      </c>
      <c r="E1271">
        <v>3225</v>
      </c>
      <c r="F1271">
        <v>3220</v>
      </c>
      <c r="G1271">
        <v>3225</v>
      </c>
      <c r="H1271">
        <v>1800</v>
      </c>
    </row>
    <row r="1272" spans="2:8">
      <c r="B1272" t="s">
        <v>463</v>
      </c>
      <c r="C1272" t="s">
        <v>16</v>
      </c>
      <c r="D1272">
        <v>3225</v>
      </c>
      <c r="E1272">
        <v>3225</v>
      </c>
      <c r="F1272">
        <v>3215</v>
      </c>
      <c r="G1272">
        <v>3215</v>
      </c>
      <c r="H1272">
        <v>9800</v>
      </c>
    </row>
    <row r="1273" spans="2:8">
      <c r="B1273" t="s">
        <v>463</v>
      </c>
      <c r="C1273" t="s">
        <v>17</v>
      </c>
      <c r="D1273">
        <v>3215</v>
      </c>
      <c r="E1273">
        <v>3220</v>
      </c>
      <c r="F1273">
        <v>3215</v>
      </c>
      <c r="G1273">
        <v>3220</v>
      </c>
      <c r="H1273">
        <v>600</v>
      </c>
    </row>
    <row r="1274" spans="2:8">
      <c r="B1274" t="s">
        <v>463</v>
      </c>
      <c r="C1274" t="s">
        <v>18</v>
      </c>
      <c r="D1274">
        <v>3215</v>
      </c>
      <c r="E1274">
        <v>3220</v>
      </c>
      <c r="F1274">
        <v>3215</v>
      </c>
      <c r="G1274">
        <v>3215</v>
      </c>
      <c r="H1274">
        <v>9200</v>
      </c>
    </row>
    <row r="1275" spans="2:8">
      <c r="B1275" t="s">
        <v>463</v>
      </c>
      <c r="C1275" t="s">
        <v>19</v>
      </c>
      <c r="D1275">
        <v>3210</v>
      </c>
      <c r="E1275">
        <v>3215</v>
      </c>
      <c r="F1275">
        <v>3210</v>
      </c>
      <c r="G1275">
        <v>3215</v>
      </c>
      <c r="H1275">
        <v>10900</v>
      </c>
    </row>
    <row r="1276" spans="2:8">
      <c r="B1276" t="s">
        <v>463</v>
      </c>
      <c r="C1276" t="s">
        <v>20</v>
      </c>
      <c r="D1276">
        <v>3215</v>
      </c>
      <c r="E1276">
        <v>3220</v>
      </c>
      <c r="F1276">
        <v>3215</v>
      </c>
      <c r="G1276">
        <v>3220</v>
      </c>
      <c r="H1276">
        <v>2400</v>
      </c>
    </row>
    <row r="1277" spans="2:8">
      <c r="B1277" t="s">
        <v>463</v>
      </c>
      <c r="C1277" t="s">
        <v>21</v>
      </c>
      <c r="D1277">
        <v>3220</v>
      </c>
      <c r="E1277">
        <v>3220</v>
      </c>
      <c r="F1277">
        <v>3220</v>
      </c>
      <c r="G1277">
        <v>3220</v>
      </c>
      <c r="H1277">
        <v>1700</v>
      </c>
    </row>
    <row r="1278" spans="2:8">
      <c r="B1278" t="s">
        <v>463</v>
      </c>
      <c r="C1278" t="s">
        <v>22</v>
      </c>
      <c r="D1278">
        <v>3215</v>
      </c>
      <c r="E1278">
        <v>3220</v>
      </c>
      <c r="F1278">
        <v>3215</v>
      </c>
      <c r="G1278">
        <v>3220</v>
      </c>
      <c r="H1278">
        <v>1500</v>
      </c>
    </row>
    <row r="1279" spans="2:8">
      <c r="B1279" t="s">
        <v>463</v>
      </c>
      <c r="C1279" t="s">
        <v>23</v>
      </c>
      <c r="D1279">
        <v>3220</v>
      </c>
      <c r="E1279">
        <v>3220</v>
      </c>
      <c r="F1279">
        <v>3215</v>
      </c>
      <c r="G1279">
        <v>3220</v>
      </c>
      <c r="H1279">
        <v>11800</v>
      </c>
    </row>
    <row r="1280" spans="2:8">
      <c r="B1280" t="s">
        <v>463</v>
      </c>
      <c r="C1280" t="s">
        <v>24</v>
      </c>
      <c r="D1280">
        <v>3220</v>
      </c>
      <c r="E1280">
        <v>3220</v>
      </c>
      <c r="F1280">
        <v>3220</v>
      </c>
      <c r="G1280">
        <v>3220</v>
      </c>
      <c r="H1280">
        <v>200</v>
      </c>
    </row>
    <row r="1281" spans="2:8">
      <c r="B1281" t="s">
        <v>463</v>
      </c>
      <c r="C1281" t="s">
        <v>25</v>
      </c>
      <c r="D1281">
        <v>3215</v>
      </c>
      <c r="E1281">
        <v>3220</v>
      </c>
      <c r="F1281">
        <v>3215</v>
      </c>
      <c r="G1281">
        <v>3220</v>
      </c>
      <c r="H1281">
        <v>7500</v>
      </c>
    </row>
    <row r="1282" spans="2:8">
      <c r="B1282" t="s">
        <v>463</v>
      </c>
      <c r="C1282" t="s">
        <v>26</v>
      </c>
      <c r="D1282">
        <v>3220</v>
      </c>
      <c r="E1282">
        <v>3225</v>
      </c>
      <c r="F1282">
        <v>3220</v>
      </c>
      <c r="G1282">
        <v>3220</v>
      </c>
      <c r="H1282">
        <v>600</v>
      </c>
    </row>
    <row r="1283" spans="2:8">
      <c r="B1283" t="s">
        <v>463</v>
      </c>
      <c r="C1283" t="s">
        <v>27</v>
      </c>
      <c r="D1283">
        <v>3225</v>
      </c>
      <c r="E1283">
        <v>3225</v>
      </c>
      <c r="F1283">
        <v>3220</v>
      </c>
      <c r="G1283">
        <v>3220</v>
      </c>
      <c r="H1283">
        <v>2000</v>
      </c>
    </row>
    <row r="1284" spans="2:8">
      <c r="B1284" t="s">
        <v>463</v>
      </c>
      <c r="C1284" t="s">
        <v>28</v>
      </c>
      <c r="D1284">
        <v>3220</v>
      </c>
      <c r="E1284">
        <v>3225</v>
      </c>
      <c r="F1284">
        <v>3220</v>
      </c>
      <c r="G1284">
        <v>3220</v>
      </c>
      <c r="H1284">
        <v>1200</v>
      </c>
    </row>
    <row r="1285" spans="2:8">
      <c r="B1285" t="s">
        <v>463</v>
      </c>
      <c r="C1285" t="s">
        <v>29</v>
      </c>
      <c r="D1285">
        <v>3220</v>
      </c>
      <c r="E1285">
        <v>3225</v>
      </c>
      <c r="F1285">
        <v>3215</v>
      </c>
      <c r="G1285">
        <v>3215</v>
      </c>
      <c r="H1285">
        <v>5300</v>
      </c>
    </row>
    <row r="1286" spans="2:8">
      <c r="B1286" t="s">
        <v>463</v>
      </c>
      <c r="C1286" t="s">
        <v>30</v>
      </c>
      <c r="D1286">
        <v>3220</v>
      </c>
      <c r="E1286">
        <v>3220</v>
      </c>
      <c r="F1286">
        <v>3220</v>
      </c>
      <c r="G1286">
        <v>3220</v>
      </c>
      <c r="H1286">
        <v>100</v>
      </c>
    </row>
    <row r="1287" spans="2:8">
      <c r="B1287" t="s">
        <v>463</v>
      </c>
      <c r="C1287" t="s">
        <v>31</v>
      </c>
      <c r="D1287">
        <v>3215</v>
      </c>
      <c r="E1287">
        <v>3215</v>
      </c>
      <c r="F1287">
        <v>3215</v>
      </c>
      <c r="G1287">
        <v>3215</v>
      </c>
      <c r="H1287">
        <v>6300</v>
      </c>
    </row>
    <row r="1288" spans="2:8">
      <c r="B1288" t="s">
        <v>463</v>
      </c>
      <c r="C1288" t="s">
        <v>32</v>
      </c>
      <c r="D1288">
        <v>3215</v>
      </c>
      <c r="E1288">
        <v>3215</v>
      </c>
      <c r="F1288">
        <v>3210</v>
      </c>
      <c r="G1288">
        <v>3215</v>
      </c>
      <c r="H1288">
        <v>2100</v>
      </c>
    </row>
    <row r="1289" spans="2:8">
      <c r="B1289" t="s">
        <v>463</v>
      </c>
      <c r="C1289" t="s">
        <v>33</v>
      </c>
      <c r="D1289">
        <v>3210</v>
      </c>
      <c r="E1289">
        <v>3215</v>
      </c>
      <c r="F1289">
        <v>3210</v>
      </c>
      <c r="G1289">
        <v>3210</v>
      </c>
      <c r="H1289">
        <v>700</v>
      </c>
    </row>
    <row r="1290" spans="2:8">
      <c r="B1290" t="s">
        <v>463</v>
      </c>
      <c r="C1290" t="s">
        <v>34</v>
      </c>
      <c r="D1290">
        <v>3210</v>
      </c>
      <c r="E1290">
        <v>3210</v>
      </c>
      <c r="F1290">
        <v>3210</v>
      </c>
      <c r="G1290">
        <v>3210</v>
      </c>
      <c r="H1290">
        <v>100</v>
      </c>
    </row>
    <row r="1291" spans="2:8">
      <c r="B1291" t="s">
        <v>463</v>
      </c>
      <c r="C1291" t="s">
        <v>35</v>
      </c>
      <c r="D1291">
        <v>3210</v>
      </c>
      <c r="E1291">
        <v>3215</v>
      </c>
      <c r="F1291">
        <v>3210</v>
      </c>
      <c r="G1291">
        <v>3210</v>
      </c>
      <c r="H1291">
        <v>500</v>
      </c>
    </row>
    <row r="1292" spans="2:8">
      <c r="B1292" t="s">
        <v>463</v>
      </c>
      <c r="C1292" t="s">
        <v>36</v>
      </c>
      <c r="D1292">
        <v>3215</v>
      </c>
      <c r="E1292">
        <v>3215</v>
      </c>
      <c r="F1292">
        <v>3210</v>
      </c>
      <c r="G1292">
        <v>3210</v>
      </c>
      <c r="H1292">
        <v>300</v>
      </c>
    </row>
    <row r="1293" spans="2:8">
      <c r="B1293" t="s">
        <v>463</v>
      </c>
      <c r="C1293" t="s">
        <v>37</v>
      </c>
      <c r="D1293">
        <v>3215</v>
      </c>
      <c r="E1293">
        <v>3220</v>
      </c>
      <c r="F1293">
        <v>3215</v>
      </c>
      <c r="G1293">
        <v>3220</v>
      </c>
      <c r="H1293">
        <v>14500</v>
      </c>
    </row>
    <row r="1294" spans="2:8">
      <c r="B1294" t="s">
        <v>463</v>
      </c>
      <c r="C1294" t="s">
        <v>38</v>
      </c>
      <c r="D1294">
        <v>3220</v>
      </c>
      <c r="E1294">
        <v>3220</v>
      </c>
      <c r="F1294">
        <v>3215</v>
      </c>
      <c r="G1294">
        <v>3215</v>
      </c>
      <c r="H1294">
        <v>800</v>
      </c>
    </row>
    <row r="1295" spans="2:8">
      <c r="B1295" t="s">
        <v>463</v>
      </c>
      <c r="C1295" t="s">
        <v>39</v>
      </c>
      <c r="D1295">
        <v>3220</v>
      </c>
      <c r="E1295">
        <v>3220</v>
      </c>
      <c r="F1295">
        <v>3215</v>
      </c>
      <c r="G1295">
        <v>3215</v>
      </c>
      <c r="H1295">
        <v>2200</v>
      </c>
    </row>
    <row r="1296" spans="2:8">
      <c r="B1296" t="s">
        <v>463</v>
      </c>
      <c r="C1296" t="s">
        <v>40</v>
      </c>
      <c r="D1296">
        <v>3215</v>
      </c>
      <c r="E1296">
        <v>3215</v>
      </c>
      <c r="F1296">
        <v>3215</v>
      </c>
      <c r="G1296">
        <v>3215</v>
      </c>
      <c r="H1296">
        <v>200</v>
      </c>
    </row>
    <row r="1297" spans="2:8">
      <c r="B1297" t="s">
        <v>463</v>
      </c>
      <c r="C1297" t="s">
        <v>41</v>
      </c>
      <c r="D1297">
        <v>3220</v>
      </c>
      <c r="E1297">
        <v>3220</v>
      </c>
      <c r="F1297">
        <v>3215</v>
      </c>
      <c r="G1297">
        <v>3215</v>
      </c>
      <c r="H1297">
        <v>500</v>
      </c>
    </row>
    <row r="1298" spans="2:8">
      <c r="B1298" t="s">
        <v>463</v>
      </c>
      <c r="C1298" t="s">
        <v>42</v>
      </c>
      <c r="D1298">
        <v>3215</v>
      </c>
      <c r="E1298">
        <v>3220</v>
      </c>
      <c r="F1298">
        <v>3215</v>
      </c>
      <c r="G1298">
        <v>3215</v>
      </c>
      <c r="H1298">
        <v>900</v>
      </c>
    </row>
    <row r="1299" spans="2:8">
      <c r="B1299" t="s">
        <v>463</v>
      </c>
      <c r="C1299" t="s">
        <v>43</v>
      </c>
      <c r="D1299">
        <v>3215</v>
      </c>
      <c r="E1299">
        <v>3215</v>
      </c>
      <c r="F1299">
        <v>3210</v>
      </c>
      <c r="G1299">
        <v>3215</v>
      </c>
      <c r="H1299">
        <v>14100</v>
      </c>
    </row>
    <row r="1300" spans="2:8">
      <c r="B1300" t="s">
        <v>463</v>
      </c>
      <c r="C1300" t="s">
        <v>44</v>
      </c>
      <c r="D1300">
        <v>3220</v>
      </c>
      <c r="E1300">
        <v>3220</v>
      </c>
      <c r="F1300">
        <v>3220</v>
      </c>
      <c r="G1300">
        <v>3220</v>
      </c>
      <c r="H1300">
        <v>100</v>
      </c>
    </row>
    <row r="1301" spans="2:8">
      <c r="B1301" t="s">
        <v>463</v>
      </c>
      <c r="C1301" t="s">
        <v>45</v>
      </c>
      <c r="D1301">
        <v>3220</v>
      </c>
      <c r="E1301">
        <v>3220</v>
      </c>
      <c r="F1301">
        <v>3215</v>
      </c>
      <c r="G1301">
        <v>3215</v>
      </c>
      <c r="H1301">
        <v>700</v>
      </c>
    </row>
    <row r="1302" spans="2:8">
      <c r="B1302" t="s">
        <v>463</v>
      </c>
      <c r="C1302" t="s">
        <v>46</v>
      </c>
      <c r="D1302">
        <v>3220</v>
      </c>
      <c r="E1302">
        <v>3220</v>
      </c>
      <c r="F1302">
        <v>3220</v>
      </c>
      <c r="G1302">
        <v>3220</v>
      </c>
      <c r="H1302">
        <v>200</v>
      </c>
    </row>
    <row r="1303" spans="2:8">
      <c r="B1303" t="s">
        <v>463</v>
      </c>
      <c r="C1303" t="s">
        <v>47</v>
      </c>
      <c r="D1303">
        <v>3215</v>
      </c>
      <c r="E1303">
        <v>3220</v>
      </c>
      <c r="F1303">
        <v>3215</v>
      </c>
      <c r="G1303">
        <v>3215</v>
      </c>
      <c r="H1303">
        <v>2900</v>
      </c>
    </row>
    <row r="1304" spans="2:8">
      <c r="B1304" t="s">
        <v>463</v>
      </c>
      <c r="C1304" t="s">
        <v>48</v>
      </c>
      <c r="D1304">
        <v>3215</v>
      </c>
      <c r="E1304">
        <v>3220</v>
      </c>
      <c r="F1304">
        <v>3215</v>
      </c>
      <c r="G1304">
        <v>3215</v>
      </c>
      <c r="H1304">
        <v>2200</v>
      </c>
    </row>
    <row r="1305" spans="2:8">
      <c r="B1305" t="s">
        <v>463</v>
      </c>
      <c r="C1305" t="s">
        <v>49</v>
      </c>
      <c r="D1305">
        <v>3215</v>
      </c>
      <c r="E1305">
        <v>3220</v>
      </c>
      <c r="F1305">
        <v>3215</v>
      </c>
      <c r="G1305">
        <v>3220</v>
      </c>
      <c r="H1305">
        <v>800</v>
      </c>
    </row>
    <row r="1306" spans="2:8">
      <c r="B1306" t="s">
        <v>463</v>
      </c>
      <c r="C1306" t="s">
        <v>50</v>
      </c>
      <c r="D1306">
        <v>3220</v>
      </c>
      <c r="E1306">
        <v>3220</v>
      </c>
      <c r="F1306">
        <v>3215</v>
      </c>
      <c r="G1306">
        <v>3215</v>
      </c>
      <c r="H1306">
        <v>7700</v>
      </c>
    </row>
    <row r="1307" spans="2:8">
      <c r="B1307" t="s">
        <v>463</v>
      </c>
      <c r="C1307" t="s">
        <v>51</v>
      </c>
      <c r="D1307">
        <v>3210</v>
      </c>
      <c r="E1307">
        <v>3215</v>
      </c>
      <c r="F1307">
        <v>3210</v>
      </c>
      <c r="G1307">
        <v>3215</v>
      </c>
      <c r="H1307">
        <v>500</v>
      </c>
    </row>
    <row r="1308" spans="2:8">
      <c r="B1308" t="s">
        <v>463</v>
      </c>
      <c r="C1308" t="s">
        <v>52</v>
      </c>
      <c r="D1308">
        <v>3210</v>
      </c>
      <c r="E1308">
        <v>3210</v>
      </c>
      <c r="F1308">
        <v>3210</v>
      </c>
      <c r="G1308">
        <v>3210</v>
      </c>
      <c r="H1308">
        <v>800</v>
      </c>
    </row>
    <row r="1309" spans="2:8">
      <c r="B1309" t="s">
        <v>463</v>
      </c>
      <c r="C1309" t="s">
        <v>53</v>
      </c>
      <c r="D1309">
        <v>3215</v>
      </c>
      <c r="E1309">
        <v>3215</v>
      </c>
      <c r="F1309">
        <v>3210</v>
      </c>
      <c r="G1309">
        <v>3215</v>
      </c>
      <c r="H1309">
        <v>700</v>
      </c>
    </row>
    <row r="1310" spans="2:8">
      <c r="B1310" t="s">
        <v>463</v>
      </c>
      <c r="C1310" t="s">
        <v>54</v>
      </c>
      <c r="D1310">
        <v>3210</v>
      </c>
      <c r="E1310">
        <v>3210</v>
      </c>
      <c r="F1310">
        <v>3200</v>
      </c>
      <c r="G1310">
        <v>3205</v>
      </c>
      <c r="H1310">
        <v>50100</v>
      </c>
    </row>
    <row r="1311" spans="2:8">
      <c r="B1311" t="s">
        <v>463</v>
      </c>
      <c r="C1311" t="s">
        <v>55</v>
      </c>
      <c r="D1311">
        <v>3205</v>
      </c>
      <c r="E1311">
        <v>3205</v>
      </c>
      <c r="F1311">
        <v>3200</v>
      </c>
      <c r="G1311">
        <v>3200</v>
      </c>
      <c r="H1311">
        <v>17900</v>
      </c>
    </row>
    <row r="1312" spans="2:8">
      <c r="B1312" t="s">
        <v>463</v>
      </c>
      <c r="C1312" t="s">
        <v>56</v>
      </c>
      <c r="D1312">
        <v>3200</v>
      </c>
      <c r="E1312">
        <v>3200</v>
      </c>
      <c r="F1312">
        <v>3200</v>
      </c>
      <c r="G1312">
        <v>3200</v>
      </c>
      <c r="H1312">
        <v>900</v>
      </c>
    </row>
    <row r="1313" spans="2:8">
      <c r="B1313" t="s">
        <v>463</v>
      </c>
      <c r="C1313" t="s">
        <v>57</v>
      </c>
      <c r="D1313">
        <v>3205</v>
      </c>
      <c r="E1313">
        <v>3205</v>
      </c>
      <c r="F1313">
        <v>3195</v>
      </c>
      <c r="G1313">
        <v>3195</v>
      </c>
      <c r="H1313">
        <v>24900</v>
      </c>
    </row>
    <row r="1314" spans="2:8">
      <c r="B1314" t="s">
        <v>463</v>
      </c>
      <c r="C1314" t="s">
        <v>58</v>
      </c>
      <c r="D1314">
        <v>3195</v>
      </c>
      <c r="E1314">
        <v>3200</v>
      </c>
      <c r="F1314">
        <v>3195</v>
      </c>
      <c r="G1314">
        <v>3195</v>
      </c>
      <c r="H1314">
        <v>2800</v>
      </c>
    </row>
    <row r="1315" spans="2:8">
      <c r="B1315" t="s">
        <v>463</v>
      </c>
      <c r="C1315" t="s">
        <v>59</v>
      </c>
      <c r="D1315">
        <v>3195</v>
      </c>
      <c r="E1315">
        <v>3195</v>
      </c>
      <c r="F1315">
        <v>3195</v>
      </c>
      <c r="G1315">
        <v>3195</v>
      </c>
      <c r="H1315">
        <v>1000</v>
      </c>
    </row>
    <row r="1316" spans="2:8">
      <c r="B1316" t="s">
        <v>463</v>
      </c>
      <c r="C1316" t="s">
        <v>60</v>
      </c>
      <c r="D1316">
        <v>3195</v>
      </c>
      <c r="E1316">
        <v>3200</v>
      </c>
      <c r="F1316">
        <v>3195</v>
      </c>
      <c r="G1316">
        <v>3195</v>
      </c>
      <c r="H1316">
        <v>6300</v>
      </c>
    </row>
    <row r="1317" spans="2:8">
      <c r="B1317" t="s">
        <v>463</v>
      </c>
      <c r="C1317" t="s">
        <v>61</v>
      </c>
      <c r="D1317">
        <v>3190</v>
      </c>
      <c r="E1317">
        <v>3190</v>
      </c>
      <c r="F1317">
        <v>3190</v>
      </c>
      <c r="G1317">
        <v>3190</v>
      </c>
      <c r="H1317">
        <v>2900</v>
      </c>
    </row>
    <row r="1318" spans="2:8">
      <c r="B1318" t="s">
        <v>463</v>
      </c>
      <c r="C1318" t="s">
        <v>62</v>
      </c>
      <c r="D1318">
        <v>3190</v>
      </c>
      <c r="E1318">
        <v>3195</v>
      </c>
      <c r="F1318">
        <v>3190</v>
      </c>
      <c r="G1318">
        <v>3195</v>
      </c>
      <c r="H1318">
        <v>42100</v>
      </c>
    </row>
    <row r="1319" spans="2:8">
      <c r="B1319" t="s">
        <v>463</v>
      </c>
      <c r="C1319" t="s">
        <v>63</v>
      </c>
      <c r="D1319">
        <v>3200</v>
      </c>
      <c r="E1319">
        <v>3200</v>
      </c>
      <c r="F1319">
        <v>3200</v>
      </c>
      <c r="G1319">
        <v>3200</v>
      </c>
      <c r="H1319">
        <v>6000</v>
      </c>
    </row>
    <row r="1320" spans="2:8">
      <c r="B1320" t="s">
        <v>463</v>
      </c>
      <c r="C1320" t="s">
        <v>64</v>
      </c>
      <c r="D1320">
        <v>3195</v>
      </c>
      <c r="E1320">
        <v>3200</v>
      </c>
      <c r="F1320">
        <v>3195</v>
      </c>
      <c r="G1320">
        <v>3195</v>
      </c>
      <c r="H1320">
        <v>9700</v>
      </c>
    </row>
    <row r="1321" spans="2:8">
      <c r="B1321" t="s">
        <v>463</v>
      </c>
      <c r="C1321" t="s">
        <v>65</v>
      </c>
      <c r="D1321">
        <v>3195</v>
      </c>
      <c r="E1321">
        <v>3195</v>
      </c>
      <c r="F1321">
        <v>3190</v>
      </c>
      <c r="G1321">
        <v>3195</v>
      </c>
      <c r="H1321">
        <v>45700</v>
      </c>
    </row>
    <row r="1322" spans="2:8">
      <c r="B1322" t="s">
        <v>463</v>
      </c>
      <c r="C1322" t="s">
        <v>66</v>
      </c>
      <c r="D1322">
        <v>3200</v>
      </c>
      <c r="E1322">
        <v>3200</v>
      </c>
      <c r="F1322">
        <v>3190</v>
      </c>
      <c r="G1322">
        <v>3190</v>
      </c>
      <c r="H1322">
        <v>8300</v>
      </c>
    </row>
    <row r="1323" spans="2:8">
      <c r="B1323" t="s">
        <v>463</v>
      </c>
      <c r="C1323" t="s">
        <v>164</v>
      </c>
      <c r="D1323">
        <v>3195</v>
      </c>
      <c r="E1323">
        <v>3195</v>
      </c>
      <c r="F1323">
        <v>3190</v>
      </c>
      <c r="G1323">
        <v>3190</v>
      </c>
      <c r="H1323">
        <v>25000</v>
      </c>
    </row>
    <row r="1324" spans="2:8">
      <c r="B1324" t="s">
        <v>463</v>
      </c>
      <c r="C1324" t="s">
        <v>165</v>
      </c>
      <c r="D1324">
        <v>3190</v>
      </c>
      <c r="E1324">
        <v>3195</v>
      </c>
      <c r="F1324">
        <v>3180</v>
      </c>
      <c r="G1324">
        <v>3180</v>
      </c>
      <c r="H1324">
        <v>43100</v>
      </c>
    </row>
    <row r="1325" spans="2:8">
      <c r="B1325" t="s">
        <v>463</v>
      </c>
      <c r="C1325" t="s">
        <v>67</v>
      </c>
      <c r="D1325" t="s">
        <v>8</v>
      </c>
      <c r="E1325" t="s">
        <v>8</v>
      </c>
      <c r="F1325" t="s">
        <v>8</v>
      </c>
      <c r="G1325" t="s">
        <v>8</v>
      </c>
      <c r="H1325">
        <v>0</v>
      </c>
    </row>
    <row r="1326" spans="2:8">
      <c r="B1326" t="s">
        <v>463</v>
      </c>
      <c r="C1326" t="s">
        <v>68</v>
      </c>
      <c r="D1326" t="s">
        <v>8</v>
      </c>
      <c r="E1326" t="s">
        <v>8</v>
      </c>
      <c r="F1326" t="s">
        <v>8</v>
      </c>
      <c r="G1326" t="s">
        <v>8</v>
      </c>
      <c r="H1326">
        <v>0</v>
      </c>
    </row>
    <row r="1327" spans="2:8">
      <c r="B1327" t="s">
        <v>463</v>
      </c>
      <c r="C1327" t="s">
        <v>69</v>
      </c>
      <c r="D1327" t="s">
        <v>8</v>
      </c>
      <c r="E1327" t="s">
        <v>8</v>
      </c>
      <c r="F1327" t="s">
        <v>8</v>
      </c>
      <c r="G1327" t="s">
        <v>8</v>
      </c>
      <c r="H1327">
        <v>0</v>
      </c>
    </row>
    <row r="1328" spans="2:8">
      <c r="B1328" t="s">
        <v>463</v>
      </c>
      <c r="C1328" t="s">
        <v>70</v>
      </c>
      <c r="D1328" t="s">
        <v>8</v>
      </c>
      <c r="E1328" t="s">
        <v>8</v>
      </c>
      <c r="F1328" t="s">
        <v>8</v>
      </c>
      <c r="G1328" t="s">
        <v>8</v>
      </c>
      <c r="H1328">
        <v>0</v>
      </c>
    </row>
    <row r="1329" spans="2:8">
      <c r="B1329" t="s">
        <v>463</v>
      </c>
      <c r="C1329" t="s">
        <v>71</v>
      </c>
      <c r="D1329" t="s">
        <v>8</v>
      </c>
      <c r="E1329" t="s">
        <v>8</v>
      </c>
      <c r="F1329" t="s">
        <v>8</v>
      </c>
      <c r="G1329" t="s">
        <v>8</v>
      </c>
      <c r="H1329">
        <v>0</v>
      </c>
    </row>
    <row r="1330" spans="2:8">
      <c r="B1330" t="s">
        <v>463</v>
      </c>
      <c r="C1330" t="s">
        <v>72</v>
      </c>
      <c r="D1330">
        <v>3175</v>
      </c>
      <c r="E1330">
        <v>3175</v>
      </c>
      <c r="F1330">
        <v>3175</v>
      </c>
      <c r="G1330">
        <v>3175</v>
      </c>
      <c r="H1330">
        <v>389800</v>
      </c>
    </row>
    <row r="1331" spans="2:8">
      <c r="B1331" t="s">
        <v>587</v>
      </c>
      <c r="C1331" t="s">
        <v>166</v>
      </c>
      <c r="D1331">
        <v>3215</v>
      </c>
      <c r="E1331">
        <v>3230</v>
      </c>
      <c r="F1331">
        <v>3200</v>
      </c>
      <c r="G1331">
        <v>3220</v>
      </c>
      <c r="H1331">
        <v>147700</v>
      </c>
    </row>
    <row r="1332" spans="2:8">
      <c r="B1332" t="s">
        <v>587</v>
      </c>
      <c r="C1332" t="s">
        <v>167</v>
      </c>
      <c r="D1332">
        <v>3215</v>
      </c>
      <c r="E1332">
        <v>3215</v>
      </c>
      <c r="F1332">
        <v>3200</v>
      </c>
      <c r="G1332">
        <v>3205</v>
      </c>
      <c r="H1332">
        <v>42600</v>
      </c>
    </row>
    <row r="1333" spans="2:8">
      <c r="B1333" t="s">
        <v>587</v>
      </c>
      <c r="C1333" t="s">
        <v>168</v>
      </c>
      <c r="D1333">
        <v>3205</v>
      </c>
      <c r="E1333">
        <v>3220</v>
      </c>
      <c r="F1333">
        <v>3200</v>
      </c>
      <c r="G1333">
        <v>3215</v>
      </c>
      <c r="H1333">
        <v>40000</v>
      </c>
    </row>
    <row r="1334" spans="2:8">
      <c r="B1334" t="s">
        <v>587</v>
      </c>
      <c r="C1334" t="s">
        <v>169</v>
      </c>
      <c r="D1334">
        <v>3210</v>
      </c>
      <c r="E1334">
        <v>3225</v>
      </c>
      <c r="F1334">
        <v>3205</v>
      </c>
      <c r="G1334">
        <v>3205</v>
      </c>
      <c r="H1334">
        <v>29300</v>
      </c>
    </row>
    <row r="1335" spans="2:8">
      <c r="B1335" t="s">
        <v>587</v>
      </c>
      <c r="C1335" t="s">
        <v>170</v>
      </c>
      <c r="D1335">
        <v>3210</v>
      </c>
      <c r="E1335">
        <v>3215</v>
      </c>
      <c r="F1335">
        <v>3205</v>
      </c>
      <c r="G1335">
        <v>3215</v>
      </c>
      <c r="H1335">
        <v>20700</v>
      </c>
    </row>
    <row r="1336" spans="2:8">
      <c r="B1336" t="s">
        <v>587</v>
      </c>
      <c r="C1336" t="s">
        <v>171</v>
      </c>
      <c r="D1336">
        <v>3220</v>
      </c>
      <c r="E1336">
        <v>3225</v>
      </c>
      <c r="F1336">
        <v>3205</v>
      </c>
      <c r="G1336">
        <v>3205</v>
      </c>
      <c r="H1336">
        <v>35000</v>
      </c>
    </row>
    <row r="1337" spans="2:8">
      <c r="B1337" t="s">
        <v>587</v>
      </c>
      <c r="C1337" t="s">
        <v>172</v>
      </c>
      <c r="D1337">
        <v>3210</v>
      </c>
      <c r="E1337">
        <v>3210</v>
      </c>
      <c r="F1337">
        <v>3185</v>
      </c>
      <c r="G1337">
        <v>3185</v>
      </c>
      <c r="H1337">
        <v>51900</v>
      </c>
    </row>
    <row r="1338" spans="2:8">
      <c r="B1338" t="s">
        <v>587</v>
      </c>
      <c r="C1338" t="s">
        <v>173</v>
      </c>
      <c r="D1338">
        <v>3185</v>
      </c>
      <c r="E1338">
        <v>3190</v>
      </c>
      <c r="F1338">
        <v>3180</v>
      </c>
      <c r="G1338">
        <v>3180</v>
      </c>
      <c r="H1338">
        <v>9700</v>
      </c>
    </row>
    <row r="1339" spans="2:8">
      <c r="B1339" t="s">
        <v>587</v>
      </c>
      <c r="C1339" t="s">
        <v>174</v>
      </c>
      <c r="D1339">
        <v>3185</v>
      </c>
      <c r="E1339">
        <v>3185</v>
      </c>
      <c r="F1339">
        <v>3175</v>
      </c>
      <c r="G1339">
        <v>3180</v>
      </c>
      <c r="H1339">
        <v>14500</v>
      </c>
    </row>
    <row r="1340" spans="2:8">
      <c r="B1340" t="s">
        <v>587</v>
      </c>
      <c r="C1340" t="s">
        <v>175</v>
      </c>
      <c r="D1340">
        <v>3180</v>
      </c>
      <c r="E1340">
        <v>3185</v>
      </c>
      <c r="F1340">
        <v>3180</v>
      </c>
      <c r="G1340">
        <v>3180</v>
      </c>
      <c r="H1340">
        <v>9700</v>
      </c>
    </row>
    <row r="1341" spans="2:8">
      <c r="B1341" t="s">
        <v>587</v>
      </c>
      <c r="C1341" t="s">
        <v>176</v>
      </c>
      <c r="D1341">
        <v>3180</v>
      </c>
      <c r="E1341">
        <v>3185</v>
      </c>
      <c r="F1341">
        <v>3170</v>
      </c>
      <c r="G1341">
        <v>3185</v>
      </c>
      <c r="H1341">
        <v>43400</v>
      </c>
    </row>
    <row r="1342" spans="2:8">
      <c r="B1342" t="s">
        <v>587</v>
      </c>
      <c r="C1342" t="s">
        <v>177</v>
      </c>
      <c r="D1342">
        <v>3185</v>
      </c>
      <c r="E1342">
        <v>3185</v>
      </c>
      <c r="F1342">
        <v>3180</v>
      </c>
      <c r="G1342">
        <v>3185</v>
      </c>
      <c r="H1342">
        <v>3400</v>
      </c>
    </row>
    <row r="1343" spans="2:8">
      <c r="B1343" t="s">
        <v>587</v>
      </c>
      <c r="C1343" t="s">
        <v>178</v>
      </c>
      <c r="D1343">
        <v>3185</v>
      </c>
      <c r="E1343">
        <v>3195</v>
      </c>
      <c r="F1343">
        <v>3185</v>
      </c>
      <c r="G1343">
        <v>3190</v>
      </c>
      <c r="H1343">
        <v>19900</v>
      </c>
    </row>
    <row r="1344" spans="2:8">
      <c r="B1344" t="s">
        <v>587</v>
      </c>
      <c r="C1344" t="s">
        <v>179</v>
      </c>
      <c r="D1344">
        <v>3190</v>
      </c>
      <c r="E1344">
        <v>3195</v>
      </c>
      <c r="F1344">
        <v>3190</v>
      </c>
      <c r="G1344">
        <v>3195</v>
      </c>
      <c r="H1344">
        <v>3500</v>
      </c>
    </row>
    <row r="1345" spans="2:8">
      <c r="B1345" t="s">
        <v>587</v>
      </c>
      <c r="C1345" t="s">
        <v>180</v>
      </c>
      <c r="D1345">
        <v>3195</v>
      </c>
      <c r="E1345">
        <v>3195</v>
      </c>
      <c r="F1345">
        <v>3190</v>
      </c>
      <c r="G1345">
        <v>3190</v>
      </c>
      <c r="H1345">
        <v>16000</v>
      </c>
    </row>
    <row r="1346" spans="2:8">
      <c r="B1346" t="s">
        <v>587</v>
      </c>
      <c r="C1346" t="s">
        <v>181</v>
      </c>
      <c r="D1346">
        <v>3185</v>
      </c>
      <c r="E1346">
        <v>3185</v>
      </c>
      <c r="F1346">
        <v>3180</v>
      </c>
      <c r="G1346">
        <v>3180</v>
      </c>
      <c r="H1346">
        <v>8300</v>
      </c>
    </row>
    <row r="1347" spans="2:8">
      <c r="B1347" t="s">
        <v>587</v>
      </c>
      <c r="C1347" t="s">
        <v>182</v>
      </c>
      <c r="D1347">
        <v>3175</v>
      </c>
      <c r="E1347">
        <v>3180</v>
      </c>
      <c r="F1347">
        <v>3165</v>
      </c>
      <c r="G1347">
        <v>3175</v>
      </c>
      <c r="H1347">
        <v>79600</v>
      </c>
    </row>
    <row r="1348" spans="2:8">
      <c r="B1348" t="s">
        <v>587</v>
      </c>
      <c r="C1348" t="s">
        <v>183</v>
      </c>
      <c r="D1348">
        <v>3175</v>
      </c>
      <c r="E1348">
        <v>3180</v>
      </c>
      <c r="F1348">
        <v>3175</v>
      </c>
      <c r="G1348">
        <v>3180</v>
      </c>
      <c r="H1348">
        <v>9900</v>
      </c>
    </row>
    <row r="1349" spans="2:8">
      <c r="B1349" t="s">
        <v>587</v>
      </c>
      <c r="C1349" t="s">
        <v>184</v>
      </c>
      <c r="D1349">
        <v>3180</v>
      </c>
      <c r="E1349">
        <v>3180</v>
      </c>
      <c r="F1349">
        <v>3180</v>
      </c>
      <c r="G1349">
        <v>3180</v>
      </c>
      <c r="H1349">
        <v>900</v>
      </c>
    </row>
    <row r="1350" spans="2:8">
      <c r="B1350" t="s">
        <v>587</v>
      </c>
      <c r="C1350" t="s">
        <v>185</v>
      </c>
      <c r="D1350">
        <v>3180</v>
      </c>
      <c r="E1350">
        <v>3180</v>
      </c>
      <c r="F1350">
        <v>3175</v>
      </c>
      <c r="G1350">
        <v>3180</v>
      </c>
      <c r="H1350">
        <v>6500</v>
      </c>
    </row>
    <row r="1351" spans="2:8">
      <c r="B1351" t="s">
        <v>587</v>
      </c>
      <c r="C1351" t="s">
        <v>186</v>
      </c>
      <c r="D1351">
        <v>3180</v>
      </c>
      <c r="E1351">
        <v>3185</v>
      </c>
      <c r="F1351">
        <v>3180</v>
      </c>
      <c r="G1351">
        <v>3185</v>
      </c>
      <c r="H1351">
        <v>9700</v>
      </c>
    </row>
    <row r="1352" spans="2:8">
      <c r="B1352" t="s">
        <v>587</v>
      </c>
      <c r="C1352" t="s">
        <v>187</v>
      </c>
      <c r="D1352">
        <v>3185</v>
      </c>
      <c r="E1352">
        <v>3185</v>
      </c>
      <c r="F1352">
        <v>3180</v>
      </c>
      <c r="G1352">
        <v>3185</v>
      </c>
      <c r="H1352">
        <v>2300</v>
      </c>
    </row>
    <row r="1353" spans="2:8">
      <c r="B1353" t="s">
        <v>587</v>
      </c>
      <c r="C1353" t="s">
        <v>188</v>
      </c>
      <c r="D1353">
        <v>3185</v>
      </c>
      <c r="E1353">
        <v>3185</v>
      </c>
      <c r="F1353">
        <v>3185</v>
      </c>
      <c r="G1353">
        <v>3185</v>
      </c>
      <c r="H1353">
        <v>3300</v>
      </c>
    </row>
    <row r="1354" spans="2:8">
      <c r="B1354" t="s">
        <v>587</v>
      </c>
      <c r="C1354" t="s">
        <v>189</v>
      </c>
      <c r="D1354">
        <v>3185</v>
      </c>
      <c r="E1354">
        <v>3190</v>
      </c>
      <c r="F1354">
        <v>3180</v>
      </c>
      <c r="G1354">
        <v>3185</v>
      </c>
      <c r="H1354">
        <v>5300</v>
      </c>
    </row>
    <row r="1355" spans="2:8">
      <c r="B1355" t="s">
        <v>587</v>
      </c>
      <c r="C1355" t="s">
        <v>190</v>
      </c>
      <c r="D1355">
        <v>3185</v>
      </c>
      <c r="E1355">
        <v>3190</v>
      </c>
      <c r="F1355">
        <v>3180</v>
      </c>
      <c r="G1355">
        <v>3190</v>
      </c>
      <c r="H1355">
        <v>8000</v>
      </c>
    </row>
    <row r="1356" spans="2:8">
      <c r="B1356" t="s">
        <v>587</v>
      </c>
      <c r="C1356" t="s">
        <v>191</v>
      </c>
      <c r="D1356">
        <v>3185</v>
      </c>
      <c r="E1356">
        <v>3190</v>
      </c>
      <c r="F1356">
        <v>3185</v>
      </c>
      <c r="G1356">
        <v>3185</v>
      </c>
      <c r="H1356">
        <v>4900</v>
      </c>
    </row>
    <row r="1357" spans="2:8">
      <c r="B1357" t="s">
        <v>587</v>
      </c>
      <c r="C1357" t="s">
        <v>192</v>
      </c>
      <c r="D1357">
        <v>3185</v>
      </c>
      <c r="E1357">
        <v>3185</v>
      </c>
      <c r="F1357">
        <v>3175</v>
      </c>
      <c r="G1357">
        <v>3175</v>
      </c>
      <c r="H1357">
        <v>15000</v>
      </c>
    </row>
    <row r="1358" spans="2:8">
      <c r="B1358" t="s">
        <v>587</v>
      </c>
      <c r="C1358" t="s">
        <v>193</v>
      </c>
      <c r="D1358">
        <v>3175</v>
      </c>
      <c r="E1358">
        <v>3180</v>
      </c>
      <c r="F1358">
        <v>3175</v>
      </c>
      <c r="G1358">
        <v>3175</v>
      </c>
      <c r="H1358">
        <v>18200</v>
      </c>
    </row>
    <row r="1359" spans="2:8">
      <c r="B1359" t="s">
        <v>587</v>
      </c>
      <c r="C1359" t="s">
        <v>194</v>
      </c>
      <c r="D1359">
        <v>3180</v>
      </c>
      <c r="E1359">
        <v>3185</v>
      </c>
      <c r="F1359">
        <v>3180</v>
      </c>
      <c r="G1359">
        <v>3185</v>
      </c>
      <c r="H1359">
        <v>10400</v>
      </c>
    </row>
    <row r="1360" spans="2:8">
      <c r="B1360" t="s">
        <v>587</v>
      </c>
      <c r="C1360" t="s">
        <v>195</v>
      </c>
      <c r="D1360">
        <v>3185</v>
      </c>
      <c r="E1360">
        <v>3185</v>
      </c>
      <c r="F1360">
        <v>3185</v>
      </c>
      <c r="G1360">
        <v>3185</v>
      </c>
      <c r="H1360">
        <v>100</v>
      </c>
    </row>
    <row r="1361" spans="2:8">
      <c r="B1361" t="s">
        <v>587</v>
      </c>
      <c r="C1361" t="s">
        <v>196</v>
      </c>
      <c r="D1361">
        <v>3180</v>
      </c>
      <c r="E1361">
        <v>3185</v>
      </c>
      <c r="F1361">
        <v>3180</v>
      </c>
      <c r="G1361">
        <v>3180</v>
      </c>
      <c r="H1361">
        <v>7900</v>
      </c>
    </row>
    <row r="1362" spans="2:8">
      <c r="B1362" t="s">
        <v>587</v>
      </c>
      <c r="C1362" t="s">
        <v>197</v>
      </c>
      <c r="D1362">
        <v>3180</v>
      </c>
      <c r="E1362">
        <v>3185</v>
      </c>
      <c r="F1362">
        <v>3180</v>
      </c>
      <c r="G1362">
        <v>3180</v>
      </c>
      <c r="H1362">
        <v>10900</v>
      </c>
    </row>
    <row r="1363" spans="2:8">
      <c r="B1363" t="s">
        <v>587</v>
      </c>
      <c r="C1363" t="s">
        <v>198</v>
      </c>
      <c r="D1363">
        <v>3185</v>
      </c>
      <c r="E1363">
        <v>3185</v>
      </c>
      <c r="F1363">
        <v>3180</v>
      </c>
      <c r="G1363">
        <v>3185</v>
      </c>
      <c r="H1363">
        <v>1300</v>
      </c>
    </row>
    <row r="1364" spans="2:8">
      <c r="B1364" t="s">
        <v>587</v>
      </c>
      <c r="C1364" t="s">
        <v>199</v>
      </c>
      <c r="D1364">
        <v>3185</v>
      </c>
      <c r="E1364">
        <v>3195</v>
      </c>
      <c r="F1364">
        <v>3185</v>
      </c>
      <c r="G1364">
        <v>3195</v>
      </c>
      <c r="H1364">
        <v>11500</v>
      </c>
    </row>
    <row r="1365" spans="2:8">
      <c r="B1365" t="s">
        <v>587</v>
      </c>
      <c r="C1365" t="s">
        <v>200</v>
      </c>
      <c r="D1365">
        <v>3190</v>
      </c>
      <c r="E1365">
        <v>3195</v>
      </c>
      <c r="F1365">
        <v>3190</v>
      </c>
      <c r="G1365">
        <v>3195</v>
      </c>
      <c r="H1365">
        <v>4000</v>
      </c>
    </row>
    <row r="1366" spans="2:8">
      <c r="B1366" t="s">
        <v>587</v>
      </c>
      <c r="C1366" t="s">
        <v>201</v>
      </c>
      <c r="D1366">
        <v>3195</v>
      </c>
      <c r="E1366">
        <v>3195</v>
      </c>
      <c r="F1366">
        <v>3195</v>
      </c>
      <c r="G1366">
        <v>3195</v>
      </c>
      <c r="H1366">
        <v>1300</v>
      </c>
    </row>
    <row r="1367" spans="2:8">
      <c r="B1367" t="s">
        <v>587</v>
      </c>
      <c r="C1367" t="s">
        <v>202</v>
      </c>
      <c r="D1367">
        <v>3190</v>
      </c>
      <c r="E1367">
        <v>3195</v>
      </c>
      <c r="F1367">
        <v>3190</v>
      </c>
      <c r="G1367">
        <v>3195</v>
      </c>
      <c r="H1367">
        <v>5200</v>
      </c>
    </row>
    <row r="1368" spans="2:8">
      <c r="B1368" t="s">
        <v>587</v>
      </c>
      <c r="C1368" t="s">
        <v>203</v>
      </c>
      <c r="D1368">
        <v>3195</v>
      </c>
      <c r="E1368">
        <v>3205</v>
      </c>
      <c r="F1368">
        <v>3195</v>
      </c>
      <c r="G1368">
        <v>3205</v>
      </c>
      <c r="H1368">
        <v>26500</v>
      </c>
    </row>
    <row r="1369" spans="2:8">
      <c r="B1369" t="s">
        <v>587</v>
      </c>
      <c r="C1369" t="s">
        <v>204</v>
      </c>
      <c r="D1369">
        <v>3200</v>
      </c>
      <c r="E1369">
        <v>3210</v>
      </c>
      <c r="F1369">
        <v>3200</v>
      </c>
      <c r="G1369">
        <v>3205</v>
      </c>
      <c r="H1369">
        <v>7900</v>
      </c>
    </row>
    <row r="1370" spans="2:8">
      <c r="B1370" t="s">
        <v>587</v>
      </c>
      <c r="C1370" t="s">
        <v>205</v>
      </c>
      <c r="D1370">
        <v>3210</v>
      </c>
      <c r="E1370">
        <v>3210</v>
      </c>
      <c r="F1370">
        <v>3205</v>
      </c>
      <c r="G1370">
        <v>3205</v>
      </c>
      <c r="H1370">
        <v>900</v>
      </c>
    </row>
    <row r="1371" spans="2:8">
      <c r="B1371" t="s">
        <v>587</v>
      </c>
      <c r="C1371" t="s">
        <v>206</v>
      </c>
      <c r="D1371">
        <v>3205</v>
      </c>
      <c r="E1371">
        <v>3210</v>
      </c>
      <c r="F1371">
        <v>3205</v>
      </c>
      <c r="G1371">
        <v>3205</v>
      </c>
      <c r="H1371">
        <v>17400</v>
      </c>
    </row>
    <row r="1372" spans="2:8">
      <c r="B1372" t="s">
        <v>587</v>
      </c>
      <c r="C1372" t="s">
        <v>207</v>
      </c>
      <c r="D1372">
        <v>3205</v>
      </c>
      <c r="E1372">
        <v>3205</v>
      </c>
      <c r="F1372">
        <v>3200</v>
      </c>
      <c r="G1372">
        <v>3200</v>
      </c>
      <c r="H1372">
        <v>9900</v>
      </c>
    </row>
    <row r="1373" spans="2:8">
      <c r="B1373" t="s">
        <v>587</v>
      </c>
      <c r="C1373" t="s">
        <v>208</v>
      </c>
      <c r="D1373">
        <v>3200</v>
      </c>
      <c r="E1373">
        <v>3200</v>
      </c>
      <c r="F1373">
        <v>3195</v>
      </c>
      <c r="G1373">
        <v>3200</v>
      </c>
      <c r="H1373">
        <v>9100</v>
      </c>
    </row>
    <row r="1374" spans="2:8">
      <c r="B1374" t="s">
        <v>587</v>
      </c>
      <c r="C1374" t="s">
        <v>209</v>
      </c>
      <c r="D1374">
        <v>3200</v>
      </c>
      <c r="E1374">
        <v>3200</v>
      </c>
      <c r="F1374">
        <v>3200</v>
      </c>
      <c r="G1374">
        <v>3200</v>
      </c>
      <c r="H1374">
        <v>7900</v>
      </c>
    </row>
    <row r="1375" spans="2:8">
      <c r="B1375" t="s">
        <v>587</v>
      </c>
      <c r="C1375" t="s">
        <v>210</v>
      </c>
      <c r="D1375">
        <v>3195</v>
      </c>
      <c r="E1375">
        <v>3200</v>
      </c>
      <c r="F1375">
        <v>3195</v>
      </c>
      <c r="G1375">
        <v>3195</v>
      </c>
      <c r="H1375">
        <v>3100</v>
      </c>
    </row>
    <row r="1376" spans="2:8">
      <c r="B1376" t="s">
        <v>587</v>
      </c>
      <c r="C1376" t="s">
        <v>211</v>
      </c>
      <c r="D1376">
        <v>3195</v>
      </c>
      <c r="E1376">
        <v>3200</v>
      </c>
      <c r="F1376">
        <v>3190</v>
      </c>
      <c r="G1376">
        <v>3195</v>
      </c>
      <c r="H1376">
        <v>6500</v>
      </c>
    </row>
    <row r="1377" spans="2:8">
      <c r="B1377" t="s">
        <v>587</v>
      </c>
      <c r="C1377" t="s">
        <v>212</v>
      </c>
      <c r="D1377">
        <v>3190</v>
      </c>
      <c r="E1377">
        <v>3200</v>
      </c>
      <c r="F1377">
        <v>3190</v>
      </c>
      <c r="G1377">
        <v>3200</v>
      </c>
      <c r="H1377">
        <v>9400</v>
      </c>
    </row>
    <row r="1378" spans="2:8">
      <c r="B1378" t="s">
        <v>587</v>
      </c>
      <c r="C1378" t="s">
        <v>213</v>
      </c>
      <c r="D1378">
        <v>3200</v>
      </c>
      <c r="E1378">
        <v>3200</v>
      </c>
      <c r="F1378">
        <v>3190</v>
      </c>
      <c r="G1378">
        <v>3190</v>
      </c>
      <c r="H1378">
        <v>7400</v>
      </c>
    </row>
    <row r="1379" spans="2:8">
      <c r="B1379" t="s">
        <v>587</v>
      </c>
      <c r="C1379" t="s">
        <v>214</v>
      </c>
      <c r="D1379">
        <v>3190</v>
      </c>
      <c r="E1379">
        <v>3190</v>
      </c>
      <c r="F1379">
        <v>3185</v>
      </c>
      <c r="G1379">
        <v>3185</v>
      </c>
      <c r="H1379">
        <v>4900</v>
      </c>
    </row>
    <row r="1380" spans="2:8">
      <c r="B1380" t="s">
        <v>587</v>
      </c>
      <c r="C1380" t="s">
        <v>215</v>
      </c>
      <c r="D1380">
        <v>3190</v>
      </c>
      <c r="E1380">
        <v>3190</v>
      </c>
      <c r="F1380">
        <v>3185</v>
      </c>
      <c r="G1380">
        <v>3185</v>
      </c>
      <c r="H1380">
        <v>900</v>
      </c>
    </row>
    <row r="1381" spans="2:8">
      <c r="B1381" t="s">
        <v>587</v>
      </c>
      <c r="C1381" t="s">
        <v>216</v>
      </c>
      <c r="D1381">
        <v>3185</v>
      </c>
      <c r="E1381">
        <v>3185</v>
      </c>
      <c r="F1381">
        <v>3180</v>
      </c>
      <c r="G1381">
        <v>3180</v>
      </c>
      <c r="H1381">
        <v>19300</v>
      </c>
    </row>
    <row r="1382" spans="2:8">
      <c r="B1382" t="s">
        <v>587</v>
      </c>
      <c r="C1382" t="s">
        <v>217</v>
      </c>
      <c r="D1382">
        <v>3180</v>
      </c>
      <c r="E1382">
        <v>3185</v>
      </c>
      <c r="F1382">
        <v>3175</v>
      </c>
      <c r="G1382">
        <v>3180</v>
      </c>
      <c r="H1382">
        <v>11100</v>
      </c>
    </row>
    <row r="1383" spans="2:8">
      <c r="B1383" t="s">
        <v>587</v>
      </c>
      <c r="C1383" t="s">
        <v>218</v>
      </c>
      <c r="D1383">
        <v>3180</v>
      </c>
      <c r="E1383">
        <v>3185</v>
      </c>
      <c r="F1383">
        <v>3180</v>
      </c>
      <c r="G1383">
        <v>3185</v>
      </c>
      <c r="H1383">
        <v>6000</v>
      </c>
    </row>
    <row r="1384" spans="2:8">
      <c r="B1384" t="s">
        <v>587</v>
      </c>
      <c r="C1384" t="s">
        <v>219</v>
      </c>
      <c r="D1384">
        <v>3180</v>
      </c>
      <c r="E1384">
        <v>3185</v>
      </c>
      <c r="F1384">
        <v>3180</v>
      </c>
      <c r="G1384">
        <v>3180</v>
      </c>
      <c r="H1384">
        <v>7000</v>
      </c>
    </row>
    <row r="1385" spans="2:8">
      <c r="B1385" t="s">
        <v>587</v>
      </c>
      <c r="C1385" t="s">
        <v>220</v>
      </c>
      <c r="D1385">
        <v>3185</v>
      </c>
      <c r="E1385">
        <v>3185</v>
      </c>
      <c r="F1385">
        <v>3180</v>
      </c>
      <c r="G1385">
        <v>3180</v>
      </c>
      <c r="H1385">
        <v>1000</v>
      </c>
    </row>
    <row r="1386" spans="2:8">
      <c r="B1386" t="s">
        <v>587</v>
      </c>
      <c r="C1386" t="s">
        <v>221</v>
      </c>
      <c r="D1386">
        <v>3180</v>
      </c>
      <c r="E1386">
        <v>3180</v>
      </c>
      <c r="F1386">
        <v>3175</v>
      </c>
      <c r="G1386">
        <v>3175</v>
      </c>
      <c r="H1386">
        <v>11600</v>
      </c>
    </row>
    <row r="1387" spans="2:8">
      <c r="B1387" t="s">
        <v>587</v>
      </c>
      <c r="C1387" t="s">
        <v>222</v>
      </c>
      <c r="D1387">
        <v>3175</v>
      </c>
      <c r="E1387">
        <v>3180</v>
      </c>
      <c r="F1387">
        <v>3175</v>
      </c>
      <c r="G1387">
        <v>3175</v>
      </c>
      <c r="H1387">
        <v>5900</v>
      </c>
    </row>
    <row r="1388" spans="2:8">
      <c r="B1388" t="s">
        <v>587</v>
      </c>
      <c r="C1388" t="s">
        <v>223</v>
      </c>
      <c r="D1388">
        <v>3180</v>
      </c>
      <c r="E1388">
        <v>3180</v>
      </c>
      <c r="F1388">
        <v>3180</v>
      </c>
      <c r="G1388">
        <v>3180</v>
      </c>
      <c r="H1388">
        <v>2700</v>
      </c>
    </row>
    <row r="1389" spans="2:8">
      <c r="B1389" t="s">
        <v>587</v>
      </c>
      <c r="C1389" t="s">
        <v>224</v>
      </c>
      <c r="D1389">
        <v>3180</v>
      </c>
      <c r="E1389">
        <v>3180</v>
      </c>
      <c r="F1389">
        <v>3180</v>
      </c>
      <c r="G1389">
        <v>3180</v>
      </c>
      <c r="H1389">
        <v>1800</v>
      </c>
    </row>
    <row r="1390" spans="2:8">
      <c r="B1390" t="s">
        <v>587</v>
      </c>
      <c r="C1390" t="s">
        <v>225</v>
      </c>
      <c r="D1390">
        <v>3180</v>
      </c>
      <c r="E1390">
        <v>3180</v>
      </c>
      <c r="F1390">
        <v>3175</v>
      </c>
      <c r="G1390">
        <v>3175</v>
      </c>
      <c r="H1390">
        <v>300</v>
      </c>
    </row>
    <row r="1391" spans="2:8">
      <c r="B1391" t="s">
        <v>587</v>
      </c>
      <c r="C1391" t="s">
        <v>226</v>
      </c>
      <c r="D1391">
        <v>3180</v>
      </c>
      <c r="E1391">
        <v>3180</v>
      </c>
      <c r="F1391">
        <v>3180</v>
      </c>
      <c r="G1391">
        <v>3180</v>
      </c>
      <c r="H1391">
        <v>7100</v>
      </c>
    </row>
    <row r="1392" spans="2:8">
      <c r="B1392" t="s">
        <v>587</v>
      </c>
      <c r="C1392" t="s">
        <v>227</v>
      </c>
      <c r="D1392">
        <v>3180</v>
      </c>
      <c r="E1392">
        <v>3190</v>
      </c>
      <c r="F1392">
        <v>3180</v>
      </c>
      <c r="G1392">
        <v>3190</v>
      </c>
      <c r="H1392">
        <v>16100</v>
      </c>
    </row>
    <row r="1393" spans="2:8">
      <c r="B1393" t="s">
        <v>587</v>
      </c>
      <c r="C1393" t="s">
        <v>228</v>
      </c>
      <c r="D1393">
        <v>3190</v>
      </c>
      <c r="E1393">
        <v>3190</v>
      </c>
      <c r="F1393">
        <v>3185</v>
      </c>
      <c r="G1393">
        <v>3185</v>
      </c>
      <c r="H1393">
        <v>3200</v>
      </c>
    </row>
    <row r="1394" spans="2:8">
      <c r="B1394" t="s">
        <v>587</v>
      </c>
      <c r="C1394" t="s">
        <v>229</v>
      </c>
      <c r="D1394">
        <v>3180</v>
      </c>
      <c r="E1394">
        <v>3185</v>
      </c>
      <c r="F1394">
        <v>3180</v>
      </c>
      <c r="G1394">
        <v>3180</v>
      </c>
      <c r="H1394">
        <v>12400</v>
      </c>
    </row>
    <row r="1395" spans="2:8">
      <c r="B1395" t="s">
        <v>587</v>
      </c>
      <c r="C1395" t="s">
        <v>230</v>
      </c>
      <c r="D1395">
        <v>3175</v>
      </c>
      <c r="E1395">
        <v>3175</v>
      </c>
      <c r="F1395">
        <v>3175</v>
      </c>
      <c r="G1395">
        <v>3175</v>
      </c>
      <c r="H1395">
        <v>400</v>
      </c>
    </row>
    <row r="1396" spans="2:8">
      <c r="B1396" t="s">
        <v>587</v>
      </c>
      <c r="C1396" t="s">
        <v>231</v>
      </c>
      <c r="D1396">
        <v>3175</v>
      </c>
      <c r="E1396">
        <v>3180</v>
      </c>
      <c r="F1396">
        <v>3170</v>
      </c>
      <c r="G1396">
        <v>3170</v>
      </c>
      <c r="H1396">
        <v>29700</v>
      </c>
    </row>
    <row r="1397" spans="2:8">
      <c r="B1397" t="s">
        <v>587</v>
      </c>
      <c r="C1397" t="s">
        <v>232</v>
      </c>
      <c r="D1397">
        <v>3175</v>
      </c>
      <c r="E1397">
        <v>3175</v>
      </c>
      <c r="F1397">
        <v>3170</v>
      </c>
      <c r="G1397">
        <v>3170</v>
      </c>
      <c r="H1397">
        <v>800</v>
      </c>
    </row>
    <row r="1398" spans="2:8">
      <c r="B1398" t="s">
        <v>587</v>
      </c>
      <c r="C1398" t="s">
        <v>233</v>
      </c>
      <c r="D1398">
        <v>3175</v>
      </c>
      <c r="E1398">
        <v>3175</v>
      </c>
      <c r="F1398">
        <v>3170</v>
      </c>
      <c r="G1398">
        <v>3175</v>
      </c>
      <c r="H1398">
        <v>10400</v>
      </c>
    </row>
    <row r="1399" spans="2:8">
      <c r="B1399" t="s">
        <v>587</v>
      </c>
      <c r="C1399" t="s">
        <v>234</v>
      </c>
      <c r="D1399">
        <v>3175</v>
      </c>
      <c r="E1399">
        <v>3175</v>
      </c>
      <c r="F1399">
        <v>3175</v>
      </c>
      <c r="G1399">
        <v>3175</v>
      </c>
      <c r="H1399">
        <v>6300</v>
      </c>
    </row>
    <row r="1400" spans="2:8">
      <c r="B1400" t="s">
        <v>587</v>
      </c>
      <c r="C1400" t="s">
        <v>235</v>
      </c>
      <c r="D1400">
        <v>3170</v>
      </c>
      <c r="E1400">
        <v>3175</v>
      </c>
      <c r="F1400">
        <v>3170</v>
      </c>
      <c r="G1400">
        <v>3170</v>
      </c>
      <c r="H1400">
        <v>4000</v>
      </c>
    </row>
    <row r="1401" spans="2:8">
      <c r="B1401" t="s">
        <v>587</v>
      </c>
      <c r="C1401" t="s">
        <v>236</v>
      </c>
      <c r="D1401">
        <v>3170</v>
      </c>
      <c r="E1401">
        <v>3170</v>
      </c>
      <c r="F1401">
        <v>3170</v>
      </c>
      <c r="G1401">
        <v>3170</v>
      </c>
      <c r="H1401">
        <v>11800</v>
      </c>
    </row>
    <row r="1402" spans="2:8">
      <c r="B1402" t="s">
        <v>587</v>
      </c>
      <c r="C1402" t="s">
        <v>237</v>
      </c>
      <c r="D1402">
        <v>3165</v>
      </c>
      <c r="E1402">
        <v>3170</v>
      </c>
      <c r="F1402">
        <v>3165</v>
      </c>
      <c r="G1402">
        <v>3165</v>
      </c>
      <c r="H1402">
        <v>1800</v>
      </c>
    </row>
    <row r="1403" spans="2:8">
      <c r="B1403" t="s">
        <v>587</v>
      </c>
      <c r="C1403" t="s">
        <v>238</v>
      </c>
      <c r="D1403" t="s">
        <v>8</v>
      </c>
      <c r="E1403" t="s">
        <v>8</v>
      </c>
      <c r="F1403" t="s">
        <v>8</v>
      </c>
      <c r="G1403" t="s">
        <v>8</v>
      </c>
      <c r="H1403">
        <v>0</v>
      </c>
    </row>
    <row r="1404" spans="2:8">
      <c r="B1404" t="s">
        <v>587</v>
      </c>
      <c r="C1404" t="s">
        <v>239</v>
      </c>
      <c r="D1404">
        <v>3165</v>
      </c>
      <c r="E1404">
        <v>3170</v>
      </c>
      <c r="F1404">
        <v>3165</v>
      </c>
      <c r="G1404">
        <v>3170</v>
      </c>
      <c r="H1404">
        <v>7500</v>
      </c>
    </row>
    <row r="1405" spans="2:8">
      <c r="B1405" t="s">
        <v>587</v>
      </c>
      <c r="C1405" t="s">
        <v>240</v>
      </c>
      <c r="D1405">
        <v>3165</v>
      </c>
      <c r="E1405">
        <v>3170</v>
      </c>
      <c r="F1405">
        <v>3165</v>
      </c>
      <c r="G1405">
        <v>3170</v>
      </c>
      <c r="H1405">
        <v>1000</v>
      </c>
    </row>
    <row r="1406" spans="2:8">
      <c r="B1406" t="s">
        <v>587</v>
      </c>
      <c r="C1406" t="s">
        <v>241</v>
      </c>
      <c r="D1406">
        <v>3165</v>
      </c>
      <c r="E1406">
        <v>3165</v>
      </c>
      <c r="F1406">
        <v>3165</v>
      </c>
      <c r="G1406">
        <v>3165</v>
      </c>
      <c r="H1406">
        <v>1000</v>
      </c>
    </row>
    <row r="1407" spans="2:8">
      <c r="B1407" t="s">
        <v>587</v>
      </c>
      <c r="C1407" t="s">
        <v>242</v>
      </c>
      <c r="D1407">
        <v>3165</v>
      </c>
      <c r="E1407">
        <v>3165</v>
      </c>
      <c r="F1407">
        <v>3165</v>
      </c>
      <c r="G1407">
        <v>3165</v>
      </c>
      <c r="H1407">
        <v>14900</v>
      </c>
    </row>
    <row r="1408" spans="2:8">
      <c r="B1408" t="s">
        <v>587</v>
      </c>
      <c r="C1408" t="s">
        <v>243</v>
      </c>
      <c r="D1408">
        <v>3165</v>
      </c>
      <c r="E1408">
        <v>3170</v>
      </c>
      <c r="F1408">
        <v>3165</v>
      </c>
      <c r="G1408">
        <v>3170</v>
      </c>
      <c r="H1408">
        <v>3700</v>
      </c>
    </row>
    <row r="1409" spans="2:8">
      <c r="B1409" t="s">
        <v>587</v>
      </c>
      <c r="C1409" t="s">
        <v>244</v>
      </c>
      <c r="D1409">
        <v>3170</v>
      </c>
      <c r="E1409">
        <v>3170</v>
      </c>
      <c r="F1409">
        <v>3165</v>
      </c>
      <c r="G1409">
        <v>3170</v>
      </c>
      <c r="H1409">
        <v>900</v>
      </c>
    </row>
    <row r="1410" spans="2:8">
      <c r="B1410" t="s">
        <v>587</v>
      </c>
      <c r="C1410" t="s">
        <v>245</v>
      </c>
      <c r="D1410">
        <v>3170</v>
      </c>
      <c r="E1410">
        <v>3170</v>
      </c>
      <c r="F1410">
        <v>3165</v>
      </c>
      <c r="G1410">
        <v>3165</v>
      </c>
      <c r="H1410">
        <v>600</v>
      </c>
    </row>
    <row r="1411" spans="2:8">
      <c r="B1411" t="s">
        <v>587</v>
      </c>
      <c r="C1411" t="s">
        <v>246</v>
      </c>
      <c r="D1411">
        <v>3170</v>
      </c>
      <c r="E1411">
        <v>3175</v>
      </c>
      <c r="F1411">
        <v>3170</v>
      </c>
      <c r="G1411">
        <v>3175</v>
      </c>
      <c r="H1411">
        <v>18400</v>
      </c>
    </row>
    <row r="1412" spans="2:8">
      <c r="B1412" t="s">
        <v>587</v>
      </c>
      <c r="C1412" t="s">
        <v>247</v>
      </c>
      <c r="D1412">
        <v>3180</v>
      </c>
      <c r="E1412">
        <v>3185</v>
      </c>
      <c r="F1412">
        <v>3175</v>
      </c>
      <c r="G1412">
        <v>3185</v>
      </c>
      <c r="H1412">
        <v>9900</v>
      </c>
    </row>
    <row r="1413" spans="2:8">
      <c r="B1413" t="s">
        <v>587</v>
      </c>
      <c r="C1413" t="s">
        <v>248</v>
      </c>
      <c r="D1413">
        <v>3185</v>
      </c>
      <c r="E1413">
        <v>3185</v>
      </c>
      <c r="F1413">
        <v>3175</v>
      </c>
      <c r="G1413">
        <v>3180</v>
      </c>
      <c r="H1413">
        <v>7000</v>
      </c>
    </row>
    <row r="1414" spans="2:8">
      <c r="B1414" t="s">
        <v>587</v>
      </c>
      <c r="C1414" t="s">
        <v>249</v>
      </c>
      <c r="D1414">
        <v>3180</v>
      </c>
      <c r="E1414">
        <v>3180</v>
      </c>
      <c r="F1414">
        <v>3180</v>
      </c>
      <c r="G1414">
        <v>3180</v>
      </c>
      <c r="H1414">
        <v>500</v>
      </c>
    </row>
    <row r="1415" spans="2:8">
      <c r="B1415" t="s">
        <v>587</v>
      </c>
      <c r="C1415" t="s">
        <v>250</v>
      </c>
      <c r="D1415" t="s">
        <v>8</v>
      </c>
      <c r="E1415" t="s">
        <v>8</v>
      </c>
      <c r="F1415" t="s">
        <v>8</v>
      </c>
      <c r="G1415" t="s">
        <v>8</v>
      </c>
      <c r="H1415">
        <v>0</v>
      </c>
    </row>
    <row r="1416" spans="2:8">
      <c r="B1416" t="s">
        <v>587</v>
      </c>
      <c r="C1416" t="s">
        <v>251</v>
      </c>
      <c r="D1416">
        <v>3180</v>
      </c>
      <c r="E1416">
        <v>3180</v>
      </c>
      <c r="F1416">
        <v>3170</v>
      </c>
      <c r="G1416">
        <v>3170</v>
      </c>
      <c r="H1416">
        <v>17300</v>
      </c>
    </row>
    <row r="1417" spans="2:8">
      <c r="B1417" t="s">
        <v>587</v>
      </c>
      <c r="C1417" t="s">
        <v>252</v>
      </c>
      <c r="D1417" t="s">
        <v>8</v>
      </c>
      <c r="E1417" t="s">
        <v>8</v>
      </c>
      <c r="F1417" t="s">
        <v>8</v>
      </c>
      <c r="G1417" t="s">
        <v>8</v>
      </c>
      <c r="H1417">
        <v>0</v>
      </c>
    </row>
    <row r="1418" spans="2:8">
      <c r="B1418" t="s">
        <v>587</v>
      </c>
      <c r="C1418" t="s">
        <v>253</v>
      </c>
      <c r="D1418">
        <v>3175</v>
      </c>
      <c r="E1418">
        <v>3180</v>
      </c>
      <c r="F1418">
        <v>3175</v>
      </c>
      <c r="G1418">
        <v>3180</v>
      </c>
      <c r="H1418">
        <v>1500</v>
      </c>
    </row>
    <row r="1419" spans="2:8">
      <c r="B1419" t="s">
        <v>587</v>
      </c>
      <c r="C1419" t="s">
        <v>254</v>
      </c>
      <c r="D1419">
        <v>3180</v>
      </c>
      <c r="E1419">
        <v>3185</v>
      </c>
      <c r="F1419">
        <v>3180</v>
      </c>
      <c r="G1419">
        <v>3180</v>
      </c>
      <c r="H1419">
        <v>7600</v>
      </c>
    </row>
    <row r="1420" spans="2:8">
      <c r="B1420" t="s">
        <v>587</v>
      </c>
      <c r="C1420" t="s">
        <v>255</v>
      </c>
      <c r="D1420">
        <v>3185</v>
      </c>
      <c r="E1420">
        <v>3185</v>
      </c>
      <c r="F1420">
        <v>3185</v>
      </c>
      <c r="G1420">
        <v>3185</v>
      </c>
      <c r="H1420">
        <v>200</v>
      </c>
    </row>
    <row r="1421" spans="2:8">
      <c r="B1421" t="s">
        <v>587</v>
      </c>
      <c r="C1421" t="s">
        <v>256</v>
      </c>
      <c r="D1421">
        <v>3180</v>
      </c>
      <c r="E1421">
        <v>3185</v>
      </c>
      <c r="F1421">
        <v>3180</v>
      </c>
      <c r="G1421">
        <v>3180</v>
      </c>
      <c r="H1421">
        <v>700</v>
      </c>
    </row>
    <row r="1422" spans="2:8">
      <c r="B1422" t="s">
        <v>587</v>
      </c>
      <c r="C1422" t="s">
        <v>257</v>
      </c>
      <c r="D1422">
        <v>3180</v>
      </c>
      <c r="E1422">
        <v>3180</v>
      </c>
      <c r="F1422">
        <v>3180</v>
      </c>
      <c r="G1422">
        <v>3180</v>
      </c>
      <c r="H1422">
        <v>600</v>
      </c>
    </row>
    <row r="1423" spans="2:8">
      <c r="B1423" t="s">
        <v>587</v>
      </c>
      <c r="C1423" t="s">
        <v>258</v>
      </c>
      <c r="D1423">
        <v>3185</v>
      </c>
      <c r="E1423">
        <v>3190</v>
      </c>
      <c r="F1423">
        <v>3185</v>
      </c>
      <c r="G1423">
        <v>3190</v>
      </c>
      <c r="H1423">
        <v>13200</v>
      </c>
    </row>
    <row r="1424" spans="2:8">
      <c r="B1424" t="s">
        <v>587</v>
      </c>
      <c r="C1424" t="s">
        <v>259</v>
      </c>
      <c r="D1424">
        <v>3185</v>
      </c>
      <c r="E1424">
        <v>3185</v>
      </c>
      <c r="F1424">
        <v>3185</v>
      </c>
      <c r="G1424">
        <v>3185</v>
      </c>
      <c r="H1424">
        <v>4900</v>
      </c>
    </row>
    <row r="1425" spans="2:8">
      <c r="B1425" t="s">
        <v>587</v>
      </c>
      <c r="C1425" t="s">
        <v>260</v>
      </c>
      <c r="D1425">
        <v>3185</v>
      </c>
      <c r="E1425">
        <v>3185</v>
      </c>
      <c r="F1425">
        <v>3175</v>
      </c>
      <c r="G1425">
        <v>3175</v>
      </c>
      <c r="H1425">
        <v>9300</v>
      </c>
    </row>
    <row r="1426" spans="2:8">
      <c r="B1426" t="s">
        <v>587</v>
      </c>
      <c r="C1426" t="s">
        <v>261</v>
      </c>
      <c r="D1426">
        <v>3175</v>
      </c>
      <c r="E1426">
        <v>3175</v>
      </c>
      <c r="F1426">
        <v>3175</v>
      </c>
      <c r="G1426">
        <v>3175</v>
      </c>
      <c r="H1426">
        <v>2700</v>
      </c>
    </row>
    <row r="1427" spans="2:8">
      <c r="B1427" t="s">
        <v>587</v>
      </c>
      <c r="C1427" t="s">
        <v>262</v>
      </c>
      <c r="D1427">
        <v>3180</v>
      </c>
      <c r="E1427">
        <v>3180</v>
      </c>
      <c r="F1427">
        <v>3180</v>
      </c>
      <c r="G1427">
        <v>3180</v>
      </c>
      <c r="H1427">
        <v>100</v>
      </c>
    </row>
    <row r="1428" spans="2:8">
      <c r="B1428" t="s">
        <v>587</v>
      </c>
      <c r="C1428" t="s">
        <v>263</v>
      </c>
      <c r="D1428">
        <v>3175</v>
      </c>
      <c r="E1428">
        <v>3180</v>
      </c>
      <c r="F1428">
        <v>3175</v>
      </c>
      <c r="G1428">
        <v>3175</v>
      </c>
      <c r="H1428">
        <v>1400</v>
      </c>
    </row>
    <row r="1429" spans="2:8">
      <c r="B1429" t="s">
        <v>587</v>
      </c>
      <c r="C1429" t="s">
        <v>264</v>
      </c>
      <c r="D1429">
        <v>3180</v>
      </c>
      <c r="E1429">
        <v>3180</v>
      </c>
      <c r="F1429">
        <v>3180</v>
      </c>
      <c r="G1429">
        <v>3180</v>
      </c>
      <c r="H1429">
        <v>6100</v>
      </c>
    </row>
    <row r="1430" spans="2:8">
      <c r="B1430" t="s">
        <v>587</v>
      </c>
      <c r="C1430" t="s">
        <v>265</v>
      </c>
      <c r="D1430">
        <v>3180</v>
      </c>
      <c r="E1430">
        <v>3185</v>
      </c>
      <c r="F1430">
        <v>3180</v>
      </c>
      <c r="G1430">
        <v>3185</v>
      </c>
      <c r="H1430">
        <v>200</v>
      </c>
    </row>
    <row r="1431" spans="2:8">
      <c r="B1431" t="s">
        <v>587</v>
      </c>
      <c r="C1431" t="s">
        <v>266</v>
      </c>
      <c r="D1431">
        <v>3180</v>
      </c>
      <c r="E1431">
        <v>3180</v>
      </c>
      <c r="F1431">
        <v>3180</v>
      </c>
      <c r="G1431">
        <v>3180</v>
      </c>
      <c r="H1431">
        <v>1200</v>
      </c>
    </row>
    <row r="1432" spans="2:8">
      <c r="B1432" t="s">
        <v>587</v>
      </c>
      <c r="C1432" t="s">
        <v>267</v>
      </c>
      <c r="D1432">
        <v>3180</v>
      </c>
      <c r="E1432">
        <v>3185</v>
      </c>
      <c r="F1432">
        <v>3180</v>
      </c>
      <c r="G1432">
        <v>3180</v>
      </c>
      <c r="H1432">
        <v>600</v>
      </c>
    </row>
    <row r="1433" spans="2:8">
      <c r="B1433" t="s">
        <v>587</v>
      </c>
      <c r="C1433" t="s">
        <v>268</v>
      </c>
      <c r="D1433">
        <v>3180</v>
      </c>
      <c r="E1433">
        <v>3180</v>
      </c>
      <c r="F1433">
        <v>3180</v>
      </c>
      <c r="G1433">
        <v>3180</v>
      </c>
      <c r="H1433">
        <v>100</v>
      </c>
    </row>
    <row r="1434" spans="2:8">
      <c r="B1434" t="s">
        <v>587</v>
      </c>
      <c r="C1434" t="s">
        <v>269</v>
      </c>
      <c r="D1434" t="s">
        <v>8</v>
      </c>
      <c r="E1434" t="s">
        <v>8</v>
      </c>
      <c r="F1434" t="s">
        <v>8</v>
      </c>
      <c r="G1434" t="s">
        <v>8</v>
      </c>
      <c r="H1434">
        <v>0</v>
      </c>
    </row>
    <row r="1435" spans="2:8">
      <c r="B1435" t="s">
        <v>587</v>
      </c>
      <c r="C1435" t="s">
        <v>270</v>
      </c>
      <c r="D1435">
        <v>3180</v>
      </c>
      <c r="E1435">
        <v>3185</v>
      </c>
      <c r="F1435">
        <v>3180</v>
      </c>
      <c r="G1435">
        <v>3185</v>
      </c>
      <c r="H1435">
        <v>2900</v>
      </c>
    </row>
    <row r="1436" spans="2:8">
      <c r="B1436" t="s">
        <v>587</v>
      </c>
      <c r="C1436" t="s">
        <v>271</v>
      </c>
      <c r="D1436">
        <v>3180</v>
      </c>
      <c r="E1436">
        <v>3180</v>
      </c>
      <c r="F1436">
        <v>3180</v>
      </c>
      <c r="G1436">
        <v>3180</v>
      </c>
      <c r="H1436">
        <v>600</v>
      </c>
    </row>
    <row r="1437" spans="2:8">
      <c r="B1437" t="s">
        <v>587</v>
      </c>
      <c r="C1437" t="s">
        <v>272</v>
      </c>
      <c r="D1437">
        <v>3185</v>
      </c>
      <c r="E1437">
        <v>3185</v>
      </c>
      <c r="F1437">
        <v>3185</v>
      </c>
      <c r="G1437">
        <v>3185</v>
      </c>
      <c r="H1437">
        <v>6400</v>
      </c>
    </row>
    <row r="1438" spans="2:8">
      <c r="B1438" t="s">
        <v>587</v>
      </c>
      <c r="C1438" t="s">
        <v>273</v>
      </c>
      <c r="D1438">
        <v>3185</v>
      </c>
      <c r="E1438">
        <v>3185</v>
      </c>
      <c r="F1438">
        <v>3185</v>
      </c>
      <c r="G1438">
        <v>3185</v>
      </c>
      <c r="H1438">
        <v>100</v>
      </c>
    </row>
    <row r="1439" spans="2:8">
      <c r="B1439" t="s">
        <v>587</v>
      </c>
      <c r="C1439" t="s">
        <v>274</v>
      </c>
      <c r="D1439">
        <v>3185</v>
      </c>
      <c r="E1439">
        <v>3185</v>
      </c>
      <c r="F1439">
        <v>3185</v>
      </c>
      <c r="G1439">
        <v>3185</v>
      </c>
      <c r="H1439">
        <v>200</v>
      </c>
    </row>
    <row r="1440" spans="2:8">
      <c r="B1440" t="s">
        <v>587</v>
      </c>
      <c r="C1440" t="s">
        <v>275</v>
      </c>
      <c r="D1440">
        <v>3190</v>
      </c>
      <c r="E1440">
        <v>3190</v>
      </c>
      <c r="F1440">
        <v>3190</v>
      </c>
      <c r="G1440">
        <v>3190</v>
      </c>
      <c r="H1440">
        <v>8700</v>
      </c>
    </row>
    <row r="1441" spans="2:8">
      <c r="B1441" t="s">
        <v>587</v>
      </c>
      <c r="C1441" t="s">
        <v>276</v>
      </c>
      <c r="D1441">
        <v>3190</v>
      </c>
      <c r="E1441">
        <v>3195</v>
      </c>
      <c r="F1441">
        <v>3190</v>
      </c>
      <c r="G1441">
        <v>3190</v>
      </c>
      <c r="H1441">
        <v>6600</v>
      </c>
    </row>
    <row r="1442" spans="2:8">
      <c r="B1442" t="s">
        <v>587</v>
      </c>
      <c r="C1442" t="s">
        <v>277</v>
      </c>
      <c r="D1442">
        <v>3190</v>
      </c>
      <c r="E1442">
        <v>3190</v>
      </c>
      <c r="F1442">
        <v>3190</v>
      </c>
      <c r="G1442">
        <v>3190</v>
      </c>
      <c r="H1442">
        <v>700</v>
      </c>
    </row>
    <row r="1443" spans="2:8">
      <c r="B1443" t="s">
        <v>587</v>
      </c>
      <c r="C1443" t="s">
        <v>278</v>
      </c>
      <c r="D1443">
        <v>3190</v>
      </c>
      <c r="E1443">
        <v>3190</v>
      </c>
      <c r="F1443">
        <v>3185</v>
      </c>
      <c r="G1443">
        <v>3185</v>
      </c>
      <c r="H1443">
        <v>7700</v>
      </c>
    </row>
    <row r="1444" spans="2:8">
      <c r="B1444" t="s">
        <v>587</v>
      </c>
      <c r="C1444" t="s">
        <v>279</v>
      </c>
      <c r="D1444">
        <v>3185</v>
      </c>
      <c r="E1444">
        <v>3185</v>
      </c>
      <c r="F1444">
        <v>3185</v>
      </c>
      <c r="G1444">
        <v>3185</v>
      </c>
      <c r="H1444">
        <v>600</v>
      </c>
    </row>
    <row r="1445" spans="2:8">
      <c r="B1445" t="s">
        <v>587</v>
      </c>
      <c r="C1445" t="s">
        <v>280</v>
      </c>
      <c r="D1445">
        <v>3180</v>
      </c>
      <c r="E1445">
        <v>3185</v>
      </c>
      <c r="F1445">
        <v>3180</v>
      </c>
      <c r="G1445">
        <v>3185</v>
      </c>
      <c r="H1445">
        <v>12400</v>
      </c>
    </row>
    <row r="1446" spans="2:8">
      <c r="B1446" t="s">
        <v>587</v>
      </c>
      <c r="C1446" t="s">
        <v>281</v>
      </c>
      <c r="D1446">
        <v>3180</v>
      </c>
      <c r="E1446">
        <v>3180</v>
      </c>
      <c r="F1446">
        <v>3180</v>
      </c>
      <c r="G1446">
        <v>3180</v>
      </c>
      <c r="H1446">
        <v>7000</v>
      </c>
    </row>
    <row r="1447" spans="2:8">
      <c r="B1447" t="s">
        <v>587</v>
      </c>
      <c r="C1447" t="s">
        <v>282</v>
      </c>
      <c r="D1447">
        <v>3180</v>
      </c>
      <c r="E1447">
        <v>3180</v>
      </c>
      <c r="F1447">
        <v>3180</v>
      </c>
      <c r="G1447">
        <v>3180</v>
      </c>
      <c r="H1447">
        <v>100</v>
      </c>
    </row>
    <row r="1448" spans="2:8">
      <c r="B1448" t="s">
        <v>587</v>
      </c>
      <c r="C1448" t="s">
        <v>283</v>
      </c>
      <c r="D1448">
        <v>3185</v>
      </c>
      <c r="E1448">
        <v>3190</v>
      </c>
      <c r="F1448">
        <v>3185</v>
      </c>
      <c r="G1448">
        <v>3185</v>
      </c>
      <c r="H1448">
        <v>4600</v>
      </c>
    </row>
    <row r="1449" spans="2:8">
      <c r="B1449" t="s">
        <v>587</v>
      </c>
      <c r="C1449" t="s">
        <v>284</v>
      </c>
      <c r="D1449" t="s">
        <v>8</v>
      </c>
      <c r="E1449" t="s">
        <v>8</v>
      </c>
      <c r="F1449" t="s">
        <v>8</v>
      </c>
      <c r="G1449" t="s">
        <v>8</v>
      </c>
      <c r="H1449">
        <v>0</v>
      </c>
    </row>
    <row r="1450" spans="2:8">
      <c r="B1450" t="s">
        <v>587</v>
      </c>
      <c r="C1450" t="s">
        <v>285</v>
      </c>
      <c r="D1450">
        <v>3185</v>
      </c>
      <c r="E1450">
        <v>3185</v>
      </c>
      <c r="F1450">
        <v>3185</v>
      </c>
      <c r="G1450">
        <v>3185</v>
      </c>
      <c r="H1450">
        <v>2500</v>
      </c>
    </row>
    <row r="1451" spans="2:8">
      <c r="B1451" t="s">
        <v>587</v>
      </c>
      <c r="C1451" t="s">
        <v>286</v>
      </c>
      <c r="D1451">
        <v>3185</v>
      </c>
      <c r="E1451">
        <v>3185</v>
      </c>
      <c r="F1451">
        <v>3180</v>
      </c>
      <c r="G1451">
        <v>3180</v>
      </c>
      <c r="H1451">
        <v>600</v>
      </c>
    </row>
    <row r="1452" spans="2:8">
      <c r="B1452" t="s">
        <v>587</v>
      </c>
      <c r="C1452" t="s">
        <v>287</v>
      </c>
      <c r="D1452" t="s">
        <v>8</v>
      </c>
      <c r="E1452" t="s">
        <v>8</v>
      </c>
      <c r="F1452" t="s">
        <v>8</v>
      </c>
      <c r="G1452" t="s">
        <v>8</v>
      </c>
      <c r="H1452">
        <v>0</v>
      </c>
    </row>
    <row r="1453" spans="2:8">
      <c r="B1453" t="s">
        <v>587</v>
      </c>
      <c r="C1453" t="s">
        <v>288</v>
      </c>
      <c r="D1453">
        <v>3180</v>
      </c>
      <c r="E1453">
        <v>3185</v>
      </c>
      <c r="F1453">
        <v>3180</v>
      </c>
      <c r="G1453">
        <v>3185</v>
      </c>
      <c r="H1453">
        <v>6200</v>
      </c>
    </row>
    <row r="1454" spans="2:8">
      <c r="B1454" t="s">
        <v>587</v>
      </c>
      <c r="C1454" t="s">
        <v>289</v>
      </c>
      <c r="D1454">
        <v>3180</v>
      </c>
      <c r="E1454">
        <v>3180</v>
      </c>
      <c r="F1454">
        <v>3180</v>
      </c>
      <c r="G1454">
        <v>3180</v>
      </c>
      <c r="H1454">
        <v>100</v>
      </c>
    </row>
    <row r="1455" spans="2:8">
      <c r="B1455" t="s">
        <v>587</v>
      </c>
      <c r="C1455" t="s">
        <v>290</v>
      </c>
      <c r="D1455">
        <v>3185</v>
      </c>
      <c r="E1455">
        <v>3185</v>
      </c>
      <c r="F1455">
        <v>3185</v>
      </c>
      <c r="G1455">
        <v>3185</v>
      </c>
      <c r="H1455">
        <v>3100</v>
      </c>
    </row>
    <row r="1456" spans="2:8">
      <c r="B1456" t="s">
        <v>587</v>
      </c>
      <c r="C1456" t="s">
        <v>291</v>
      </c>
      <c r="D1456">
        <v>3190</v>
      </c>
      <c r="E1456">
        <v>3190</v>
      </c>
      <c r="F1456">
        <v>3185</v>
      </c>
      <c r="G1456">
        <v>3185</v>
      </c>
      <c r="H1456">
        <v>400</v>
      </c>
    </row>
    <row r="1457" spans="2:8">
      <c r="B1457" t="s">
        <v>587</v>
      </c>
      <c r="C1457" t="s">
        <v>292</v>
      </c>
      <c r="D1457">
        <v>3190</v>
      </c>
      <c r="E1457">
        <v>3190</v>
      </c>
      <c r="F1457">
        <v>3185</v>
      </c>
      <c r="G1457">
        <v>3185</v>
      </c>
      <c r="H1457">
        <v>1000</v>
      </c>
    </row>
    <row r="1458" spans="2:8">
      <c r="B1458" t="s">
        <v>587</v>
      </c>
      <c r="C1458" t="s">
        <v>293</v>
      </c>
      <c r="D1458" t="s">
        <v>8</v>
      </c>
      <c r="E1458" t="s">
        <v>8</v>
      </c>
      <c r="F1458" t="s">
        <v>8</v>
      </c>
      <c r="G1458" t="s">
        <v>8</v>
      </c>
      <c r="H1458">
        <v>0</v>
      </c>
    </row>
    <row r="1459" spans="2:8">
      <c r="B1459" t="s">
        <v>587</v>
      </c>
      <c r="C1459" t="s">
        <v>294</v>
      </c>
      <c r="D1459">
        <v>3190</v>
      </c>
      <c r="E1459">
        <v>3200</v>
      </c>
      <c r="F1459">
        <v>3190</v>
      </c>
      <c r="G1459">
        <v>3200</v>
      </c>
      <c r="H1459">
        <v>35500</v>
      </c>
    </row>
    <row r="1460" spans="2:8">
      <c r="B1460" t="s">
        <v>587</v>
      </c>
      <c r="C1460" t="s">
        <v>295</v>
      </c>
      <c r="D1460">
        <v>3200</v>
      </c>
      <c r="E1460">
        <v>3200</v>
      </c>
      <c r="F1460">
        <v>3195</v>
      </c>
      <c r="G1460">
        <v>3195</v>
      </c>
      <c r="H1460">
        <v>500</v>
      </c>
    </row>
    <row r="1461" spans="2:8">
      <c r="B1461" t="s">
        <v>587</v>
      </c>
      <c r="C1461" t="s">
        <v>296</v>
      </c>
      <c r="D1461">
        <v>3195</v>
      </c>
      <c r="E1461">
        <v>3210</v>
      </c>
      <c r="F1461">
        <v>3195</v>
      </c>
      <c r="G1461">
        <v>3210</v>
      </c>
      <c r="H1461">
        <v>26500</v>
      </c>
    </row>
    <row r="1462" spans="2:8">
      <c r="B1462" t="s">
        <v>587</v>
      </c>
      <c r="C1462" t="s">
        <v>297</v>
      </c>
      <c r="D1462">
        <v>3210</v>
      </c>
      <c r="E1462">
        <v>3210</v>
      </c>
      <c r="F1462">
        <v>3205</v>
      </c>
      <c r="G1462">
        <v>3205</v>
      </c>
      <c r="H1462">
        <v>800</v>
      </c>
    </row>
    <row r="1463" spans="2:8">
      <c r="B1463" t="s">
        <v>587</v>
      </c>
      <c r="C1463" t="s">
        <v>298</v>
      </c>
      <c r="D1463">
        <v>3210</v>
      </c>
      <c r="E1463">
        <v>3210</v>
      </c>
      <c r="F1463">
        <v>3205</v>
      </c>
      <c r="G1463">
        <v>3205</v>
      </c>
      <c r="H1463">
        <v>1700</v>
      </c>
    </row>
    <row r="1464" spans="2:8">
      <c r="B1464" t="s">
        <v>587</v>
      </c>
      <c r="C1464" t="s">
        <v>299</v>
      </c>
      <c r="D1464">
        <v>3205</v>
      </c>
      <c r="E1464">
        <v>3210</v>
      </c>
      <c r="F1464">
        <v>3205</v>
      </c>
      <c r="G1464">
        <v>3210</v>
      </c>
      <c r="H1464">
        <v>2000</v>
      </c>
    </row>
    <row r="1465" spans="2:8">
      <c r="B1465" t="s">
        <v>587</v>
      </c>
      <c r="C1465" t="s">
        <v>300</v>
      </c>
      <c r="D1465">
        <v>3205</v>
      </c>
      <c r="E1465">
        <v>3215</v>
      </c>
      <c r="F1465">
        <v>3205</v>
      </c>
      <c r="G1465">
        <v>3215</v>
      </c>
      <c r="H1465">
        <v>14200</v>
      </c>
    </row>
    <row r="1466" spans="2:8">
      <c r="B1466" t="s">
        <v>587</v>
      </c>
      <c r="C1466" t="s">
        <v>301</v>
      </c>
      <c r="D1466">
        <v>3215</v>
      </c>
      <c r="E1466">
        <v>3215</v>
      </c>
      <c r="F1466">
        <v>3215</v>
      </c>
      <c r="G1466">
        <v>3215</v>
      </c>
      <c r="H1466">
        <v>4200</v>
      </c>
    </row>
    <row r="1467" spans="2:8">
      <c r="B1467" t="s">
        <v>587</v>
      </c>
      <c r="C1467" t="s">
        <v>302</v>
      </c>
      <c r="D1467">
        <v>3215</v>
      </c>
      <c r="E1467">
        <v>3215</v>
      </c>
      <c r="F1467">
        <v>3215</v>
      </c>
      <c r="G1467">
        <v>3215</v>
      </c>
      <c r="H1467">
        <v>400</v>
      </c>
    </row>
    <row r="1468" spans="2:8">
      <c r="B1468" t="s">
        <v>587</v>
      </c>
      <c r="C1468" t="s">
        <v>303</v>
      </c>
      <c r="D1468">
        <v>3215</v>
      </c>
      <c r="E1468">
        <v>3225</v>
      </c>
      <c r="F1468">
        <v>3215</v>
      </c>
      <c r="G1468">
        <v>3220</v>
      </c>
      <c r="H1468">
        <v>39700</v>
      </c>
    </row>
    <row r="1469" spans="2:8">
      <c r="B1469" t="s">
        <v>587</v>
      </c>
      <c r="C1469" t="s">
        <v>304</v>
      </c>
      <c r="D1469">
        <v>3220</v>
      </c>
      <c r="E1469">
        <v>3225</v>
      </c>
      <c r="F1469">
        <v>3220</v>
      </c>
      <c r="G1469">
        <v>3220</v>
      </c>
      <c r="H1469">
        <v>700</v>
      </c>
    </row>
    <row r="1470" spans="2:8">
      <c r="B1470" t="s">
        <v>587</v>
      </c>
      <c r="C1470" t="s">
        <v>305</v>
      </c>
      <c r="D1470">
        <v>3220</v>
      </c>
      <c r="E1470">
        <v>3225</v>
      </c>
      <c r="F1470">
        <v>3220</v>
      </c>
      <c r="G1470">
        <v>3225</v>
      </c>
      <c r="H1470">
        <v>11100</v>
      </c>
    </row>
    <row r="1471" spans="2:8">
      <c r="B1471" t="s">
        <v>587</v>
      </c>
      <c r="C1471" t="s">
        <v>306</v>
      </c>
      <c r="D1471">
        <v>3220</v>
      </c>
      <c r="E1471">
        <v>3225</v>
      </c>
      <c r="F1471">
        <v>3220</v>
      </c>
      <c r="G1471">
        <v>3220</v>
      </c>
      <c r="H1471">
        <v>4200</v>
      </c>
    </row>
    <row r="1472" spans="2:8">
      <c r="B1472" t="s">
        <v>587</v>
      </c>
      <c r="C1472" t="s">
        <v>307</v>
      </c>
      <c r="D1472">
        <v>3220</v>
      </c>
      <c r="E1472">
        <v>3220</v>
      </c>
      <c r="F1472">
        <v>3215</v>
      </c>
      <c r="G1472">
        <v>3220</v>
      </c>
      <c r="H1472">
        <v>12600</v>
      </c>
    </row>
    <row r="1473" spans="2:8">
      <c r="B1473" t="s">
        <v>587</v>
      </c>
      <c r="C1473" t="s">
        <v>308</v>
      </c>
      <c r="D1473">
        <v>3220</v>
      </c>
      <c r="E1473">
        <v>3225</v>
      </c>
      <c r="F1473">
        <v>3215</v>
      </c>
      <c r="G1473">
        <v>3225</v>
      </c>
      <c r="H1473">
        <v>40600</v>
      </c>
    </row>
    <row r="1474" spans="2:8">
      <c r="B1474" t="s">
        <v>587</v>
      </c>
      <c r="C1474" t="s">
        <v>309</v>
      </c>
      <c r="D1474">
        <v>3225</v>
      </c>
      <c r="E1474">
        <v>3225</v>
      </c>
      <c r="F1474">
        <v>3225</v>
      </c>
      <c r="G1474">
        <v>3225</v>
      </c>
      <c r="H1474">
        <v>800</v>
      </c>
    </row>
    <row r="1475" spans="2:8">
      <c r="B1475" t="s">
        <v>587</v>
      </c>
      <c r="C1475" t="s">
        <v>310</v>
      </c>
      <c r="D1475">
        <v>3225</v>
      </c>
      <c r="E1475">
        <v>3225</v>
      </c>
      <c r="F1475">
        <v>3225</v>
      </c>
      <c r="G1475">
        <v>3225</v>
      </c>
      <c r="H1475">
        <v>4700</v>
      </c>
    </row>
    <row r="1476" spans="2:8">
      <c r="B1476" t="s">
        <v>587</v>
      </c>
      <c r="C1476" t="s">
        <v>311</v>
      </c>
      <c r="D1476">
        <v>3225</v>
      </c>
      <c r="E1476">
        <v>3225</v>
      </c>
      <c r="F1476">
        <v>3225</v>
      </c>
      <c r="G1476">
        <v>3225</v>
      </c>
      <c r="H1476">
        <v>4300</v>
      </c>
    </row>
    <row r="1477" spans="2:8">
      <c r="B1477" t="s">
        <v>587</v>
      </c>
      <c r="C1477" t="s">
        <v>312</v>
      </c>
      <c r="D1477">
        <v>3225</v>
      </c>
      <c r="E1477">
        <v>3225</v>
      </c>
      <c r="F1477">
        <v>3225</v>
      </c>
      <c r="G1477">
        <v>3225</v>
      </c>
      <c r="H1477">
        <v>200</v>
      </c>
    </row>
    <row r="1478" spans="2:8">
      <c r="B1478" t="s">
        <v>587</v>
      </c>
      <c r="C1478" t="s">
        <v>313</v>
      </c>
      <c r="D1478">
        <v>3225</v>
      </c>
      <c r="E1478">
        <v>3235</v>
      </c>
      <c r="F1478">
        <v>3225</v>
      </c>
      <c r="G1478">
        <v>3230</v>
      </c>
      <c r="H1478">
        <v>31100</v>
      </c>
    </row>
    <row r="1479" spans="2:8">
      <c r="B1479" t="s">
        <v>587</v>
      </c>
      <c r="C1479" t="s">
        <v>314</v>
      </c>
      <c r="D1479">
        <v>3230</v>
      </c>
      <c r="E1479">
        <v>3230</v>
      </c>
      <c r="F1479">
        <v>3230</v>
      </c>
      <c r="G1479">
        <v>3230</v>
      </c>
      <c r="H1479">
        <v>10100</v>
      </c>
    </row>
    <row r="1480" spans="2:8">
      <c r="B1480" t="s">
        <v>587</v>
      </c>
      <c r="C1480" t="s">
        <v>315</v>
      </c>
      <c r="D1480">
        <v>3230</v>
      </c>
      <c r="E1480">
        <v>3230</v>
      </c>
      <c r="F1480">
        <v>3225</v>
      </c>
      <c r="G1480">
        <v>3225</v>
      </c>
      <c r="H1480">
        <v>2800</v>
      </c>
    </row>
    <row r="1481" spans="2:8">
      <c r="B1481" t="s">
        <v>587</v>
      </c>
      <c r="C1481" t="s">
        <v>316</v>
      </c>
      <c r="D1481">
        <v>3230</v>
      </c>
      <c r="E1481">
        <v>3230</v>
      </c>
      <c r="F1481">
        <v>3230</v>
      </c>
      <c r="G1481">
        <v>3230</v>
      </c>
      <c r="H1481">
        <v>14300</v>
      </c>
    </row>
    <row r="1482" spans="2:8">
      <c r="B1482" t="s">
        <v>587</v>
      </c>
      <c r="C1482" t="s">
        <v>317</v>
      </c>
      <c r="D1482">
        <v>3245</v>
      </c>
      <c r="E1482">
        <v>3245</v>
      </c>
      <c r="F1482">
        <v>3225</v>
      </c>
      <c r="G1482">
        <v>3225</v>
      </c>
      <c r="H1482">
        <v>113800</v>
      </c>
    </row>
    <row r="1483" spans="2:8">
      <c r="B1483" t="s">
        <v>587</v>
      </c>
      <c r="C1483" t="s">
        <v>318</v>
      </c>
      <c r="D1483">
        <v>3225</v>
      </c>
      <c r="E1483">
        <v>3225</v>
      </c>
      <c r="F1483">
        <v>3220</v>
      </c>
      <c r="G1483">
        <v>3220</v>
      </c>
      <c r="H1483">
        <v>2100</v>
      </c>
    </row>
    <row r="1484" spans="2:8">
      <c r="B1484" t="s">
        <v>587</v>
      </c>
      <c r="C1484" t="s">
        <v>319</v>
      </c>
      <c r="D1484">
        <v>3220</v>
      </c>
      <c r="E1484">
        <v>3220</v>
      </c>
      <c r="F1484">
        <v>3220</v>
      </c>
      <c r="G1484">
        <v>3220</v>
      </c>
      <c r="H1484">
        <v>1800</v>
      </c>
    </row>
    <row r="1485" spans="2:8">
      <c r="B1485" t="s">
        <v>587</v>
      </c>
      <c r="C1485" t="s">
        <v>320</v>
      </c>
      <c r="D1485">
        <v>3220</v>
      </c>
      <c r="E1485">
        <v>3220</v>
      </c>
      <c r="F1485">
        <v>3215</v>
      </c>
      <c r="G1485">
        <v>3220</v>
      </c>
      <c r="H1485">
        <v>5700</v>
      </c>
    </row>
    <row r="1486" spans="2:8">
      <c r="B1486" t="s">
        <v>587</v>
      </c>
      <c r="C1486" t="s">
        <v>321</v>
      </c>
      <c r="D1486">
        <v>3220</v>
      </c>
      <c r="E1486">
        <v>3220</v>
      </c>
      <c r="F1486">
        <v>3205</v>
      </c>
      <c r="G1486">
        <v>3210</v>
      </c>
      <c r="H1486">
        <v>27300</v>
      </c>
    </row>
    <row r="1487" spans="2:8">
      <c r="B1487" t="s">
        <v>587</v>
      </c>
      <c r="C1487" t="s">
        <v>322</v>
      </c>
      <c r="D1487">
        <v>3205</v>
      </c>
      <c r="E1487">
        <v>3205</v>
      </c>
      <c r="F1487">
        <v>3205</v>
      </c>
      <c r="G1487">
        <v>3205</v>
      </c>
      <c r="H1487">
        <v>12200</v>
      </c>
    </row>
    <row r="1488" spans="2:8">
      <c r="B1488" t="s">
        <v>587</v>
      </c>
      <c r="C1488" t="s">
        <v>323</v>
      </c>
      <c r="D1488">
        <v>3200</v>
      </c>
      <c r="E1488">
        <v>3205</v>
      </c>
      <c r="F1488">
        <v>3195</v>
      </c>
      <c r="G1488">
        <v>3200</v>
      </c>
      <c r="H1488">
        <v>27200</v>
      </c>
    </row>
    <row r="1489" spans="2:8">
      <c r="B1489" t="s">
        <v>587</v>
      </c>
      <c r="C1489" t="s">
        <v>324</v>
      </c>
      <c r="D1489">
        <v>3200</v>
      </c>
      <c r="E1489">
        <v>3205</v>
      </c>
      <c r="F1489">
        <v>3200</v>
      </c>
      <c r="G1489">
        <v>3200</v>
      </c>
      <c r="H1489">
        <v>1400</v>
      </c>
    </row>
    <row r="1490" spans="2:8">
      <c r="B1490" t="s">
        <v>587</v>
      </c>
      <c r="C1490" t="s">
        <v>325</v>
      </c>
      <c r="D1490">
        <v>3205</v>
      </c>
      <c r="E1490">
        <v>3205</v>
      </c>
      <c r="F1490">
        <v>3200</v>
      </c>
      <c r="G1490">
        <v>3200</v>
      </c>
      <c r="H1490">
        <v>17600</v>
      </c>
    </row>
    <row r="1491" spans="2:8">
      <c r="B1491" t="s">
        <v>587</v>
      </c>
      <c r="C1491" t="s">
        <v>326</v>
      </c>
      <c r="D1491">
        <v>3200</v>
      </c>
      <c r="E1491">
        <v>3200</v>
      </c>
      <c r="F1491">
        <v>3200</v>
      </c>
      <c r="G1491">
        <v>3200</v>
      </c>
      <c r="H1491">
        <v>5600</v>
      </c>
    </row>
    <row r="1492" spans="2:8">
      <c r="B1492" t="s">
        <v>587</v>
      </c>
      <c r="C1492" t="s">
        <v>327</v>
      </c>
      <c r="D1492">
        <v>3200</v>
      </c>
      <c r="E1492">
        <v>3200</v>
      </c>
      <c r="F1492">
        <v>3195</v>
      </c>
      <c r="G1492">
        <v>3195</v>
      </c>
      <c r="H1492">
        <v>12600</v>
      </c>
    </row>
    <row r="1493" spans="2:8">
      <c r="B1493" t="s">
        <v>587</v>
      </c>
      <c r="C1493" t="s">
        <v>328</v>
      </c>
      <c r="D1493">
        <v>3190</v>
      </c>
      <c r="E1493">
        <v>3195</v>
      </c>
      <c r="F1493">
        <v>3190</v>
      </c>
      <c r="G1493">
        <v>3195</v>
      </c>
      <c r="H1493">
        <v>3000</v>
      </c>
    </row>
    <row r="1494" spans="2:8">
      <c r="B1494" t="s">
        <v>587</v>
      </c>
      <c r="C1494" t="s">
        <v>329</v>
      </c>
      <c r="D1494">
        <v>3195</v>
      </c>
      <c r="E1494">
        <v>3195</v>
      </c>
      <c r="F1494">
        <v>3190</v>
      </c>
      <c r="G1494">
        <v>3195</v>
      </c>
      <c r="H1494">
        <v>3500</v>
      </c>
    </row>
    <row r="1495" spans="2:8">
      <c r="B1495" t="s">
        <v>587</v>
      </c>
      <c r="C1495" t="s">
        <v>330</v>
      </c>
      <c r="D1495">
        <v>3195</v>
      </c>
      <c r="E1495">
        <v>3195</v>
      </c>
      <c r="F1495">
        <v>3190</v>
      </c>
      <c r="G1495">
        <v>3190</v>
      </c>
      <c r="H1495">
        <v>900</v>
      </c>
    </row>
    <row r="1496" spans="2:8">
      <c r="B1496" t="s">
        <v>587</v>
      </c>
      <c r="C1496" t="s">
        <v>331</v>
      </c>
      <c r="D1496">
        <v>3195</v>
      </c>
      <c r="E1496">
        <v>3195</v>
      </c>
      <c r="F1496">
        <v>3195</v>
      </c>
      <c r="G1496">
        <v>3195</v>
      </c>
      <c r="H1496">
        <v>2000</v>
      </c>
    </row>
    <row r="1497" spans="2:8">
      <c r="B1497" t="s">
        <v>587</v>
      </c>
      <c r="C1497" t="s">
        <v>332</v>
      </c>
      <c r="D1497">
        <v>3195</v>
      </c>
      <c r="E1497">
        <v>3195</v>
      </c>
      <c r="F1497">
        <v>3195</v>
      </c>
      <c r="G1497">
        <v>3195</v>
      </c>
      <c r="H1497">
        <v>2200</v>
      </c>
    </row>
    <row r="1498" spans="2:8">
      <c r="B1498" t="s">
        <v>587</v>
      </c>
      <c r="C1498" t="s">
        <v>333</v>
      </c>
      <c r="D1498">
        <v>3195</v>
      </c>
      <c r="E1498">
        <v>3195</v>
      </c>
      <c r="F1498">
        <v>3190</v>
      </c>
      <c r="G1498">
        <v>3190</v>
      </c>
      <c r="H1498">
        <v>28000</v>
      </c>
    </row>
    <row r="1499" spans="2:8">
      <c r="B1499" t="s">
        <v>587</v>
      </c>
      <c r="C1499" t="s">
        <v>334</v>
      </c>
      <c r="D1499">
        <v>3190</v>
      </c>
      <c r="E1499">
        <v>3190</v>
      </c>
      <c r="F1499">
        <v>3185</v>
      </c>
      <c r="G1499">
        <v>3190</v>
      </c>
      <c r="H1499">
        <v>400</v>
      </c>
    </row>
    <row r="1500" spans="2:8">
      <c r="B1500" t="s">
        <v>587</v>
      </c>
      <c r="C1500" t="s">
        <v>335</v>
      </c>
      <c r="D1500">
        <v>3190</v>
      </c>
      <c r="E1500">
        <v>3190</v>
      </c>
      <c r="F1500">
        <v>3185</v>
      </c>
      <c r="G1500">
        <v>3190</v>
      </c>
      <c r="H1500">
        <v>3800</v>
      </c>
    </row>
    <row r="1501" spans="2:8">
      <c r="B1501" t="s">
        <v>587</v>
      </c>
      <c r="C1501" t="s">
        <v>336</v>
      </c>
      <c r="D1501">
        <v>3190</v>
      </c>
      <c r="E1501">
        <v>3190</v>
      </c>
      <c r="F1501">
        <v>3185</v>
      </c>
      <c r="G1501">
        <v>3190</v>
      </c>
      <c r="H1501">
        <v>4100</v>
      </c>
    </row>
    <row r="1502" spans="2:8">
      <c r="B1502" t="s">
        <v>587</v>
      </c>
      <c r="C1502" t="s">
        <v>337</v>
      </c>
      <c r="D1502">
        <v>3190</v>
      </c>
      <c r="E1502">
        <v>3190</v>
      </c>
      <c r="F1502">
        <v>3190</v>
      </c>
      <c r="G1502">
        <v>3190</v>
      </c>
      <c r="H1502">
        <v>200</v>
      </c>
    </row>
    <row r="1503" spans="2:8">
      <c r="B1503" t="s">
        <v>587</v>
      </c>
      <c r="C1503" t="s">
        <v>338</v>
      </c>
      <c r="D1503">
        <v>3190</v>
      </c>
      <c r="E1503">
        <v>3190</v>
      </c>
      <c r="F1503">
        <v>3185</v>
      </c>
      <c r="G1503">
        <v>3185</v>
      </c>
      <c r="H1503">
        <v>1600</v>
      </c>
    </row>
    <row r="1504" spans="2:8">
      <c r="B1504" t="s">
        <v>587</v>
      </c>
      <c r="C1504" t="s">
        <v>339</v>
      </c>
      <c r="D1504">
        <v>3190</v>
      </c>
      <c r="E1504">
        <v>3190</v>
      </c>
      <c r="F1504">
        <v>3190</v>
      </c>
      <c r="G1504">
        <v>3190</v>
      </c>
      <c r="H1504">
        <v>400</v>
      </c>
    </row>
    <row r="1505" spans="2:8">
      <c r="B1505" t="s">
        <v>587</v>
      </c>
      <c r="C1505" t="s">
        <v>340</v>
      </c>
      <c r="D1505">
        <v>3190</v>
      </c>
      <c r="E1505">
        <v>3190</v>
      </c>
      <c r="F1505">
        <v>3190</v>
      </c>
      <c r="G1505">
        <v>3190</v>
      </c>
      <c r="H1505">
        <v>1000</v>
      </c>
    </row>
    <row r="1506" spans="2:8">
      <c r="B1506" t="s">
        <v>587</v>
      </c>
      <c r="C1506" t="s">
        <v>341</v>
      </c>
      <c r="D1506">
        <v>3190</v>
      </c>
      <c r="E1506">
        <v>3190</v>
      </c>
      <c r="F1506">
        <v>3190</v>
      </c>
      <c r="G1506">
        <v>3190</v>
      </c>
      <c r="H1506">
        <v>500</v>
      </c>
    </row>
    <row r="1507" spans="2:8">
      <c r="B1507" t="s">
        <v>587</v>
      </c>
      <c r="C1507" t="s">
        <v>342</v>
      </c>
      <c r="D1507">
        <v>3190</v>
      </c>
      <c r="E1507">
        <v>3190</v>
      </c>
      <c r="F1507">
        <v>3190</v>
      </c>
      <c r="G1507">
        <v>3190</v>
      </c>
      <c r="H1507">
        <v>500</v>
      </c>
    </row>
    <row r="1508" spans="2:8">
      <c r="B1508" t="s">
        <v>587</v>
      </c>
      <c r="C1508" t="s">
        <v>343</v>
      </c>
      <c r="D1508">
        <v>3185</v>
      </c>
      <c r="E1508">
        <v>3185</v>
      </c>
      <c r="F1508">
        <v>3185</v>
      </c>
      <c r="G1508">
        <v>3185</v>
      </c>
      <c r="H1508">
        <v>18900</v>
      </c>
    </row>
    <row r="1509" spans="2:8">
      <c r="B1509" t="s">
        <v>587</v>
      </c>
      <c r="C1509" t="s">
        <v>344</v>
      </c>
      <c r="D1509">
        <v>3180</v>
      </c>
      <c r="E1509">
        <v>3185</v>
      </c>
      <c r="F1509">
        <v>3180</v>
      </c>
      <c r="G1509">
        <v>3185</v>
      </c>
      <c r="H1509">
        <v>4100</v>
      </c>
    </row>
    <row r="1510" spans="2:8">
      <c r="B1510" t="s">
        <v>587</v>
      </c>
      <c r="C1510" t="s">
        <v>345</v>
      </c>
      <c r="D1510">
        <v>3185</v>
      </c>
      <c r="E1510">
        <v>3190</v>
      </c>
      <c r="F1510">
        <v>3185</v>
      </c>
      <c r="G1510">
        <v>3185</v>
      </c>
      <c r="H1510">
        <v>3700</v>
      </c>
    </row>
    <row r="1511" spans="2:8">
      <c r="B1511" t="s">
        <v>587</v>
      </c>
      <c r="C1511" t="s">
        <v>346</v>
      </c>
      <c r="D1511">
        <v>3185</v>
      </c>
      <c r="E1511">
        <v>3185</v>
      </c>
      <c r="F1511">
        <v>3185</v>
      </c>
      <c r="G1511">
        <v>3185</v>
      </c>
      <c r="H1511">
        <v>1400</v>
      </c>
    </row>
    <row r="1512" spans="2:8">
      <c r="B1512" t="s">
        <v>587</v>
      </c>
      <c r="C1512" t="s">
        <v>347</v>
      </c>
      <c r="D1512">
        <v>3185</v>
      </c>
      <c r="E1512">
        <v>3185</v>
      </c>
      <c r="F1512">
        <v>3185</v>
      </c>
      <c r="G1512">
        <v>3185</v>
      </c>
      <c r="H1512">
        <v>400</v>
      </c>
    </row>
    <row r="1513" spans="2:8">
      <c r="B1513" t="s">
        <v>587</v>
      </c>
      <c r="C1513" t="s">
        <v>348</v>
      </c>
      <c r="D1513">
        <v>3185</v>
      </c>
      <c r="E1513">
        <v>3195</v>
      </c>
      <c r="F1513">
        <v>3185</v>
      </c>
      <c r="G1513">
        <v>3190</v>
      </c>
      <c r="H1513">
        <v>9900</v>
      </c>
    </row>
    <row r="1514" spans="2:8">
      <c r="B1514" t="s">
        <v>587</v>
      </c>
      <c r="C1514" t="s">
        <v>349</v>
      </c>
      <c r="D1514">
        <v>3190</v>
      </c>
      <c r="E1514">
        <v>3195</v>
      </c>
      <c r="F1514">
        <v>3190</v>
      </c>
      <c r="G1514">
        <v>3195</v>
      </c>
      <c r="H1514">
        <v>9700</v>
      </c>
    </row>
    <row r="1515" spans="2:8">
      <c r="B1515" t="s">
        <v>587</v>
      </c>
      <c r="C1515" t="s">
        <v>350</v>
      </c>
      <c r="D1515">
        <v>3195</v>
      </c>
      <c r="E1515">
        <v>3200</v>
      </c>
      <c r="F1515">
        <v>3195</v>
      </c>
      <c r="G1515">
        <v>3195</v>
      </c>
      <c r="H1515">
        <v>1800</v>
      </c>
    </row>
    <row r="1516" spans="2:8">
      <c r="B1516" t="s">
        <v>587</v>
      </c>
      <c r="C1516" t="s">
        <v>351</v>
      </c>
      <c r="D1516">
        <v>3200</v>
      </c>
      <c r="E1516">
        <v>3200</v>
      </c>
      <c r="F1516">
        <v>3195</v>
      </c>
      <c r="G1516">
        <v>3200</v>
      </c>
      <c r="H1516">
        <v>2800</v>
      </c>
    </row>
    <row r="1517" spans="2:8">
      <c r="B1517" t="s">
        <v>587</v>
      </c>
      <c r="C1517" t="s">
        <v>352</v>
      </c>
      <c r="D1517">
        <v>3200</v>
      </c>
      <c r="E1517">
        <v>3200</v>
      </c>
      <c r="F1517">
        <v>3200</v>
      </c>
      <c r="G1517">
        <v>3200</v>
      </c>
      <c r="H1517">
        <v>1800</v>
      </c>
    </row>
    <row r="1518" spans="2:8">
      <c r="B1518" t="s">
        <v>587</v>
      </c>
      <c r="C1518" t="s">
        <v>353</v>
      </c>
      <c r="D1518">
        <v>3195</v>
      </c>
      <c r="E1518">
        <v>3195</v>
      </c>
      <c r="F1518">
        <v>3195</v>
      </c>
      <c r="G1518">
        <v>3195</v>
      </c>
      <c r="H1518">
        <v>2200</v>
      </c>
    </row>
    <row r="1519" spans="2:8">
      <c r="B1519" t="s">
        <v>587</v>
      </c>
      <c r="C1519" t="s">
        <v>354</v>
      </c>
      <c r="D1519">
        <v>3195</v>
      </c>
      <c r="E1519">
        <v>3195</v>
      </c>
      <c r="F1519">
        <v>3195</v>
      </c>
      <c r="G1519">
        <v>3195</v>
      </c>
      <c r="H1519">
        <v>200</v>
      </c>
    </row>
    <row r="1520" spans="2:8">
      <c r="B1520" t="s">
        <v>587</v>
      </c>
      <c r="C1520" t="s">
        <v>355</v>
      </c>
      <c r="D1520">
        <v>3200</v>
      </c>
      <c r="E1520">
        <v>3200</v>
      </c>
      <c r="F1520">
        <v>3200</v>
      </c>
      <c r="G1520">
        <v>3200</v>
      </c>
      <c r="H1520">
        <v>7100</v>
      </c>
    </row>
    <row r="1521" spans="2:8">
      <c r="B1521" t="s">
        <v>587</v>
      </c>
      <c r="C1521" t="s">
        <v>356</v>
      </c>
      <c r="D1521">
        <v>3200</v>
      </c>
      <c r="E1521">
        <v>3200</v>
      </c>
      <c r="F1521">
        <v>3200</v>
      </c>
      <c r="G1521">
        <v>3200</v>
      </c>
      <c r="H1521">
        <v>5500</v>
      </c>
    </row>
    <row r="1522" spans="2:8">
      <c r="B1522" t="s">
        <v>587</v>
      </c>
      <c r="C1522" t="s">
        <v>357</v>
      </c>
      <c r="D1522">
        <v>3200</v>
      </c>
      <c r="E1522">
        <v>3200</v>
      </c>
      <c r="F1522">
        <v>3200</v>
      </c>
      <c r="G1522">
        <v>3200</v>
      </c>
      <c r="H1522">
        <v>4000</v>
      </c>
    </row>
    <row r="1523" spans="2:8">
      <c r="B1523" t="s">
        <v>587</v>
      </c>
      <c r="C1523" t="s">
        <v>358</v>
      </c>
      <c r="D1523">
        <v>3200</v>
      </c>
      <c r="E1523">
        <v>3205</v>
      </c>
      <c r="F1523">
        <v>3200</v>
      </c>
      <c r="G1523">
        <v>3205</v>
      </c>
      <c r="H1523">
        <v>4800</v>
      </c>
    </row>
    <row r="1524" spans="2:8">
      <c r="B1524" t="s">
        <v>587</v>
      </c>
      <c r="C1524" t="s">
        <v>359</v>
      </c>
      <c r="D1524">
        <v>3205</v>
      </c>
      <c r="E1524">
        <v>3205</v>
      </c>
      <c r="F1524">
        <v>3200</v>
      </c>
      <c r="G1524">
        <v>3205</v>
      </c>
      <c r="H1524">
        <v>500</v>
      </c>
    </row>
    <row r="1525" spans="2:8">
      <c r="B1525" t="s">
        <v>587</v>
      </c>
      <c r="C1525" t="s">
        <v>360</v>
      </c>
      <c r="D1525">
        <v>3205</v>
      </c>
      <c r="E1525">
        <v>3205</v>
      </c>
      <c r="F1525">
        <v>3205</v>
      </c>
      <c r="G1525">
        <v>3205</v>
      </c>
      <c r="H1525">
        <v>500</v>
      </c>
    </row>
    <row r="1526" spans="2:8">
      <c r="B1526" t="s">
        <v>587</v>
      </c>
      <c r="C1526" t="s">
        <v>361</v>
      </c>
      <c r="D1526">
        <v>3205</v>
      </c>
      <c r="E1526">
        <v>3205</v>
      </c>
      <c r="F1526">
        <v>3205</v>
      </c>
      <c r="G1526">
        <v>3205</v>
      </c>
      <c r="H1526">
        <v>1500</v>
      </c>
    </row>
    <row r="1527" spans="2:8">
      <c r="B1527" t="s">
        <v>587</v>
      </c>
      <c r="C1527" t="s">
        <v>362</v>
      </c>
      <c r="D1527">
        <v>3205</v>
      </c>
      <c r="E1527">
        <v>3205</v>
      </c>
      <c r="F1527">
        <v>3200</v>
      </c>
      <c r="G1527">
        <v>3205</v>
      </c>
      <c r="H1527">
        <v>3600</v>
      </c>
    </row>
    <row r="1528" spans="2:8">
      <c r="B1528" t="s">
        <v>587</v>
      </c>
      <c r="C1528" t="s">
        <v>363</v>
      </c>
      <c r="D1528">
        <v>3210</v>
      </c>
      <c r="E1528">
        <v>3210</v>
      </c>
      <c r="F1528">
        <v>3210</v>
      </c>
      <c r="G1528">
        <v>3210</v>
      </c>
      <c r="H1528">
        <v>1700</v>
      </c>
    </row>
    <row r="1529" spans="2:8">
      <c r="B1529" t="s">
        <v>587</v>
      </c>
      <c r="C1529" t="s">
        <v>364</v>
      </c>
      <c r="D1529">
        <v>3210</v>
      </c>
      <c r="E1529">
        <v>3210</v>
      </c>
      <c r="F1529">
        <v>3210</v>
      </c>
      <c r="G1529">
        <v>3210</v>
      </c>
      <c r="H1529">
        <v>700</v>
      </c>
    </row>
    <row r="1530" spans="2:8">
      <c r="B1530" t="s">
        <v>587</v>
      </c>
      <c r="C1530" t="s">
        <v>365</v>
      </c>
      <c r="D1530">
        <v>3210</v>
      </c>
      <c r="E1530">
        <v>3210</v>
      </c>
      <c r="F1530">
        <v>3205</v>
      </c>
      <c r="G1530">
        <v>3210</v>
      </c>
      <c r="H1530">
        <v>1300</v>
      </c>
    </row>
    <row r="1531" spans="2:8">
      <c r="B1531" t="s">
        <v>587</v>
      </c>
      <c r="C1531" t="s">
        <v>366</v>
      </c>
      <c r="D1531">
        <v>3210</v>
      </c>
      <c r="E1531">
        <v>3210</v>
      </c>
      <c r="F1531">
        <v>3210</v>
      </c>
      <c r="G1531">
        <v>3210</v>
      </c>
      <c r="H1531">
        <v>1800</v>
      </c>
    </row>
    <row r="1532" spans="2:8">
      <c r="B1532" t="s">
        <v>587</v>
      </c>
      <c r="C1532" t="s">
        <v>367</v>
      </c>
      <c r="D1532">
        <v>3210</v>
      </c>
      <c r="E1532">
        <v>3215</v>
      </c>
      <c r="F1532">
        <v>3210</v>
      </c>
      <c r="G1532">
        <v>3215</v>
      </c>
      <c r="H1532">
        <v>14700</v>
      </c>
    </row>
    <row r="1533" spans="2:8">
      <c r="B1533" t="s">
        <v>587</v>
      </c>
      <c r="C1533" t="s">
        <v>368</v>
      </c>
      <c r="D1533">
        <v>3215</v>
      </c>
      <c r="E1533">
        <v>3215</v>
      </c>
      <c r="F1533">
        <v>3210</v>
      </c>
      <c r="G1533">
        <v>3210</v>
      </c>
      <c r="H1533">
        <v>7500</v>
      </c>
    </row>
    <row r="1534" spans="2:8">
      <c r="B1534" t="s">
        <v>587</v>
      </c>
      <c r="C1534" t="s">
        <v>369</v>
      </c>
      <c r="D1534" t="s">
        <v>8</v>
      </c>
      <c r="E1534" t="s">
        <v>8</v>
      </c>
      <c r="F1534" t="s">
        <v>8</v>
      </c>
      <c r="G1534" t="s">
        <v>8</v>
      </c>
      <c r="H1534">
        <v>0</v>
      </c>
    </row>
    <row r="1535" spans="2:8">
      <c r="B1535" t="s">
        <v>587</v>
      </c>
      <c r="C1535" t="s">
        <v>370</v>
      </c>
      <c r="D1535">
        <v>3210</v>
      </c>
      <c r="E1535">
        <v>3215</v>
      </c>
      <c r="F1535">
        <v>3210</v>
      </c>
      <c r="G1535">
        <v>3215</v>
      </c>
      <c r="H1535">
        <v>1600</v>
      </c>
    </row>
    <row r="1536" spans="2:8">
      <c r="B1536" t="s">
        <v>587</v>
      </c>
      <c r="C1536" t="s">
        <v>371</v>
      </c>
      <c r="D1536">
        <v>3215</v>
      </c>
      <c r="E1536">
        <v>3215</v>
      </c>
      <c r="F1536">
        <v>3210</v>
      </c>
      <c r="G1536">
        <v>3210</v>
      </c>
      <c r="H1536">
        <v>1200</v>
      </c>
    </row>
    <row r="1537" spans="2:8">
      <c r="B1537" t="s">
        <v>587</v>
      </c>
      <c r="C1537" t="s">
        <v>372</v>
      </c>
      <c r="D1537">
        <v>3210</v>
      </c>
      <c r="E1537">
        <v>3215</v>
      </c>
      <c r="F1537">
        <v>3210</v>
      </c>
      <c r="G1537">
        <v>3215</v>
      </c>
      <c r="H1537">
        <v>13400</v>
      </c>
    </row>
    <row r="1538" spans="2:8">
      <c r="B1538" t="s">
        <v>587</v>
      </c>
      <c r="C1538" t="s">
        <v>373</v>
      </c>
      <c r="D1538">
        <v>3220</v>
      </c>
      <c r="E1538">
        <v>3225</v>
      </c>
      <c r="F1538">
        <v>3215</v>
      </c>
      <c r="G1538">
        <v>3225</v>
      </c>
      <c r="H1538">
        <v>19500</v>
      </c>
    </row>
    <row r="1539" spans="2:8">
      <c r="B1539" t="s">
        <v>587</v>
      </c>
      <c r="C1539" t="s">
        <v>374</v>
      </c>
      <c r="D1539">
        <v>3225</v>
      </c>
      <c r="E1539">
        <v>3225</v>
      </c>
      <c r="F1539">
        <v>3225</v>
      </c>
      <c r="G1539">
        <v>3225</v>
      </c>
      <c r="H1539">
        <v>6300</v>
      </c>
    </row>
    <row r="1540" spans="2:8">
      <c r="B1540" t="s">
        <v>587</v>
      </c>
      <c r="C1540" t="s">
        <v>375</v>
      </c>
      <c r="D1540">
        <v>3225</v>
      </c>
      <c r="E1540">
        <v>3225</v>
      </c>
      <c r="F1540">
        <v>3225</v>
      </c>
      <c r="G1540">
        <v>3225</v>
      </c>
      <c r="H1540">
        <v>14700</v>
      </c>
    </row>
    <row r="1541" spans="2:8">
      <c r="B1541" t="s">
        <v>587</v>
      </c>
      <c r="C1541" t="s">
        <v>376</v>
      </c>
      <c r="D1541">
        <v>3230</v>
      </c>
      <c r="E1541">
        <v>3230</v>
      </c>
      <c r="F1541">
        <v>3230</v>
      </c>
      <c r="G1541">
        <v>3230</v>
      </c>
      <c r="H1541">
        <v>300</v>
      </c>
    </row>
    <row r="1542" spans="2:8">
      <c r="B1542" t="s">
        <v>587</v>
      </c>
      <c r="C1542" t="s">
        <v>377</v>
      </c>
      <c r="D1542">
        <v>3225</v>
      </c>
      <c r="E1542">
        <v>3230</v>
      </c>
      <c r="F1542">
        <v>3220</v>
      </c>
      <c r="G1542">
        <v>3230</v>
      </c>
      <c r="H1542">
        <v>7600</v>
      </c>
    </row>
    <row r="1543" spans="2:8">
      <c r="B1543" t="s">
        <v>587</v>
      </c>
      <c r="C1543" t="s">
        <v>378</v>
      </c>
      <c r="D1543">
        <v>3230</v>
      </c>
      <c r="E1543">
        <v>3230</v>
      </c>
      <c r="F1543">
        <v>3230</v>
      </c>
      <c r="G1543">
        <v>3230</v>
      </c>
      <c r="H1543">
        <v>100</v>
      </c>
    </row>
    <row r="1544" spans="2:8">
      <c r="B1544" t="s">
        <v>587</v>
      </c>
      <c r="C1544" t="s">
        <v>379</v>
      </c>
      <c r="D1544">
        <v>3230</v>
      </c>
      <c r="E1544">
        <v>3230</v>
      </c>
      <c r="F1544">
        <v>3225</v>
      </c>
      <c r="G1544">
        <v>3225</v>
      </c>
      <c r="H1544">
        <v>4100</v>
      </c>
    </row>
    <row r="1545" spans="2:8">
      <c r="B1545" t="s">
        <v>587</v>
      </c>
      <c r="C1545" t="s">
        <v>380</v>
      </c>
      <c r="D1545">
        <v>3220</v>
      </c>
      <c r="E1545">
        <v>3220</v>
      </c>
      <c r="F1545">
        <v>3220</v>
      </c>
      <c r="G1545">
        <v>3220</v>
      </c>
      <c r="H1545">
        <v>2400</v>
      </c>
    </row>
    <row r="1546" spans="2:8">
      <c r="B1546" t="s">
        <v>587</v>
      </c>
      <c r="C1546" t="s">
        <v>381</v>
      </c>
      <c r="D1546">
        <v>3220</v>
      </c>
      <c r="E1546">
        <v>3220</v>
      </c>
      <c r="F1546">
        <v>3220</v>
      </c>
      <c r="G1546">
        <v>3220</v>
      </c>
      <c r="H1546">
        <v>15800</v>
      </c>
    </row>
    <row r="1547" spans="2:8">
      <c r="B1547" t="s">
        <v>587</v>
      </c>
      <c r="C1547" t="s">
        <v>382</v>
      </c>
      <c r="D1547">
        <v>3220</v>
      </c>
      <c r="E1547">
        <v>3220</v>
      </c>
      <c r="F1547">
        <v>3220</v>
      </c>
      <c r="G1547">
        <v>3220</v>
      </c>
      <c r="H1547">
        <v>1300</v>
      </c>
    </row>
    <row r="1548" spans="2:8">
      <c r="B1548" t="s">
        <v>587</v>
      </c>
      <c r="C1548" t="s">
        <v>383</v>
      </c>
      <c r="D1548">
        <v>3220</v>
      </c>
      <c r="E1548">
        <v>3225</v>
      </c>
      <c r="F1548">
        <v>3220</v>
      </c>
      <c r="G1548">
        <v>3225</v>
      </c>
      <c r="H1548">
        <v>2000</v>
      </c>
    </row>
    <row r="1549" spans="2:8">
      <c r="B1549" t="s">
        <v>587</v>
      </c>
      <c r="C1549" t="s">
        <v>384</v>
      </c>
      <c r="D1549">
        <v>3225</v>
      </c>
      <c r="E1549">
        <v>3225</v>
      </c>
      <c r="F1549">
        <v>3220</v>
      </c>
      <c r="G1549">
        <v>3225</v>
      </c>
      <c r="H1549">
        <v>1600</v>
      </c>
    </row>
    <row r="1550" spans="2:8">
      <c r="B1550" t="s">
        <v>587</v>
      </c>
      <c r="C1550" t="s">
        <v>385</v>
      </c>
      <c r="D1550">
        <v>3225</v>
      </c>
      <c r="E1550">
        <v>3225</v>
      </c>
      <c r="F1550">
        <v>3220</v>
      </c>
      <c r="G1550">
        <v>3220</v>
      </c>
      <c r="H1550">
        <v>10300</v>
      </c>
    </row>
    <row r="1551" spans="2:8">
      <c r="B1551" t="s">
        <v>587</v>
      </c>
      <c r="C1551" t="s">
        <v>386</v>
      </c>
      <c r="D1551">
        <v>3220</v>
      </c>
      <c r="E1551">
        <v>3220</v>
      </c>
      <c r="F1551">
        <v>3220</v>
      </c>
      <c r="G1551">
        <v>3220</v>
      </c>
      <c r="H1551">
        <v>9300</v>
      </c>
    </row>
    <row r="1552" spans="2:8">
      <c r="B1552" t="s">
        <v>587</v>
      </c>
      <c r="C1552" t="s">
        <v>387</v>
      </c>
      <c r="D1552">
        <v>3220</v>
      </c>
      <c r="E1552">
        <v>3220</v>
      </c>
      <c r="F1552">
        <v>3220</v>
      </c>
      <c r="G1552">
        <v>3220</v>
      </c>
      <c r="H1552">
        <v>200</v>
      </c>
    </row>
    <row r="1553" spans="2:8">
      <c r="B1553" t="s">
        <v>587</v>
      </c>
      <c r="C1553" t="s">
        <v>388</v>
      </c>
      <c r="D1553">
        <v>3220</v>
      </c>
      <c r="E1553">
        <v>3220</v>
      </c>
      <c r="F1553">
        <v>3220</v>
      </c>
      <c r="G1553">
        <v>3220</v>
      </c>
      <c r="H1553">
        <v>14500</v>
      </c>
    </row>
    <row r="1554" spans="2:8">
      <c r="B1554" t="s">
        <v>587</v>
      </c>
      <c r="C1554" t="s">
        <v>389</v>
      </c>
      <c r="D1554">
        <v>3220</v>
      </c>
      <c r="E1554">
        <v>3225</v>
      </c>
      <c r="F1554">
        <v>3220</v>
      </c>
      <c r="G1554">
        <v>3220</v>
      </c>
      <c r="H1554">
        <v>14100</v>
      </c>
    </row>
    <row r="1555" spans="2:8">
      <c r="B1555" t="s">
        <v>587</v>
      </c>
      <c r="C1555" t="s">
        <v>390</v>
      </c>
      <c r="D1555">
        <v>3225</v>
      </c>
      <c r="E1555">
        <v>3230</v>
      </c>
      <c r="F1555">
        <v>3220</v>
      </c>
      <c r="G1555">
        <v>3230</v>
      </c>
      <c r="H1555">
        <v>17000</v>
      </c>
    </row>
    <row r="1556" spans="2:8">
      <c r="B1556" t="s">
        <v>587</v>
      </c>
      <c r="C1556" t="s">
        <v>391</v>
      </c>
      <c r="D1556">
        <v>3225</v>
      </c>
      <c r="E1556">
        <v>3225</v>
      </c>
      <c r="F1556">
        <v>3220</v>
      </c>
      <c r="G1556">
        <v>3225</v>
      </c>
      <c r="H1556">
        <v>7400</v>
      </c>
    </row>
    <row r="1557" spans="2:8">
      <c r="B1557" t="s">
        <v>587</v>
      </c>
      <c r="C1557" t="s">
        <v>392</v>
      </c>
      <c r="D1557">
        <v>3225</v>
      </c>
      <c r="E1557">
        <v>3230</v>
      </c>
      <c r="F1557">
        <v>3225</v>
      </c>
      <c r="G1557">
        <v>3230</v>
      </c>
      <c r="H1557">
        <v>800</v>
      </c>
    </row>
    <row r="1558" spans="2:8">
      <c r="B1558" t="s">
        <v>587</v>
      </c>
      <c r="C1558" t="s">
        <v>393</v>
      </c>
      <c r="D1558">
        <v>3230</v>
      </c>
      <c r="E1558">
        <v>3230</v>
      </c>
      <c r="F1558">
        <v>3230</v>
      </c>
      <c r="G1558">
        <v>3230</v>
      </c>
      <c r="H1558">
        <v>8800</v>
      </c>
    </row>
    <row r="1559" spans="2:8">
      <c r="B1559" t="s">
        <v>587</v>
      </c>
      <c r="C1559" t="s">
        <v>394</v>
      </c>
      <c r="D1559">
        <v>3230</v>
      </c>
      <c r="E1559">
        <v>3230</v>
      </c>
      <c r="F1559">
        <v>3225</v>
      </c>
      <c r="G1559">
        <v>3230</v>
      </c>
      <c r="H1559">
        <v>500</v>
      </c>
    </row>
    <row r="1560" spans="2:8">
      <c r="B1560" t="s">
        <v>587</v>
      </c>
      <c r="C1560" t="s">
        <v>395</v>
      </c>
      <c r="D1560">
        <v>3230</v>
      </c>
      <c r="E1560">
        <v>3230</v>
      </c>
      <c r="F1560">
        <v>3230</v>
      </c>
      <c r="G1560">
        <v>3230</v>
      </c>
      <c r="H1560">
        <v>1300</v>
      </c>
    </row>
    <row r="1561" spans="2:8">
      <c r="B1561" t="s">
        <v>587</v>
      </c>
      <c r="C1561" t="s">
        <v>396</v>
      </c>
      <c r="D1561">
        <v>3230</v>
      </c>
      <c r="E1561">
        <v>3230</v>
      </c>
      <c r="F1561">
        <v>3225</v>
      </c>
      <c r="G1561">
        <v>3225</v>
      </c>
      <c r="H1561">
        <v>600</v>
      </c>
    </row>
    <row r="1562" spans="2:8">
      <c r="B1562" t="s">
        <v>587</v>
      </c>
      <c r="C1562" t="s">
        <v>397</v>
      </c>
      <c r="D1562">
        <v>3225</v>
      </c>
      <c r="E1562">
        <v>3225</v>
      </c>
      <c r="F1562">
        <v>3225</v>
      </c>
      <c r="G1562">
        <v>3225</v>
      </c>
      <c r="H1562">
        <v>4100</v>
      </c>
    </row>
    <row r="1563" spans="2:8">
      <c r="B1563" t="s">
        <v>587</v>
      </c>
      <c r="C1563" t="s">
        <v>398</v>
      </c>
      <c r="D1563">
        <v>3230</v>
      </c>
      <c r="E1563">
        <v>3230</v>
      </c>
      <c r="F1563">
        <v>3225</v>
      </c>
      <c r="G1563">
        <v>3225</v>
      </c>
      <c r="H1563">
        <v>400</v>
      </c>
    </row>
    <row r="1564" spans="2:8">
      <c r="B1564" t="s">
        <v>587</v>
      </c>
      <c r="C1564" t="s">
        <v>399</v>
      </c>
      <c r="D1564">
        <v>3225</v>
      </c>
      <c r="E1564">
        <v>3230</v>
      </c>
      <c r="F1564">
        <v>3220</v>
      </c>
      <c r="G1564">
        <v>3225</v>
      </c>
      <c r="H1564">
        <v>25600</v>
      </c>
    </row>
    <row r="1565" spans="2:8">
      <c r="B1565" t="s">
        <v>587</v>
      </c>
      <c r="C1565" t="s">
        <v>400</v>
      </c>
      <c r="D1565">
        <v>3230</v>
      </c>
      <c r="E1565">
        <v>3235</v>
      </c>
      <c r="F1565">
        <v>3230</v>
      </c>
      <c r="G1565">
        <v>3230</v>
      </c>
      <c r="H1565">
        <v>29800</v>
      </c>
    </row>
    <row r="1566" spans="2:8">
      <c r="B1566" t="s">
        <v>587</v>
      </c>
      <c r="C1566" t="s">
        <v>401</v>
      </c>
      <c r="D1566">
        <v>3235</v>
      </c>
      <c r="E1566">
        <v>3235</v>
      </c>
      <c r="F1566">
        <v>3230</v>
      </c>
      <c r="G1566">
        <v>3235</v>
      </c>
      <c r="H1566">
        <v>1300</v>
      </c>
    </row>
    <row r="1567" spans="2:8">
      <c r="B1567" t="s">
        <v>587</v>
      </c>
      <c r="C1567" t="s">
        <v>402</v>
      </c>
      <c r="D1567">
        <v>3235</v>
      </c>
      <c r="E1567">
        <v>3235</v>
      </c>
      <c r="F1567">
        <v>3230</v>
      </c>
      <c r="G1567">
        <v>3230</v>
      </c>
      <c r="H1567">
        <v>400</v>
      </c>
    </row>
    <row r="1568" spans="2:8">
      <c r="B1568" t="s">
        <v>587</v>
      </c>
      <c r="C1568" t="s">
        <v>403</v>
      </c>
      <c r="D1568">
        <v>3230</v>
      </c>
      <c r="E1568">
        <v>3230</v>
      </c>
      <c r="F1568">
        <v>3225</v>
      </c>
      <c r="G1568">
        <v>3230</v>
      </c>
      <c r="H1568">
        <v>12400</v>
      </c>
    </row>
    <row r="1569" spans="2:8">
      <c r="B1569" t="s">
        <v>587</v>
      </c>
      <c r="C1569" t="s">
        <v>404</v>
      </c>
      <c r="D1569">
        <v>3225</v>
      </c>
      <c r="E1569">
        <v>3230</v>
      </c>
      <c r="F1569">
        <v>3225</v>
      </c>
      <c r="G1569">
        <v>3230</v>
      </c>
      <c r="H1569">
        <v>300</v>
      </c>
    </row>
    <row r="1570" spans="2:8">
      <c r="B1570" t="s">
        <v>587</v>
      </c>
      <c r="C1570" t="s">
        <v>405</v>
      </c>
      <c r="D1570">
        <v>3225</v>
      </c>
      <c r="E1570">
        <v>3225</v>
      </c>
      <c r="F1570">
        <v>3225</v>
      </c>
      <c r="G1570">
        <v>3225</v>
      </c>
      <c r="H1570">
        <v>1000</v>
      </c>
    </row>
    <row r="1571" spans="2:8">
      <c r="B1571" t="s">
        <v>587</v>
      </c>
      <c r="C1571" t="s">
        <v>406</v>
      </c>
      <c r="D1571">
        <v>3225</v>
      </c>
      <c r="E1571">
        <v>3230</v>
      </c>
      <c r="F1571">
        <v>3225</v>
      </c>
      <c r="G1571">
        <v>3230</v>
      </c>
      <c r="H1571">
        <v>700</v>
      </c>
    </row>
    <row r="1572" spans="2:8">
      <c r="B1572" t="s">
        <v>587</v>
      </c>
      <c r="C1572" t="s">
        <v>407</v>
      </c>
      <c r="D1572">
        <v>3230</v>
      </c>
      <c r="E1572">
        <v>3230</v>
      </c>
      <c r="F1572">
        <v>3230</v>
      </c>
      <c r="G1572">
        <v>3230</v>
      </c>
      <c r="H1572">
        <v>200</v>
      </c>
    </row>
    <row r="1573" spans="2:8">
      <c r="B1573" t="s">
        <v>587</v>
      </c>
      <c r="C1573" t="s">
        <v>408</v>
      </c>
      <c r="D1573">
        <v>3230</v>
      </c>
      <c r="E1573">
        <v>3230</v>
      </c>
      <c r="F1573">
        <v>3230</v>
      </c>
      <c r="G1573">
        <v>3230</v>
      </c>
      <c r="H1573">
        <v>300</v>
      </c>
    </row>
    <row r="1574" spans="2:8">
      <c r="B1574" t="s">
        <v>587</v>
      </c>
      <c r="C1574" t="s">
        <v>409</v>
      </c>
      <c r="D1574">
        <v>3225</v>
      </c>
      <c r="E1574">
        <v>3225</v>
      </c>
      <c r="F1574">
        <v>3225</v>
      </c>
      <c r="G1574">
        <v>3225</v>
      </c>
      <c r="H1574">
        <v>400</v>
      </c>
    </row>
    <row r="1575" spans="2:8">
      <c r="B1575" t="s">
        <v>587</v>
      </c>
      <c r="C1575" t="s">
        <v>410</v>
      </c>
      <c r="D1575">
        <v>3225</v>
      </c>
      <c r="E1575">
        <v>3225</v>
      </c>
      <c r="F1575">
        <v>3225</v>
      </c>
      <c r="G1575">
        <v>3225</v>
      </c>
      <c r="H1575">
        <v>17900</v>
      </c>
    </row>
    <row r="1576" spans="2:8">
      <c r="B1576" t="s">
        <v>587</v>
      </c>
      <c r="C1576" t="s">
        <v>411</v>
      </c>
      <c r="D1576">
        <v>3225</v>
      </c>
      <c r="E1576">
        <v>3225</v>
      </c>
      <c r="F1576">
        <v>3225</v>
      </c>
      <c r="G1576">
        <v>3225</v>
      </c>
      <c r="H1576">
        <v>7500</v>
      </c>
    </row>
    <row r="1577" spans="2:8">
      <c r="B1577" t="s">
        <v>587</v>
      </c>
      <c r="C1577" t="s">
        <v>412</v>
      </c>
      <c r="D1577">
        <v>3225</v>
      </c>
      <c r="E1577">
        <v>3225</v>
      </c>
      <c r="F1577">
        <v>3225</v>
      </c>
      <c r="G1577">
        <v>3225</v>
      </c>
      <c r="H1577">
        <v>3300</v>
      </c>
    </row>
    <row r="1578" spans="2:8">
      <c r="B1578" t="s">
        <v>587</v>
      </c>
      <c r="C1578" t="s">
        <v>413</v>
      </c>
      <c r="D1578">
        <v>3220</v>
      </c>
      <c r="E1578">
        <v>3225</v>
      </c>
      <c r="F1578">
        <v>3220</v>
      </c>
      <c r="G1578">
        <v>3225</v>
      </c>
      <c r="H1578">
        <v>5100</v>
      </c>
    </row>
    <row r="1579" spans="2:8">
      <c r="B1579" t="s">
        <v>587</v>
      </c>
      <c r="C1579" t="s">
        <v>414</v>
      </c>
      <c r="D1579">
        <v>3225</v>
      </c>
      <c r="E1579">
        <v>3230</v>
      </c>
      <c r="F1579">
        <v>3220</v>
      </c>
      <c r="G1579">
        <v>3225</v>
      </c>
      <c r="H1579">
        <v>400</v>
      </c>
    </row>
    <row r="1580" spans="2:8">
      <c r="B1580" t="s">
        <v>587</v>
      </c>
      <c r="C1580" t="s">
        <v>415</v>
      </c>
      <c r="D1580">
        <v>3225</v>
      </c>
      <c r="E1580">
        <v>3225</v>
      </c>
      <c r="F1580">
        <v>3225</v>
      </c>
      <c r="G1580">
        <v>3225</v>
      </c>
      <c r="H1580">
        <v>1100</v>
      </c>
    </row>
    <row r="1581" spans="2:8">
      <c r="B1581" t="s">
        <v>587</v>
      </c>
      <c r="C1581" t="s">
        <v>416</v>
      </c>
      <c r="D1581" t="s">
        <v>8</v>
      </c>
      <c r="E1581" t="s">
        <v>8</v>
      </c>
      <c r="F1581" t="s">
        <v>8</v>
      </c>
      <c r="G1581" t="s">
        <v>8</v>
      </c>
      <c r="H1581">
        <v>0</v>
      </c>
    </row>
    <row r="1582" spans="2:8">
      <c r="B1582" t="s">
        <v>587</v>
      </c>
      <c r="C1582" t="s">
        <v>417</v>
      </c>
      <c r="D1582">
        <v>3230</v>
      </c>
      <c r="E1582">
        <v>3230</v>
      </c>
      <c r="F1582">
        <v>3225</v>
      </c>
      <c r="G1582">
        <v>3230</v>
      </c>
      <c r="H1582">
        <v>900</v>
      </c>
    </row>
    <row r="1583" spans="2:8">
      <c r="B1583" t="s">
        <v>587</v>
      </c>
      <c r="C1583" t="s">
        <v>418</v>
      </c>
      <c r="D1583">
        <v>3230</v>
      </c>
      <c r="E1583">
        <v>3230</v>
      </c>
      <c r="F1583">
        <v>3225</v>
      </c>
      <c r="G1583">
        <v>3225</v>
      </c>
      <c r="H1583">
        <v>300</v>
      </c>
    </row>
    <row r="1584" spans="2:8">
      <c r="B1584" t="s">
        <v>587</v>
      </c>
      <c r="C1584" t="s">
        <v>419</v>
      </c>
      <c r="D1584">
        <v>3225</v>
      </c>
      <c r="E1584">
        <v>3225</v>
      </c>
      <c r="F1584">
        <v>3225</v>
      </c>
      <c r="G1584">
        <v>3225</v>
      </c>
      <c r="H1584">
        <v>5700</v>
      </c>
    </row>
    <row r="1585" spans="2:8">
      <c r="B1585" t="s">
        <v>587</v>
      </c>
      <c r="C1585" t="s">
        <v>420</v>
      </c>
      <c r="D1585">
        <v>3225</v>
      </c>
      <c r="E1585">
        <v>3225</v>
      </c>
      <c r="F1585">
        <v>3225</v>
      </c>
      <c r="G1585">
        <v>3225</v>
      </c>
      <c r="H1585">
        <v>1900</v>
      </c>
    </row>
    <row r="1586" spans="2:8">
      <c r="B1586" t="s">
        <v>587</v>
      </c>
      <c r="C1586" t="s">
        <v>421</v>
      </c>
      <c r="D1586">
        <v>3225</v>
      </c>
      <c r="E1586">
        <v>3225</v>
      </c>
      <c r="F1586">
        <v>3220</v>
      </c>
      <c r="G1586">
        <v>3220</v>
      </c>
      <c r="H1586">
        <v>1000</v>
      </c>
    </row>
    <row r="1587" spans="2:8">
      <c r="B1587" t="s">
        <v>587</v>
      </c>
      <c r="C1587" t="s">
        <v>422</v>
      </c>
      <c r="D1587">
        <v>3225</v>
      </c>
      <c r="E1587">
        <v>3225</v>
      </c>
      <c r="F1587">
        <v>3220</v>
      </c>
      <c r="G1587">
        <v>3220</v>
      </c>
      <c r="H1587">
        <v>1100</v>
      </c>
    </row>
    <row r="1588" spans="2:8">
      <c r="B1588" t="s">
        <v>587</v>
      </c>
      <c r="C1588" t="s">
        <v>423</v>
      </c>
      <c r="D1588">
        <v>3220</v>
      </c>
      <c r="E1588">
        <v>3225</v>
      </c>
      <c r="F1588">
        <v>3220</v>
      </c>
      <c r="G1588">
        <v>3220</v>
      </c>
      <c r="H1588">
        <v>15100</v>
      </c>
    </row>
    <row r="1589" spans="2:8">
      <c r="B1589" t="s">
        <v>587</v>
      </c>
      <c r="C1589" t="s">
        <v>424</v>
      </c>
      <c r="D1589">
        <v>3220</v>
      </c>
      <c r="E1589">
        <v>3220</v>
      </c>
      <c r="F1589">
        <v>3215</v>
      </c>
      <c r="G1589">
        <v>3215</v>
      </c>
      <c r="H1589">
        <v>1000</v>
      </c>
    </row>
    <row r="1590" spans="2:8">
      <c r="B1590" t="s">
        <v>587</v>
      </c>
      <c r="C1590" t="s">
        <v>425</v>
      </c>
      <c r="D1590">
        <v>3215</v>
      </c>
      <c r="E1590">
        <v>3215</v>
      </c>
      <c r="F1590">
        <v>3215</v>
      </c>
      <c r="G1590">
        <v>3215</v>
      </c>
      <c r="H1590">
        <v>8500</v>
      </c>
    </row>
    <row r="1591" spans="2:8">
      <c r="B1591" t="s">
        <v>587</v>
      </c>
      <c r="C1591" t="s">
        <v>426</v>
      </c>
      <c r="D1591">
        <v>3215</v>
      </c>
      <c r="E1591">
        <v>3215</v>
      </c>
      <c r="F1591">
        <v>3215</v>
      </c>
      <c r="G1591">
        <v>3215</v>
      </c>
      <c r="H1591">
        <v>1700</v>
      </c>
    </row>
    <row r="1592" spans="2:8">
      <c r="B1592" t="s">
        <v>587</v>
      </c>
      <c r="C1592" t="s">
        <v>427</v>
      </c>
      <c r="D1592">
        <v>3215</v>
      </c>
      <c r="E1592">
        <v>3220</v>
      </c>
      <c r="F1592">
        <v>3215</v>
      </c>
      <c r="G1592">
        <v>3215</v>
      </c>
      <c r="H1592">
        <v>1400</v>
      </c>
    </row>
    <row r="1593" spans="2:8">
      <c r="B1593" t="s">
        <v>587</v>
      </c>
      <c r="C1593" t="s">
        <v>428</v>
      </c>
      <c r="D1593">
        <v>3215</v>
      </c>
      <c r="E1593">
        <v>3215</v>
      </c>
      <c r="F1593">
        <v>3215</v>
      </c>
      <c r="G1593">
        <v>3215</v>
      </c>
      <c r="H1593">
        <v>3700</v>
      </c>
    </row>
    <row r="1594" spans="2:8">
      <c r="B1594" t="s">
        <v>587</v>
      </c>
      <c r="C1594" t="s">
        <v>429</v>
      </c>
      <c r="D1594">
        <v>3210</v>
      </c>
      <c r="E1594">
        <v>3210</v>
      </c>
      <c r="F1594">
        <v>3210</v>
      </c>
      <c r="G1594">
        <v>3210</v>
      </c>
      <c r="H1594">
        <v>2200</v>
      </c>
    </row>
    <row r="1595" spans="2:8">
      <c r="B1595" t="s">
        <v>587</v>
      </c>
      <c r="C1595" t="s">
        <v>430</v>
      </c>
      <c r="D1595">
        <v>3210</v>
      </c>
      <c r="E1595">
        <v>3210</v>
      </c>
      <c r="F1595">
        <v>3210</v>
      </c>
      <c r="G1595">
        <v>3210</v>
      </c>
      <c r="H1595">
        <v>2800</v>
      </c>
    </row>
    <row r="1596" spans="2:8">
      <c r="B1596" t="s">
        <v>587</v>
      </c>
      <c r="C1596" t="s">
        <v>431</v>
      </c>
      <c r="D1596">
        <v>3210</v>
      </c>
      <c r="E1596">
        <v>3210</v>
      </c>
      <c r="F1596">
        <v>3210</v>
      </c>
      <c r="G1596">
        <v>3210</v>
      </c>
      <c r="H1596">
        <v>600</v>
      </c>
    </row>
    <row r="1597" spans="2:8">
      <c r="B1597" t="s">
        <v>587</v>
      </c>
      <c r="C1597" t="s">
        <v>9</v>
      </c>
      <c r="D1597">
        <v>3210</v>
      </c>
      <c r="E1597">
        <v>3210</v>
      </c>
      <c r="F1597">
        <v>3210</v>
      </c>
      <c r="G1597">
        <v>3210</v>
      </c>
      <c r="H1597">
        <v>500</v>
      </c>
    </row>
    <row r="1598" spans="2:8">
      <c r="B1598" t="s">
        <v>587</v>
      </c>
      <c r="C1598" t="s">
        <v>10</v>
      </c>
      <c r="D1598" t="s">
        <v>8</v>
      </c>
      <c r="E1598" t="s">
        <v>8</v>
      </c>
      <c r="F1598" t="s">
        <v>8</v>
      </c>
      <c r="G1598" t="s">
        <v>8</v>
      </c>
      <c r="H1598">
        <v>0</v>
      </c>
    </row>
    <row r="1599" spans="2:8">
      <c r="B1599" t="s">
        <v>587</v>
      </c>
      <c r="C1599" t="s">
        <v>11</v>
      </c>
      <c r="D1599">
        <v>3210</v>
      </c>
      <c r="E1599">
        <v>3210</v>
      </c>
      <c r="F1599">
        <v>3210</v>
      </c>
      <c r="G1599">
        <v>3210</v>
      </c>
      <c r="H1599">
        <v>2900</v>
      </c>
    </row>
    <row r="1600" spans="2:8">
      <c r="B1600" t="s">
        <v>587</v>
      </c>
      <c r="C1600" t="s">
        <v>12</v>
      </c>
      <c r="D1600">
        <v>3210</v>
      </c>
      <c r="E1600">
        <v>3215</v>
      </c>
      <c r="F1600">
        <v>3210</v>
      </c>
      <c r="G1600">
        <v>3215</v>
      </c>
      <c r="H1600">
        <v>10700</v>
      </c>
    </row>
    <row r="1601" spans="2:8">
      <c r="B1601" t="s">
        <v>587</v>
      </c>
      <c r="C1601" t="s">
        <v>13</v>
      </c>
      <c r="D1601">
        <v>3215</v>
      </c>
      <c r="E1601">
        <v>3215</v>
      </c>
      <c r="F1601">
        <v>3215</v>
      </c>
      <c r="G1601">
        <v>3215</v>
      </c>
      <c r="H1601">
        <v>1800</v>
      </c>
    </row>
    <row r="1602" spans="2:8">
      <c r="B1602" t="s">
        <v>587</v>
      </c>
      <c r="C1602" t="s">
        <v>14</v>
      </c>
      <c r="D1602">
        <v>3220</v>
      </c>
      <c r="E1602">
        <v>3220</v>
      </c>
      <c r="F1602">
        <v>3220</v>
      </c>
      <c r="G1602">
        <v>3220</v>
      </c>
      <c r="H1602">
        <v>700</v>
      </c>
    </row>
    <row r="1603" spans="2:8">
      <c r="B1603" t="s">
        <v>587</v>
      </c>
      <c r="C1603" t="s">
        <v>15</v>
      </c>
      <c r="D1603">
        <v>3220</v>
      </c>
      <c r="E1603">
        <v>3220</v>
      </c>
      <c r="F1603">
        <v>3215</v>
      </c>
      <c r="G1603">
        <v>3215</v>
      </c>
      <c r="H1603">
        <v>800</v>
      </c>
    </row>
    <row r="1604" spans="2:8">
      <c r="B1604" t="s">
        <v>587</v>
      </c>
      <c r="C1604" t="s">
        <v>16</v>
      </c>
      <c r="D1604">
        <v>3215</v>
      </c>
      <c r="E1604">
        <v>3225</v>
      </c>
      <c r="F1604">
        <v>3215</v>
      </c>
      <c r="G1604">
        <v>3225</v>
      </c>
      <c r="H1604">
        <v>19500</v>
      </c>
    </row>
    <row r="1605" spans="2:8">
      <c r="B1605" t="s">
        <v>587</v>
      </c>
      <c r="C1605" t="s">
        <v>17</v>
      </c>
      <c r="D1605">
        <v>3220</v>
      </c>
      <c r="E1605">
        <v>3225</v>
      </c>
      <c r="F1605">
        <v>3220</v>
      </c>
      <c r="G1605">
        <v>3225</v>
      </c>
      <c r="H1605">
        <v>8400</v>
      </c>
    </row>
    <row r="1606" spans="2:8">
      <c r="B1606" t="s">
        <v>587</v>
      </c>
      <c r="C1606" t="s">
        <v>18</v>
      </c>
      <c r="D1606">
        <v>3230</v>
      </c>
      <c r="E1606">
        <v>3230</v>
      </c>
      <c r="F1606">
        <v>3225</v>
      </c>
      <c r="G1606">
        <v>3230</v>
      </c>
      <c r="H1606">
        <v>13300</v>
      </c>
    </row>
    <row r="1607" spans="2:8">
      <c r="B1607" t="s">
        <v>587</v>
      </c>
      <c r="C1607" t="s">
        <v>19</v>
      </c>
      <c r="D1607">
        <v>3230</v>
      </c>
      <c r="E1607">
        <v>3230</v>
      </c>
      <c r="F1607">
        <v>3225</v>
      </c>
      <c r="G1607">
        <v>3225</v>
      </c>
      <c r="H1607">
        <v>300</v>
      </c>
    </row>
    <row r="1608" spans="2:8">
      <c r="B1608" t="s">
        <v>587</v>
      </c>
      <c r="C1608" t="s">
        <v>20</v>
      </c>
      <c r="D1608">
        <v>3225</v>
      </c>
      <c r="E1608">
        <v>3230</v>
      </c>
      <c r="F1608">
        <v>3225</v>
      </c>
      <c r="G1608">
        <v>3230</v>
      </c>
      <c r="H1608">
        <v>54400</v>
      </c>
    </row>
    <row r="1609" spans="2:8">
      <c r="B1609" t="s">
        <v>587</v>
      </c>
      <c r="C1609" t="s">
        <v>21</v>
      </c>
      <c r="D1609">
        <v>3230</v>
      </c>
      <c r="E1609">
        <v>3230</v>
      </c>
      <c r="F1609">
        <v>3230</v>
      </c>
      <c r="G1609">
        <v>3230</v>
      </c>
      <c r="H1609">
        <v>1000</v>
      </c>
    </row>
    <row r="1610" spans="2:8">
      <c r="B1610" t="s">
        <v>587</v>
      </c>
      <c r="C1610" t="s">
        <v>22</v>
      </c>
      <c r="D1610">
        <v>3235</v>
      </c>
      <c r="E1610">
        <v>3235</v>
      </c>
      <c r="F1610">
        <v>3230</v>
      </c>
      <c r="G1610">
        <v>3235</v>
      </c>
      <c r="H1610">
        <v>18400</v>
      </c>
    </row>
    <row r="1611" spans="2:8">
      <c r="B1611" t="s">
        <v>587</v>
      </c>
      <c r="C1611" t="s">
        <v>23</v>
      </c>
      <c r="D1611">
        <v>3235</v>
      </c>
      <c r="E1611">
        <v>3235</v>
      </c>
      <c r="F1611">
        <v>3230</v>
      </c>
      <c r="G1611">
        <v>3235</v>
      </c>
      <c r="H1611">
        <v>34600</v>
      </c>
    </row>
    <row r="1612" spans="2:8">
      <c r="B1612" t="s">
        <v>587</v>
      </c>
      <c r="C1612" t="s">
        <v>24</v>
      </c>
      <c r="D1612">
        <v>3235</v>
      </c>
      <c r="E1612">
        <v>3240</v>
      </c>
      <c r="F1612">
        <v>3235</v>
      </c>
      <c r="G1612">
        <v>3235</v>
      </c>
      <c r="H1612">
        <v>1700</v>
      </c>
    </row>
    <row r="1613" spans="2:8">
      <c r="B1613" t="s">
        <v>587</v>
      </c>
      <c r="C1613" t="s">
        <v>25</v>
      </c>
      <c r="D1613">
        <v>3235</v>
      </c>
      <c r="E1613">
        <v>3235</v>
      </c>
      <c r="F1613">
        <v>3235</v>
      </c>
      <c r="G1613">
        <v>3235</v>
      </c>
      <c r="H1613">
        <v>2000</v>
      </c>
    </row>
    <row r="1614" spans="2:8">
      <c r="B1614" t="s">
        <v>587</v>
      </c>
      <c r="C1614" t="s">
        <v>26</v>
      </c>
      <c r="D1614">
        <v>3240</v>
      </c>
      <c r="E1614">
        <v>3240</v>
      </c>
      <c r="F1614">
        <v>3235</v>
      </c>
      <c r="G1614">
        <v>3235</v>
      </c>
      <c r="H1614">
        <v>2400</v>
      </c>
    </row>
    <row r="1615" spans="2:8">
      <c r="B1615" t="s">
        <v>587</v>
      </c>
      <c r="C1615" t="s">
        <v>27</v>
      </c>
      <c r="D1615">
        <v>3240</v>
      </c>
      <c r="E1615">
        <v>3240</v>
      </c>
      <c r="F1615">
        <v>3235</v>
      </c>
      <c r="G1615">
        <v>3235</v>
      </c>
      <c r="H1615">
        <v>800</v>
      </c>
    </row>
    <row r="1616" spans="2:8">
      <c r="B1616" t="s">
        <v>587</v>
      </c>
      <c r="C1616" t="s">
        <v>28</v>
      </c>
      <c r="D1616">
        <v>3240</v>
      </c>
      <c r="E1616">
        <v>3240</v>
      </c>
      <c r="F1616">
        <v>3235</v>
      </c>
      <c r="G1616">
        <v>3235</v>
      </c>
      <c r="H1616">
        <v>700</v>
      </c>
    </row>
    <row r="1617" spans="2:8">
      <c r="B1617" t="s">
        <v>587</v>
      </c>
      <c r="C1617" t="s">
        <v>29</v>
      </c>
      <c r="D1617">
        <v>3235</v>
      </c>
      <c r="E1617">
        <v>3235</v>
      </c>
      <c r="F1617">
        <v>3235</v>
      </c>
      <c r="G1617">
        <v>3235</v>
      </c>
      <c r="H1617">
        <v>1600</v>
      </c>
    </row>
    <row r="1618" spans="2:8">
      <c r="B1618" t="s">
        <v>587</v>
      </c>
      <c r="C1618" t="s">
        <v>30</v>
      </c>
      <c r="D1618">
        <v>3235</v>
      </c>
      <c r="E1618">
        <v>3235</v>
      </c>
      <c r="F1618">
        <v>3235</v>
      </c>
      <c r="G1618">
        <v>3235</v>
      </c>
      <c r="H1618">
        <v>900</v>
      </c>
    </row>
    <row r="1619" spans="2:8">
      <c r="B1619" t="s">
        <v>587</v>
      </c>
      <c r="C1619" t="s">
        <v>31</v>
      </c>
      <c r="D1619">
        <v>3235</v>
      </c>
      <c r="E1619">
        <v>3240</v>
      </c>
      <c r="F1619">
        <v>3235</v>
      </c>
      <c r="G1619">
        <v>3235</v>
      </c>
      <c r="H1619">
        <v>400</v>
      </c>
    </row>
    <row r="1620" spans="2:8">
      <c r="B1620" t="s">
        <v>587</v>
      </c>
      <c r="C1620" t="s">
        <v>32</v>
      </c>
      <c r="D1620">
        <v>3235</v>
      </c>
      <c r="E1620">
        <v>3235</v>
      </c>
      <c r="F1620">
        <v>3235</v>
      </c>
      <c r="G1620">
        <v>3235</v>
      </c>
      <c r="H1620">
        <v>3300</v>
      </c>
    </row>
    <row r="1621" spans="2:8">
      <c r="B1621" t="s">
        <v>587</v>
      </c>
      <c r="C1621" t="s">
        <v>33</v>
      </c>
      <c r="D1621">
        <v>3235</v>
      </c>
      <c r="E1621">
        <v>3235</v>
      </c>
      <c r="F1621">
        <v>3235</v>
      </c>
      <c r="G1621">
        <v>3235</v>
      </c>
      <c r="H1621">
        <v>12800</v>
      </c>
    </row>
    <row r="1622" spans="2:8">
      <c r="B1622" t="s">
        <v>587</v>
      </c>
      <c r="C1622" t="s">
        <v>34</v>
      </c>
      <c r="D1622">
        <v>3230</v>
      </c>
      <c r="E1622">
        <v>3235</v>
      </c>
      <c r="F1622">
        <v>3225</v>
      </c>
      <c r="G1622">
        <v>3225</v>
      </c>
      <c r="H1622">
        <v>21000</v>
      </c>
    </row>
    <row r="1623" spans="2:8">
      <c r="B1623" t="s">
        <v>587</v>
      </c>
      <c r="C1623" t="s">
        <v>35</v>
      </c>
      <c r="D1623">
        <v>3225</v>
      </c>
      <c r="E1623">
        <v>3225</v>
      </c>
      <c r="F1623">
        <v>3220</v>
      </c>
      <c r="G1623">
        <v>3220</v>
      </c>
      <c r="H1623">
        <v>16500</v>
      </c>
    </row>
    <row r="1624" spans="2:8">
      <c r="B1624" t="s">
        <v>587</v>
      </c>
      <c r="C1624" t="s">
        <v>36</v>
      </c>
      <c r="D1624">
        <v>3225</v>
      </c>
      <c r="E1624">
        <v>3230</v>
      </c>
      <c r="F1624">
        <v>3220</v>
      </c>
      <c r="G1624">
        <v>3225</v>
      </c>
      <c r="H1624">
        <v>22300</v>
      </c>
    </row>
    <row r="1625" spans="2:8">
      <c r="B1625" t="s">
        <v>587</v>
      </c>
      <c r="C1625" t="s">
        <v>37</v>
      </c>
      <c r="D1625">
        <v>3230</v>
      </c>
      <c r="E1625">
        <v>3230</v>
      </c>
      <c r="F1625">
        <v>3225</v>
      </c>
      <c r="G1625">
        <v>3225</v>
      </c>
      <c r="H1625">
        <v>2200</v>
      </c>
    </row>
    <row r="1626" spans="2:8">
      <c r="B1626" t="s">
        <v>587</v>
      </c>
      <c r="C1626" t="s">
        <v>38</v>
      </c>
      <c r="D1626">
        <v>3230</v>
      </c>
      <c r="E1626">
        <v>3230</v>
      </c>
      <c r="F1626">
        <v>3225</v>
      </c>
      <c r="G1626">
        <v>3230</v>
      </c>
      <c r="H1626">
        <v>300</v>
      </c>
    </row>
    <row r="1627" spans="2:8">
      <c r="B1627" t="s">
        <v>587</v>
      </c>
      <c r="C1627" t="s">
        <v>39</v>
      </c>
      <c r="D1627">
        <v>3230</v>
      </c>
      <c r="E1627">
        <v>3230</v>
      </c>
      <c r="F1627">
        <v>3230</v>
      </c>
      <c r="G1627">
        <v>3230</v>
      </c>
      <c r="H1627">
        <v>900</v>
      </c>
    </row>
    <row r="1628" spans="2:8">
      <c r="B1628" t="s">
        <v>587</v>
      </c>
      <c r="C1628" t="s">
        <v>40</v>
      </c>
      <c r="D1628">
        <v>3230</v>
      </c>
      <c r="E1628">
        <v>3230</v>
      </c>
      <c r="F1628">
        <v>3225</v>
      </c>
      <c r="G1628">
        <v>3225</v>
      </c>
      <c r="H1628">
        <v>900</v>
      </c>
    </row>
    <row r="1629" spans="2:8">
      <c r="B1629" t="s">
        <v>587</v>
      </c>
      <c r="C1629" t="s">
        <v>41</v>
      </c>
      <c r="D1629">
        <v>3225</v>
      </c>
      <c r="E1629">
        <v>3230</v>
      </c>
      <c r="F1629">
        <v>3225</v>
      </c>
      <c r="G1629">
        <v>3225</v>
      </c>
      <c r="H1629">
        <v>2200</v>
      </c>
    </row>
    <row r="1630" spans="2:8">
      <c r="B1630" t="s">
        <v>587</v>
      </c>
      <c r="C1630" t="s">
        <v>42</v>
      </c>
      <c r="D1630">
        <v>3225</v>
      </c>
      <c r="E1630">
        <v>3225</v>
      </c>
      <c r="F1630">
        <v>3220</v>
      </c>
      <c r="G1630">
        <v>3220</v>
      </c>
      <c r="H1630">
        <v>21000</v>
      </c>
    </row>
    <row r="1631" spans="2:8">
      <c r="B1631" t="s">
        <v>587</v>
      </c>
      <c r="C1631" t="s">
        <v>43</v>
      </c>
      <c r="D1631">
        <v>3220</v>
      </c>
      <c r="E1631">
        <v>3225</v>
      </c>
      <c r="F1631">
        <v>3220</v>
      </c>
      <c r="G1631">
        <v>3220</v>
      </c>
      <c r="H1631">
        <v>24100</v>
      </c>
    </row>
    <row r="1632" spans="2:8">
      <c r="B1632" t="s">
        <v>587</v>
      </c>
      <c r="C1632" t="s">
        <v>44</v>
      </c>
      <c r="D1632">
        <v>3220</v>
      </c>
      <c r="E1632">
        <v>3225</v>
      </c>
      <c r="F1632">
        <v>3220</v>
      </c>
      <c r="G1632">
        <v>3220</v>
      </c>
      <c r="H1632">
        <v>4400</v>
      </c>
    </row>
    <row r="1633" spans="2:8">
      <c r="B1633" t="s">
        <v>587</v>
      </c>
      <c r="C1633" t="s">
        <v>45</v>
      </c>
      <c r="D1633">
        <v>3220</v>
      </c>
      <c r="E1633">
        <v>3220</v>
      </c>
      <c r="F1633">
        <v>3220</v>
      </c>
      <c r="G1633">
        <v>3220</v>
      </c>
      <c r="H1633">
        <v>2400</v>
      </c>
    </row>
    <row r="1634" spans="2:8">
      <c r="B1634" t="s">
        <v>587</v>
      </c>
      <c r="C1634" t="s">
        <v>46</v>
      </c>
      <c r="D1634">
        <v>3220</v>
      </c>
      <c r="E1634">
        <v>3220</v>
      </c>
      <c r="F1634">
        <v>3220</v>
      </c>
      <c r="G1634">
        <v>3220</v>
      </c>
      <c r="H1634">
        <v>200</v>
      </c>
    </row>
    <row r="1635" spans="2:8">
      <c r="B1635" t="s">
        <v>587</v>
      </c>
      <c r="C1635" t="s">
        <v>47</v>
      </c>
      <c r="D1635">
        <v>3215</v>
      </c>
      <c r="E1635">
        <v>3215</v>
      </c>
      <c r="F1635">
        <v>3210</v>
      </c>
      <c r="G1635">
        <v>3210</v>
      </c>
      <c r="H1635">
        <v>22700</v>
      </c>
    </row>
    <row r="1636" spans="2:8">
      <c r="B1636" t="s">
        <v>587</v>
      </c>
      <c r="C1636" t="s">
        <v>48</v>
      </c>
      <c r="D1636">
        <v>3215</v>
      </c>
      <c r="E1636">
        <v>3215</v>
      </c>
      <c r="F1636">
        <v>3210</v>
      </c>
      <c r="G1636">
        <v>3210</v>
      </c>
      <c r="H1636">
        <v>7600</v>
      </c>
    </row>
    <row r="1637" spans="2:8">
      <c r="B1637" t="s">
        <v>587</v>
      </c>
      <c r="C1637" t="s">
        <v>49</v>
      </c>
      <c r="D1637">
        <v>3210</v>
      </c>
      <c r="E1637">
        <v>3210</v>
      </c>
      <c r="F1637">
        <v>3210</v>
      </c>
      <c r="G1637">
        <v>3210</v>
      </c>
      <c r="H1637">
        <v>1800</v>
      </c>
    </row>
    <row r="1638" spans="2:8">
      <c r="B1638" t="s">
        <v>587</v>
      </c>
      <c r="C1638" t="s">
        <v>50</v>
      </c>
      <c r="D1638">
        <v>3210</v>
      </c>
      <c r="E1638">
        <v>3210</v>
      </c>
      <c r="F1638">
        <v>3210</v>
      </c>
      <c r="G1638">
        <v>3210</v>
      </c>
      <c r="H1638">
        <v>1000</v>
      </c>
    </row>
    <row r="1639" spans="2:8">
      <c r="B1639" t="s">
        <v>587</v>
      </c>
      <c r="C1639" t="s">
        <v>51</v>
      </c>
      <c r="D1639">
        <v>3210</v>
      </c>
      <c r="E1639">
        <v>3215</v>
      </c>
      <c r="F1639">
        <v>3210</v>
      </c>
      <c r="G1639">
        <v>3215</v>
      </c>
      <c r="H1639">
        <v>300</v>
      </c>
    </row>
    <row r="1640" spans="2:8">
      <c r="B1640" t="s">
        <v>587</v>
      </c>
      <c r="C1640" t="s">
        <v>52</v>
      </c>
      <c r="D1640">
        <v>3215</v>
      </c>
      <c r="E1640">
        <v>3215</v>
      </c>
      <c r="F1640">
        <v>3210</v>
      </c>
      <c r="G1640">
        <v>3210</v>
      </c>
      <c r="H1640">
        <v>400</v>
      </c>
    </row>
    <row r="1641" spans="2:8">
      <c r="B1641" t="s">
        <v>587</v>
      </c>
      <c r="C1641" t="s">
        <v>53</v>
      </c>
      <c r="D1641">
        <v>3215</v>
      </c>
      <c r="E1641">
        <v>3215</v>
      </c>
      <c r="F1641">
        <v>3215</v>
      </c>
      <c r="G1641">
        <v>3215</v>
      </c>
      <c r="H1641">
        <v>4200</v>
      </c>
    </row>
    <row r="1642" spans="2:8">
      <c r="B1642" t="s">
        <v>587</v>
      </c>
      <c r="C1642" t="s">
        <v>54</v>
      </c>
      <c r="D1642">
        <v>3215</v>
      </c>
      <c r="E1642">
        <v>3215</v>
      </c>
      <c r="F1642">
        <v>3215</v>
      </c>
      <c r="G1642">
        <v>3215</v>
      </c>
      <c r="H1642">
        <v>3200</v>
      </c>
    </row>
    <row r="1643" spans="2:8">
      <c r="B1643" t="s">
        <v>587</v>
      </c>
      <c r="C1643" t="s">
        <v>55</v>
      </c>
      <c r="D1643">
        <v>3215</v>
      </c>
      <c r="E1643">
        <v>3215</v>
      </c>
      <c r="F1643">
        <v>3215</v>
      </c>
      <c r="G1643">
        <v>3215</v>
      </c>
      <c r="H1643">
        <v>16500</v>
      </c>
    </row>
    <row r="1644" spans="2:8">
      <c r="B1644" t="s">
        <v>587</v>
      </c>
      <c r="C1644" t="s">
        <v>56</v>
      </c>
      <c r="D1644">
        <v>3215</v>
      </c>
      <c r="E1644">
        <v>3215</v>
      </c>
      <c r="F1644">
        <v>3215</v>
      </c>
      <c r="G1644">
        <v>3215</v>
      </c>
      <c r="H1644">
        <v>400</v>
      </c>
    </row>
    <row r="1645" spans="2:8">
      <c r="B1645" t="s">
        <v>587</v>
      </c>
      <c r="C1645" t="s">
        <v>57</v>
      </c>
      <c r="D1645">
        <v>3215</v>
      </c>
      <c r="E1645">
        <v>3215</v>
      </c>
      <c r="F1645">
        <v>3215</v>
      </c>
      <c r="G1645">
        <v>3215</v>
      </c>
      <c r="H1645">
        <v>200</v>
      </c>
    </row>
    <row r="1646" spans="2:8">
      <c r="B1646" t="s">
        <v>587</v>
      </c>
      <c r="C1646" t="s">
        <v>58</v>
      </c>
      <c r="D1646">
        <v>3215</v>
      </c>
      <c r="E1646">
        <v>3215</v>
      </c>
      <c r="F1646">
        <v>3215</v>
      </c>
      <c r="G1646">
        <v>3215</v>
      </c>
      <c r="H1646">
        <v>12000</v>
      </c>
    </row>
    <row r="1647" spans="2:8">
      <c r="B1647" t="s">
        <v>587</v>
      </c>
      <c r="C1647" t="s">
        <v>59</v>
      </c>
      <c r="D1647">
        <v>3210</v>
      </c>
      <c r="E1647">
        <v>3215</v>
      </c>
      <c r="F1647">
        <v>3210</v>
      </c>
      <c r="G1647">
        <v>3210</v>
      </c>
      <c r="H1647">
        <v>15200</v>
      </c>
    </row>
    <row r="1648" spans="2:8">
      <c r="B1648" t="s">
        <v>587</v>
      </c>
      <c r="C1648" t="s">
        <v>60</v>
      </c>
      <c r="D1648">
        <v>3215</v>
      </c>
      <c r="E1648">
        <v>3215</v>
      </c>
      <c r="F1648">
        <v>3205</v>
      </c>
      <c r="G1648">
        <v>3205</v>
      </c>
      <c r="H1648">
        <v>25300</v>
      </c>
    </row>
    <row r="1649" spans="1:8">
      <c r="B1649" t="s">
        <v>587</v>
      </c>
      <c r="C1649" t="s">
        <v>61</v>
      </c>
      <c r="D1649">
        <v>3205</v>
      </c>
      <c r="E1649">
        <v>3210</v>
      </c>
      <c r="F1649">
        <v>3205</v>
      </c>
      <c r="G1649">
        <v>3205</v>
      </c>
      <c r="H1649">
        <v>900</v>
      </c>
    </row>
    <row r="1650" spans="1:8">
      <c r="B1650" t="s">
        <v>587</v>
      </c>
      <c r="C1650" t="s">
        <v>62</v>
      </c>
      <c r="D1650">
        <v>3210</v>
      </c>
      <c r="E1650">
        <v>3210</v>
      </c>
      <c r="F1650">
        <v>3205</v>
      </c>
      <c r="G1650">
        <v>3210</v>
      </c>
      <c r="H1650">
        <v>1500</v>
      </c>
    </row>
    <row r="1651" spans="1:8">
      <c r="B1651" t="s">
        <v>587</v>
      </c>
      <c r="C1651" t="s">
        <v>63</v>
      </c>
      <c r="D1651">
        <v>3210</v>
      </c>
      <c r="E1651">
        <v>3210</v>
      </c>
      <c r="F1651">
        <v>3205</v>
      </c>
      <c r="G1651">
        <v>3210</v>
      </c>
      <c r="H1651">
        <v>12900</v>
      </c>
    </row>
    <row r="1652" spans="1:8">
      <c r="B1652" t="s">
        <v>587</v>
      </c>
      <c r="C1652" t="s">
        <v>64</v>
      </c>
      <c r="D1652">
        <v>3205</v>
      </c>
      <c r="E1652">
        <v>3210</v>
      </c>
      <c r="F1652">
        <v>3205</v>
      </c>
      <c r="G1652">
        <v>3205</v>
      </c>
      <c r="H1652">
        <v>600</v>
      </c>
    </row>
    <row r="1653" spans="1:8">
      <c r="B1653" t="s">
        <v>587</v>
      </c>
      <c r="C1653" t="s">
        <v>65</v>
      </c>
      <c r="D1653">
        <v>3210</v>
      </c>
      <c r="E1653">
        <v>3210</v>
      </c>
      <c r="F1653">
        <v>3205</v>
      </c>
      <c r="G1653">
        <v>3205</v>
      </c>
      <c r="H1653">
        <v>1800</v>
      </c>
    </row>
    <row r="1654" spans="1:8">
      <c r="B1654" t="s">
        <v>587</v>
      </c>
      <c r="C1654" t="s">
        <v>66</v>
      </c>
      <c r="D1654">
        <v>3205</v>
      </c>
      <c r="E1654">
        <v>3210</v>
      </c>
      <c r="F1654">
        <v>3205</v>
      </c>
      <c r="G1654">
        <v>3210</v>
      </c>
      <c r="H1654">
        <v>3000</v>
      </c>
    </row>
    <row r="1655" spans="1:8">
      <c r="B1655" t="s">
        <v>587</v>
      </c>
      <c r="C1655" t="s">
        <v>164</v>
      </c>
      <c r="D1655">
        <v>3205</v>
      </c>
      <c r="E1655">
        <v>3215</v>
      </c>
      <c r="F1655">
        <v>3205</v>
      </c>
      <c r="G1655">
        <v>3210</v>
      </c>
      <c r="H1655">
        <v>14700</v>
      </c>
    </row>
    <row r="1656" spans="1:8">
      <c r="B1656" t="s">
        <v>587</v>
      </c>
      <c r="C1656" t="s">
        <v>165</v>
      </c>
      <c r="D1656">
        <v>3210</v>
      </c>
      <c r="E1656">
        <v>3210</v>
      </c>
      <c r="F1656">
        <v>3205</v>
      </c>
      <c r="G1656">
        <v>3205</v>
      </c>
      <c r="H1656">
        <v>5800</v>
      </c>
    </row>
    <row r="1657" spans="1:8">
      <c r="B1657" t="s">
        <v>587</v>
      </c>
      <c r="C1657" t="s">
        <v>67</v>
      </c>
      <c r="D1657" t="s">
        <v>8</v>
      </c>
      <c r="E1657" t="s">
        <v>8</v>
      </c>
      <c r="F1657" t="s">
        <v>8</v>
      </c>
      <c r="G1657" t="s">
        <v>8</v>
      </c>
      <c r="H1657">
        <v>0</v>
      </c>
    </row>
    <row r="1658" spans="1:8">
      <c r="B1658" t="s">
        <v>587</v>
      </c>
      <c r="C1658" t="s">
        <v>68</v>
      </c>
      <c r="D1658" t="s">
        <v>8</v>
      </c>
      <c r="E1658" t="s">
        <v>8</v>
      </c>
      <c r="F1658" t="s">
        <v>8</v>
      </c>
      <c r="G1658" t="s">
        <v>8</v>
      </c>
      <c r="H1658">
        <v>0</v>
      </c>
    </row>
    <row r="1659" spans="1:8">
      <c r="B1659" t="s">
        <v>587</v>
      </c>
      <c r="C1659" t="s">
        <v>69</v>
      </c>
      <c r="D1659" t="s">
        <v>8</v>
      </c>
      <c r="E1659" t="s">
        <v>8</v>
      </c>
      <c r="F1659" t="s">
        <v>8</v>
      </c>
      <c r="G1659" t="s">
        <v>8</v>
      </c>
      <c r="H1659">
        <v>0</v>
      </c>
    </row>
    <row r="1660" spans="1:8">
      <c r="B1660" t="s">
        <v>587</v>
      </c>
      <c r="C1660" t="s">
        <v>70</v>
      </c>
      <c r="D1660" t="s">
        <v>8</v>
      </c>
      <c r="E1660" t="s">
        <v>8</v>
      </c>
      <c r="F1660" t="s">
        <v>8</v>
      </c>
      <c r="G1660" t="s">
        <v>8</v>
      </c>
      <c r="H1660">
        <v>0</v>
      </c>
    </row>
    <row r="1661" spans="1:8">
      <c r="B1661" t="s">
        <v>587</v>
      </c>
      <c r="C1661" t="s">
        <v>71</v>
      </c>
      <c r="D1661" t="s">
        <v>8</v>
      </c>
      <c r="E1661" t="s">
        <v>8</v>
      </c>
      <c r="F1661" t="s">
        <v>8</v>
      </c>
      <c r="G1661" t="s">
        <v>8</v>
      </c>
      <c r="H1661">
        <v>0</v>
      </c>
    </row>
    <row r="1662" spans="1:8">
      <c r="B1662" t="s">
        <v>587</v>
      </c>
      <c r="C1662" t="s">
        <v>72</v>
      </c>
      <c r="D1662">
        <v>3215</v>
      </c>
      <c r="E1662">
        <v>3215</v>
      </c>
      <c r="F1662">
        <v>3215</v>
      </c>
      <c r="G1662">
        <v>3215</v>
      </c>
      <c r="H1662">
        <v>165900</v>
      </c>
    </row>
    <row r="1663" spans="1:8">
      <c r="A1663" s="1" t="s">
        <v>588</v>
      </c>
      <c r="B1663" s="1" t="s">
        <v>588</v>
      </c>
      <c r="C1663" s="1" t="s">
        <v>588</v>
      </c>
      <c r="D1663" s="1" t="s">
        <v>588</v>
      </c>
      <c r="E1663" s="1" t="s">
        <v>588</v>
      </c>
      <c r="F1663" s="1" t="s">
        <v>588</v>
      </c>
      <c r="G1663" s="1" t="s">
        <v>588</v>
      </c>
      <c r="H1663" s="1" t="s">
        <v>588</v>
      </c>
    </row>
    <row r="1664" spans="1:8">
      <c r="A1664" s="1"/>
      <c r="B1664" s="1" t="s">
        <v>586</v>
      </c>
      <c r="C1664" s="1" t="s">
        <v>444</v>
      </c>
      <c r="D1664" s="1">
        <v>3180</v>
      </c>
      <c r="E1664" s="1">
        <v>3185</v>
      </c>
      <c r="F1664" s="1">
        <v>3180</v>
      </c>
      <c r="G1664" s="1">
        <v>3180</v>
      </c>
      <c r="H1664" s="1">
        <v>9700</v>
      </c>
    </row>
    <row r="1665" spans="1:8">
      <c r="A1665" s="1"/>
      <c r="B1665" s="1" t="s">
        <v>586</v>
      </c>
      <c r="C1665" s="1" t="s">
        <v>445</v>
      </c>
      <c r="D1665" s="1">
        <v>3180</v>
      </c>
      <c r="E1665" s="1">
        <v>3185</v>
      </c>
      <c r="F1665" s="1">
        <v>3170</v>
      </c>
      <c r="G1665" s="1">
        <v>3185</v>
      </c>
      <c r="H1665" s="1">
        <v>43400</v>
      </c>
    </row>
    <row r="1666" spans="1:8">
      <c r="A1666" s="1"/>
      <c r="B1666" s="1" t="s">
        <v>586</v>
      </c>
      <c r="C1666" s="1" t="s">
        <v>446</v>
      </c>
      <c r="D1666" s="1">
        <v>3185</v>
      </c>
      <c r="E1666" s="1">
        <v>3185</v>
      </c>
      <c r="F1666" s="1">
        <v>3180</v>
      </c>
      <c r="G1666" s="1">
        <v>3185</v>
      </c>
      <c r="H1666" s="1">
        <v>3400</v>
      </c>
    </row>
    <row r="1667" spans="1:8">
      <c r="A1667" s="1"/>
      <c r="B1667" s="1" t="s">
        <v>586</v>
      </c>
      <c r="C1667" s="1" t="s">
        <v>447</v>
      </c>
      <c r="D1667" s="1">
        <v>3185</v>
      </c>
      <c r="E1667" s="1">
        <v>3195</v>
      </c>
      <c r="F1667" s="1">
        <v>3185</v>
      </c>
      <c r="G1667" s="1">
        <v>3190</v>
      </c>
      <c r="H1667" s="1">
        <v>19900</v>
      </c>
    </row>
    <row r="1668" spans="1:8">
      <c r="A1668" s="1"/>
      <c r="B1668" s="1" t="s">
        <v>586</v>
      </c>
      <c r="C1668" s="1" t="s">
        <v>448</v>
      </c>
      <c r="D1668" s="1">
        <v>3190</v>
      </c>
      <c r="E1668" s="1">
        <v>3195</v>
      </c>
      <c r="F1668" s="1">
        <v>3190</v>
      </c>
      <c r="G1668" s="1">
        <v>3195</v>
      </c>
      <c r="H1668" s="1">
        <v>3500</v>
      </c>
    </row>
    <row r="1669" spans="1:8">
      <c r="A1669" s="1"/>
      <c r="B1669" s="1" t="s">
        <v>586</v>
      </c>
      <c r="C1669" s="1" t="s">
        <v>449</v>
      </c>
      <c r="D1669" s="1">
        <v>3195</v>
      </c>
      <c r="E1669" s="1">
        <v>3195</v>
      </c>
      <c r="F1669" s="1">
        <v>3190</v>
      </c>
      <c r="G1669" s="1">
        <v>3190</v>
      </c>
      <c r="H1669" s="1">
        <v>16000</v>
      </c>
    </row>
    <row r="1670" spans="1:8">
      <c r="A1670" s="1"/>
      <c r="B1670" s="1" t="s">
        <v>586</v>
      </c>
      <c r="C1670" s="1" t="s">
        <v>450</v>
      </c>
      <c r="D1670" s="1">
        <v>3185</v>
      </c>
      <c r="E1670" s="1">
        <v>3185</v>
      </c>
      <c r="F1670" s="1">
        <v>3180</v>
      </c>
      <c r="G1670" s="1">
        <v>3180</v>
      </c>
      <c r="H1670" s="1">
        <v>8300</v>
      </c>
    </row>
    <row r="1671" spans="1:8">
      <c r="A1671" s="1"/>
      <c r="B1671" s="1" t="s">
        <v>586</v>
      </c>
      <c r="C1671" s="1" t="s">
        <v>451</v>
      </c>
      <c r="D1671" s="1">
        <v>3175</v>
      </c>
      <c r="E1671" s="1">
        <v>3180</v>
      </c>
      <c r="F1671" s="1">
        <v>3165</v>
      </c>
      <c r="G1671" s="1">
        <v>3175</v>
      </c>
      <c r="H1671" s="1">
        <v>79600</v>
      </c>
    </row>
    <row r="1672" spans="1:8">
      <c r="A1672" s="1"/>
      <c r="B1672" s="1" t="s">
        <v>586</v>
      </c>
      <c r="C1672" s="1" t="s">
        <v>452</v>
      </c>
      <c r="D1672" s="1">
        <v>3175</v>
      </c>
      <c r="E1672" s="1">
        <v>3180</v>
      </c>
      <c r="F1672" s="1">
        <v>3175</v>
      </c>
      <c r="G1672" s="1">
        <v>3180</v>
      </c>
      <c r="H1672" s="1">
        <v>9900</v>
      </c>
    </row>
    <row r="1673" spans="1:8">
      <c r="A1673" s="1"/>
      <c r="B1673" s="1" t="s">
        <v>586</v>
      </c>
      <c r="C1673" s="1" t="s">
        <v>453</v>
      </c>
      <c r="D1673" s="1">
        <v>3180</v>
      </c>
      <c r="E1673" s="1">
        <v>3180</v>
      </c>
      <c r="F1673" s="1">
        <v>3180</v>
      </c>
      <c r="G1673" s="1">
        <v>3180</v>
      </c>
      <c r="H1673" s="1">
        <v>900</v>
      </c>
    </row>
    <row r="1674" spans="1:8">
      <c r="A1674" s="1"/>
      <c r="B1674" s="1" t="s">
        <v>586</v>
      </c>
      <c r="C1674" s="1" t="s">
        <v>454</v>
      </c>
      <c r="D1674" s="1">
        <v>3180</v>
      </c>
      <c r="E1674" s="1">
        <v>3180</v>
      </c>
      <c r="F1674" s="1">
        <v>3175</v>
      </c>
      <c r="G1674" s="1">
        <v>3180</v>
      </c>
      <c r="H1674" s="1">
        <v>6500</v>
      </c>
    </row>
    <row r="1675" spans="1:8">
      <c r="A1675" s="1"/>
      <c r="B1675" s="1" t="s">
        <v>586</v>
      </c>
      <c r="C1675" s="1" t="s">
        <v>455</v>
      </c>
      <c r="D1675" s="1">
        <v>3180</v>
      </c>
      <c r="E1675" s="1">
        <v>3185</v>
      </c>
      <c r="F1675" s="1">
        <v>3180</v>
      </c>
      <c r="G1675" s="1">
        <v>3185</v>
      </c>
      <c r="H1675" s="1">
        <v>9700</v>
      </c>
    </row>
    <row r="1676" spans="1:8">
      <c r="A1676" s="1"/>
      <c r="B1676" s="1" t="s">
        <v>586</v>
      </c>
      <c r="C1676" s="1" t="s">
        <v>456</v>
      </c>
      <c r="D1676" s="1">
        <v>3185</v>
      </c>
      <c r="E1676" s="1">
        <v>3185</v>
      </c>
      <c r="F1676" s="1">
        <v>3180</v>
      </c>
      <c r="G1676" s="1">
        <v>3185</v>
      </c>
      <c r="H1676" s="1">
        <v>2300</v>
      </c>
    </row>
    <row r="1677" spans="1:8">
      <c r="A1677" s="1"/>
      <c r="B1677" s="1" t="s">
        <v>586</v>
      </c>
      <c r="C1677" s="1" t="s">
        <v>457</v>
      </c>
      <c r="D1677" s="1">
        <v>3185</v>
      </c>
      <c r="E1677" s="1">
        <v>3185</v>
      </c>
      <c r="F1677" s="1">
        <v>3185</v>
      </c>
      <c r="G1677" s="1">
        <v>3185</v>
      </c>
      <c r="H1677" s="1">
        <v>3300</v>
      </c>
    </row>
    <row r="1678" spans="1:8">
      <c r="A1678" s="1"/>
      <c r="B1678" s="1" t="s">
        <v>586</v>
      </c>
      <c r="C1678" s="1" t="s">
        <v>458</v>
      </c>
      <c r="D1678" s="1">
        <v>3185</v>
      </c>
      <c r="E1678" s="1">
        <v>3190</v>
      </c>
      <c r="F1678" s="1">
        <v>3180</v>
      </c>
      <c r="G1678" s="1">
        <v>3185</v>
      </c>
      <c r="H1678" s="1">
        <v>5300</v>
      </c>
    </row>
    <row r="1679" spans="1:8">
      <c r="A1679" s="1"/>
      <c r="B1679" s="1" t="s">
        <v>586</v>
      </c>
      <c r="C1679" s="1" t="s">
        <v>459</v>
      </c>
      <c r="D1679" s="1">
        <v>3185</v>
      </c>
      <c r="E1679" s="1">
        <v>3190</v>
      </c>
      <c r="F1679" s="1">
        <v>3180</v>
      </c>
      <c r="G1679" s="1">
        <v>3190</v>
      </c>
      <c r="H1679" s="1">
        <v>8000</v>
      </c>
    </row>
    <row r="1680" spans="1:8">
      <c r="A1680" s="1"/>
      <c r="B1680" s="1" t="s">
        <v>586</v>
      </c>
      <c r="C1680" s="1" t="s">
        <v>460</v>
      </c>
      <c r="D1680" s="1">
        <v>3185</v>
      </c>
      <c r="E1680" s="1">
        <v>3190</v>
      </c>
      <c r="F1680" s="1">
        <v>3185</v>
      </c>
      <c r="G1680" s="1">
        <v>3185</v>
      </c>
      <c r="H1680" s="1">
        <v>4900</v>
      </c>
    </row>
    <row r="1681" spans="1:8">
      <c r="A1681" s="1"/>
      <c r="B1681" s="1" t="s">
        <v>586</v>
      </c>
      <c r="C1681" s="1" t="s">
        <v>461</v>
      </c>
      <c r="D1681" s="1">
        <v>3185</v>
      </c>
      <c r="E1681" s="1">
        <v>3185</v>
      </c>
      <c r="F1681" s="1">
        <v>3175</v>
      </c>
      <c r="G1681" s="1">
        <v>3175</v>
      </c>
      <c r="H1681" s="1">
        <v>15000</v>
      </c>
    </row>
    <row r="1682" spans="1:8">
      <c r="A1682" s="1"/>
      <c r="B1682" s="1" t="s">
        <v>586</v>
      </c>
      <c r="C1682" s="1" t="s">
        <v>462</v>
      </c>
      <c r="D1682" s="1">
        <v>3175</v>
      </c>
      <c r="E1682" s="1">
        <v>3180</v>
      </c>
      <c r="F1682" s="1">
        <v>3175</v>
      </c>
      <c r="G1682" s="1">
        <v>3175</v>
      </c>
      <c r="H1682" s="1">
        <v>18200</v>
      </c>
    </row>
    <row r="1683" spans="1:8">
      <c r="A1683" s="1"/>
      <c r="B1683" s="1" t="s">
        <v>586</v>
      </c>
      <c r="C1683" s="1" t="s">
        <v>464</v>
      </c>
      <c r="D1683" s="1">
        <v>3180</v>
      </c>
      <c r="E1683" s="1">
        <v>3185</v>
      </c>
      <c r="F1683" s="1">
        <v>3180</v>
      </c>
      <c r="G1683" s="1">
        <v>3185</v>
      </c>
      <c r="H1683" s="1">
        <v>10400</v>
      </c>
    </row>
    <row r="1684" spans="1:8">
      <c r="A1684" s="1"/>
      <c r="B1684" s="1" t="s">
        <v>587</v>
      </c>
      <c r="C1684" s="1" t="s">
        <v>195</v>
      </c>
      <c r="D1684" s="1">
        <v>3185</v>
      </c>
      <c r="E1684" s="1">
        <v>3185</v>
      </c>
      <c r="F1684" s="1">
        <v>3185</v>
      </c>
      <c r="G1684" s="1">
        <v>3185</v>
      </c>
      <c r="H1684" s="1">
        <v>100</v>
      </c>
    </row>
    <row r="1685" spans="1:8">
      <c r="A1685" s="1"/>
      <c r="B1685" s="1" t="s">
        <v>586</v>
      </c>
      <c r="C1685" s="1" t="s">
        <v>466</v>
      </c>
      <c r="D1685" s="1">
        <v>3180</v>
      </c>
      <c r="E1685" s="1">
        <v>3185</v>
      </c>
      <c r="F1685" s="1">
        <v>3180</v>
      </c>
      <c r="G1685" s="1">
        <v>3180</v>
      </c>
      <c r="H1685" s="1">
        <v>7900</v>
      </c>
    </row>
    <row r="1686" spans="1:8">
      <c r="A1686" s="1"/>
      <c r="B1686" s="1" t="s">
        <v>586</v>
      </c>
      <c r="C1686" s="1" t="s">
        <v>467</v>
      </c>
      <c r="D1686" s="1">
        <v>3180</v>
      </c>
      <c r="E1686" s="1">
        <v>3185</v>
      </c>
      <c r="F1686" s="1">
        <v>3180</v>
      </c>
      <c r="G1686" s="1">
        <v>3180</v>
      </c>
      <c r="H1686" s="1">
        <v>10900</v>
      </c>
    </row>
    <row r="1687" spans="1:8">
      <c r="A1687" s="1"/>
      <c r="B1687" s="1" t="s">
        <v>586</v>
      </c>
      <c r="C1687" s="1" t="s">
        <v>468</v>
      </c>
      <c r="D1687" s="1">
        <v>3185</v>
      </c>
      <c r="E1687" s="1">
        <v>3185</v>
      </c>
      <c r="F1687" s="1">
        <v>3180</v>
      </c>
      <c r="G1687" s="1">
        <v>3185</v>
      </c>
      <c r="H1687" s="1">
        <v>1300</v>
      </c>
    </row>
    <row r="1688" spans="1:8">
      <c r="A1688" s="1"/>
      <c r="B1688" s="1" t="s">
        <v>586</v>
      </c>
      <c r="C1688" s="1" t="s">
        <v>469</v>
      </c>
      <c r="D1688" s="1">
        <v>3185</v>
      </c>
      <c r="E1688" s="1">
        <v>3195</v>
      </c>
      <c r="F1688" s="1">
        <v>3185</v>
      </c>
      <c r="G1688" s="1">
        <v>3195</v>
      </c>
      <c r="H1688" s="1">
        <v>11500</v>
      </c>
    </row>
    <row r="1689" spans="1:8">
      <c r="A1689" s="1"/>
      <c r="B1689" s="1" t="s">
        <v>586</v>
      </c>
      <c r="C1689" s="1" t="s">
        <v>470</v>
      </c>
      <c r="D1689" s="1">
        <v>3190</v>
      </c>
      <c r="E1689" s="1">
        <v>3195</v>
      </c>
      <c r="F1689" s="1">
        <v>3190</v>
      </c>
      <c r="G1689" s="1">
        <v>3195</v>
      </c>
      <c r="H1689" s="1">
        <v>4000</v>
      </c>
    </row>
    <row r="1690" spans="1:8">
      <c r="A1690" s="1"/>
      <c r="B1690" s="1" t="s">
        <v>586</v>
      </c>
      <c r="C1690" s="1" t="s">
        <v>471</v>
      </c>
      <c r="D1690" s="1">
        <v>3195</v>
      </c>
      <c r="E1690" s="1">
        <v>3195</v>
      </c>
      <c r="F1690" s="1">
        <v>3195</v>
      </c>
      <c r="G1690" s="1">
        <v>3195</v>
      </c>
      <c r="H1690" s="1">
        <v>1300</v>
      </c>
    </row>
    <row r="1691" spans="1:8">
      <c r="A1691" s="1"/>
      <c r="B1691" s="1" t="s">
        <v>586</v>
      </c>
      <c r="C1691" s="1" t="s">
        <v>472</v>
      </c>
      <c r="D1691" s="1">
        <v>3190</v>
      </c>
      <c r="E1691" s="1">
        <v>3195</v>
      </c>
      <c r="F1691" s="1">
        <v>3190</v>
      </c>
      <c r="G1691" s="1">
        <v>3195</v>
      </c>
      <c r="H1691" s="1">
        <v>5200</v>
      </c>
    </row>
    <row r="1692" spans="1:8">
      <c r="A1692" s="1"/>
      <c r="B1692" s="1" t="s">
        <v>586</v>
      </c>
      <c r="C1692" s="1" t="s">
        <v>473</v>
      </c>
      <c r="D1692" s="1">
        <v>3195</v>
      </c>
      <c r="E1692" s="1">
        <v>3205</v>
      </c>
      <c r="F1692" s="1">
        <v>3195</v>
      </c>
      <c r="G1692" s="1">
        <v>3205</v>
      </c>
      <c r="H1692" s="1">
        <v>26500</v>
      </c>
    </row>
    <row r="1693" spans="1:8">
      <c r="A1693" s="1"/>
      <c r="B1693" s="1" t="s">
        <v>586</v>
      </c>
      <c r="C1693" s="1" t="s">
        <v>474</v>
      </c>
      <c r="D1693" s="1">
        <v>3200</v>
      </c>
      <c r="E1693" s="1">
        <v>3210</v>
      </c>
      <c r="F1693" s="1">
        <v>3200</v>
      </c>
      <c r="G1693" s="1">
        <v>3205</v>
      </c>
      <c r="H1693" s="1">
        <v>7900</v>
      </c>
    </row>
    <row r="1694" spans="1:8">
      <c r="A1694" s="1"/>
      <c r="B1694" s="1" t="s">
        <v>586</v>
      </c>
      <c r="C1694" s="1" t="s">
        <v>475</v>
      </c>
      <c r="D1694" s="1">
        <v>3210</v>
      </c>
      <c r="E1694" s="1">
        <v>3210</v>
      </c>
      <c r="F1694" s="1">
        <v>3205</v>
      </c>
      <c r="G1694" s="1">
        <v>3205</v>
      </c>
      <c r="H1694" s="1">
        <v>900</v>
      </c>
    </row>
    <row r="1695" spans="1:8">
      <c r="A1695" s="1"/>
      <c r="B1695" s="1" t="s">
        <v>586</v>
      </c>
      <c r="C1695" s="1" t="s">
        <v>476</v>
      </c>
      <c r="D1695" s="1">
        <v>3205</v>
      </c>
      <c r="E1695" s="1">
        <v>3210</v>
      </c>
      <c r="F1695" s="1">
        <v>3205</v>
      </c>
      <c r="G1695" s="1">
        <v>3205</v>
      </c>
      <c r="H1695" s="1">
        <v>17400</v>
      </c>
    </row>
    <row r="1696" spans="1:8">
      <c r="A1696" s="1"/>
      <c r="B1696" s="1" t="s">
        <v>586</v>
      </c>
      <c r="C1696" s="1" t="s">
        <v>477</v>
      </c>
      <c r="D1696" s="1">
        <v>3205</v>
      </c>
      <c r="E1696" s="1">
        <v>3205</v>
      </c>
      <c r="F1696" s="1">
        <v>3200</v>
      </c>
      <c r="G1696" s="1">
        <v>3200</v>
      </c>
      <c r="H1696" s="1">
        <v>9900</v>
      </c>
    </row>
    <row r="1697" spans="1:8">
      <c r="A1697" s="1"/>
      <c r="B1697" s="1" t="s">
        <v>586</v>
      </c>
      <c r="C1697" s="1" t="s">
        <v>478</v>
      </c>
      <c r="D1697" s="1">
        <v>3200</v>
      </c>
      <c r="E1697" s="1">
        <v>3200</v>
      </c>
      <c r="F1697" s="1">
        <v>3195</v>
      </c>
      <c r="G1697" s="1">
        <v>3200</v>
      </c>
      <c r="H1697" s="1">
        <v>9100</v>
      </c>
    </row>
    <row r="1698" spans="1:8">
      <c r="A1698" s="1"/>
      <c r="B1698" s="1" t="s">
        <v>586</v>
      </c>
      <c r="C1698" s="1" t="s">
        <v>479</v>
      </c>
      <c r="D1698" s="1">
        <v>3200</v>
      </c>
      <c r="E1698" s="1">
        <v>3200</v>
      </c>
      <c r="F1698" s="1">
        <v>3200</v>
      </c>
      <c r="G1698" s="1">
        <v>3200</v>
      </c>
      <c r="H1698" s="1">
        <v>7900</v>
      </c>
    </row>
    <row r="1699" spans="1:8">
      <c r="A1699" s="1"/>
      <c r="B1699" s="1" t="s">
        <v>586</v>
      </c>
      <c r="C1699" s="1" t="s">
        <v>480</v>
      </c>
      <c r="D1699" s="1">
        <v>3195</v>
      </c>
      <c r="E1699" s="1">
        <v>3200</v>
      </c>
      <c r="F1699" s="1">
        <v>3195</v>
      </c>
      <c r="G1699" s="1">
        <v>3195</v>
      </c>
      <c r="H1699" s="1">
        <v>3100</v>
      </c>
    </row>
    <row r="1700" spans="1:8">
      <c r="A1700" s="1"/>
      <c r="B1700" s="1" t="s">
        <v>586</v>
      </c>
      <c r="C1700" s="1" t="s">
        <v>481</v>
      </c>
      <c r="D1700" s="1">
        <v>3195</v>
      </c>
      <c r="E1700" s="1">
        <v>3200</v>
      </c>
      <c r="F1700" s="1">
        <v>3190</v>
      </c>
      <c r="G1700" s="1">
        <v>3195</v>
      </c>
      <c r="H1700" s="1">
        <v>6500</v>
      </c>
    </row>
    <row r="1701" spans="1:8">
      <c r="A1701" s="1"/>
      <c r="B1701" s="1" t="s">
        <v>586</v>
      </c>
      <c r="C1701" s="1" t="s">
        <v>482</v>
      </c>
      <c r="D1701" s="1">
        <v>3190</v>
      </c>
      <c r="E1701" s="1">
        <v>3200</v>
      </c>
      <c r="F1701" s="1">
        <v>3190</v>
      </c>
      <c r="G1701" s="1">
        <v>3200</v>
      </c>
      <c r="H1701" s="1">
        <v>9400</v>
      </c>
    </row>
    <row r="1702" spans="1:8">
      <c r="A1702" s="1"/>
      <c r="B1702" s="1" t="s">
        <v>586</v>
      </c>
      <c r="C1702" s="1" t="s">
        <v>483</v>
      </c>
      <c r="D1702" s="1">
        <v>3200</v>
      </c>
      <c r="E1702" s="1">
        <v>3200</v>
      </c>
      <c r="F1702" s="1">
        <v>3190</v>
      </c>
      <c r="G1702" s="1">
        <v>3190</v>
      </c>
      <c r="H1702" s="1">
        <v>7400</v>
      </c>
    </row>
    <row r="1703" spans="1:8">
      <c r="A1703" s="1"/>
      <c r="B1703" s="1" t="s">
        <v>586</v>
      </c>
      <c r="C1703" s="1" t="s">
        <v>484</v>
      </c>
      <c r="D1703" s="1">
        <v>3190</v>
      </c>
      <c r="E1703" s="1">
        <v>3190</v>
      </c>
      <c r="F1703" s="1">
        <v>3185</v>
      </c>
      <c r="G1703" s="1">
        <v>3185</v>
      </c>
      <c r="H1703" s="1">
        <v>4900</v>
      </c>
    </row>
    <row r="1704" spans="1:8">
      <c r="A1704" s="1"/>
      <c r="B1704" s="1" t="s">
        <v>586</v>
      </c>
      <c r="C1704" s="1" t="s">
        <v>485</v>
      </c>
      <c r="D1704" s="1">
        <v>3190</v>
      </c>
      <c r="E1704" s="1">
        <v>3190</v>
      </c>
      <c r="F1704" s="1">
        <v>3185</v>
      </c>
      <c r="G1704" s="1">
        <v>3185</v>
      </c>
      <c r="H1704" s="1">
        <v>900</v>
      </c>
    </row>
    <row r="1705" spans="1:8">
      <c r="A1705" s="1"/>
      <c r="B1705" s="1" t="s">
        <v>586</v>
      </c>
      <c r="C1705" s="1" t="s">
        <v>486</v>
      </c>
      <c r="D1705" s="1">
        <v>3185</v>
      </c>
      <c r="E1705" s="1">
        <v>3185</v>
      </c>
      <c r="F1705" s="1">
        <v>3180</v>
      </c>
      <c r="G1705" s="1">
        <v>3180</v>
      </c>
      <c r="H1705" s="1">
        <v>19300</v>
      </c>
    </row>
    <row r="1706" spans="1:8">
      <c r="A1706" s="1"/>
      <c r="B1706" s="1" t="s">
        <v>586</v>
      </c>
      <c r="C1706" s="1" t="s">
        <v>487</v>
      </c>
      <c r="D1706" s="1">
        <v>3180</v>
      </c>
      <c r="E1706" s="1">
        <v>3185</v>
      </c>
      <c r="F1706" s="1">
        <v>3175</v>
      </c>
      <c r="G1706" s="1">
        <v>3180</v>
      </c>
      <c r="H1706" s="1">
        <v>11100</v>
      </c>
    </row>
    <row r="1707" spans="1:8">
      <c r="A1707" s="1"/>
      <c r="B1707" s="1" t="s">
        <v>586</v>
      </c>
      <c r="C1707" s="1" t="s">
        <v>488</v>
      </c>
      <c r="D1707" s="1">
        <v>3180</v>
      </c>
      <c r="E1707" s="1">
        <v>3185</v>
      </c>
      <c r="F1707" s="1">
        <v>3180</v>
      </c>
      <c r="G1707" s="1">
        <v>3185</v>
      </c>
      <c r="H1707" s="1">
        <v>6000</v>
      </c>
    </row>
    <row r="1708" spans="1:8">
      <c r="A1708" s="1"/>
      <c r="B1708" s="1" t="s">
        <v>586</v>
      </c>
      <c r="C1708" s="1" t="s">
        <v>489</v>
      </c>
      <c r="D1708" s="1">
        <v>3180</v>
      </c>
      <c r="E1708" s="1">
        <v>3185</v>
      </c>
      <c r="F1708" s="1">
        <v>3180</v>
      </c>
      <c r="G1708" s="1">
        <v>3180</v>
      </c>
      <c r="H1708" s="1">
        <v>7000</v>
      </c>
    </row>
    <row r="1709" spans="1:8">
      <c r="A1709" s="1"/>
      <c r="B1709" s="1" t="s">
        <v>586</v>
      </c>
      <c r="C1709" s="1" t="s">
        <v>490</v>
      </c>
      <c r="D1709" s="1">
        <v>3185</v>
      </c>
      <c r="E1709" s="1">
        <v>3185</v>
      </c>
      <c r="F1709" s="1">
        <v>3180</v>
      </c>
      <c r="G1709" s="1">
        <v>3180</v>
      </c>
      <c r="H1709" s="1">
        <v>1000</v>
      </c>
    </row>
    <row r="1710" spans="1:8">
      <c r="A1710" s="1"/>
      <c r="B1710" s="1" t="s">
        <v>586</v>
      </c>
      <c r="C1710" s="1" t="s">
        <v>491</v>
      </c>
      <c r="D1710" s="1">
        <v>3180</v>
      </c>
      <c r="E1710" s="1">
        <v>3180</v>
      </c>
      <c r="F1710" s="1">
        <v>3175</v>
      </c>
      <c r="G1710" s="1">
        <v>3175</v>
      </c>
      <c r="H1710" s="1">
        <v>11600</v>
      </c>
    </row>
    <row r="1711" spans="1:8">
      <c r="A1711" s="1"/>
      <c r="B1711" s="1" t="s">
        <v>586</v>
      </c>
      <c r="C1711" s="1" t="s">
        <v>492</v>
      </c>
      <c r="D1711" s="1">
        <v>3175</v>
      </c>
      <c r="E1711" s="1">
        <v>3180</v>
      </c>
      <c r="F1711" s="1">
        <v>3175</v>
      </c>
      <c r="G1711" s="1">
        <v>3175</v>
      </c>
      <c r="H1711" s="1">
        <v>5900</v>
      </c>
    </row>
    <row r="1712" spans="1:8">
      <c r="A1712" s="1"/>
      <c r="B1712" s="1" t="s">
        <v>586</v>
      </c>
      <c r="C1712" s="1" t="s">
        <v>493</v>
      </c>
      <c r="D1712" s="1">
        <v>3180</v>
      </c>
      <c r="E1712" s="1">
        <v>3180</v>
      </c>
      <c r="F1712" s="1">
        <v>3180</v>
      </c>
      <c r="G1712" s="1">
        <v>3180</v>
      </c>
      <c r="H1712" s="1">
        <v>2700</v>
      </c>
    </row>
    <row r="1713" spans="1:8">
      <c r="A1713" s="1"/>
      <c r="B1713" s="1" t="s">
        <v>586</v>
      </c>
      <c r="C1713" s="1" t="s">
        <v>494</v>
      </c>
      <c r="D1713" s="1">
        <v>3180</v>
      </c>
      <c r="E1713" s="1">
        <v>3180</v>
      </c>
      <c r="F1713" s="1">
        <v>3180</v>
      </c>
      <c r="G1713" s="1">
        <v>3180</v>
      </c>
      <c r="H1713" s="1">
        <v>1800</v>
      </c>
    </row>
    <row r="1714" spans="1:8">
      <c r="A1714" s="1"/>
      <c r="B1714" s="1" t="s">
        <v>586</v>
      </c>
      <c r="C1714" s="1" t="s">
        <v>495</v>
      </c>
      <c r="D1714" s="1">
        <v>3180</v>
      </c>
      <c r="E1714" s="1">
        <v>3180</v>
      </c>
      <c r="F1714" s="1">
        <v>3175</v>
      </c>
      <c r="G1714" s="1">
        <v>3175</v>
      </c>
      <c r="H1714" s="1">
        <v>300</v>
      </c>
    </row>
    <row r="1715" spans="1:8">
      <c r="A1715" s="1"/>
      <c r="B1715" s="1" t="s">
        <v>586</v>
      </c>
      <c r="C1715" s="1" t="s">
        <v>496</v>
      </c>
      <c r="D1715" s="1">
        <v>3180</v>
      </c>
      <c r="E1715" s="1">
        <v>3180</v>
      </c>
      <c r="F1715" s="1">
        <v>3180</v>
      </c>
      <c r="G1715" s="1">
        <v>3180</v>
      </c>
      <c r="H1715" s="1">
        <v>7100</v>
      </c>
    </row>
    <row r="1716" spans="1:8">
      <c r="A1716" s="1"/>
      <c r="B1716" s="1" t="s">
        <v>586</v>
      </c>
      <c r="C1716" s="1" t="s">
        <v>497</v>
      </c>
      <c r="D1716" s="1">
        <v>3180</v>
      </c>
      <c r="E1716" s="1">
        <v>3190</v>
      </c>
      <c r="F1716" s="1">
        <v>3180</v>
      </c>
      <c r="G1716" s="1">
        <v>3190</v>
      </c>
      <c r="H1716" s="1">
        <v>16100</v>
      </c>
    </row>
    <row r="1717" spans="1:8">
      <c r="A1717" s="1"/>
      <c r="B1717" s="1" t="s">
        <v>586</v>
      </c>
      <c r="C1717" s="1" t="s">
        <v>498</v>
      </c>
      <c r="D1717" s="1">
        <v>3190</v>
      </c>
      <c r="E1717" s="1">
        <v>3190</v>
      </c>
      <c r="F1717" s="1">
        <v>3185</v>
      </c>
      <c r="G1717" s="1">
        <v>3185</v>
      </c>
      <c r="H1717" s="1">
        <v>3200</v>
      </c>
    </row>
    <row r="1718" spans="1:8">
      <c r="A1718" s="1"/>
      <c r="B1718" s="1" t="s">
        <v>586</v>
      </c>
      <c r="C1718" s="1" t="s">
        <v>499</v>
      </c>
      <c r="D1718" s="1">
        <v>3180</v>
      </c>
      <c r="E1718" s="1">
        <v>3185</v>
      </c>
      <c r="F1718" s="1">
        <v>3180</v>
      </c>
      <c r="G1718" s="1">
        <v>3180</v>
      </c>
      <c r="H1718" s="1">
        <v>12400</v>
      </c>
    </row>
    <row r="1719" spans="1:8">
      <c r="A1719" s="1"/>
      <c r="B1719" s="1" t="s">
        <v>586</v>
      </c>
      <c r="C1719" s="1" t="s">
        <v>500</v>
      </c>
      <c r="D1719" s="1">
        <v>3175</v>
      </c>
      <c r="E1719" s="1">
        <v>3175</v>
      </c>
      <c r="F1719" s="1">
        <v>3175</v>
      </c>
      <c r="G1719" s="1">
        <v>3175</v>
      </c>
      <c r="H1719" s="1">
        <v>400</v>
      </c>
    </row>
    <row r="1720" spans="1:8">
      <c r="A1720" s="1"/>
      <c r="B1720" s="1" t="s">
        <v>586</v>
      </c>
      <c r="C1720" s="1" t="s">
        <v>501</v>
      </c>
      <c r="D1720" s="1">
        <v>3175</v>
      </c>
      <c r="E1720" s="1">
        <v>3180</v>
      </c>
      <c r="F1720" s="1">
        <v>3170</v>
      </c>
      <c r="G1720" s="1">
        <v>3170</v>
      </c>
      <c r="H1720" s="1">
        <v>29700</v>
      </c>
    </row>
    <row r="1721" spans="1:8">
      <c r="A1721" s="1"/>
      <c r="B1721" s="1" t="s">
        <v>586</v>
      </c>
      <c r="C1721" s="1" t="s">
        <v>502</v>
      </c>
      <c r="D1721" s="1">
        <v>3175</v>
      </c>
      <c r="E1721" s="1">
        <v>3175</v>
      </c>
      <c r="F1721" s="1">
        <v>3170</v>
      </c>
      <c r="G1721" s="1">
        <v>3170</v>
      </c>
      <c r="H1721" s="1">
        <v>800</v>
      </c>
    </row>
    <row r="1722" spans="1:8">
      <c r="A1722" s="1"/>
      <c r="B1722" s="1" t="s">
        <v>586</v>
      </c>
      <c r="C1722" s="1" t="s">
        <v>503</v>
      </c>
      <c r="D1722" s="1">
        <v>3175</v>
      </c>
      <c r="E1722" s="1">
        <v>3175</v>
      </c>
      <c r="F1722" s="1">
        <v>3170</v>
      </c>
      <c r="G1722" s="1">
        <v>3175</v>
      </c>
      <c r="H1722" s="1">
        <v>10400</v>
      </c>
    </row>
    <row r="1723" spans="1:8">
      <c r="A1723" s="1"/>
      <c r="B1723" s="1" t="s">
        <v>586</v>
      </c>
      <c r="C1723" s="1" t="s">
        <v>504</v>
      </c>
      <c r="D1723" s="1">
        <v>3175</v>
      </c>
      <c r="E1723" s="1">
        <v>3175</v>
      </c>
      <c r="F1723" s="1">
        <v>3175</v>
      </c>
      <c r="G1723" s="1">
        <v>3175</v>
      </c>
      <c r="H1723" s="1">
        <v>6300</v>
      </c>
    </row>
    <row r="1724" spans="1:8">
      <c r="A1724" s="1"/>
      <c r="B1724" s="1" t="s">
        <v>586</v>
      </c>
      <c r="C1724" s="1" t="s">
        <v>505</v>
      </c>
      <c r="D1724" s="1">
        <v>3170</v>
      </c>
      <c r="E1724" s="1">
        <v>3175</v>
      </c>
      <c r="F1724" s="1">
        <v>3170</v>
      </c>
      <c r="G1724" s="1">
        <v>3170</v>
      </c>
      <c r="H1724" s="1">
        <v>4000</v>
      </c>
    </row>
    <row r="1725" spans="1:8">
      <c r="A1725" s="1"/>
      <c r="B1725" s="1" t="s">
        <v>586</v>
      </c>
      <c r="C1725" s="1" t="s">
        <v>506</v>
      </c>
      <c r="D1725" s="1">
        <v>3170</v>
      </c>
      <c r="E1725" s="1">
        <v>3170</v>
      </c>
      <c r="F1725" s="1">
        <v>3170</v>
      </c>
      <c r="G1725" s="1">
        <v>3170</v>
      </c>
      <c r="H1725" s="1">
        <v>11800</v>
      </c>
    </row>
    <row r="1726" spans="1:8">
      <c r="A1726" s="1"/>
      <c r="B1726" s="1" t="s">
        <v>586</v>
      </c>
      <c r="C1726" s="1" t="s">
        <v>507</v>
      </c>
      <c r="D1726" s="1">
        <v>3165</v>
      </c>
      <c r="E1726" s="1">
        <v>3170</v>
      </c>
      <c r="F1726" s="1">
        <v>3165</v>
      </c>
      <c r="G1726" s="1">
        <v>3165</v>
      </c>
      <c r="H1726" s="1">
        <v>1800</v>
      </c>
    </row>
    <row r="1727" spans="1:8">
      <c r="A1727" s="1"/>
      <c r="B1727" s="1" t="s">
        <v>587</v>
      </c>
      <c r="C1727" s="1" t="s">
        <v>238</v>
      </c>
      <c r="D1727" s="1" t="s">
        <v>8</v>
      </c>
      <c r="E1727" s="1" t="s">
        <v>8</v>
      </c>
      <c r="F1727" s="1" t="s">
        <v>8</v>
      </c>
      <c r="G1727" s="1" t="s">
        <v>8</v>
      </c>
      <c r="H1727" s="1">
        <v>0</v>
      </c>
    </row>
    <row r="1728" spans="1:8">
      <c r="B1728" t="s">
        <v>586</v>
      </c>
      <c r="C1728" t="s">
        <v>509</v>
      </c>
      <c r="D1728">
        <v>3165</v>
      </c>
      <c r="E1728">
        <v>3170</v>
      </c>
      <c r="F1728">
        <v>3165</v>
      </c>
      <c r="G1728">
        <v>3170</v>
      </c>
      <c r="H1728">
        <v>7500</v>
      </c>
    </row>
    <row r="1729" spans="1:8">
      <c r="A1729" s="1"/>
      <c r="B1729" s="1" t="s">
        <v>586</v>
      </c>
      <c r="C1729" s="1" t="s">
        <v>510</v>
      </c>
      <c r="D1729" s="1">
        <v>3165</v>
      </c>
      <c r="E1729" s="1">
        <v>3170</v>
      </c>
      <c r="F1729" s="1">
        <v>3165</v>
      </c>
      <c r="G1729" s="1">
        <v>3170</v>
      </c>
      <c r="H1729" s="1">
        <v>1000</v>
      </c>
    </row>
    <row r="1730" spans="1:8">
      <c r="A1730" s="1"/>
      <c r="B1730" s="1" t="s">
        <v>586</v>
      </c>
      <c r="C1730" s="1" t="s">
        <v>511</v>
      </c>
      <c r="D1730" s="1">
        <v>3165</v>
      </c>
      <c r="E1730" s="1">
        <v>3165</v>
      </c>
      <c r="F1730" s="1">
        <v>3165</v>
      </c>
      <c r="G1730" s="1">
        <v>3165</v>
      </c>
      <c r="H1730" s="1">
        <v>1000</v>
      </c>
    </row>
    <row r="1731" spans="1:8">
      <c r="A1731" s="1"/>
      <c r="B1731" s="1" t="s">
        <v>586</v>
      </c>
      <c r="C1731" s="1" t="s">
        <v>512</v>
      </c>
      <c r="D1731" s="1">
        <v>3165</v>
      </c>
      <c r="E1731" s="1">
        <v>3165</v>
      </c>
      <c r="F1731" s="1">
        <v>3165</v>
      </c>
      <c r="G1731" s="1">
        <v>3165</v>
      </c>
      <c r="H1731" s="1">
        <v>14900</v>
      </c>
    </row>
    <row r="1732" spans="1:8">
      <c r="A1732" s="1"/>
      <c r="B1732" s="1" t="s">
        <v>586</v>
      </c>
      <c r="C1732" s="1" t="s">
        <v>513</v>
      </c>
      <c r="D1732" s="1">
        <v>3165</v>
      </c>
      <c r="E1732" s="1">
        <v>3170</v>
      </c>
      <c r="F1732" s="1">
        <v>3165</v>
      </c>
      <c r="G1732" s="1">
        <v>3170</v>
      </c>
      <c r="H1732" s="1">
        <v>3700</v>
      </c>
    </row>
    <row r="1733" spans="1:8">
      <c r="A1733" s="1"/>
      <c r="B1733" s="1" t="s">
        <v>586</v>
      </c>
      <c r="C1733" s="1" t="s">
        <v>514</v>
      </c>
      <c r="D1733" s="1">
        <v>3170</v>
      </c>
      <c r="E1733" s="1">
        <v>3170</v>
      </c>
      <c r="F1733" s="1">
        <v>3165</v>
      </c>
      <c r="G1733" s="1">
        <v>3170</v>
      </c>
      <c r="H1733" s="1">
        <v>900</v>
      </c>
    </row>
    <row r="1734" spans="1:8">
      <c r="A1734" s="1"/>
      <c r="B1734" s="1" t="s">
        <v>586</v>
      </c>
      <c r="C1734" s="1" t="s">
        <v>515</v>
      </c>
      <c r="D1734" s="1">
        <v>3170</v>
      </c>
      <c r="E1734" s="1">
        <v>3170</v>
      </c>
      <c r="F1734" s="1">
        <v>3165</v>
      </c>
      <c r="G1734" s="1">
        <v>3165</v>
      </c>
      <c r="H1734" s="1">
        <v>600</v>
      </c>
    </row>
    <row r="1735" spans="1:8">
      <c r="A1735" s="1"/>
      <c r="B1735" s="1" t="s">
        <v>586</v>
      </c>
      <c r="C1735" s="1" t="s">
        <v>516</v>
      </c>
      <c r="D1735" s="1">
        <v>3170</v>
      </c>
      <c r="E1735" s="1">
        <v>3175</v>
      </c>
      <c r="F1735" s="1">
        <v>3170</v>
      </c>
      <c r="G1735" s="1">
        <v>3175</v>
      </c>
      <c r="H1735" s="1">
        <v>18400</v>
      </c>
    </row>
    <row r="1736" spans="1:8">
      <c r="A1736" s="1"/>
      <c r="B1736" s="1" t="s">
        <v>586</v>
      </c>
      <c r="C1736" s="1" t="s">
        <v>517</v>
      </c>
      <c r="D1736" s="1">
        <v>3180</v>
      </c>
      <c r="E1736" s="1">
        <v>3185</v>
      </c>
      <c r="F1736" s="1">
        <v>3175</v>
      </c>
      <c r="G1736" s="1">
        <v>3185</v>
      </c>
      <c r="H1736" s="1">
        <v>9900</v>
      </c>
    </row>
    <row r="1737" spans="1:8">
      <c r="A1737" s="1"/>
      <c r="B1737" s="1" t="s">
        <v>586</v>
      </c>
      <c r="C1737" s="1" t="s">
        <v>518</v>
      </c>
      <c r="D1737" s="1">
        <v>3185</v>
      </c>
      <c r="E1737" s="1">
        <v>3185</v>
      </c>
      <c r="F1737" s="1">
        <v>3175</v>
      </c>
      <c r="G1737" s="1">
        <v>3180</v>
      </c>
      <c r="H1737" s="1">
        <v>7000</v>
      </c>
    </row>
    <row r="1738" spans="1:8">
      <c r="A1738" s="1"/>
      <c r="B1738" s="1" t="s">
        <v>586</v>
      </c>
      <c r="C1738" s="1" t="s">
        <v>519</v>
      </c>
      <c r="D1738" s="1">
        <v>3180</v>
      </c>
      <c r="E1738" s="1">
        <v>3180</v>
      </c>
      <c r="F1738" s="1">
        <v>3180</v>
      </c>
      <c r="G1738" s="1">
        <v>3180</v>
      </c>
      <c r="H1738" s="1">
        <v>500</v>
      </c>
    </row>
    <row r="1739" spans="1:8">
      <c r="A1739" s="1"/>
      <c r="B1739" s="1" t="s">
        <v>587</v>
      </c>
      <c r="C1739" s="1" t="s">
        <v>250</v>
      </c>
      <c r="D1739" s="1" t="s">
        <v>8</v>
      </c>
      <c r="E1739" s="1" t="s">
        <v>8</v>
      </c>
      <c r="F1739" s="1" t="s">
        <v>8</v>
      </c>
      <c r="G1739" s="1" t="s">
        <v>8</v>
      </c>
      <c r="H1739" s="1">
        <v>0</v>
      </c>
    </row>
    <row r="1740" spans="1:8">
      <c r="B1740" t="s">
        <v>586</v>
      </c>
      <c r="C1740" t="s">
        <v>521</v>
      </c>
      <c r="D1740">
        <v>3180</v>
      </c>
      <c r="E1740">
        <v>3180</v>
      </c>
      <c r="F1740">
        <v>3170</v>
      </c>
      <c r="G1740">
        <v>3170</v>
      </c>
      <c r="H1740">
        <v>17300</v>
      </c>
    </row>
    <row r="1741" spans="1:8">
      <c r="A1741" s="1"/>
      <c r="B1741" s="1" t="s">
        <v>587</v>
      </c>
      <c r="C1741" s="1" t="s">
        <v>252</v>
      </c>
      <c r="D1741" s="1" t="s">
        <v>8</v>
      </c>
      <c r="E1741" s="1" t="s">
        <v>8</v>
      </c>
      <c r="F1741" s="1" t="s">
        <v>8</v>
      </c>
      <c r="G1741" s="1" t="s">
        <v>8</v>
      </c>
      <c r="H1741" s="1">
        <v>0</v>
      </c>
    </row>
    <row r="1742" spans="1:8">
      <c r="B1742" t="s">
        <v>586</v>
      </c>
      <c r="C1742" t="s">
        <v>523</v>
      </c>
      <c r="D1742">
        <v>3175</v>
      </c>
      <c r="E1742">
        <v>3180</v>
      </c>
      <c r="F1742">
        <v>3175</v>
      </c>
      <c r="G1742">
        <v>3180</v>
      </c>
      <c r="H1742">
        <v>1500</v>
      </c>
    </row>
    <row r="1743" spans="1:8">
      <c r="A1743" s="1"/>
      <c r="B1743" s="1" t="s">
        <v>586</v>
      </c>
      <c r="C1743" s="1" t="s">
        <v>524</v>
      </c>
      <c r="D1743" s="1">
        <v>3180</v>
      </c>
      <c r="E1743" s="1">
        <v>3185</v>
      </c>
      <c r="F1743" s="1">
        <v>3180</v>
      </c>
      <c r="G1743" s="1">
        <v>3180</v>
      </c>
      <c r="H1743" s="1">
        <v>7600</v>
      </c>
    </row>
    <row r="1744" spans="1:8">
      <c r="A1744" s="1"/>
      <c r="B1744" s="1" t="s">
        <v>586</v>
      </c>
      <c r="C1744" s="1" t="s">
        <v>525</v>
      </c>
      <c r="D1744" s="1">
        <v>3185</v>
      </c>
      <c r="E1744" s="1">
        <v>3185</v>
      </c>
      <c r="F1744" s="1">
        <v>3185</v>
      </c>
      <c r="G1744" s="1">
        <v>3185</v>
      </c>
      <c r="H1744" s="1">
        <v>200</v>
      </c>
    </row>
    <row r="1745" spans="1:8">
      <c r="A1745" s="1"/>
      <c r="B1745" s="1" t="s">
        <v>586</v>
      </c>
      <c r="C1745" s="1" t="s">
        <v>526</v>
      </c>
      <c r="D1745" s="1">
        <v>3180</v>
      </c>
      <c r="E1745" s="1">
        <v>3185</v>
      </c>
      <c r="F1745" s="1">
        <v>3180</v>
      </c>
      <c r="G1745" s="1">
        <v>3180</v>
      </c>
      <c r="H1745" s="1">
        <v>700</v>
      </c>
    </row>
    <row r="1746" spans="1:8">
      <c r="A1746" s="1"/>
      <c r="B1746" s="1" t="s">
        <v>586</v>
      </c>
      <c r="C1746" s="1" t="s">
        <v>527</v>
      </c>
      <c r="D1746" s="1">
        <v>3180</v>
      </c>
      <c r="E1746" s="1">
        <v>3180</v>
      </c>
      <c r="F1746" s="1">
        <v>3180</v>
      </c>
      <c r="G1746" s="1">
        <v>3180</v>
      </c>
      <c r="H1746" s="1">
        <v>600</v>
      </c>
    </row>
    <row r="1747" spans="1:8">
      <c r="A1747" s="1"/>
      <c r="B1747" s="1" t="s">
        <v>586</v>
      </c>
      <c r="C1747" s="1" t="s">
        <v>528</v>
      </c>
      <c r="D1747" s="1">
        <v>3185</v>
      </c>
      <c r="E1747" s="1">
        <v>3190</v>
      </c>
      <c r="F1747" s="1">
        <v>3185</v>
      </c>
      <c r="G1747" s="1">
        <v>3190</v>
      </c>
      <c r="H1747" s="1">
        <v>13200</v>
      </c>
    </row>
    <row r="1748" spans="1:8">
      <c r="A1748" s="1"/>
      <c r="B1748" s="1" t="s">
        <v>586</v>
      </c>
      <c r="C1748" s="1" t="s">
        <v>529</v>
      </c>
      <c r="D1748" s="1">
        <v>3185</v>
      </c>
      <c r="E1748" s="1">
        <v>3185</v>
      </c>
      <c r="F1748" s="1">
        <v>3185</v>
      </c>
      <c r="G1748" s="1">
        <v>3185</v>
      </c>
      <c r="H1748" s="1">
        <v>4900</v>
      </c>
    </row>
    <row r="1749" spans="1:8">
      <c r="A1749" s="1"/>
      <c r="B1749" s="1" t="s">
        <v>586</v>
      </c>
      <c r="C1749" s="1" t="s">
        <v>530</v>
      </c>
      <c r="D1749" s="1">
        <v>3185</v>
      </c>
      <c r="E1749" s="1">
        <v>3185</v>
      </c>
      <c r="F1749" s="1">
        <v>3175</v>
      </c>
      <c r="G1749" s="1">
        <v>3175</v>
      </c>
      <c r="H1749" s="1">
        <v>9300</v>
      </c>
    </row>
    <row r="1750" spans="1:8">
      <c r="A1750" s="1"/>
      <c r="B1750" s="1" t="s">
        <v>586</v>
      </c>
      <c r="C1750" s="1" t="s">
        <v>531</v>
      </c>
      <c r="D1750" s="1">
        <v>3175</v>
      </c>
      <c r="E1750" s="1">
        <v>3175</v>
      </c>
      <c r="F1750" s="1">
        <v>3175</v>
      </c>
      <c r="G1750" s="1">
        <v>3175</v>
      </c>
      <c r="H1750" s="1">
        <v>2700</v>
      </c>
    </row>
    <row r="1751" spans="1:8">
      <c r="A1751" s="1"/>
      <c r="B1751" s="1" t="s">
        <v>587</v>
      </c>
      <c r="C1751" s="1" t="s">
        <v>262</v>
      </c>
      <c r="D1751" s="1">
        <v>3180</v>
      </c>
      <c r="E1751" s="1">
        <v>3180</v>
      </c>
      <c r="F1751" s="1">
        <v>3180</v>
      </c>
      <c r="G1751" s="1">
        <v>3180</v>
      </c>
      <c r="H1751" s="1">
        <v>100</v>
      </c>
    </row>
    <row r="1752" spans="1:8">
      <c r="A1752" s="1"/>
      <c r="B1752" s="1" t="s">
        <v>586</v>
      </c>
      <c r="C1752" s="1" t="s">
        <v>533</v>
      </c>
      <c r="D1752" s="1">
        <v>3175</v>
      </c>
      <c r="E1752" s="1">
        <v>3180</v>
      </c>
      <c r="F1752" s="1">
        <v>3175</v>
      </c>
      <c r="G1752" s="1">
        <v>3175</v>
      </c>
      <c r="H1752" s="1">
        <v>1400</v>
      </c>
    </row>
    <row r="1753" spans="1:8">
      <c r="A1753" s="1"/>
      <c r="B1753" s="1" t="s">
        <v>586</v>
      </c>
      <c r="C1753" s="1" t="s">
        <v>534</v>
      </c>
      <c r="D1753" s="1">
        <v>3180</v>
      </c>
      <c r="E1753" s="1">
        <v>3180</v>
      </c>
      <c r="F1753" s="1">
        <v>3180</v>
      </c>
      <c r="G1753" s="1">
        <v>3180</v>
      </c>
      <c r="H1753" s="1">
        <v>6100</v>
      </c>
    </row>
    <row r="1754" spans="1:8">
      <c r="A1754" s="1"/>
      <c r="B1754" s="1" t="s">
        <v>586</v>
      </c>
      <c r="C1754" s="1" t="s">
        <v>535</v>
      </c>
      <c r="D1754" s="1">
        <v>3180</v>
      </c>
      <c r="E1754" s="1">
        <v>3185</v>
      </c>
      <c r="F1754" s="1">
        <v>3180</v>
      </c>
      <c r="G1754" s="1">
        <v>3185</v>
      </c>
      <c r="H1754" s="1">
        <v>200</v>
      </c>
    </row>
    <row r="1755" spans="1:8">
      <c r="A1755" s="1"/>
      <c r="B1755" s="1" t="s">
        <v>586</v>
      </c>
      <c r="C1755" s="1" t="s">
        <v>536</v>
      </c>
      <c r="D1755" s="1">
        <v>3180</v>
      </c>
      <c r="E1755" s="1">
        <v>3180</v>
      </c>
      <c r="F1755" s="1">
        <v>3180</v>
      </c>
      <c r="G1755" s="1">
        <v>3180</v>
      </c>
      <c r="H1755" s="1">
        <v>1200</v>
      </c>
    </row>
    <row r="1756" spans="1:8">
      <c r="A1756" s="1"/>
      <c r="B1756" s="1" t="s">
        <v>586</v>
      </c>
      <c r="C1756" s="1" t="s">
        <v>537</v>
      </c>
      <c r="D1756" s="1">
        <v>3180</v>
      </c>
      <c r="E1756" s="1">
        <v>3185</v>
      </c>
      <c r="F1756" s="1">
        <v>3180</v>
      </c>
      <c r="G1756" s="1">
        <v>3180</v>
      </c>
      <c r="H1756" s="1">
        <v>600</v>
      </c>
    </row>
    <row r="1757" spans="1:8">
      <c r="A1757" s="1"/>
      <c r="B1757" s="1" t="s">
        <v>587</v>
      </c>
      <c r="C1757" s="1" t="s">
        <v>268</v>
      </c>
      <c r="D1757" s="1">
        <v>3180</v>
      </c>
      <c r="E1757" s="1">
        <v>3180</v>
      </c>
      <c r="F1757" s="1">
        <v>3180</v>
      </c>
      <c r="G1757" s="1">
        <v>3180</v>
      </c>
      <c r="H1757" s="1">
        <v>100</v>
      </c>
    </row>
    <row r="1758" spans="1:8">
      <c r="A1758" s="1"/>
      <c r="B1758" s="1" t="s">
        <v>587</v>
      </c>
      <c r="C1758" s="1" t="s">
        <v>269</v>
      </c>
      <c r="D1758" s="1" t="s">
        <v>8</v>
      </c>
      <c r="E1758" s="1" t="s">
        <v>8</v>
      </c>
      <c r="F1758" s="1" t="s">
        <v>8</v>
      </c>
      <c r="G1758" s="1" t="s">
        <v>8</v>
      </c>
      <c r="H1758" s="1">
        <v>0</v>
      </c>
    </row>
    <row r="1759" spans="1:8">
      <c r="B1759" t="s">
        <v>586</v>
      </c>
      <c r="C1759" t="s">
        <v>540</v>
      </c>
      <c r="D1759">
        <v>3180</v>
      </c>
      <c r="E1759">
        <v>3185</v>
      </c>
      <c r="F1759">
        <v>3180</v>
      </c>
      <c r="G1759">
        <v>3185</v>
      </c>
      <c r="H1759">
        <v>2900</v>
      </c>
    </row>
    <row r="1760" spans="1:8">
      <c r="A1760" s="1"/>
      <c r="B1760" s="1" t="s">
        <v>586</v>
      </c>
      <c r="C1760" s="1" t="s">
        <v>541</v>
      </c>
      <c r="D1760" s="1">
        <v>3180</v>
      </c>
      <c r="E1760" s="1">
        <v>3180</v>
      </c>
      <c r="F1760" s="1">
        <v>3180</v>
      </c>
      <c r="G1760" s="1">
        <v>3180</v>
      </c>
      <c r="H1760" s="1">
        <v>600</v>
      </c>
    </row>
    <row r="1761" spans="1:8">
      <c r="A1761" s="1"/>
      <c r="B1761" s="1" t="s">
        <v>587</v>
      </c>
      <c r="C1761" s="1" t="s">
        <v>272</v>
      </c>
      <c r="D1761" s="1">
        <v>3185</v>
      </c>
      <c r="E1761" s="1">
        <v>3185</v>
      </c>
      <c r="F1761" s="1">
        <v>3185</v>
      </c>
      <c r="G1761" s="1">
        <v>3185</v>
      </c>
      <c r="H1761" s="1">
        <v>6400</v>
      </c>
    </row>
    <row r="1762" spans="1:8">
      <c r="A1762" s="1"/>
      <c r="B1762" s="1" t="s">
        <v>587</v>
      </c>
      <c r="C1762" s="1" t="s">
        <v>273</v>
      </c>
      <c r="D1762" s="1">
        <v>3185</v>
      </c>
      <c r="E1762" s="1">
        <v>3185</v>
      </c>
      <c r="F1762" s="1">
        <v>3185</v>
      </c>
      <c r="G1762" s="1">
        <v>3185</v>
      </c>
      <c r="H1762" s="1">
        <v>100</v>
      </c>
    </row>
    <row r="1763" spans="1:8">
      <c r="A1763" s="1"/>
      <c r="B1763" s="1" t="s">
        <v>586</v>
      </c>
      <c r="C1763" s="1" t="s">
        <v>544</v>
      </c>
      <c r="D1763" s="1">
        <v>3185</v>
      </c>
      <c r="E1763" s="1">
        <v>3185</v>
      </c>
      <c r="F1763" s="1">
        <v>3185</v>
      </c>
      <c r="G1763" s="1">
        <v>3185</v>
      </c>
      <c r="H1763" s="1">
        <v>200</v>
      </c>
    </row>
    <row r="1764" spans="1:8">
      <c r="A1764" s="1"/>
      <c r="B1764" s="1" t="s">
        <v>586</v>
      </c>
      <c r="C1764" s="1" t="s">
        <v>545</v>
      </c>
      <c r="D1764" s="1">
        <v>3190</v>
      </c>
      <c r="E1764" s="1">
        <v>3190</v>
      </c>
      <c r="F1764" s="1">
        <v>3190</v>
      </c>
      <c r="G1764" s="1">
        <v>3190</v>
      </c>
      <c r="H1764" s="1">
        <v>8700</v>
      </c>
    </row>
    <row r="1765" spans="1:8">
      <c r="A1765" s="1"/>
      <c r="B1765" s="1" t="s">
        <v>586</v>
      </c>
      <c r="C1765" s="1" t="s">
        <v>546</v>
      </c>
      <c r="D1765" s="1">
        <v>3190</v>
      </c>
      <c r="E1765" s="1">
        <v>3195</v>
      </c>
      <c r="F1765" s="1">
        <v>3190</v>
      </c>
      <c r="G1765" s="1">
        <v>3190</v>
      </c>
      <c r="H1765" s="1">
        <v>6600</v>
      </c>
    </row>
    <row r="1766" spans="1:8">
      <c r="A1766" s="1"/>
      <c r="B1766" s="1" t="s">
        <v>586</v>
      </c>
      <c r="C1766" s="1" t="s">
        <v>547</v>
      </c>
      <c r="D1766" s="1">
        <v>3190</v>
      </c>
      <c r="E1766" s="1">
        <v>3190</v>
      </c>
      <c r="F1766" s="1">
        <v>3190</v>
      </c>
      <c r="G1766" s="1">
        <v>3190</v>
      </c>
      <c r="H1766" s="1">
        <v>700</v>
      </c>
    </row>
    <row r="1767" spans="1:8">
      <c r="A1767" s="1"/>
      <c r="B1767" s="1" t="s">
        <v>586</v>
      </c>
      <c r="C1767" s="1" t="s">
        <v>548</v>
      </c>
      <c r="D1767" s="1">
        <v>3190</v>
      </c>
      <c r="E1767" s="1">
        <v>3190</v>
      </c>
      <c r="F1767" s="1">
        <v>3185</v>
      </c>
      <c r="G1767" s="1">
        <v>3185</v>
      </c>
      <c r="H1767" s="1">
        <v>7700</v>
      </c>
    </row>
    <row r="1768" spans="1:8">
      <c r="A1768" s="1"/>
      <c r="B1768" s="1" t="s">
        <v>586</v>
      </c>
      <c r="C1768" s="1" t="s">
        <v>549</v>
      </c>
      <c r="D1768" s="1">
        <v>3185</v>
      </c>
      <c r="E1768" s="1">
        <v>3185</v>
      </c>
      <c r="F1768" s="1">
        <v>3185</v>
      </c>
      <c r="G1768" s="1">
        <v>3185</v>
      </c>
      <c r="H1768" s="1">
        <v>600</v>
      </c>
    </row>
    <row r="1769" spans="1:8">
      <c r="A1769" s="1"/>
      <c r="B1769" s="1" t="s">
        <v>586</v>
      </c>
      <c r="C1769" s="1" t="s">
        <v>550</v>
      </c>
      <c r="D1769" s="1">
        <v>3180</v>
      </c>
      <c r="E1769" s="1">
        <v>3185</v>
      </c>
      <c r="F1769" s="1">
        <v>3180</v>
      </c>
      <c r="G1769" s="1">
        <v>3185</v>
      </c>
      <c r="H1769" s="1">
        <v>12400</v>
      </c>
    </row>
    <row r="1770" spans="1:8">
      <c r="A1770" s="1"/>
      <c r="B1770" s="1" t="s">
        <v>586</v>
      </c>
      <c r="C1770" s="1" t="s">
        <v>551</v>
      </c>
      <c r="D1770" s="1">
        <v>3180</v>
      </c>
      <c r="E1770" s="1">
        <v>3180</v>
      </c>
      <c r="F1770" s="1">
        <v>3180</v>
      </c>
      <c r="G1770" s="1">
        <v>3180</v>
      </c>
      <c r="H1770" s="1">
        <v>7000</v>
      </c>
    </row>
    <row r="1771" spans="1:8">
      <c r="A1771" s="1"/>
      <c r="B1771" s="1" t="s">
        <v>587</v>
      </c>
      <c r="C1771" s="1" t="s">
        <v>282</v>
      </c>
      <c r="D1771" s="1">
        <v>3180</v>
      </c>
      <c r="E1771" s="1">
        <v>3180</v>
      </c>
      <c r="F1771" s="1">
        <v>3180</v>
      </c>
      <c r="G1771" s="1">
        <v>3180</v>
      </c>
      <c r="H1771" s="1">
        <v>100</v>
      </c>
    </row>
    <row r="1772" spans="1:8">
      <c r="A1772" s="1"/>
      <c r="B1772" s="1" t="s">
        <v>586</v>
      </c>
      <c r="C1772" s="1" t="s">
        <v>553</v>
      </c>
      <c r="D1772" s="1">
        <v>3185</v>
      </c>
      <c r="E1772" s="1">
        <v>3190</v>
      </c>
      <c r="F1772" s="1">
        <v>3185</v>
      </c>
      <c r="G1772" s="1">
        <v>3185</v>
      </c>
      <c r="H1772" s="1">
        <v>4600</v>
      </c>
    </row>
    <row r="1773" spans="1:8">
      <c r="A1773" s="1"/>
      <c r="B1773" s="1" t="s">
        <v>587</v>
      </c>
      <c r="C1773" s="1" t="s">
        <v>284</v>
      </c>
      <c r="D1773" s="1" t="s">
        <v>8</v>
      </c>
      <c r="E1773" s="1" t="s">
        <v>8</v>
      </c>
      <c r="F1773" s="1" t="s">
        <v>8</v>
      </c>
      <c r="G1773" s="1" t="s">
        <v>8</v>
      </c>
      <c r="H1773" s="1">
        <v>0</v>
      </c>
    </row>
    <row r="1774" spans="1:8">
      <c r="B1774" t="s">
        <v>586</v>
      </c>
      <c r="C1774" t="s">
        <v>555</v>
      </c>
      <c r="D1774">
        <v>3185</v>
      </c>
      <c r="E1774">
        <v>3185</v>
      </c>
      <c r="F1774">
        <v>3185</v>
      </c>
      <c r="G1774">
        <v>3185</v>
      </c>
      <c r="H1774">
        <v>2500</v>
      </c>
    </row>
    <row r="1775" spans="1:8">
      <c r="A1775" s="1"/>
      <c r="B1775" s="1" t="s">
        <v>586</v>
      </c>
      <c r="C1775" s="1" t="s">
        <v>556</v>
      </c>
      <c r="D1775" s="1">
        <v>3185</v>
      </c>
      <c r="E1775" s="1">
        <v>3185</v>
      </c>
      <c r="F1775" s="1">
        <v>3180</v>
      </c>
      <c r="G1775" s="1">
        <v>3180</v>
      </c>
      <c r="H1775" s="1">
        <v>600</v>
      </c>
    </row>
    <row r="1776" spans="1:8">
      <c r="A1776" s="1"/>
      <c r="B1776" s="1" t="s">
        <v>587</v>
      </c>
      <c r="C1776" s="1" t="s">
        <v>287</v>
      </c>
      <c r="D1776" s="1" t="s">
        <v>8</v>
      </c>
      <c r="E1776" s="1" t="s">
        <v>8</v>
      </c>
      <c r="F1776" s="1" t="s">
        <v>8</v>
      </c>
      <c r="G1776" s="1" t="s">
        <v>8</v>
      </c>
      <c r="H1776" s="1">
        <v>0</v>
      </c>
    </row>
    <row r="1777" spans="1:8">
      <c r="B1777" t="s">
        <v>586</v>
      </c>
      <c r="C1777" t="s">
        <v>558</v>
      </c>
      <c r="D1777">
        <v>3180</v>
      </c>
      <c r="E1777">
        <v>3185</v>
      </c>
      <c r="F1777">
        <v>3180</v>
      </c>
      <c r="G1777">
        <v>3185</v>
      </c>
      <c r="H1777">
        <v>6200</v>
      </c>
    </row>
    <row r="1778" spans="1:8">
      <c r="A1778" s="1"/>
      <c r="B1778" s="1" t="s">
        <v>587</v>
      </c>
      <c r="C1778" s="1" t="s">
        <v>289</v>
      </c>
      <c r="D1778" s="1">
        <v>3180</v>
      </c>
      <c r="E1778" s="1">
        <v>3180</v>
      </c>
      <c r="F1778" s="1">
        <v>3180</v>
      </c>
      <c r="G1778" s="1">
        <v>3180</v>
      </c>
      <c r="H1778" s="1">
        <v>100</v>
      </c>
    </row>
    <row r="1779" spans="1:8">
      <c r="A1779" s="1"/>
      <c r="B1779" s="1" t="s">
        <v>586</v>
      </c>
      <c r="C1779" s="1" t="s">
        <v>560</v>
      </c>
      <c r="D1779" s="1">
        <v>3185</v>
      </c>
      <c r="E1779" s="1">
        <v>3185</v>
      </c>
      <c r="F1779" s="1">
        <v>3185</v>
      </c>
      <c r="G1779" s="1">
        <v>3185</v>
      </c>
      <c r="H1779" s="1">
        <v>3100</v>
      </c>
    </row>
    <row r="1780" spans="1:8">
      <c r="A1780" s="1"/>
      <c r="B1780" s="1" t="s">
        <v>586</v>
      </c>
      <c r="C1780" s="1" t="s">
        <v>561</v>
      </c>
      <c r="D1780" s="1">
        <v>3190</v>
      </c>
      <c r="E1780" s="1">
        <v>3190</v>
      </c>
      <c r="F1780" s="1">
        <v>3185</v>
      </c>
      <c r="G1780" s="1">
        <v>3185</v>
      </c>
      <c r="H1780" s="1">
        <v>400</v>
      </c>
    </row>
    <row r="1781" spans="1:8">
      <c r="A1781" s="1"/>
      <c r="B1781" s="1" t="s">
        <v>586</v>
      </c>
      <c r="C1781" s="1" t="s">
        <v>562</v>
      </c>
      <c r="D1781" s="1">
        <v>3190</v>
      </c>
      <c r="E1781" s="1">
        <v>3190</v>
      </c>
      <c r="F1781" s="1">
        <v>3185</v>
      </c>
      <c r="G1781" s="1">
        <v>3185</v>
      </c>
      <c r="H1781" s="1">
        <v>1000</v>
      </c>
    </row>
    <row r="1782" spans="1:8">
      <c r="A1782" s="1"/>
      <c r="B1782" s="1" t="s">
        <v>587</v>
      </c>
      <c r="C1782" s="1" t="s">
        <v>293</v>
      </c>
      <c r="D1782" s="1" t="s">
        <v>8</v>
      </c>
      <c r="E1782" s="1" t="s">
        <v>8</v>
      </c>
      <c r="F1782" s="1" t="s">
        <v>8</v>
      </c>
      <c r="G1782" s="1" t="s">
        <v>8</v>
      </c>
      <c r="H1782" s="1">
        <v>0</v>
      </c>
    </row>
    <row r="1783" spans="1:8">
      <c r="B1783" t="s">
        <v>586</v>
      </c>
      <c r="C1783" t="s">
        <v>564</v>
      </c>
      <c r="D1783">
        <v>3190</v>
      </c>
      <c r="E1783">
        <v>3200</v>
      </c>
      <c r="F1783">
        <v>3190</v>
      </c>
      <c r="G1783">
        <v>3200</v>
      </c>
      <c r="H1783">
        <v>35500</v>
      </c>
    </row>
    <row r="1784" spans="1:8">
      <c r="A1784" s="1"/>
      <c r="B1784" s="1" t="s">
        <v>586</v>
      </c>
      <c r="C1784" s="1" t="s">
        <v>565</v>
      </c>
      <c r="D1784" s="1">
        <v>3200</v>
      </c>
      <c r="E1784" s="1">
        <v>3200</v>
      </c>
      <c r="F1784" s="1">
        <v>3195</v>
      </c>
      <c r="G1784" s="1">
        <v>3195</v>
      </c>
      <c r="H1784" s="1">
        <v>500</v>
      </c>
    </row>
    <row r="1785" spans="1:8">
      <c r="A1785" s="1"/>
      <c r="B1785" s="1" t="s">
        <v>586</v>
      </c>
      <c r="C1785" s="1" t="s">
        <v>566</v>
      </c>
      <c r="D1785" s="1">
        <v>3195</v>
      </c>
      <c r="E1785" s="1">
        <v>3210</v>
      </c>
      <c r="F1785" s="1">
        <v>3195</v>
      </c>
      <c r="G1785" s="1">
        <v>3210</v>
      </c>
      <c r="H1785" s="1">
        <v>26500</v>
      </c>
    </row>
    <row r="1786" spans="1:8">
      <c r="A1786" s="1"/>
      <c r="B1786" s="1" t="s">
        <v>586</v>
      </c>
      <c r="C1786" s="1" t="s">
        <v>567</v>
      </c>
      <c r="D1786" s="1">
        <v>3210</v>
      </c>
      <c r="E1786" s="1">
        <v>3210</v>
      </c>
      <c r="F1786" s="1">
        <v>3205</v>
      </c>
      <c r="G1786" s="1">
        <v>3205</v>
      </c>
      <c r="H1786" s="1">
        <v>800</v>
      </c>
    </row>
    <row r="1787" spans="1:8">
      <c r="A1787" s="1"/>
      <c r="B1787" s="1" t="s">
        <v>586</v>
      </c>
      <c r="C1787" s="1" t="s">
        <v>568</v>
      </c>
      <c r="D1787" s="1">
        <v>3210</v>
      </c>
      <c r="E1787" s="1">
        <v>3210</v>
      </c>
      <c r="F1787" s="1">
        <v>3205</v>
      </c>
      <c r="G1787" s="1">
        <v>3205</v>
      </c>
      <c r="H1787" s="1">
        <v>1700</v>
      </c>
    </row>
    <row r="1788" spans="1:8">
      <c r="A1788" s="1"/>
      <c r="B1788" s="1" t="s">
        <v>586</v>
      </c>
      <c r="C1788" s="1" t="s">
        <v>569</v>
      </c>
      <c r="D1788" s="1">
        <v>3205</v>
      </c>
      <c r="E1788" s="1">
        <v>3210</v>
      </c>
      <c r="F1788" s="1">
        <v>3205</v>
      </c>
      <c r="G1788" s="1">
        <v>3210</v>
      </c>
      <c r="H1788" s="1">
        <v>2000</v>
      </c>
    </row>
    <row r="1789" spans="1:8">
      <c r="A1789" s="1"/>
      <c r="B1789" s="1" t="s">
        <v>586</v>
      </c>
      <c r="C1789" s="1" t="s">
        <v>570</v>
      </c>
      <c r="D1789" s="1">
        <v>3205</v>
      </c>
      <c r="E1789" s="1">
        <v>3215</v>
      </c>
      <c r="F1789" s="1">
        <v>3205</v>
      </c>
      <c r="G1789" s="1">
        <v>3215</v>
      </c>
      <c r="H1789" s="1">
        <v>14200</v>
      </c>
    </row>
    <row r="1790" spans="1:8">
      <c r="A1790" s="1"/>
      <c r="B1790" s="1" t="s">
        <v>586</v>
      </c>
      <c r="C1790" s="1" t="s">
        <v>571</v>
      </c>
      <c r="D1790" s="1">
        <v>3215</v>
      </c>
      <c r="E1790" s="1">
        <v>3215</v>
      </c>
      <c r="F1790" s="1">
        <v>3215</v>
      </c>
      <c r="G1790" s="1">
        <v>3215</v>
      </c>
      <c r="H1790" s="1">
        <v>4200</v>
      </c>
    </row>
    <row r="1791" spans="1:8">
      <c r="A1791" s="1"/>
      <c r="B1791" s="1" t="s">
        <v>586</v>
      </c>
      <c r="C1791" s="1" t="s">
        <v>572</v>
      </c>
      <c r="D1791" s="1">
        <v>3215</v>
      </c>
      <c r="E1791" s="1">
        <v>3215</v>
      </c>
      <c r="F1791" s="1">
        <v>3215</v>
      </c>
      <c r="G1791" s="1">
        <v>3215</v>
      </c>
      <c r="H1791" s="1">
        <v>400</v>
      </c>
    </row>
    <row r="1792" spans="1:8">
      <c r="A1792" s="1"/>
      <c r="B1792" s="1" t="s">
        <v>586</v>
      </c>
      <c r="C1792" s="1" t="s">
        <v>573</v>
      </c>
      <c r="D1792" s="1">
        <v>3215</v>
      </c>
      <c r="E1792" s="1">
        <v>3225</v>
      </c>
      <c r="F1792" s="1">
        <v>3215</v>
      </c>
      <c r="G1792" s="1">
        <v>3220</v>
      </c>
      <c r="H1792" s="1">
        <v>39700</v>
      </c>
    </row>
    <row r="1793" spans="1:8">
      <c r="A1793" s="1"/>
      <c r="B1793" s="1" t="s">
        <v>586</v>
      </c>
      <c r="C1793" s="1" t="s">
        <v>574</v>
      </c>
      <c r="D1793" s="1">
        <v>3220</v>
      </c>
      <c r="E1793" s="1">
        <v>3225</v>
      </c>
      <c r="F1793" s="1">
        <v>3220</v>
      </c>
      <c r="G1793" s="1">
        <v>3220</v>
      </c>
      <c r="H1793" s="1">
        <v>700</v>
      </c>
    </row>
    <row r="1794" spans="1:8">
      <c r="A1794" s="1"/>
      <c r="B1794" s="1" t="s">
        <v>586</v>
      </c>
      <c r="C1794" s="1" t="s">
        <v>575</v>
      </c>
      <c r="D1794" s="1">
        <v>3220</v>
      </c>
      <c r="E1794" s="1">
        <v>3225</v>
      </c>
      <c r="F1794" s="1">
        <v>3220</v>
      </c>
      <c r="G1794" s="1">
        <v>3225</v>
      </c>
      <c r="H1794" s="1">
        <v>11100</v>
      </c>
    </row>
    <row r="1795" spans="1:8">
      <c r="A1795" s="1"/>
      <c r="B1795" s="1" t="s">
        <v>586</v>
      </c>
      <c r="C1795" s="1" t="s">
        <v>576</v>
      </c>
      <c r="D1795" s="1">
        <v>3220</v>
      </c>
      <c r="E1795" s="1">
        <v>3225</v>
      </c>
      <c r="F1795" s="1">
        <v>3220</v>
      </c>
      <c r="G1795" s="1">
        <v>3220</v>
      </c>
      <c r="H1795" s="1">
        <v>4200</v>
      </c>
    </row>
    <row r="1796" spans="1:8">
      <c r="A1796" s="1"/>
      <c r="B1796" s="1" t="s">
        <v>586</v>
      </c>
      <c r="C1796" s="1" t="s">
        <v>577</v>
      </c>
      <c r="D1796" s="1">
        <v>3220</v>
      </c>
      <c r="E1796" s="1">
        <v>3220</v>
      </c>
      <c r="F1796" s="1">
        <v>3215</v>
      </c>
      <c r="G1796" s="1">
        <v>3220</v>
      </c>
      <c r="H1796" s="1">
        <v>12600</v>
      </c>
    </row>
    <row r="1797" spans="1:8">
      <c r="A1797" s="1"/>
      <c r="B1797" s="1" t="s">
        <v>586</v>
      </c>
      <c r="C1797" s="1" t="s">
        <v>578</v>
      </c>
      <c r="D1797" s="1">
        <v>3220</v>
      </c>
      <c r="E1797" s="1">
        <v>3225</v>
      </c>
      <c r="F1797" s="1">
        <v>3215</v>
      </c>
      <c r="G1797" s="1">
        <v>3225</v>
      </c>
      <c r="H1797" s="1">
        <v>40600</v>
      </c>
    </row>
    <row r="1798" spans="1:8">
      <c r="A1798" s="1"/>
      <c r="B1798" s="1" t="s">
        <v>586</v>
      </c>
      <c r="C1798" s="1" t="s">
        <v>579</v>
      </c>
      <c r="D1798" s="1">
        <v>3225</v>
      </c>
      <c r="E1798" s="1">
        <v>3225</v>
      </c>
      <c r="F1798" s="1">
        <v>3225</v>
      </c>
      <c r="G1798" s="1">
        <v>3225</v>
      </c>
      <c r="H1798" s="1">
        <v>800</v>
      </c>
    </row>
    <row r="1799" spans="1:8">
      <c r="A1799" s="1"/>
      <c r="B1799" s="1" t="s">
        <v>586</v>
      </c>
      <c r="C1799" s="1" t="s">
        <v>580</v>
      </c>
      <c r="D1799" s="1">
        <v>3225</v>
      </c>
      <c r="E1799" s="1">
        <v>3225</v>
      </c>
      <c r="F1799" s="1">
        <v>3225</v>
      </c>
      <c r="G1799" s="1">
        <v>3225</v>
      </c>
      <c r="H1799" s="1">
        <v>4700</v>
      </c>
    </row>
    <row r="1800" spans="1:8">
      <c r="A1800" s="1"/>
      <c r="B1800" s="1" t="s">
        <v>586</v>
      </c>
      <c r="C1800" s="1" t="s">
        <v>581</v>
      </c>
      <c r="D1800" s="1">
        <v>3225</v>
      </c>
      <c r="E1800" s="1">
        <v>3225</v>
      </c>
      <c r="F1800" s="1">
        <v>3225</v>
      </c>
      <c r="G1800" s="1">
        <v>3225</v>
      </c>
      <c r="H1800" s="1">
        <v>4300</v>
      </c>
    </row>
    <row r="1801" spans="1:8">
      <c r="A1801" s="1"/>
      <c r="B1801" s="1" t="s">
        <v>587</v>
      </c>
      <c r="C1801" s="1" t="s">
        <v>312</v>
      </c>
      <c r="D1801" s="1">
        <v>3225</v>
      </c>
      <c r="E1801" s="1">
        <v>3225</v>
      </c>
      <c r="F1801" s="1">
        <v>3225</v>
      </c>
      <c r="G1801" s="1">
        <v>3225</v>
      </c>
      <c r="H1801" s="1">
        <v>200</v>
      </c>
    </row>
    <row r="1802" spans="1:8">
      <c r="A1802" s="1"/>
      <c r="B1802" s="1" t="s">
        <v>586</v>
      </c>
      <c r="C1802" s="1" t="s">
        <v>583</v>
      </c>
      <c r="D1802" s="1">
        <v>3225</v>
      </c>
      <c r="E1802" s="1">
        <v>3235</v>
      </c>
      <c r="F1802" s="1">
        <v>3225</v>
      </c>
      <c r="G1802" s="1">
        <v>3230</v>
      </c>
      <c r="H1802" s="1">
        <v>31100</v>
      </c>
    </row>
    <row r="1803" spans="1:8">
      <c r="A1803" s="1"/>
      <c r="B1803" s="1" t="s">
        <v>586</v>
      </c>
      <c r="C1803" s="1" t="s">
        <v>584</v>
      </c>
      <c r="D1803" s="1">
        <v>3230</v>
      </c>
      <c r="E1803" s="1">
        <v>3230</v>
      </c>
      <c r="F1803" s="1">
        <v>3230</v>
      </c>
      <c r="G1803" s="1">
        <v>3230</v>
      </c>
      <c r="H1803" s="1">
        <v>10100</v>
      </c>
    </row>
    <row r="1804" spans="1:8">
      <c r="A1804" s="1"/>
      <c r="B1804" s="1" t="s">
        <v>586</v>
      </c>
      <c r="C1804" s="1" t="s">
        <v>585</v>
      </c>
      <c r="D1804" s="1">
        <v>3230</v>
      </c>
      <c r="E1804" s="1">
        <v>3230</v>
      </c>
      <c r="F1804" s="1">
        <v>3225</v>
      </c>
      <c r="G1804" s="1">
        <v>3225</v>
      </c>
      <c r="H1804" s="1">
        <v>2800</v>
      </c>
    </row>
    <row r="1805" spans="1:8">
      <c r="A1805" s="1"/>
      <c r="B1805" s="1" t="s">
        <v>587</v>
      </c>
      <c r="C1805" s="1" t="s">
        <v>316</v>
      </c>
      <c r="D1805" s="1">
        <v>3230</v>
      </c>
      <c r="E1805" s="1">
        <v>3230</v>
      </c>
      <c r="F1805" s="1">
        <v>3230</v>
      </c>
      <c r="G1805" s="1">
        <v>3230</v>
      </c>
      <c r="H1805" s="1">
        <v>14300</v>
      </c>
    </row>
    <row r="1806" spans="1:8">
      <c r="A1806" s="1" t="s">
        <v>79</v>
      </c>
      <c r="B1806" s="1" t="s">
        <v>79</v>
      </c>
      <c r="C1806" s="1" t="s">
        <v>79</v>
      </c>
      <c r="D1806" s="1" t="s">
        <v>79</v>
      </c>
      <c r="E1806" s="1" t="s">
        <v>79</v>
      </c>
      <c r="F1806" s="1" t="s">
        <v>79</v>
      </c>
      <c r="G1806" s="1" t="s">
        <v>79</v>
      </c>
      <c r="H1806" s="1" t="s">
        <v>79</v>
      </c>
    </row>
    <row r="2327" spans="1:8">
      <c r="A2327" s="1"/>
      <c r="B2327" s="1"/>
      <c r="C2327" s="1"/>
      <c r="D2327" s="1"/>
      <c r="E2327" s="1"/>
      <c r="F2327" s="1"/>
      <c r="G2327" s="1"/>
      <c r="H2327" s="1"/>
    </row>
    <row r="2328" spans="1:8">
      <c r="A2328" s="1"/>
      <c r="B2328" s="1" t="s">
        <v>143</v>
      </c>
      <c r="C2328" s="1" t="s">
        <v>145</v>
      </c>
      <c r="D2328" s="1">
        <v>3085</v>
      </c>
      <c r="E2328" s="1">
        <v>3085</v>
      </c>
      <c r="F2328" s="1">
        <v>3080</v>
      </c>
      <c r="G2328" s="1">
        <v>3080</v>
      </c>
      <c r="H2328" s="1">
        <v>3600</v>
      </c>
    </row>
    <row r="2329" spans="1:8">
      <c r="A2329" s="1"/>
      <c r="B2329" s="1" t="s">
        <v>143</v>
      </c>
      <c r="C2329" s="1" t="s">
        <v>146</v>
      </c>
      <c r="D2329" s="1">
        <v>3085</v>
      </c>
      <c r="E2329" s="1">
        <v>3085</v>
      </c>
      <c r="F2329" s="1">
        <v>3080</v>
      </c>
      <c r="G2329" s="1">
        <v>3085</v>
      </c>
      <c r="H2329" s="1">
        <v>20300</v>
      </c>
    </row>
    <row r="2330" spans="1:8">
      <c r="A2330" s="1"/>
      <c r="B2330" s="1" t="s">
        <v>143</v>
      </c>
      <c r="C2330" s="1" t="s">
        <v>147</v>
      </c>
      <c r="D2330" s="1">
        <v>3085</v>
      </c>
      <c r="E2330" s="1">
        <v>3090</v>
      </c>
      <c r="F2330" s="1">
        <v>3080</v>
      </c>
      <c r="G2330" s="1">
        <v>3090</v>
      </c>
      <c r="H2330" s="1">
        <v>49200</v>
      </c>
    </row>
    <row r="2331" spans="1:8">
      <c r="A2331" s="1"/>
      <c r="B2331" s="1" t="s">
        <v>143</v>
      </c>
      <c r="C2331" s="1" t="s">
        <v>148</v>
      </c>
      <c r="D2331" s="1">
        <v>3090</v>
      </c>
      <c r="E2331" s="1">
        <v>3090</v>
      </c>
      <c r="F2331" s="1">
        <v>3085</v>
      </c>
      <c r="G2331" s="1">
        <v>3085</v>
      </c>
      <c r="H2331" s="1">
        <v>8800</v>
      </c>
    </row>
    <row r="2332" spans="1:8">
      <c r="A2332" s="1"/>
      <c r="B2332" s="1" t="s">
        <v>143</v>
      </c>
      <c r="C2332" s="1" t="s">
        <v>149</v>
      </c>
      <c r="D2332" s="1">
        <v>3090</v>
      </c>
      <c r="E2332" s="1">
        <v>3090</v>
      </c>
      <c r="F2332" s="1">
        <v>3085</v>
      </c>
      <c r="G2332" s="1">
        <v>3090</v>
      </c>
      <c r="H2332" s="1">
        <v>4400</v>
      </c>
    </row>
    <row r="2333" spans="1:8">
      <c r="A2333" s="1"/>
      <c r="B2333" s="1" t="s">
        <v>143</v>
      </c>
      <c r="C2333" s="1" t="s">
        <v>150</v>
      </c>
      <c r="D2333" s="1">
        <v>3085</v>
      </c>
      <c r="E2333" s="1">
        <v>3090</v>
      </c>
      <c r="F2333" s="1">
        <v>3085</v>
      </c>
      <c r="G2333" s="1">
        <v>3090</v>
      </c>
      <c r="H2333" s="1">
        <v>6300</v>
      </c>
    </row>
    <row r="2334" spans="1:8">
      <c r="A2334" s="1"/>
      <c r="B2334" s="1" t="s">
        <v>143</v>
      </c>
      <c r="C2334" s="1" t="s">
        <v>151</v>
      </c>
      <c r="D2334" s="1">
        <v>3090</v>
      </c>
      <c r="E2334" s="1">
        <v>3090</v>
      </c>
      <c r="F2334" s="1">
        <v>3085</v>
      </c>
      <c r="G2334" s="1">
        <v>3085</v>
      </c>
      <c r="H2334" s="1">
        <v>7500</v>
      </c>
    </row>
    <row r="2335" spans="1:8">
      <c r="A2335" s="1"/>
      <c r="B2335" s="1" t="s">
        <v>143</v>
      </c>
      <c r="C2335" s="1" t="s">
        <v>152</v>
      </c>
      <c r="D2335" s="1">
        <v>3085</v>
      </c>
      <c r="E2335" s="1">
        <v>3090</v>
      </c>
      <c r="F2335" s="1">
        <v>3085</v>
      </c>
      <c r="G2335" s="1">
        <v>3090</v>
      </c>
      <c r="H2335" s="1">
        <v>5600</v>
      </c>
    </row>
    <row r="2336" spans="1:8">
      <c r="A2336" s="1"/>
      <c r="B2336" s="1" t="s">
        <v>143</v>
      </c>
      <c r="C2336" s="1" t="s">
        <v>153</v>
      </c>
      <c r="D2336" s="1">
        <v>3090</v>
      </c>
      <c r="E2336" s="1">
        <v>3090</v>
      </c>
      <c r="F2336" s="1">
        <v>3090</v>
      </c>
      <c r="G2336" s="1">
        <v>3090</v>
      </c>
      <c r="H2336" s="1">
        <v>51900</v>
      </c>
    </row>
    <row r="2337" spans="1:8">
      <c r="A2337" s="1"/>
      <c r="B2337" s="1" t="s">
        <v>143</v>
      </c>
      <c r="C2337" s="1" t="s">
        <v>154</v>
      </c>
      <c r="D2337" s="1">
        <v>3090</v>
      </c>
      <c r="E2337" s="1">
        <v>3090</v>
      </c>
      <c r="F2337" s="1">
        <v>3085</v>
      </c>
      <c r="G2337" s="1">
        <v>3090</v>
      </c>
      <c r="H2337" s="1">
        <v>3400</v>
      </c>
    </row>
    <row r="2338" spans="1:8">
      <c r="A2338" s="1"/>
      <c r="B2338" s="1" t="s">
        <v>143</v>
      </c>
      <c r="C2338" s="1" t="s">
        <v>155</v>
      </c>
      <c r="D2338" s="1">
        <v>3090</v>
      </c>
      <c r="E2338" s="1">
        <v>3090</v>
      </c>
      <c r="F2338" s="1">
        <v>3090</v>
      </c>
      <c r="G2338" s="1">
        <v>3090</v>
      </c>
      <c r="H2338" s="1">
        <v>8600</v>
      </c>
    </row>
    <row r="2339" spans="1:8">
      <c r="A2339" s="1"/>
      <c r="B2339" s="1" t="s">
        <v>143</v>
      </c>
      <c r="C2339" s="1" t="s">
        <v>156</v>
      </c>
      <c r="D2339" s="1">
        <v>3090</v>
      </c>
      <c r="E2339" s="1">
        <v>3090</v>
      </c>
      <c r="F2339" s="1">
        <v>3085</v>
      </c>
      <c r="G2339" s="1">
        <v>3085</v>
      </c>
      <c r="H2339" s="1">
        <v>50500</v>
      </c>
    </row>
    <row r="2340" spans="1:8">
      <c r="A2340" s="1"/>
      <c r="B2340" s="1" t="s">
        <v>143</v>
      </c>
      <c r="C2340" s="1" t="s">
        <v>157</v>
      </c>
      <c r="D2340" s="1">
        <v>3090</v>
      </c>
      <c r="E2340" s="1">
        <v>3090</v>
      </c>
      <c r="F2340" s="1">
        <v>3085</v>
      </c>
      <c r="G2340" s="1">
        <v>3085</v>
      </c>
      <c r="H2340" s="1">
        <v>700</v>
      </c>
    </row>
    <row r="2341" spans="1:8">
      <c r="A2341" s="1"/>
      <c r="B2341" s="1" t="s">
        <v>143</v>
      </c>
      <c r="C2341" s="1" t="s">
        <v>158</v>
      </c>
      <c r="D2341" s="1">
        <v>3085</v>
      </c>
      <c r="E2341" s="1">
        <v>3090</v>
      </c>
      <c r="F2341" s="1">
        <v>3085</v>
      </c>
      <c r="G2341" s="1">
        <v>3085</v>
      </c>
      <c r="H2341" s="1">
        <v>17000</v>
      </c>
    </row>
    <row r="2342" spans="1:8">
      <c r="A2342" s="1"/>
      <c r="B2342" s="1" t="s">
        <v>143</v>
      </c>
      <c r="C2342" s="1" t="s">
        <v>159</v>
      </c>
      <c r="D2342" s="1">
        <v>3080</v>
      </c>
      <c r="E2342" s="1">
        <v>3085</v>
      </c>
      <c r="F2342" s="1">
        <v>3080</v>
      </c>
      <c r="G2342" s="1">
        <v>3080</v>
      </c>
      <c r="H2342" s="1">
        <v>4900</v>
      </c>
    </row>
    <row r="2343" spans="1:8">
      <c r="A2343" s="1"/>
      <c r="B2343" s="1" t="s">
        <v>143</v>
      </c>
      <c r="C2343" s="1" t="s">
        <v>160</v>
      </c>
      <c r="D2343" s="1">
        <v>3080</v>
      </c>
      <c r="E2343" s="1">
        <v>3085</v>
      </c>
      <c r="F2343" s="1">
        <v>3080</v>
      </c>
      <c r="G2343" s="1">
        <v>3085</v>
      </c>
      <c r="H2343" s="1">
        <v>3300</v>
      </c>
    </row>
    <row r="2344" spans="1:8">
      <c r="A2344" s="1"/>
      <c r="B2344" s="1" t="s">
        <v>143</v>
      </c>
      <c r="C2344" s="1" t="s">
        <v>161</v>
      </c>
      <c r="D2344" s="1">
        <v>3085</v>
      </c>
      <c r="E2344" s="1">
        <v>3085</v>
      </c>
      <c r="F2344" s="1">
        <v>3080</v>
      </c>
      <c r="G2344" s="1">
        <v>3085</v>
      </c>
      <c r="H2344" s="1">
        <v>6300</v>
      </c>
    </row>
    <row r="2345" spans="1:8">
      <c r="A2345" s="1"/>
      <c r="B2345" s="1" t="s">
        <v>143</v>
      </c>
      <c r="C2345" s="1" t="s">
        <v>162</v>
      </c>
      <c r="D2345" s="1">
        <v>3085</v>
      </c>
      <c r="E2345" s="1">
        <v>3085</v>
      </c>
      <c r="F2345" s="1">
        <v>3080</v>
      </c>
      <c r="G2345" s="1">
        <v>3085</v>
      </c>
      <c r="H2345" s="1">
        <v>3600</v>
      </c>
    </row>
    <row r="2346" spans="1:8">
      <c r="A2346" s="1"/>
      <c r="B2346" s="1" t="s">
        <v>143</v>
      </c>
      <c r="C2346" s="1" t="s">
        <v>163</v>
      </c>
      <c r="D2346" s="1">
        <v>3085</v>
      </c>
      <c r="E2346" s="1">
        <v>3085</v>
      </c>
      <c r="F2346" s="1">
        <v>3080</v>
      </c>
      <c r="G2346" s="1">
        <v>3085</v>
      </c>
      <c r="H2346" s="1">
        <v>6700</v>
      </c>
    </row>
    <row r="2347" spans="1:8">
      <c r="A2347" s="1"/>
      <c r="B2347" s="1" t="s">
        <v>143</v>
      </c>
      <c r="C2347" s="1" t="s">
        <v>81</v>
      </c>
      <c r="D2347" s="1">
        <v>3085</v>
      </c>
      <c r="E2347" s="1">
        <v>3090</v>
      </c>
      <c r="F2347" s="1">
        <v>3085</v>
      </c>
      <c r="G2347" s="1">
        <v>3090</v>
      </c>
      <c r="H2347" s="1">
        <v>8600</v>
      </c>
    </row>
    <row r="2348" spans="1:8">
      <c r="A2348" s="1"/>
      <c r="B2348" s="1" t="s">
        <v>143</v>
      </c>
      <c r="C2348" s="1" t="s">
        <v>82</v>
      </c>
      <c r="D2348" s="1">
        <v>3090</v>
      </c>
      <c r="E2348" s="1">
        <v>3090</v>
      </c>
      <c r="F2348" s="1">
        <v>3085</v>
      </c>
      <c r="G2348" s="1">
        <v>3090</v>
      </c>
      <c r="H2348" s="1">
        <v>5000</v>
      </c>
    </row>
    <row r="2349" spans="1:8">
      <c r="A2349" s="1"/>
      <c r="B2349" s="1" t="s">
        <v>143</v>
      </c>
      <c r="C2349" s="1" t="s">
        <v>83</v>
      </c>
      <c r="D2349" s="1">
        <v>3090</v>
      </c>
      <c r="E2349" s="1">
        <v>3090</v>
      </c>
      <c r="F2349" s="1">
        <v>3085</v>
      </c>
      <c r="G2349" s="1">
        <v>3090</v>
      </c>
      <c r="H2349" s="1">
        <v>8600</v>
      </c>
    </row>
    <row r="2350" spans="1:8">
      <c r="A2350" s="1"/>
      <c r="B2350" s="1" t="s">
        <v>143</v>
      </c>
      <c r="C2350" s="1" t="s">
        <v>84</v>
      </c>
      <c r="D2350" s="1">
        <v>3090</v>
      </c>
      <c r="E2350" s="1">
        <v>3090</v>
      </c>
      <c r="F2350" s="1">
        <v>3085</v>
      </c>
      <c r="G2350" s="1">
        <v>3090</v>
      </c>
      <c r="H2350" s="1">
        <v>8100</v>
      </c>
    </row>
    <row r="2351" spans="1:8">
      <c r="A2351" s="1"/>
      <c r="B2351" s="1" t="s">
        <v>143</v>
      </c>
      <c r="C2351" s="1" t="s">
        <v>85</v>
      </c>
      <c r="D2351" s="1">
        <v>3090</v>
      </c>
      <c r="E2351" s="1">
        <v>3090</v>
      </c>
      <c r="F2351" s="1">
        <v>3085</v>
      </c>
      <c r="G2351" s="1">
        <v>3090</v>
      </c>
      <c r="H2351" s="1">
        <v>3700</v>
      </c>
    </row>
    <row r="2352" spans="1:8">
      <c r="A2352" s="1"/>
      <c r="B2352" s="1" t="s">
        <v>143</v>
      </c>
      <c r="C2352" s="1" t="s">
        <v>86</v>
      </c>
      <c r="D2352" s="1">
        <v>3090</v>
      </c>
      <c r="E2352" s="1">
        <v>3110</v>
      </c>
      <c r="F2352" s="1">
        <v>3085</v>
      </c>
      <c r="G2352" s="1">
        <v>3110</v>
      </c>
      <c r="H2352" s="1">
        <v>256400</v>
      </c>
    </row>
    <row r="2353" spans="1:8">
      <c r="A2353" s="1"/>
      <c r="B2353" s="1" t="s">
        <v>143</v>
      </c>
      <c r="C2353" s="1" t="s">
        <v>87</v>
      </c>
      <c r="D2353" s="1">
        <v>3110</v>
      </c>
      <c r="E2353" s="1">
        <v>3115</v>
      </c>
      <c r="F2353" s="1">
        <v>3110</v>
      </c>
      <c r="G2353" s="1">
        <v>3115</v>
      </c>
      <c r="H2353" s="1">
        <v>67100</v>
      </c>
    </row>
    <row r="2354" spans="1:8">
      <c r="A2354" s="1"/>
      <c r="B2354" s="1" t="s">
        <v>143</v>
      </c>
      <c r="C2354" s="1" t="s">
        <v>88</v>
      </c>
      <c r="D2354" s="1">
        <v>3115</v>
      </c>
      <c r="E2354" s="1">
        <v>3115</v>
      </c>
      <c r="F2354" s="1">
        <v>3110</v>
      </c>
      <c r="G2354" s="1">
        <v>3115</v>
      </c>
      <c r="H2354" s="1">
        <v>22400</v>
      </c>
    </row>
    <row r="2355" spans="1:8">
      <c r="A2355" s="1"/>
      <c r="B2355" s="1" t="s">
        <v>143</v>
      </c>
      <c r="C2355" s="1" t="s">
        <v>89</v>
      </c>
      <c r="D2355" s="1">
        <v>3115</v>
      </c>
      <c r="E2355" s="1">
        <v>3115</v>
      </c>
      <c r="F2355" s="1">
        <v>3110</v>
      </c>
      <c r="G2355" s="1">
        <v>3115</v>
      </c>
      <c r="H2355" s="1">
        <v>15100</v>
      </c>
    </row>
    <row r="2356" spans="1:8">
      <c r="A2356" s="1"/>
      <c r="B2356" s="1" t="s">
        <v>143</v>
      </c>
      <c r="C2356" s="1" t="s">
        <v>90</v>
      </c>
      <c r="D2356" s="1">
        <v>3115</v>
      </c>
      <c r="E2356" s="1">
        <v>3115</v>
      </c>
      <c r="F2356" s="1">
        <v>3110</v>
      </c>
      <c r="G2356" s="1">
        <v>3110</v>
      </c>
      <c r="H2356" s="1">
        <v>5700</v>
      </c>
    </row>
    <row r="2357" spans="1:8">
      <c r="A2357" s="1"/>
      <c r="B2357" s="1" t="s">
        <v>143</v>
      </c>
      <c r="C2357" s="1" t="s">
        <v>91</v>
      </c>
      <c r="D2357" s="1">
        <v>3110</v>
      </c>
      <c r="E2357" s="1">
        <v>3115</v>
      </c>
      <c r="F2357" s="1">
        <v>3110</v>
      </c>
      <c r="G2357" s="1">
        <v>3110</v>
      </c>
      <c r="H2357" s="1">
        <v>11600</v>
      </c>
    </row>
    <row r="2358" spans="1:8">
      <c r="A2358" s="1"/>
      <c r="B2358" s="1" t="s">
        <v>143</v>
      </c>
      <c r="C2358" s="1" t="s">
        <v>92</v>
      </c>
      <c r="D2358" s="1">
        <v>3115</v>
      </c>
      <c r="E2358" s="1">
        <v>3115</v>
      </c>
      <c r="F2358" s="1">
        <v>3110</v>
      </c>
      <c r="G2358" s="1">
        <v>3115</v>
      </c>
      <c r="H2358" s="1">
        <v>8400</v>
      </c>
    </row>
    <row r="2359" spans="1:8">
      <c r="A2359" s="1"/>
      <c r="B2359" s="1" t="s">
        <v>143</v>
      </c>
      <c r="C2359" s="1" t="s">
        <v>93</v>
      </c>
      <c r="D2359" s="1">
        <v>3110</v>
      </c>
      <c r="E2359" s="1">
        <v>3115</v>
      </c>
      <c r="F2359" s="1">
        <v>3110</v>
      </c>
      <c r="G2359" s="1">
        <v>3115</v>
      </c>
      <c r="H2359" s="1">
        <v>7200</v>
      </c>
    </row>
    <row r="2360" spans="1:8">
      <c r="A2360" s="1"/>
      <c r="B2360" s="1" t="s">
        <v>143</v>
      </c>
      <c r="C2360" s="1" t="s">
        <v>94</v>
      </c>
      <c r="D2360" s="1">
        <v>3110</v>
      </c>
      <c r="E2360" s="1">
        <v>3115</v>
      </c>
      <c r="F2360" s="1">
        <v>3110</v>
      </c>
      <c r="G2360" s="1">
        <v>3110</v>
      </c>
      <c r="H2360" s="1">
        <v>6400</v>
      </c>
    </row>
    <row r="2361" spans="1:8">
      <c r="A2361" s="1"/>
      <c r="B2361" s="1" t="s">
        <v>143</v>
      </c>
      <c r="C2361" s="1" t="s">
        <v>95</v>
      </c>
      <c r="D2361" s="1">
        <v>3110</v>
      </c>
      <c r="E2361" s="1">
        <v>3120</v>
      </c>
      <c r="F2361" s="1">
        <v>3110</v>
      </c>
      <c r="G2361" s="1">
        <v>3115</v>
      </c>
      <c r="H2361" s="1">
        <v>66400</v>
      </c>
    </row>
    <row r="2362" spans="1:8">
      <c r="A2362" s="1"/>
      <c r="B2362" s="1" t="s">
        <v>143</v>
      </c>
      <c r="C2362" s="1" t="s">
        <v>96</v>
      </c>
      <c r="D2362" s="1">
        <v>3115</v>
      </c>
      <c r="E2362" s="1">
        <v>3115</v>
      </c>
      <c r="F2362" s="1">
        <v>3110</v>
      </c>
      <c r="G2362" s="1">
        <v>3115</v>
      </c>
      <c r="H2362" s="1">
        <v>13400</v>
      </c>
    </row>
    <row r="2363" spans="1:8">
      <c r="A2363" s="1"/>
      <c r="B2363" s="1" t="s">
        <v>143</v>
      </c>
      <c r="C2363" s="1" t="s">
        <v>97</v>
      </c>
      <c r="D2363" s="1">
        <v>3115</v>
      </c>
      <c r="E2363" s="1">
        <v>3120</v>
      </c>
      <c r="F2363" s="1">
        <v>3110</v>
      </c>
      <c r="G2363" s="1">
        <v>3115</v>
      </c>
      <c r="H2363" s="1">
        <v>31100</v>
      </c>
    </row>
    <row r="2364" spans="1:8">
      <c r="A2364" s="1"/>
      <c r="B2364" s="1" t="s">
        <v>143</v>
      </c>
      <c r="C2364" s="1" t="s">
        <v>98</v>
      </c>
      <c r="D2364" s="1">
        <v>3115</v>
      </c>
      <c r="E2364" s="1">
        <v>3115</v>
      </c>
      <c r="F2364" s="1">
        <v>3110</v>
      </c>
      <c r="G2364" s="1">
        <v>3115</v>
      </c>
      <c r="H2364" s="1">
        <v>17700</v>
      </c>
    </row>
    <row r="2365" spans="1:8">
      <c r="A2365" s="1"/>
      <c r="B2365" s="1" t="s">
        <v>143</v>
      </c>
      <c r="C2365" s="1" t="s">
        <v>99</v>
      </c>
      <c r="D2365" s="1">
        <v>3115</v>
      </c>
      <c r="E2365" s="1">
        <v>3115</v>
      </c>
      <c r="F2365" s="1">
        <v>3110</v>
      </c>
      <c r="G2365" s="1">
        <v>3110</v>
      </c>
      <c r="H2365" s="1">
        <v>19400</v>
      </c>
    </row>
    <row r="2366" spans="1:8">
      <c r="A2366" s="1"/>
      <c r="B2366" s="1" t="s">
        <v>143</v>
      </c>
      <c r="C2366" s="1" t="s">
        <v>100</v>
      </c>
      <c r="D2366" s="1">
        <v>3110</v>
      </c>
      <c r="E2366" s="1">
        <v>3115</v>
      </c>
      <c r="F2366" s="1">
        <v>3110</v>
      </c>
      <c r="G2366" s="1">
        <v>3110</v>
      </c>
      <c r="H2366" s="1">
        <v>59000</v>
      </c>
    </row>
    <row r="2367" spans="1:8">
      <c r="A2367" s="1"/>
      <c r="B2367" s="1" t="s">
        <v>143</v>
      </c>
      <c r="C2367" s="1" t="s">
        <v>101</v>
      </c>
      <c r="D2367" s="1">
        <v>3110</v>
      </c>
      <c r="E2367" s="1">
        <v>3115</v>
      </c>
      <c r="F2367" s="1">
        <v>3110</v>
      </c>
      <c r="G2367" s="1">
        <v>3110</v>
      </c>
      <c r="H2367" s="1">
        <v>4000</v>
      </c>
    </row>
    <row r="2368" spans="1:8">
      <c r="A2368" s="1"/>
      <c r="B2368" s="1" t="s">
        <v>143</v>
      </c>
      <c r="C2368" s="1" t="s">
        <v>102</v>
      </c>
      <c r="D2368" s="1">
        <v>3115</v>
      </c>
      <c r="E2368" s="1">
        <v>3115</v>
      </c>
      <c r="F2368" s="1">
        <v>3110</v>
      </c>
      <c r="G2368" s="1">
        <v>3110</v>
      </c>
      <c r="H2368" s="1">
        <v>5100</v>
      </c>
    </row>
    <row r="2369" spans="1:8">
      <c r="A2369" s="1"/>
      <c r="B2369" s="1" t="s">
        <v>143</v>
      </c>
      <c r="C2369" s="1" t="s">
        <v>103</v>
      </c>
      <c r="D2369" s="1">
        <v>3110</v>
      </c>
      <c r="E2369" s="1">
        <v>3115</v>
      </c>
      <c r="F2369" s="1">
        <v>3110</v>
      </c>
      <c r="G2369" s="1">
        <v>3115</v>
      </c>
      <c r="H2369" s="1">
        <v>12300</v>
      </c>
    </row>
    <row r="2370" spans="1:8">
      <c r="A2370" s="1"/>
      <c r="B2370" s="1" t="s">
        <v>143</v>
      </c>
      <c r="C2370" s="1" t="s">
        <v>104</v>
      </c>
      <c r="D2370" s="1">
        <v>3115</v>
      </c>
      <c r="E2370" s="1">
        <v>3120</v>
      </c>
      <c r="F2370" s="1">
        <v>3110</v>
      </c>
      <c r="G2370" s="1">
        <v>3115</v>
      </c>
      <c r="H2370" s="1">
        <v>55800</v>
      </c>
    </row>
    <row r="2371" spans="1:8">
      <c r="A2371" s="1"/>
      <c r="B2371" s="1" t="s">
        <v>143</v>
      </c>
      <c r="C2371" s="1" t="s">
        <v>105</v>
      </c>
      <c r="D2371" s="1">
        <v>3120</v>
      </c>
      <c r="E2371" s="1">
        <v>3130</v>
      </c>
      <c r="F2371" s="1">
        <v>3115</v>
      </c>
      <c r="G2371" s="1">
        <v>3130</v>
      </c>
      <c r="H2371" s="1">
        <v>127500</v>
      </c>
    </row>
    <row r="2372" spans="1:8">
      <c r="A2372" s="1"/>
      <c r="B2372" s="1" t="s">
        <v>143</v>
      </c>
      <c r="C2372" s="1" t="s">
        <v>106</v>
      </c>
      <c r="D2372" s="1">
        <v>3130</v>
      </c>
      <c r="E2372" s="1">
        <v>3130</v>
      </c>
      <c r="F2372" s="1">
        <v>3100</v>
      </c>
      <c r="G2372" s="1">
        <v>3100</v>
      </c>
      <c r="H2372" s="1">
        <v>110500</v>
      </c>
    </row>
    <row r="2373" spans="1:8">
      <c r="A2373" s="1"/>
      <c r="B2373" s="1" t="s">
        <v>143</v>
      </c>
      <c r="C2373" s="1" t="s">
        <v>107</v>
      </c>
      <c r="D2373" s="1">
        <v>3105</v>
      </c>
      <c r="E2373" s="1">
        <v>3110</v>
      </c>
      <c r="F2373" s="1">
        <v>3100</v>
      </c>
      <c r="G2373" s="1">
        <v>3105</v>
      </c>
      <c r="H2373" s="1">
        <v>23400</v>
      </c>
    </row>
    <row r="2374" spans="1:8">
      <c r="A2374" s="1"/>
      <c r="B2374" s="1" t="s">
        <v>143</v>
      </c>
      <c r="C2374" s="1" t="s">
        <v>108</v>
      </c>
      <c r="D2374" s="1">
        <v>3105</v>
      </c>
      <c r="E2374" s="1">
        <v>3105</v>
      </c>
      <c r="F2374" s="1">
        <v>3095</v>
      </c>
      <c r="G2374" s="1">
        <v>3095</v>
      </c>
      <c r="H2374" s="1">
        <v>47700</v>
      </c>
    </row>
    <row r="2375" spans="1:8">
      <c r="A2375" s="1"/>
      <c r="B2375" s="1" t="s">
        <v>143</v>
      </c>
      <c r="C2375" s="1" t="s">
        <v>109</v>
      </c>
      <c r="D2375" s="1">
        <v>3095</v>
      </c>
      <c r="E2375" s="1">
        <v>3100</v>
      </c>
      <c r="F2375" s="1">
        <v>3090</v>
      </c>
      <c r="G2375" s="1">
        <v>3100</v>
      </c>
      <c r="H2375" s="1">
        <v>18100</v>
      </c>
    </row>
    <row r="2376" spans="1:8">
      <c r="A2376" s="1"/>
      <c r="B2376" s="1" t="s">
        <v>143</v>
      </c>
      <c r="C2376" s="1" t="s">
        <v>110</v>
      </c>
      <c r="D2376" s="1">
        <v>3100</v>
      </c>
      <c r="E2376" s="1">
        <v>3100</v>
      </c>
      <c r="F2376" s="1">
        <v>3080</v>
      </c>
      <c r="G2376" s="1">
        <v>3080</v>
      </c>
      <c r="H2376" s="1">
        <v>60200</v>
      </c>
    </row>
    <row r="2377" spans="1:8">
      <c r="A2377" s="1"/>
      <c r="B2377" s="1" t="s">
        <v>143</v>
      </c>
      <c r="C2377" s="1" t="s">
        <v>111</v>
      </c>
      <c r="D2377" s="1">
        <v>3085</v>
      </c>
      <c r="E2377" s="1">
        <v>3085</v>
      </c>
      <c r="F2377" s="1">
        <v>3070</v>
      </c>
      <c r="G2377" s="1">
        <v>3075</v>
      </c>
      <c r="H2377" s="1">
        <v>56000</v>
      </c>
    </row>
    <row r="2378" spans="1:8">
      <c r="A2378" s="1"/>
      <c r="B2378" s="1" t="s">
        <v>143</v>
      </c>
      <c r="C2378" s="1" t="s">
        <v>112</v>
      </c>
      <c r="D2378" s="1">
        <v>3075</v>
      </c>
      <c r="E2378" s="1">
        <v>3085</v>
      </c>
      <c r="F2378" s="1">
        <v>3070</v>
      </c>
      <c r="G2378" s="1">
        <v>3085</v>
      </c>
      <c r="H2378" s="1">
        <v>46800</v>
      </c>
    </row>
    <row r="2379" spans="1:8">
      <c r="A2379" s="1"/>
      <c r="B2379" s="1" t="s">
        <v>143</v>
      </c>
      <c r="C2379" s="1" t="s">
        <v>113</v>
      </c>
      <c r="D2379" s="1">
        <v>3085</v>
      </c>
      <c r="E2379" s="1">
        <v>3090</v>
      </c>
      <c r="F2379" s="1">
        <v>3080</v>
      </c>
      <c r="G2379" s="1">
        <v>3090</v>
      </c>
      <c r="H2379" s="1">
        <v>19900</v>
      </c>
    </row>
    <row r="2380" spans="1:8">
      <c r="A2380" s="1"/>
      <c r="B2380" s="1" t="s">
        <v>143</v>
      </c>
      <c r="C2380" s="1" t="s">
        <v>114</v>
      </c>
      <c r="D2380" s="1">
        <v>3085</v>
      </c>
      <c r="E2380" s="1">
        <v>3095</v>
      </c>
      <c r="F2380" s="1">
        <v>3085</v>
      </c>
      <c r="G2380" s="1">
        <v>3090</v>
      </c>
      <c r="H2380" s="1">
        <v>27100</v>
      </c>
    </row>
    <row r="2381" spans="1:8">
      <c r="A2381" s="1"/>
      <c r="B2381" s="1" t="s">
        <v>143</v>
      </c>
      <c r="C2381" s="1" t="s">
        <v>115</v>
      </c>
      <c r="D2381" s="1">
        <v>3090</v>
      </c>
      <c r="E2381" s="1">
        <v>3095</v>
      </c>
      <c r="F2381" s="1">
        <v>3090</v>
      </c>
      <c r="G2381" s="1">
        <v>3095</v>
      </c>
      <c r="H2381" s="1">
        <v>13500</v>
      </c>
    </row>
    <row r="2382" spans="1:8">
      <c r="A2382" s="1"/>
      <c r="B2382" s="1" t="s">
        <v>143</v>
      </c>
      <c r="C2382" s="1" t="s">
        <v>116</v>
      </c>
      <c r="D2382" s="1">
        <v>3095</v>
      </c>
      <c r="E2382" s="1">
        <v>3095</v>
      </c>
      <c r="F2382" s="1">
        <v>3090</v>
      </c>
      <c r="G2382" s="1">
        <v>3095</v>
      </c>
      <c r="H2382" s="1">
        <v>14100</v>
      </c>
    </row>
    <row r="2383" spans="1:8">
      <c r="A2383" s="1"/>
      <c r="B2383" s="1" t="s">
        <v>143</v>
      </c>
      <c r="C2383" s="1" t="s">
        <v>117</v>
      </c>
      <c r="D2383" s="1">
        <v>3095</v>
      </c>
      <c r="E2383" s="1">
        <v>3095</v>
      </c>
      <c r="F2383" s="1">
        <v>3090</v>
      </c>
      <c r="G2383" s="1">
        <v>3095</v>
      </c>
      <c r="H2383" s="1">
        <v>5700</v>
      </c>
    </row>
    <row r="2384" spans="1:8">
      <c r="A2384" s="1"/>
      <c r="B2384" s="1" t="s">
        <v>143</v>
      </c>
      <c r="C2384" s="1" t="s">
        <v>118</v>
      </c>
      <c r="D2384" s="1">
        <v>3095</v>
      </c>
      <c r="E2384" s="1">
        <v>3100</v>
      </c>
      <c r="F2384" s="1">
        <v>3090</v>
      </c>
      <c r="G2384" s="1">
        <v>3095</v>
      </c>
      <c r="H2384" s="1">
        <v>58900</v>
      </c>
    </row>
    <row r="2385" spans="1:8">
      <c r="A2385" s="1"/>
      <c r="B2385" s="1" t="s">
        <v>144</v>
      </c>
      <c r="C2385" s="1" t="s">
        <v>67</v>
      </c>
      <c r="D2385" s="1" t="s">
        <v>8</v>
      </c>
      <c r="E2385" s="1" t="s">
        <v>8</v>
      </c>
      <c r="F2385" s="1" t="s">
        <v>8</v>
      </c>
      <c r="G2385" s="1" t="s">
        <v>8</v>
      </c>
      <c r="H2385" s="1">
        <v>0</v>
      </c>
    </row>
    <row r="2386" spans="1:8">
      <c r="A2386" s="1"/>
      <c r="B2386" s="1" t="s">
        <v>144</v>
      </c>
      <c r="C2386" s="1" t="s">
        <v>68</v>
      </c>
      <c r="D2386" s="1" t="s">
        <v>8</v>
      </c>
      <c r="E2386" s="1" t="s">
        <v>8</v>
      </c>
      <c r="F2386" s="1" t="s">
        <v>8</v>
      </c>
      <c r="G2386" s="1" t="s">
        <v>8</v>
      </c>
      <c r="H2386" s="1">
        <v>0</v>
      </c>
    </row>
    <row r="2387" spans="1:8">
      <c r="A2387" s="1"/>
      <c r="B2387" s="1" t="s">
        <v>144</v>
      </c>
      <c r="C2387" s="1" t="s">
        <v>69</v>
      </c>
      <c r="D2387" s="1" t="s">
        <v>8</v>
      </c>
      <c r="E2387" s="1" t="s">
        <v>8</v>
      </c>
      <c r="F2387" s="1" t="s">
        <v>8</v>
      </c>
      <c r="G2387" s="1" t="s">
        <v>8</v>
      </c>
      <c r="H2387" s="1">
        <v>0</v>
      </c>
    </row>
    <row r="2388" spans="1:8">
      <c r="A2388" s="1"/>
      <c r="B2388" s="1" t="s">
        <v>144</v>
      </c>
      <c r="C2388" s="1" t="s">
        <v>70</v>
      </c>
      <c r="D2388" s="1" t="s">
        <v>8</v>
      </c>
      <c r="E2388" s="1" t="s">
        <v>8</v>
      </c>
      <c r="F2388" s="1" t="s">
        <v>8</v>
      </c>
      <c r="G2388" s="1" t="s">
        <v>8</v>
      </c>
      <c r="H2388" s="1">
        <v>0</v>
      </c>
    </row>
    <row r="2389" spans="1:8">
      <c r="A2389" s="1"/>
      <c r="B2389" s="1" t="s">
        <v>144</v>
      </c>
      <c r="C2389" s="1" t="s">
        <v>71</v>
      </c>
      <c r="D2389" s="1" t="s">
        <v>8</v>
      </c>
      <c r="E2389" s="1" t="s">
        <v>8</v>
      </c>
      <c r="F2389" s="1" t="s">
        <v>8</v>
      </c>
      <c r="G2389" s="1" t="s">
        <v>8</v>
      </c>
      <c r="H2389" s="1">
        <v>0</v>
      </c>
    </row>
    <row r="2390" spans="1:8">
      <c r="A2390" s="1"/>
      <c r="B2390" s="1" t="s">
        <v>144</v>
      </c>
      <c r="C2390" s="1" t="s">
        <v>72</v>
      </c>
      <c r="D2390" s="1">
        <v>3110</v>
      </c>
      <c r="E2390" s="1">
        <v>3110</v>
      </c>
      <c r="F2390" s="1">
        <v>3110</v>
      </c>
      <c r="G2390" s="1">
        <v>3110</v>
      </c>
      <c r="H2390" s="1">
        <v>414000</v>
      </c>
    </row>
    <row r="2391" spans="1:8">
      <c r="A2391" s="1" t="s">
        <v>79</v>
      </c>
      <c r="B2391" s="1" t="s">
        <v>79</v>
      </c>
      <c r="C2391" s="1" t="s">
        <v>79</v>
      </c>
      <c r="D2391" s="1" t="s">
        <v>79</v>
      </c>
      <c r="E2391" s="1" t="s">
        <v>79</v>
      </c>
      <c r="F2391" s="1" t="s">
        <v>79</v>
      </c>
      <c r="G2391" s="1" t="s">
        <v>79</v>
      </c>
      <c r="H2391" s="1" t="s">
        <v>79</v>
      </c>
    </row>
    <row r="2392" spans="1:8">
      <c r="A2392" s="1"/>
      <c r="B2392" s="1" t="s">
        <v>78</v>
      </c>
      <c r="C2392" s="1" t="s">
        <v>107</v>
      </c>
      <c r="D2392" s="1">
        <v>2851</v>
      </c>
      <c r="E2392" s="1">
        <v>2851</v>
      </c>
      <c r="F2392" s="1">
        <v>2846</v>
      </c>
      <c r="G2392" s="1">
        <v>2851</v>
      </c>
      <c r="H2392" s="1">
        <v>43600</v>
      </c>
    </row>
    <row r="2393" spans="1:8">
      <c r="A2393" s="1"/>
      <c r="B2393" s="1" t="s">
        <v>78</v>
      </c>
      <c r="C2393" s="1" t="s">
        <v>108</v>
      </c>
      <c r="D2393" s="1">
        <v>2851</v>
      </c>
      <c r="E2393" s="1">
        <v>2858</v>
      </c>
      <c r="F2393" s="1">
        <v>2849</v>
      </c>
      <c r="G2393" s="1">
        <v>2856</v>
      </c>
      <c r="H2393" s="1">
        <v>39000</v>
      </c>
    </row>
    <row r="2394" spans="1:8">
      <c r="A2394" s="1"/>
      <c r="B2394" s="1" t="s">
        <v>78</v>
      </c>
      <c r="C2394" s="1" t="s">
        <v>109</v>
      </c>
      <c r="D2394" s="1">
        <v>2855</v>
      </c>
      <c r="E2394" s="1">
        <v>2855</v>
      </c>
      <c r="F2394" s="1">
        <v>2852</v>
      </c>
      <c r="G2394" s="1">
        <v>2853</v>
      </c>
      <c r="H2394" s="1">
        <v>17700</v>
      </c>
    </row>
    <row r="2395" spans="1:8">
      <c r="A2395" s="1"/>
      <c r="B2395" s="1" t="s">
        <v>78</v>
      </c>
      <c r="C2395" s="1" t="s">
        <v>110</v>
      </c>
      <c r="D2395" s="1">
        <v>2852</v>
      </c>
      <c r="E2395" s="1">
        <v>2865</v>
      </c>
      <c r="F2395" s="1">
        <v>2852</v>
      </c>
      <c r="G2395" s="1">
        <v>2863</v>
      </c>
      <c r="H2395" s="1">
        <v>62600</v>
      </c>
    </row>
    <row r="2396" spans="1:8">
      <c r="A2396" s="1"/>
      <c r="B2396" s="1" t="s">
        <v>78</v>
      </c>
      <c r="C2396" s="1" t="s">
        <v>111</v>
      </c>
      <c r="D2396" s="1">
        <v>2862</v>
      </c>
      <c r="E2396" s="1">
        <v>2862</v>
      </c>
      <c r="F2396" s="1">
        <v>2855</v>
      </c>
      <c r="G2396" s="1">
        <v>2858</v>
      </c>
      <c r="H2396" s="1">
        <v>29700</v>
      </c>
    </row>
    <row r="2397" spans="1:8">
      <c r="A2397" s="1"/>
      <c r="B2397" s="1" t="s">
        <v>78</v>
      </c>
      <c r="C2397" s="1" t="s">
        <v>112</v>
      </c>
      <c r="D2397" s="1">
        <v>2858</v>
      </c>
      <c r="E2397" s="1">
        <v>2859</v>
      </c>
      <c r="F2397" s="1">
        <v>2857</v>
      </c>
      <c r="G2397" s="1">
        <v>2859</v>
      </c>
      <c r="H2397" s="1">
        <v>11800</v>
      </c>
    </row>
    <row r="2398" spans="1:8">
      <c r="A2398" s="1"/>
      <c r="B2398" s="1" t="s">
        <v>78</v>
      </c>
      <c r="C2398" s="1" t="s">
        <v>113</v>
      </c>
      <c r="D2398" s="1">
        <v>2858</v>
      </c>
      <c r="E2398" s="1">
        <v>2860</v>
      </c>
      <c r="F2398" s="1">
        <v>2855</v>
      </c>
      <c r="G2398" s="1">
        <v>2857</v>
      </c>
      <c r="H2398" s="1">
        <v>22000</v>
      </c>
    </row>
    <row r="2399" spans="1:8">
      <c r="A2399" s="1"/>
      <c r="B2399" s="1" t="s">
        <v>78</v>
      </c>
      <c r="C2399" s="1" t="s">
        <v>114</v>
      </c>
      <c r="D2399" s="1">
        <v>2857</v>
      </c>
      <c r="E2399" s="1">
        <v>2865</v>
      </c>
      <c r="F2399" s="1">
        <v>2857</v>
      </c>
      <c r="G2399" s="1">
        <v>2863</v>
      </c>
      <c r="H2399" s="1">
        <v>79000</v>
      </c>
    </row>
    <row r="2400" spans="1:8">
      <c r="A2400" s="1"/>
      <c r="B2400" s="1" t="s">
        <v>78</v>
      </c>
      <c r="C2400" s="1" t="s">
        <v>115</v>
      </c>
      <c r="D2400" s="1">
        <v>2862</v>
      </c>
      <c r="E2400" s="1">
        <v>2866</v>
      </c>
      <c r="F2400" s="1">
        <v>2861</v>
      </c>
      <c r="G2400" s="1">
        <v>2862</v>
      </c>
      <c r="H2400" s="1">
        <v>24500</v>
      </c>
    </row>
    <row r="2401" spans="1:8">
      <c r="A2401" s="1"/>
      <c r="B2401" s="1" t="s">
        <v>78</v>
      </c>
      <c r="C2401" s="1" t="s">
        <v>116</v>
      </c>
      <c r="D2401" s="1">
        <v>2863</v>
      </c>
      <c r="E2401" s="1">
        <v>2866</v>
      </c>
      <c r="F2401" s="1">
        <v>2862</v>
      </c>
      <c r="G2401" s="1">
        <v>2864</v>
      </c>
      <c r="H2401" s="1">
        <v>36500</v>
      </c>
    </row>
    <row r="2402" spans="1:8">
      <c r="A2402" s="1"/>
      <c r="B2402" s="1" t="s">
        <v>78</v>
      </c>
      <c r="C2402" s="1" t="s">
        <v>117</v>
      </c>
      <c r="D2402" s="1">
        <v>2865</v>
      </c>
      <c r="E2402" s="1">
        <v>2868</v>
      </c>
      <c r="F2402" s="1">
        <v>2864</v>
      </c>
      <c r="G2402" s="1">
        <v>2866</v>
      </c>
      <c r="H2402" s="1">
        <v>23400</v>
      </c>
    </row>
    <row r="2403" spans="1:8">
      <c r="A2403" s="1"/>
      <c r="B2403" s="1" t="s">
        <v>78</v>
      </c>
      <c r="C2403" s="1" t="s">
        <v>118</v>
      </c>
      <c r="D2403" s="1">
        <v>2865</v>
      </c>
      <c r="E2403" s="1">
        <v>2875</v>
      </c>
      <c r="F2403" s="1">
        <v>2865</v>
      </c>
      <c r="G2403" s="1">
        <v>2872</v>
      </c>
      <c r="H2403" s="1">
        <v>87700</v>
      </c>
    </row>
    <row r="2404" spans="1:8">
      <c r="A2404" s="1" t="s">
        <v>79</v>
      </c>
      <c r="B2404" s="1" t="s">
        <v>79</v>
      </c>
      <c r="C2404" s="1" t="s">
        <v>79</v>
      </c>
      <c r="D2404" s="1" t="s">
        <v>79</v>
      </c>
      <c r="E2404" s="1" t="s">
        <v>79</v>
      </c>
      <c r="F2404" s="1" t="s">
        <v>79</v>
      </c>
      <c r="G2404" s="1" t="s">
        <v>79</v>
      </c>
      <c r="H2404" s="1" t="s">
        <v>79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C060E-1E30-4082-BF00-C2ADF897971A}">
  <sheetPr codeName="Sheet18"/>
  <dimension ref="A1:Y2404"/>
  <sheetViews>
    <sheetView workbookViewId="0">
      <selection activeCell="A2" sqref="A2"/>
    </sheetView>
  </sheetViews>
  <sheetFormatPr defaultRowHeight="18.75"/>
  <cols>
    <col min="11" max="11" width="3" customWidth="1"/>
    <col min="13" max="13" width="3" customWidth="1"/>
  </cols>
  <sheetData>
    <row r="1" spans="1:25">
      <c r="A1" t="str">
        <f>_xll.RssChart($A$2:$H$2, "6501.T", "1M", 332)</f>
        <v>=RssChart($A$2:$H$2, "6501.T", "1M", 332) =&gt; 配信中</v>
      </c>
    </row>
    <row r="2" spans="1: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J2" t="s">
        <v>73</v>
      </c>
      <c r="L2" t="s">
        <v>74</v>
      </c>
      <c r="N2" t="s">
        <v>75</v>
      </c>
      <c r="P2" t="s">
        <v>119</v>
      </c>
      <c r="Q2">
        <f>_xll.RssMarket("6501.T", "現在値")</f>
        <v>4283</v>
      </c>
      <c r="R2" t="str">
        <f>_xll.RssMarket("6501.T", "現在値時刻")</f>
        <v>15:30</v>
      </c>
      <c r="T2" t="s">
        <v>131</v>
      </c>
      <c r="U2">
        <f>_xll.RssMarket("6501.T", "出来高")</f>
        <v>35064900</v>
      </c>
      <c r="X2" t="s">
        <v>138</v>
      </c>
      <c r="Y2">
        <f>_xll.RssMarket("6501.T", "信用売残")</f>
        <v>1825300</v>
      </c>
    </row>
    <row r="3" spans="1:25">
      <c r="A3" t="s">
        <v>432</v>
      </c>
      <c r="B3" t="s">
        <v>587</v>
      </c>
      <c r="C3" t="s">
        <v>166</v>
      </c>
      <c r="D3" t="s">
        <v>8</v>
      </c>
      <c r="E3" t="s">
        <v>8</v>
      </c>
      <c r="F3" t="s">
        <v>8</v>
      </c>
      <c r="G3" t="s">
        <v>8</v>
      </c>
      <c r="H3">
        <v>0</v>
      </c>
      <c r="J3">
        <f>_xll.RssMarket("6501.T", "売成行数量")</f>
        <v>0</v>
      </c>
      <c r="L3" t="s">
        <v>76</v>
      </c>
      <c r="N3">
        <f>_xll.RssMarket("6501.T", "買成行数量")</f>
        <v>0</v>
      </c>
      <c r="P3" t="s">
        <v>121</v>
      </c>
      <c r="Q3">
        <f>_xll.RssMarket("6501.T", "前日比")</f>
        <v>-414</v>
      </c>
      <c r="R3">
        <f>_xll.RssMarket("6501.T", "前日比率")</f>
        <v>-8.81</v>
      </c>
      <c r="S3" t="s">
        <v>122</v>
      </c>
      <c r="T3" t="s">
        <v>132</v>
      </c>
      <c r="U3">
        <f>_xll.RssMarket("6501.T", "売買代金")</f>
        <v>151232628</v>
      </c>
      <c r="X3" t="s">
        <v>139</v>
      </c>
      <c r="Y3">
        <f>_xll.RssMarket("6501.T", "信用買残")</f>
        <v>2943200</v>
      </c>
    </row>
    <row r="4" spans="1:25">
      <c r="B4" t="s">
        <v>587</v>
      </c>
      <c r="C4" t="s">
        <v>167</v>
      </c>
      <c r="D4" t="s">
        <v>8</v>
      </c>
      <c r="E4" t="s">
        <v>8</v>
      </c>
      <c r="F4" t="s">
        <v>8</v>
      </c>
      <c r="G4" t="s">
        <v>8</v>
      </c>
      <c r="H4">
        <v>0</v>
      </c>
      <c r="J4">
        <f>_xll.RssMarket("6501.T", "OVER気配数量")</f>
        <v>2427900</v>
      </c>
      <c r="L4" t="s">
        <v>77</v>
      </c>
      <c r="P4" t="s">
        <v>123</v>
      </c>
      <c r="Q4">
        <f>_xll.RssMarket("6501.T", "高値")</f>
        <v>4378</v>
      </c>
      <c r="T4" t="s">
        <v>137</v>
      </c>
      <c r="U4">
        <f>_xll.RssMarket("6501.T", "前場出来高")</f>
        <v>20594800</v>
      </c>
      <c r="X4" t="s">
        <v>140</v>
      </c>
      <c r="Y4">
        <f>_xll.RssMarket("6501.T", "信用倍率")</f>
        <v>1.61</v>
      </c>
    </row>
    <row r="5" spans="1:25">
      <c r="B5" t="s">
        <v>587</v>
      </c>
      <c r="C5" t="s">
        <v>168</v>
      </c>
      <c r="D5" t="s">
        <v>8</v>
      </c>
      <c r="E5" t="s">
        <v>8</v>
      </c>
      <c r="F5" t="s">
        <v>8</v>
      </c>
      <c r="G5" t="s">
        <v>8</v>
      </c>
      <c r="H5">
        <v>0</v>
      </c>
      <c r="J5">
        <f>_xll.RssMarket("6501.T", "最良売気配数量10")</f>
        <v>800</v>
      </c>
      <c r="L5">
        <f>_xll.RssMarket("6501.T", "最良売気配値10")</f>
        <v>4299</v>
      </c>
      <c r="P5" t="s">
        <v>124</v>
      </c>
      <c r="Q5">
        <f>_xll.RssMarket("6501.T", "安値")</f>
        <v>4260</v>
      </c>
    </row>
    <row r="6" spans="1:25">
      <c r="B6" t="s">
        <v>587</v>
      </c>
      <c r="C6" t="s">
        <v>169</v>
      </c>
      <c r="D6" t="s">
        <v>8</v>
      </c>
      <c r="E6" t="s">
        <v>8</v>
      </c>
      <c r="F6" t="s">
        <v>8</v>
      </c>
      <c r="G6" t="s">
        <v>8</v>
      </c>
      <c r="H6">
        <v>0</v>
      </c>
      <c r="J6">
        <f>_xll.RssMarket("6501.T", "最良売気配数量9")</f>
        <v>14800</v>
      </c>
      <c r="L6">
        <f>_xll.RssMarket("6501.T", "最良売気配値9")</f>
        <v>4298</v>
      </c>
      <c r="P6" t="s">
        <v>125</v>
      </c>
      <c r="Q6">
        <f>_xll.RssMarket("6501.T", "始値")</f>
        <v>4368</v>
      </c>
      <c r="T6" t="s">
        <v>133</v>
      </c>
      <c r="U6">
        <f>_xll.RssMarket("6501.T", "歩み1")</f>
        <v>4297</v>
      </c>
      <c r="V6" t="str">
        <f>_xll.RssMarket("6501.T", "歩み1詳細時刻")</f>
        <v>15:24:59</v>
      </c>
      <c r="X6" t="s">
        <v>141</v>
      </c>
      <c r="Y6">
        <f>_xll.RssMarket("6501.T", "逆日歩")</f>
        <v>0</v>
      </c>
    </row>
    <row r="7" spans="1:25">
      <c r="B7" t="s">
        <v>587</v>
      </c>
      <c r="C7" t="s">
        <v>170</v>
      </c>
      <c r="D7" t="s">
        <v>8</v>
      </c>
      <c r="E7" t="s">
        <v>8</v>
      </c>
      <c r="F7" t="s">
        <v>8</v>
      </c>
      <c r="G7" t="s">
        <v>8</v>
      </c>
      <c r="H7">
        <v>0</v>
      </c>
      <c r="J7">
        <f>_xll.RssMarket("6501.T", "最良売気配数量8")</f>
        <v>1500</v>
      </c>
      <c r="L7">
        <f>_xll.RssMarket("6501.T", "最良売気配値8")</f>
        <v>4297</v>
      </c>
      <c r="P7" t="s">
        <v>120</v>
      </c>
      <c r="Q7">
        <f>_xll.RssMarket("6501.T", "前日終値")</f>
        <v>4697</v>
      </c>
      <c r="T7" t="s">
        <v>134</v>
      </c>
      <c r="U7">
        <f>_xll.RssMarket("6501.T", "歩み2")</f>
        <v>4298</v>
      </c>
      <c r="V7" t="str">
        <f>_xll.RssMarket("6501.T", "歩み2詳細時刻")</f>
        <v>15:24:58</v>
      </c>
      <c r="X7" t="s">
        <v>142</v>
      </c>
      <c r="Y7">
        <f>_xll.RssMarket("6501.T", "貸借倍率")</f>
        <v>17.57</v>
      </c>
    </row>
    <row r="8" spans="1:25">
      <c r="B8" t="s">
        <v>587</v>
      </c>
      <c r="C8" t="s">
        <v>171</v>
      </c>
      <c r="D8" t="s">
        <v>8</v>
      </c>
      <c r="E8" t="s">
        <v>8</v>
      </c>
      <c r="F8" t="s">
        <v>8</v>
      </c>
      <c r="G8" t="s">
        <v>8</v>
      </c>
      <c r="H8">
        <v>0</v>
      </c>
      <c r="J8">
        <f>_xll.RssMarket("6501.T", "最良売気配数量7")</f>
        <v>24800</v>
      </c>
      <c r="L8">
        <f>_xll.RssMarket("6501.T", "最良売気配値7")</f>
        <v>4295</v>
      </c>
      <c r="P8" t="s">
        <v>126</v>
      </c>
      <c r="Q8">
        <f>_xll.RssMarket("6501.T", "出来高加重平均")</f>
        <v>4312.9348</v>
      </c>
      <c r="T8" t="s">
        <v>135</v>
      </c>
      <c r="U8">
        <f>_xll.RssMarket("6501.T", "歩み3")</f>
        <v>4297</v>
      </c>
      <c r="V8" t="str">
        <f>_xll.RssMarket("6501.T", "歩み3詳細時刻")</f>
        <v>15:24:56</v>
      </c>
    </row>
    <row r="9" spans="1:25">
      <c r="B9" t="s">
        <v>587</v>
      </c>
      <c r="C9" t="s">
        <v>172</v>
      </c>
      <c r="D9" t="s">
        <v>8</v>
      </c>
      <c r="E9" t="s">
        <v>8</v>
      </c>
      <c r="F9" t="s">
        <v>8</v>
      </c>
      <c r="G9" t="s">
        <v>8</v>
      </c>
      <c r="H9">
        <v>0</v>
      </c>
      <c r="J9">
        <f>_xll.RssMarket("6501.T", "最良売気配数量6")</f>
        <v>7600</v>
      </c>
      <c r="L9">
        <f>_xll.RssMarket("6501.T", "最良売気配値6")</f>
        <v>4293</v>
      </c>
      <c r="P9" t="s">
        <v>127</v>
      </c>
      <c r="Q9">
        <f>_xll.RssMarket("6501.T", "年初来高値")</f>
        <v>4697</v>
      </c>
      <c r="R9" t="str">
        <f>_xll.RssMarket("6501.T", "年初来高値日付")</f>
        <v>2025/07/31</v>
      </c>
      <c r="T9" t="s">
        <v>136</v>
      </c>
      <c r="U9">
        <f>_xll.RssMarket("6501.T", "歩み4")</f>
        <v>4298</v>
      </c>
      <c r="V9" t="str">
        <f>_xll.RssMarket("6501.T", "歩み4詳細時刻")</f>
        <v>15:24:55</v>
      </c>
    </row>
    <row r="10" spans="1:25">
      <c r="B10" t="s">
        <v>587</v>
      </c>
      <c r="C10" t="s">
        <v>173</v>
      </c>
      <c r="D10" t="s">
        <v>8</v>
      </c>
      <c r="E10" t="s">
        <v>8</v>
      </c>
      <c r="F10" t="s">
        <v>8</v>
      </c>
      <c r="G10" t="s">
        <v>8</v>
      </c>
      <c r="H10">
        <v>0</v>
      </c>
      <c r="J10">
        <f>_xll.RssMarket("6501.T", "最良売気配数量5")</f>
        <v>100</v>
      </c>
      <c r="L10">
        <f>_xll.RssMarket("6501.T", "最良売気配値5")</f>
        <v>4292</v>
      </c>
      <c r="P10" t="s">
        <v>128</v>
      </c>
      <c r="Q10">
        <f>_xll.RssMarket("6501.T", "年初来安値")</f>
        <v>2590</v>
      </c>
      <c r="R10" t="str">
        <f>_xll.RssMarket("6501.T", "年初来安値日付")</f>
        <v>2025/04/07</v>
      </c>
    </row>
    <row r="11" spans="1:25">
      <c r="B11" t="s">
        <v>587</v>
      </c>
      <c r="C11" t="s">
        <v>174</v>
      </c>
      <c r="D11" t="s">
        <v>8</v>
      </c>
      <c r="E11" t="s">
        <v>8</v>
      </c>
      <c r="F11" t="s">
        <v>8</v>
      </c>
      <c r="G11" t="s">
        <v>8</v>
      </c>
      <c r="H11">
        <v>0</v>
      </c>
      <c r="J11">
        <f>_xll.RssMarket("6501.T", "最良売気配数量4")</f>
        <v>3600</v>
      </c>
      <c r="L11">
        <f>_xll.RssMarket("6501.T", "最良売気配値4")</f>
        <v>4291</v>
      </c>
      <c r="P11" t="s">
        <v>129</v>
      </c>
      <c r="Q11">
        <f>_xll.RssMarket("6501.T", "上場来高値")</f>
        <v>17710</v>
      </c>
      <c r="R11" t="str">
        <f>_xll.RssMarket("6501.T", "上場来高値日付")</f>
        <v>2024/06/26</v>
      </c>
    </row>
    <row r="12" spans="1:25">
      <c r="B12" t="s">
        <v>587</v>
      </c>
      <c r="C12" t="s">
        <v>175</v>
      </c>
      <c r="D12" t="s">
        <v>8</v>
      </c>
      <c r="E12" t="s">
        <v>8</v>
      </c>
      <c r="F12" t="s">
        <v>8</v>
      </c>
      <c r="G12" t="s">
        <v>8</v>
      </c>
      <c r="H12">
        <v>0</v>
      </c>
      <c r="J12">
        <f>_xll.RssMarket("6501.T", "最良売気配数量3")</f>
        <v>100</v>
      </c>
      <c r="L12">
        <f>_xll.RssMarket("6501.T", "最良売気配値3")</f>
        <v>4288</v>
      </c>
      <c r="P12" t="s">
        <v>130</v>
      </c>
      <c r="Q12">
        <f>_xll.RssMarket("6501.T", "上場来安値")</f>
        <v>23</v>
      </c>
      <c r="R12" t="str">
        <f>_xll.RssMarket("6501.T", "上場来安値日付")</f>
        <v/>
      </c>
    </row>
    <row r="13" spans="1:25">
      <c r="B13" t="s">
        <v>587</v>
      </c>
      <c r="C13" t="s">
        <v>176</v>
      </c>
      <c r="D13" t="s">
        <v>8</v>
      </c>
      <c r="E13" t="s">
        <v>8</v>
      </c>
      <c r="F13" t="s">
        <v>8</v>
      </c>
      <c r="G13" t="s">
        <v>8</v>
      </c>
      <c r="H13">
        <v>0</v>
      </c>
      <c r="J13">
        <f>_xll.RssMarket("6501.T", "最良売気配数量2")</f>
        <v>300</v>
      </c>
      <c r="L13">
        <f>_xll.RssMarket("6501.T", "最良売気配値2")</f>
        <v>4286</v>
      </c>
    </row>
    <row r="14" spans="1:25">
      <c r="B14" t="s">
        <v>587</v>
      </c>
      <c r="C14" t="s">
        <v>177</v>
      </c>
      <c r="D14" t="s">
        <v>8</v>
      </c>
      <c r="E14" t="s">
        <v>8</v>
      </c>
      <c r="F14" t="s">
        <v>8</v>
      </c>
      <c r="G14" t="s">
        <v>8</v>
      </c>
      <c r="H14">
        <v>0</v>
      </c>
      <c r="J14">
        <f>_xll.RssMarket("6501.T", "最良売気配数量1")</f>
        <v>500</v>
      </c>
      <c r="K14" t="str">
        <f>_xll.RssMarket("6501.T", "特別売気配フラグ")</f>
        <v xml:space="preserve"> </v>
      </c>
      <c r="L14">
        <f>_xll.RssMarket("6501.T", "最良売気配値1")</f>
        <v>4285</v>
      </c>
    </row>
    <row r="15" spans="1:25">
      <c r="B15" t="s">
        <v>587</v>
      </c>
      <c r="C15" t="s">
        <v>178</v>
      </c>
      <c r="D15">
        <v>4368</v>
      </c>
      <c r="E15">
        <v>4378</v>
      </c>
      <c r="F15">
        <v>4301</v>
      </c>
      <c r="G15">
        <v>4337</v>
      </c>
      <c r="H15">
        <v>3433100</v>
      </c>
      <c r="L15">
        <f>_xll.RssMarket("6501.T", "最良買気配値1")</f>
        <v>4282</v>
      </c>
      <c r="M15" t="str">
        <f>_xll.RssMarket("6501.T", "特別買気配フラグ")</f>
        <v xml:space="preserve"> </v>
      </c>
      <c r="N15">
        <f>_xll.RssMarket("6501.T", "最良買気配数量1")</f>
        <v>7800</v>
      </c>
    </row>
    <row r="16" spans="1:25">
      <c r="B16" t="s">
        <v>587</v>
      </c>
      <c r="C16" t="s">
        <v>179</v>
      </c>
      <c r="D16">
        <v>4337</v>
      </c>
      <c r="E16">
        <v>4368</v>
      </c>
      <c r="F16">
        <v>4324</v>
      </c>
      <c r="G16">
        <v>4363</v>
      </c>
      <c r="H16">
        <v>447300</v>
      </c>
      <c r="L16">
        <f>_xll.RssMarket("6501.T", "最良買気配値2")</f>
        <v>4281</v>
      </c>
      <c r="N16">
        <f>_xll.RssMarket("6501.T", "最良買気配数量2")</f>
        <v>17600</v>
      </c>
    </row>
    <row r="17" spans="2:14">
      <c r="B17" t="s">
        <v>587</v>
      </c>
      <c r="C17" t="s">
        <v>180</v>
      </c>
      <c r="D17">
        <v>4363</v>
      </c>
      <c r="E17">
        <v>4374</v>
      </c>
      <c r="F17">
        <v>4345</v>
      </c>
      <c r="G17">
        <v>4359</v>
      </c>
      <c r="H17">
        <v>447800</v>
      </c>
      <c r="L17">
        <f>_xll.RssMarket("6501.T", "最良買気配値3")</f>
        <v>4280</v>
      </c>
      <c r="N17">
        <f>_xll.RssMarket("6501.T", "最良買気配数量3")</f>
        <v>126600</v>
      </c>
    </row>
    <row r="18" spans="2:14">
      <c r="B18" t="s">
        <v>587</v>
      </c>
      <c r="C18" t="s">
        <v>181</v>
      </c>
      <c r="D18">
        <v>4360</v>
      </c>
      <c r="E18">
        <v>4365</v>
      </c>
      <c r="F18">
        <v>4323</v>
      </c>
      <c r="G18">
        <v>4331</v>
      </c>
      <c r="H18">
        <v>488000</v>
      </c>
      <c r="L18">
        <f>_xll.RssMarket("6501.T", "最良買気配値4")</f>
        <v>4279</v>
      </c>
      <c r="N18">
        <f>_xll.RssMarket("6501.T", "最良買気配数量4")</f>
        <v>3500</v>
      </c>
    </row>
    <row r="19" spans="2:14">
      <c r="B19" t="s">
        <v>587</v>
      </c>
      <c r="C19" t="s">
        <v>182</v>
      </c>
      <c r="D19">
        <v>4331</v>
      </c>
      <c r="E19">
        <v>4348</v>
      </c>
      <c r="F19">
        <v>4319</v>
      </c>
      <c r="G19">
        <v>4338</v>
      </c>
      <c r="H19">
        <v>331600</v>
      </c>
      <c r="L19">
        <f>_xll.RssMarket("6501.T", "最良買気配値5")</f>
        <v>4278</v>
      </c>
      <c r="N19">
        <f>_xll.RssMarket("6501.T", "最良買気配数量5")</f>
        <v>7600</v>
      </c>
    </row>
    <row r="20" spans="2:14">
      <c r="B20" t="s">
        <v>587</v>
      </c>
      <c r="C20" t="s">
        <v>183</v>
      </c>
      <c r="D20">
        <v>4339</v>
      </c>
      <c r="E20">
        <v>4342</v>
      </c>
      <c r="F20">
        <v>4326</v>
      </c>
      <c r="G20">
        <v>4331</v>
      </c>
      <c r="H20">
        <v>225600</v>
      </c>
      <c r="L20">
        <f>_xll.RssMarket("6501.T", "最良買気配値6")</f>
        <v>4277</v>
      </c>
      <c r="N20">
        <f>_xll.RssMarket("6501.T", "最良買気配数量6")</f>
        <v>9900</v>
      </c>
    </row>
    <row r="21" spans="2:14">
      <c r="B21" t="s">
        <v>587</v>
      </c>
      <c r="C21" t="s">
        <v>184</v>
      </c>
      <c r="D21">
        <v>4330</v>
      </c>
      <c r="E21">
        <v>4343</v>
      </c>
      <c r="F21">
        <v>4315</v>
      </c>
      <c r="G21">
        <v>4319</v>
      </c>
      <c r="H21">
        <v>391100</v>
      </c>
      <c r="L21">
        <f>_xll.RssMarket("6501.T", "最良買気配値7")</f>
        <v>4276</v>
      </c>
      <c r="N21">
        <f>_xll.RssMarket("6501.T", "最良買気配数量7")</f>
        <v>26500</v>
      </c>
    </row>
    <row r="22" spans="2:14">
      <c r="B22" t="s">
        <v>587</v>
      </c>
      <c r="C22" t="s">
        <v>185</v>
      </c>
      <c r="D22">
        <v>4319</v>
      </c>
      <c r="E22">
        <v>4342</v>
      </c>
      <c r="F22">
        <v>4305</v>
      </c>
      <c r="G22">
        <v>4336</v>
      </c>
      <c r="H22">
        <v>438600</v>
      </c>
      <c r="L22">
        <f>_xll.RssMarket("6501.T", "最良買気配値8")</f>
        <v>4275</v>
      </c>
      <c r="N22">
        <f>_xll.RssMarket("6501.T", "最良買気配数量8")</f>
        <v>23700</v>
      </c>
    </row>
    <row r="23" spans="2:14">
      <c r="B23" t="s">
        <v>587</v>
      </c>
      <c r="C23" t="s">
        <v>186</v>
      </c>
      <c r="D23">
        <v>4336</v>
      </c>
      <c r="E23">
        <v>4336</v>
      </c>
      <c r="F23">
        <v>4326</v>
      </c>
      <c r="G23">
        <v>4329</v>
      </c>
      <c r="H23">
        <v>178600</v>
      </c>
      <c r="L23">
        <f>_xll.RssMarket("6501.T", "最良買気配値9")</f>
        <v>4274</v>
      </c>
      <c r="N23">
        <f>_xll.RssMarket("6501.T", "最良買気配数量9")</f>
        <v>5200</v>
      </c>
    </row>
    <row r="24" spans="2:14">
      <c r="B24" t="s">
        <v>587</v>
      </c>
      <c r="C24" t="s">
        <v>187</v>
      </c>
      <c r="D24">
        <v>4330</v>
      </c>
      <c r="E24">
        <v>4340</v>
      </c>
      <c r="F24">
        <v>4327</v>
      </c>
      <c r="G24">
        <v>4337</v>
      </c>
      <c r="H24">
        <v>165700</v>
      </c>
      <c r="L24">
        <f>_xll.RssMarket("6501.T", "最良買気配値10")</f>
        <v>4273</v>
      </c>
      <c r="N24">
        <f>_xll.RssMarket("6501.T", "最良買気配数量10")</f>
        <v>4900</v>
      </c>
    </row>
    <row r="25" spans="2:14">
      <c r="B25" t="s">
        <v>587</v>
      </c>
      <c r="C25" t="s">
        <v>188</v>
      </c>
      <c r="D25">
        <v>4337</v>
      </c>
      <c r="E25">
        <v>4337</v>
      </c>
      <c r="F25">
        <v>4321</v>
      </c>
      <c r="G25">
        <v>4327</v>
      </c>
      <c r="H25">
        <v>236600</v>
      </c>
      <c r="L25" t="s">
        <v>80</v>
      </c>
      <c r="N25">
        <f>_xll.RssMarket("6501.T", "UNDER気配数量")</f>
        <v>1214600</v>
      </c>
    </row>
    <row r="26" spans="2:14">
      <c r="B26" t="s">
        <v>587</v>
      </c>
      <c r="C26" t="s">
        <v>189</v>
      </c>
      <c r="D26">
        <v>4326</v>
      </c>
      <c r="E26">
        <v>4344</v>
      </c>
      <c r="F26">
        <v>4323</v>
      </c>
      <c r="G26">
        <v>4339</v>
      </c>
      <c r="H26">
        <v>174200</v>
      </c>
    </row>
    <row r="27" spans="2:14">
      <c r="B27" t="s">
        <v>587</v>
      </c>
      <c r="C27" t="s">
        <v>190</v>
      </c>
      <c r="D27">
        <v>4338</v>
      </c>
      <c r="E27">
        <v>4340</v>
      </c>
      <c r="F27">
        <v>4322</v>
      </c>
      <c r="G27">
        <v>4326</v>
      </c>
      <c r="H27">
        <v>206600</v>
      </c>
    </row>
    <row r="28" spans="2:14">
      <c r="B28" t="s">
        <v>587</v>
      </c>
      <c r="C28" t="s">
        <v>191</v>
      </c>
      <c r="D28">
        <v>4327</v>
      </c>
      <c r="E28">
        <v>4327</v>
      </c>
      <c r="F28">
        <v>4308</v>
      </c>
      <c r="G28">
        <v>4311</v>
      </c>
      <c r="H28">
        <v>352300</v>
      </c>
    </row>
    <row r="29" spans="2:14">
      <c r="B29" t="s">
        <v>587</v>
      </c>
      <c r="C29" t="s">
        <v>192</v>
      </c>
      <c r="D29">
        <v>4312</v>
      </c>
      <c r="E29">
        <v>4313</v>
      </c>
      <c r="F29">
        <v>4286</v>
      </c>
      <c r="G29">
        <v>4289</v>
      </c>
      <c r="H29">
        <v>575400</v>
      </c>
    </row>
    <row r="30" spans="2:14">
      <c r="B30" t="s">
        <v>587</v>
      </c>
      <c r="C30" t="s">
        <v>193</v>
      </c>
      <c r="D30">
        <v>4289</v>
      </c>
      <c r="E30">
        <v>4293</v>
      </c>
      <c r="F30">
        <v>4280</v>
      </c>
      <c r="G30">
        <v>4286</v>
      </c>
      <c r="H30">
        <v>191700</v>
      </c>
    </row>
    <row r="31" spans="2:14">
      <c r="B31" t="s">
        <v>587</v>
      </c>
      <c r="C31" t="s">
        <v>194</v>
      </c>
      <c r="D31">
        <v>4287</v>
      </c>
      <c r="E31">
        <v>4299</v>
      </c>
      <c r="F31">
        <v>4284</v>
      </c>
      <c r="G31">
        <v>4289</v>
      </c>
      <c r="H31">
        <v>123800</v>
      </c>
    </row>
    <row r="32" spans="2:14">
      <c r="B32" t="s">
        <v>587</v>
      </c>
      <c r="C32" t="s">
        <v>195</v>
      </c>
      <c r="D32">
        <v>4291</v>
      </c>
      <c r="E32">
        <v>4298</v>
      </c>
      <c r="F32">
        <v>4284</v>
      </c>
      <c r="G32">
        <v>4293</v>
      </c>
      <c r="H32">
        <v>125500</v>
      </c>
    </row>
    <row r="33" spans="2:8">
      <c r="B33" t="s">
        <v>587</v>
      </c>
      <c r="C33" t="s">
        <v>196</v>
      </c>
      <c r="D33">
        <v>4293</v>
      </c>
      <c r="E33">
        <v>4295</v>
      </c>
      <c r="F33">
        <v>4285</v>
      </c>
      <c r="G33">
        <v>4288</v>
      </c>
      <c r="H33">
        <v>160100</v>
      </c>
    </row>
    <row r="34" spans="2:8">
      <c r="B34" t="s">
        <v>587</v>
      </c>
      <c r="C34" t="s">
        <v>197</v>
      </c>
      <c r="D34">
        <v>4288</v>
      </c>
      <c r="E34">
        <v>4297</v>
      </c>
      <c r="F34">
        <v>4283</v>
      </c>
      <c r="G34">
        <v>4291</v>
      </c>
      <c r="H34">
        <v>149000</v>
      </c>
    </row>
    <row r="35" spans="2:8">
      <c r="B35" t="s">
        <v>587</v>
      </c>
      <c r="C35" t="s">
        <v>198</v>
      </c>
      <c r="D35">
        <v>4291</v>
      </c>
      <c r="E35">
        <v>4297</v>
      </c>
      <c r="F35">
        <v>4290</v>
      </c>
      <c r="G35">
        <v>4294</v>
      </c>
      <c r="H35">
        <v>86000</v>
      </c>
    </row>
    <row r="36" spans="2:8">
      <c r="B36" t="s">
        <v>587</v>
      </c>
      <c r="C36" t="s">
        <v>199</v>
      </c>
      <c r="D36">
        <v>4294</v>
      </c>
      <c r="E36">
        <v>4308</v>
      </c>
      <c r="F36">
        <v>4294</v>
      </c>
      <c r="G36">
        <v>4306</v>
      </c>
      <c r="H36">
        <v>139300</v>
      </c>
    </row>
    <row r="37" spans="2:8">
      <c r="B37" t="s">
        <v>587</v>
      </c>
      <c r="C37" t="s">
        <v>200</v>
      </c>
      <c r="D37">
        <v>4307</v>
      </c>
      <c r="E37">
        <v>4310</v>
      </c>
      <c r="F37">
        <v>4298</v>
      </c>
      <c r="G37">
        <v>4300</v>
      </c>
      <c r="H37">
        <v>200900</v>
      </c>
    </row>
    <row r="38" spans="2:8">
      <c r="B38" t="s">
        <v>587</v>
      </c>
      <c r="C38" t="s">
        <v>201</v>
      </c>
      <c r="D38">
        <v>4300</v>
      </c>
      <c r="E38">
        <v>4307</v>
      </c>
      <c r="F38">
        <v>4292</v>
      </c>
      <c r="G38">
        <v>4305</v>
      </c>
      <c r="H38">
        <v>157600</v>
      </c>
    </row>
    <row r="39" spans="2:8">
      <c r="B39" t="s">
        <v>587</v>
      </c>
      <c r="C39" t="s">
        <v>202</v>
      </c>
      <c r="D39">
        <v>4305</v>
      </c>
      <c r="E39">
        <v>4308</v>
      </c>
      <c r="F39">
        <v>4302</v>
      </c>
      <c r="G39">
        <v>4306</v>
      </c>
      <c r="H39">
        <v>90000</v>
      </c>
    </row>
    <row r="40" spans="2:8">
      <c r="B40" t="s">
        <v>587</v>
      </c>
      <c r="C40" t="s">
        <v>203</v>
      </c>
      <c r="D40">
        <v>4306</v>
      </c>
      <c r="E40">
        <v>4310</v>
      </c>
      <c r="F40">
        <v>4298</v>
      </c>
      <c r="G40">
        <v>4299</v>
      </c>
      <c r="H40">
        <v>157200</v>
      </c>
    </row>
    <row r="41" spans="2:8">
      <c r="B41" t="s">
        <v>587</v>
      </c>
      <c r="C41" t="s">
        <v>204</v>
      </c>
      <c r="D41">
        <v>4298</v>
      </c>
      <c r="E41">
        <v>4309</v>
      </c>
      <c r="F41">
        <v>4296</v>
      </c>
      <c r="G41">
        <v>4307</v>
      </c>
      <c r="H41">
        <v>143000</v>
      </c>
    </row>
    <row r="42" spans="2:8">
      <c r="B42" t="s">
        <v>587</v>
      </c>
      <c r="C42" t="s">
        <v>205</v>
      </c>
      <c r="D42">
        <v>4308</v>
      </c>
      <c r="E42">
        <v>4310</v>
      </c>
      <c r="F42">
        <v>4301</v>
      </c>
      <c r="G42">
        <v>4310</v>
      </c>
      <c r="H42">
        <v>98500</v>
      </c>
    </row>
    <row r="43" spans="2:8">
      <c r="B43" t="s">
        <v>587</v>
      </c>
      <c r="C43" t="s">
        <v>206</v>
      </c>
      <c r="D43">
        <v>4311</v>
      </c>
      <c r="E43">
        <v>4315</v>
      </c>
      <c r="F43">
        <v>4308</v>
      </c>
      <c r="G43">
        <v>4314</v>
      </c>
      <c r="H43">
        <v>81200</v>
      </c>
    </row>
    <row r="44" spans="2:8">
      <c r="B44" t="s">
        <v>587</v>
      </c>
      <c r="C44" t="s">
        <v>207</v>
      </c>
      <c r="D44">
        <v>4314</v>
      </c>
      <c r="E44">
        <v>4320</v>
      </c>
      <c r="F44">
        <v>4302</v>
      </c>
      <c r="G44">
        <v>4307</v>
      </c>
      <c r="H44">
        <v>165200</v>
      </c>
    </row>
    <row r="45" spans="2:8">
      <c r="B45" t="s">
        <v>587</v>
      </c>
      <c r="C45" t="s">
        <v>208</v>
      </c>
      <c r="D45">
        <v>4308</v>
      </c>
      <c r="E45">
        <v>4314</v>
      </c>
      <c r="F45">
        <v>4305</v>
      </c>
      <c r="G45">
        <v>4312</v>
      </c>
      <c r="H45">
        <v>50400</v>
      </c>
    </row>
    <row r="46" spans="2:8">
      <c r="B46" t="s">
        <v>587</v>
      </c>
      <c r="C46" t="s">
        <v>209</v>
      </c>
      <c r="D46">
        <v>4312</v>
      </c>
      <c r="E46">
        <v>4319</v>
      </c>
      <c r="F46">
        <v>4310</v>
      </c>
      <c r="G46">
        <v>4317</v>
      </c>
      <c r="H46">
        <v>95200</v>
      </c>
    </row>
    <row r="47" spans="2:8">
      <c r="B47" t="s">
        <v>587</v>
      </c>
      <c r="C47" t="s">
        <v>210</v>
      </c>
      <c r="D47">
        <v>4317</v>
      </c>
      <c r="E47">
        <v>4317</v>
      </c>
      <c r="F47">
        <v>4294</v>
      </c>
      <c r="G47">
        <v>4294</v>
      </c>
      <c r="H47">
        <v>322100</v>
      </c>
    </row>
    <row r="48" spans="2:8">
      <c r="B48" t="s">
        <v>587</v>
      </c>
      <c r="C48" t="s">
        <v>211</v>
      </c>
      <c r="D48">
        <v>4293</v>
      </c>
      <c r="E48">
        <v>4299</v>
      </c>
      <c r="F48">
        <v>4292</v>
      </c>
      <c r="G48">
        <v>4294</v>
      </c>
      <c r="H48">
        <v>125900</v>
      </c>
    </row>
    <row r="49" spans="2:8">
      <c r="B49" t="s">
        <v>587</v>
      </c>
      <c r="C49" t="s">
        <v>212</v>
      </c>
      <c r="D49">
        <v>4293</v>
      </c>
      <c r="E49">
        <v>4294</v>
      </c>
      <c r="F49">
        <v>4281</v>
      </c>
      <c r="G49">
        <v>4291</v>
      </c>
      <c r="H49">
        <v>367700</v>
      </c>
    </row>
    <row r="50" spans="2:8">
      <c r="B50" t="s">
        <v>587</v>
      </c>
      <c r="C50" t="s">
        <v>213</v>
      </c>
      <c r="D50">
        <v>4291</v>
      </c>
      <c r="E50">
        <v>4292</v>
      </c>
      <c r="F50">
        <v>4276</v>
      </c>
      <c r="G50">
        <v>4276</v>
      </c>
      <c r="H50">
        <v>388200</v>
      </c>
    </row>
    <row r="51" spans="2:8">
      <c r="B51" t="s">
        <v>587</v>
      </c>
      <c r="C51" t="s">
        <v>214</v>
      </c>
      <c r="D51">
        <v>4276</v>
      </c>
      <c r="E51">
        <v>4280</v>
      </c>
      <c r="F51">
        <v>4272</v>
      </c>
      <c r="G51">
        <v>4272</v>
      </c>
      <c r="H51">
        <v>221500</v>
      </c>
    </row>
    <row r="52" spans="2:8">
      <c r="B52" t="s">
        <v>587</v>
      </c>
      <c r="C52" t="s">
        <v>215</v>
      </c>
      <c r="D52">
        <v>4272</v>
      </c>
      <c r="E52">
        <v>4278</v>
      </c>
      <c r="F52">
        <v>4265</v>
      </c>
      <c r="G52">
        <v>4278</v>
      </c>
      <c r="H52">
        <v>328000</v>
      </c>
    </row>
    <row r="53" spans="2:8">
      <c r="B53" t="s">
        <v>587</v>
      </c>
      <c r="C53" t="s">
        <v>216</v>
      </c>
      <c r="D53">
        <v>4278</v>
      </c>
      <c r="E53">
        <v>4280</v>
      </c>
      <c r="F53">
        <v>4273</v>
      </c>
      <c r="G53">
        <v>4278</v>
      </c>
      <c r="H53">
        <v>72000</v>
      </c>
    </row>
    <row r="54" spans="2:8">
      <c r="B54" t="s">
        <v>587</v>
      </c>
      <c r="C54" t="s">
        <v>217</v>
      </c>
      <c r="D54">
        <v>4280</v>
      </c>
      <c r="E54">
        <v>4283</v>
      </c>
      <c r="F54">
        <v>4278</v>
      </c>
      <c r="G54">
        <v>4282</v>
      </c>
      <c r="H54">
        <v>57300</v>
      </c>
    </row>
    <row r="55" spans="2:8">
      <c r="B55" t="s">
        <v>587</v>
      </c>
      <c r="C55" t="s">
        <v>218</v>
      </c>
      <c r="D55">
        <v>4281</v>
      </c>
      <c r="E55">
        <v>4282</v>
      </c>
      <c r="F55">
        <v>4270</v>
      </c>
      <c r="G55">
        <v>4271</v>
      </c>
      <c r="H55">
        <v>172600</v>
      </c>
    </row>
    <row r="56" spans="2:8">
      <c r="B56" t="s">
        <v>587</v>
      </c>
      <c r="C56" t="s">
        <v>219</v>
      </c>
      <c r="D56">
        <v>4271</v>
      </c>
      <c r="E56">
        <v>4271</v>
      </c>
      <c r="F56">
        <v>4260</v>
      </c>
      <c r="G56">
        <v>4268</v>
      </c>
      <c r="H56">
        <v>220800</v>
      </c>
    </row>
    <row r="57" spans="2:8">
      <c r="B57" t="s">
        <v>587</v>
      </c>
      <c r="C57" t="s">
        <v>220</v>
      </c>
      <c r="D57">
        <v>4267</v>
      </c>
      <c r="E57">
        <v>4274</v>
      </c>
      <c r="F57">
        <v>4267</v>
      </c>
      <c r="G57">
        <v>4270</v>
      </c>
      <c r="H57">
        <v>93000</v>
      </c>
    </row>
    <row r="58" spans="2:8">
      <c r="B58" t="s">
        <v>587</v>
      </c>
      <c r="C58" t="s">
        <v>221</v>
      </c>
      <c r="D58">
        <v>4269</v>
      </c>
      <c r="E58">
        <v>4274</v>
      </c>
      <c r="F58">
        <v>4266</v>
      </c>
      <c r="G58">
        <v>4269</v>
      </c>
      <c r="H58">
        <v>144000</v>
      </c>
    </row>
    <row r="59" spans="2:8">
      <c r="B59" t="s">
        <v>587</v>
      </c>
      <c r="C59" t="s">
        <v>222</v>
      </c>
      <c r="D59">
        <v>4270</v>
      </c>
      <c r="E59">
        <v>4277</v>
      </c>
      <c r="F59">
        <v>4268</v>
      </c>
      <c r="G59">
        <v>4277</v>
      </c>
      <c r="H59">
        <v>88400</v>
      </c>
    </row>
    <row r="60" spans="2:8">
      <c r="B60" t="s">
        <v>587</v>
      </c>
      <c r="C60" t="s">
        <v>223</v>
      </c>
      <c r="D60">
        <v>4277</v>
      </c>
      <c r="E60">
        <v>4277</v>
      </c>
      <c r="F60">
        <v>4262</v>
      </c>
      <c r="G60">
        <v>4270</v>
      </c>
      <c r="H60">
        <v>136700</v>
      </c>
    </row>
    <row r="61" spans="2:8">
      <c r="B61" t="s">
        <v>587</v>
      </c>
      <c r="C61" t="s">
        <v>224</v>
      </c>
      <c r="D61">
        <v>4269</v>
      </c>
      <c r="E61">
        <v>4278</v>
      </c>
      <c r="F61">
        <v>4268</v>
      </c>
      <c r="G61">
        <v>4276</v>
      </c>
      <c r="H61">
        <v>124600</v>
      </c>
    </row>
    <row r="62" spans="2:8">
      <c r="B62" t="s">
        <v>587</v>
      </c>
      <c r="C62" t="s">
        <v>225</v>
      </c>
      <c r="D62">
        <v>4276</v>
      </c>
      <c r="E62">
        <v>4282</v>
      </c>
      <c r="F62">
        <v>4274</v>
      </c>
      <c r="G62">
        <v>4274</v>
      </c>
      <c r="H62">
        <v>141400</v>
      </c>
    </row>
    <row r="63" spans="2:8">
      <c r="B63" t="s">
        <v>587</v>
      </c>
      <c r="C63" t="s">
        <v>226</v>
      </c>
      <c r="D63">
        <v>4274</v>
      </c>
      <c r="E63">
        <v>4284</v>
      </c>
      <c r="F63">
        <v>4271</v>
      </c>
      <c r="G63">
        <v>4282</v>
      </c>
      <c r="H63">
        <v>155300</v>
      </c>
    </row>
    <row r="64" spans="2:8">
      <c r="B64" t="s">
        <v>587</v>
      </c>
      <c r="C64" t="s">
        <v>227</v>
      </c>
      <c r="D64">
        <v>4282</v>
      </c>
      <c r="E64">
        <v>4284</v>
      </c>
      <c r="F64">
        <v>4272</v>
      </c>
      <c r="G64">
        <v>4277</v>
      </c>
      <c r="H64">
        <v>131500</v>
      </c>
    </row>
    <row r="65" spans="2:8">
      <c r="B65" t="s">
        <v>587</v>
      </c>
      <c r="C65" t="s">
        <v>228</v>
      </c>
      <c r="D65">
        <v>4278</v>
      </c>
      <c r="E65">
        <v>4290</v>
      </c>
      <c r="F65">
        <v>4277</v>
      </c>
      <c r="G65">
        <v>4290</v>
      </c>
      <c r="H65">
        <v>136600</v>
      </c>
    </row>
    <row r="66" spans="2:8">
      <c r="B66" t="s">
        <v>587</v>
      </c>
      <c r="C66" t="s">
        <v>229</v>
      </c>
      <c r="D66">
        <v>4290</v>
      </c>
      <c r="E66">
        <v>4290</v>
      </c>
      <c r="F66">
        <v>4283</v>
      </c>
      <c r="G66">
        <v>4286</v>
      </c>
      <c r="H66">
        <v>84100</v>
      </c>
    </row>
    <row r="67" spans="2:8">
      <c r="B67" t="s">
        <v>587</v>
      </c>
      <c r="C67" t="s">
        <v>230</v>
      </c>
      <c r="D67">
        <v>4288</v>
      </c>
      <c r="E67">
        <v>4289</v>
      </c>
      <c r="F67">
        <v>4280</v>
      </c>
      <c r="G67">
        <v>4289</v>
      </c>
      <c r="H67">
        <v>84800</v>
      </c>
    </row>
    <row r="68" spans="2:8">
      <c r="B68" t="s">
        <v>587</v>
      </c>
      <c r="C68" t="s">
        <v>231</v>
      </c>
      <c r="D68">
        <v>4289</v>
      </c>
      <c r="E68">
        <v>4293</v>
      </c>
      <c r="F68">
        <v>4286</v>
      </c>
      <c r="G68">
        <v>4291</v>
      </c>
      <c r="H68">
        <v>61900</v>
      </c>
    </row>
    <row r="69" spans="2:8">
      <c r="B69" t="s">
        <v>587</v>
      </c>
      <c r="C69" t="s">
        <v>232</v>
      </c>
      <c r="D69">
        <v>4290</v>
      </c>
      <c r="E69">
        <v>4293</v>
      </c>
      <c r="F69">
        <v>4287</v>
      </c>
      <c r="G69">
        <v>4292</v>
      </c>
      <c r="H69">
        <v>73400</v>
      </c>
    </row>
    <row r="70" spans="2:8">
      <c r="B70" t="s">
        <v>587</v>
      </c>
      <c r="C70" t="s">
        <v>233</v>
      </c>
      <c r="D70">
        <v>4292</v>
      </c>
      <c r="E70">
        <v>4297</v>
      </c>
      <c r="F70">
        <v>4286</v>
      </c>
      <c r="G70">
        <v>4297</v>
      </c>
      <c r="H70">
        <v>120700</v>
      </c>
    </row>
    <row r="71" spans="2:8">
      <c r="B71" t="s">
        <v>587</v>
      </c>
      <c r="C71" t="s">
        <v>234</v>
      </c>
      <c r="D71">
        <v>4297</v>
      </c>
      <c r="E71">
        <v>4300</v>
      </c>
      <c r="F71">
        <v>4292</v>
      </c>
      <c r="G71">
        <v>4293</v>
      </c>
      <c r="H71">
        <v>121000</v>
      </c>
    </row>
    <row r="72" spans="2:8">
      <c r="B72" t="s">
        <v>587</v>
      </c>
      <c r="C72" t="s">
        <v>235</v>
      </c>
      <c r="D72">
        <v>4291</v>
      </c>
      <c r="E72">
        <v>4295</v>
      </c>
      <c r="F72">
        <v>4287</v>
      </c>
      <c r="G72">
        <v>4293</v>
      </c>
      <c r="H72">
        <v>87900</v>
      </c>
    </row>
    <row r="73" spans="2:8">
      <c r="B73" t="s">
        <v>587</v>
      </c>
      <c r="C73" t="s">
        <v>236</v>
      </c>
      <c r="D73">
        <v>4293</v>
      </c>
      <c r="E73">
        <v>4293</v>
      </c>
      <c r="F73">
        <v>4272</v>
      </c>
      <c r="G73">
        <v>4272</v>
      </c>
      <c r="H73">
        <v>235100</v>
      </c>
    </row>
    <row r="74" spans="2:8">
      <c r="B74" t="s">
        <v>587</v>
      </c>
      <c r="C74" t="s">
        <v>237</v>
      </c>
      <c r="D74">
        <v>4271</v>
      </c>
      <c r="E74">
        <v>4277</v>
      </c>
      <c r="F74">
        <v>4271</v>
      </c>
      <c r="G74">
        <v>4277</v>
      </c>
      <c r="H74">
        <v>46100</v>
      </c>
    </row>
    <row r="75" spans="2:8">
      <c r="B75" t="s">
        <v>587</v>
      </c>
      <c r="C75" t="s">
        <v>238</v>
      </c>
      <c r="D75">
        <v>4276</v>
      </c>
      <c r="E75">
        <v>4283</v>
      </c>
      <c r="F75">
        <v>4271</v>
      </c>
      <c r="G75">
        <v>4280</v>
      </c>
      <c r="H75">
        <v>87700</v>
      </c>
    </row>
    <row r="76" spans="2:8">
      <c r="B76" t="s">
        <v>587</v>
      </c>
      <c r="C76" t="s">
        <v>239</v>
      </c>
      <c r="D76">
        <v>4279</v>
      </c>
      <c r="E76">
        <v>4284</v>
      </c>
      <c r="F76">
        <v>4277</v>
      </c>
      <c r="G76">
        <v>4277</v>
      </c>
      <c r="H76">
        <v>50100</v>
      </c>
    </row>
    <row r="77" spans="2:8">
      <c r="B77" t="s">
        <v>587</v>
      </c>
      <c r="C77" t="s">
        <v>240</v>
      </c>
      <c r="D77">
        <v>4278</v>
      </c>
      <c r="E77">
        <v>4278</v>
      </c>
      <c r="F77">
        <v>4267</v>
      </c>
      <c r="G77">
        <v>4270</v>
      </c>
      <c r="H77">
        <v>232200</v>
      </c>
    </row>
    <row r="78" spans="2:8">
      <c r="B78" t="s">
        <v>587</v>
      </c>
      <c r="C78" t="s">
        <v>241</v>
      </c>
      <c r="D78">
        <v>4271</v>
      </c>
      <c r="E78">
        <v>4281</v>
      </c>
      <c r="F78">
        <v>4267</v>
      </c>
      <c r="G78">
        <v>4278</v>
      </c>
      <c r="H78">
        <v>89600</v>
      </c>
    </row>
    <row r="79" spans="2:8">
      <c r="B79" t="s">
        <v>587</v>
      </c>
      <c r="C79" t="s">
        <v>242</v>
      </c>
      <c r="D79">
        <v>4277</v>
      </c>
      <c r="E79">
        <v>4279</v>
      </c>
      <c r="F79">
        <v>4267</v>
      </c>
      <c r="G79">
        <v>4269</v>
      </c>
      <c r="H79">
        <v>71800</v>
      </c>
    </row>
    <row r="80" spans="2:8">
      <c r="B80" t="s">
        <v>587</v>
      </c>
      <c r="C80" t="s">
        <v>243</v>
      </c>
      <c r="D80">
        <v>4269</v>
      </c>
      <c r="E80">
        <v>4273</v>
      </c>
      <c r="F80">
        <v>4269</v>
      </c>
      <c r="G80">
        <v>4271</v>
      </c>
      <c r="H80">
        <v>50200</v>
      </c>
    </row>
    <row r="81" spans="2:8">
      <c r="B81" t="s">
        <v>587</v>
      </c>
      <c r="C81" t="s">
        <v>244</v>
      </c>
      <c r="D81">
        <v>4271</v>
      </c>
      <c r="E81">
        <v>4276</v>
      </c>
      <c r="F81">
        <v>4270</v>
      </c>
      <c r="G81">
        <v>4275</v>
      </c>
      <c r="H81">
        <v>55300</v>
      </c>
    </row>
    <row r="82" spans="2:8">
      <c r="B82" t="s">
        <v>587</v>
      </c>
      <c r="C82" t="s">
        <v>245</v>
      </c>
      <c r="D82">
        <v>4275</v>
      </c>
      <c r="E82">
        <v>4281</v>
      </c>
      <c r="F82">
        <v>4273</v>
      </c>
      <c r="G82">
        <v>4281</v>
      </c>
      <c r="H82">
        <v>53400</v>
      </c>
    </row>
    <row r="83" spans="2:8">
      <c r="B83" t="s">
        <v>587</v>
      </c>
      <c r="C83" t="s">
        <v>246</v>
      </c>
      <c r="D83">
        <v>4281</v>
      </c>
      <c r="E83">
        <v>4285</v>
      </c>
      <c r="F83">
        <v>4280</v>
      </c>
      <c r="G83">
        <v>4283</v>
      </c>
      <c r="H83">
        <v>48400</v>
      </c>
    </row>
    <row r="84" spans="2:8">
      <c r="B84" t="s">
        <v>587</v>
      </c>
      <c r="C84" t="s">
        <v>247</v>
      </c>
      <c r="D84">
        <v>4283</v>
      </c>
      <c r="E84">
        <v>4303</v>
      </c>
      <c r="F84">
        <v>4282</v>
      </c>
      <c r="G84">
        <v>4301</v>
      </c>
      <c r="H84">
        <v>124100</v>
      </c>
    </row>
    <row r="85" spans="2:8">
      <c r="B85" t="s">
        <v>587</v>
      </c>
      <c r="C85" t="s">
        <v>248</v>
      </c>
      <c r="D85">
        <v>4301</v>
      </c>
      <c r="E85">
        <v>4304</v>
      </c>
      <c r="F85">
        <v>4296</v>
      </c>
      <c r="G85">
        <v>4299</v>
      </c>
      <c r="H85">
        <v>92000</v>
      </c>
    </row>
    <row r="86" spans="2:8">
      <c r="B86" t="s">
        <v>587</v>
      </c>
      <c r="C86" t="s">
        <v>249</v>
      </c>
      <c r="D86">
        <v>4299</v>
      </c>
      <c r="E86">
        <v>4300</v>
      </c>
      <c r="F86">
        <v>4291</v>
      </c>
      <c r="G86">
        <v>4291</v>
      </c>
      <c r="H86">
        <v>79000</v>
      </c>
    </row>
    <row r="87" spans="2:8">
      <c r="B87" t="s">
        <v>587</v>
      </c>
      <c r="C87" t="s">
        <v>250</v>
      </c>
      <c r="D87">
        <v>4291</v>
      </c>
      <c r="E87">
        <v>4291</v>
      </c>
      <c r="F87">
        <v>4285</v>
      </c>
      <c r="G87">
        <v>4286</v>
      </c>
      <c r="H87">
        <v>86600</v>
      </c>
    </row>
    <row r="88" spans="2:8">
      <c r="B88" t="s">
        <v>587</v>
      </c>
      <c r="C88" t="s">
        <v>251</v>
      </c>
      <c r="D88">
        <v>4286</v>
      </c>
      <c r="E88">
        <v>4286</v>
      </c>
      <c r="F88">
        <v>4277</v>
      </c>
      <c r="G88">
        <v>4278</v>
      </c>
      <c r="H88">
        <v>84100</v>
      </c>
    </row>
    <row r="89" spans="2:8">
      <c r="B89" t="s">
        <v>587</v>
      </c>
      <c r="C89" t="s">
        <v>252</v>
      </c>
      <c r="D89">
        <v>4278</v>
      </c>
      <c r="E89">
        <v>4280</v>
      </c>
      <c r="F89">
        <v>4270</v>
      </c>
      <c r="G89">
        <v>4277</v>
      </c>
      <c r="H89">
        <v>173500</v>
      </c>
    </row>
    <row r="90" spans="2:8">
      <c r="B90" t="s">
        <v>587</v>
      </c>
      <c r="C90" t="s">
        <v>253</v>
      </c>
      <c r="D90">
        <v>4278</v>
      </c>
      <c r="E90">
        <v>4279</v>
      </c>
      <c r="F90">
        <v>4274</v>
      </c>
      <c r="G90">
        <v>4277</v>
      </c>
      <c r="H90">
        <v>59800</v>
      </c>
    </row>
    <row r="91" spans="2:8">
      <c r="B91" t="s">
        <v>587</v>
      </c>
      <c r="C91" t="s">
        <v>254</v>
      </c>
      <c r="D91">
        <v>4279</v>
      </c>
      <c r="E91">
        <v>4282</v>
      </c>
      <c r="F91">
        <v>4275</v>
      </c>
      <c r="G91">
        <v>4280</v>
      </c>
      <c r="H91">
        <v>44600</v>
      </c>
    </row>
    <row r="92" spans="2:8">
      <c r="B92" t="s">
        <v>587</v>
      </c>
      <c r="C92" t="s">
        <v>255</v>
      </c>
      <c r="D92">
        <v>4280</v>
      </c>
      <c r="E92">
        <v>4282</v>
      </c>
      <c r="F92">
        <v>4278</v>
      </c>
      <c r="G92">
        <v>4281</v>
      </c>
      <c r="H92">
        <v>56000</v>
      </c>
    </row>
    <row r="93" spans="2:8">
      <c r="B93" t="s">
        <v>587</v>
      </c>
      <c r="C93" t="s">
        <v>256</v>
      </c>
      <c r="D93">
        <v>4280</v>
      </c>
      <c r="E93">
        <v>4290</v>
      </c>
      <c r="F93">
        <v>4280</v>
      </c>
      <c r="G93">
        <v>4287</v>
      </c>
      <c r="H93">
        <v>74700</v>
      </c>
    </row>
    <row r="94" spans="2:8">
      <c r="B94" t="s">
        <v>587</v>
      </c>
      <c r="C94" t="s">
        <v>257</v>
      </c>
      <c r="D94">
        <v>4287</v>
      </c>
      <c r="E94">
        <v>4290</v>
      </c>
      <c r="F94">
        <v>4282</v>
      </c>
      <c r="G94">
        <v>4286</v>
      </c>
      <c r="H94">
        <v>66500</v>
      </c>
    </row>
    <row r="95" spans="2:8">
      <c r="B95" t="s">
        <v>587</v>
      </c>
      <c r="C95" t="s">
        <v>258</v>
      </c>
      <c r="D95">
        <v>4285</v>
      </c>
      <c r="E95">
        <v>4286</v>
      </c>
      <c r="F95">
        <v>4280</v>
      </c>
      <c r="G95">
        <v>4280</v>
      </c>
      <c r="H95">
        <v>54100</v>
      </c>
    </row>
    <row r="96" spans="2:8">
      <c r="B96" t="s">
        <v>587</v>
      </c>
      <c r="C96" t="s">
        <v>259</v>
      </c>
      <c r="D96">
        <v>4281</v>
      </c>
      <c r="E96">
        <v>4282</v>
      </c>
      <c r="F96">
        <v>4274</v>
      </c>
      <c r="G96">
        <v>4276</v>
      </c>
      <c r="H96">
        <v>101800</v>
      </c>
    </row>
    <row r="97" spans="2:8">
      <c r="B97" t="s">
        <v>587</v>
      </c>
      <c r="C97" t="s">
        <v>260</v>
      </c>
      <c r="D97">
        <v>4275</v>
      </c>
      <c r="E97">
        <v>4281</v>
      </c>
      <c r="F97">
        <v>4275</v>
      </c>
      <c r="G97">
        <v>4278</v>
      </c>
      <c r="H97">
        <v>48700</v>
      </c>
    </row>
    <row r="98" spans="2:8">
      <c r="B98" t="s">
        <v>587</v>
      </c>
      <c r="C98" t="s">
        <v>261</v>
      </c>
      <c r="D98">
        <v>4278</v>
      </c>
      <c r="E98">
        <v>4280</v>
      </c>
      <c r="F98">
        <v>4275</v>
      </c>
      <c r="G98">
        <v>4280</v>
      </c>
      <c r="H98">
        <v>48800</v>
      </c>
    </row>
    <row r="99" spans="2:8">
      <c r="B99" t="s">
        <v>587</v>
      </c>
      <c r="C99" t="s">
        <v>262</v>
      </c>
      <c r="D99">
        <v>4280</v>
      </c>
      <c r="E99">
        <v>4281</v>
      </c>
      <c r="F99">
        <v>4277</v>
      </c>
      <c r="G99">
        <v>4281</v>
      </c>
      <c r="H99">
        <v>80400</v>
      </c>
    </row>
    <row r="100" spans="2:8">
      <c r="B100" t="s">
        <v>587</v>
      </c>
      <c r="C100" t="s">
        <v>263</v>
      </c>
      <c r="D100">
        <v>4280</v>
      </c>
      <c r="E100">
        <v>4284</v>
      </c>
      <c r="F100">
        <v>4280</v>
      </c>
      <c r="G100">
        <v>4282</v>
      </c>
      <c r="H100">
        <v>49400</v>
      </c>
    </row>
    <row r="101" spans="2:8">
      <c r="B101" t="s">
        <v>587</v>
      </c>
      <c r="C101" t="s">
        <v>264</v>
      </c>
      <c r="D101">
        <v>4282</v>
      </c>
      <c r="E101">
        <v>4291</v>
      </c>
      <c r="F101">
        <v>4281</v>
      </c>
      <c r="G101">
        <v>4290</v>
      </c>
      <c r="H101">
        <v>59800</v>
      </c>
    </row>
    <row r="102" spans="2:8">
      <c r="B102" t="s">
        <v>587</v>
      </c>
      <c r="C102" t="s">
        <v>265</v>
      </c>
      <c r="D102">
        <v>4291</v>
      </c>
      <c r="E102">
        <v>4295</v>
      </c>
      <c r="F102">
        <v>4289</v>
      </c>
      <c r="G102">
        <v>4294</v>
      </c>
      <c r="H102">
        <v>58600</v>
      </c>
    </row>
    <row r="103" spans="2:8">
      <c r="B103" t="s">
        <v>587</v>
      </c>
      <c r="C103" t="s">
        <v>266</v>
      </c>
      <c r="D103">
        <v>4294</v>
      </c>
      <c r="E103">
        <v>4296</v>
      </c>
      <c r="F103">
        <v>4288</v>
      </c>
      <c r="G103">
        <v>4288</v>
      </c>
      <c r="H103">
        <v>59000</v>
      </c>
    </row>
    <row r="104" spans="2:8">
      <c r="B104" t="s">
        <v>587</v>
      </c>
      <c r="C104" t="s">
        <v>267</v>
      </c>
      <c r="D104">
        <v>4288</v>
      </c>
      <c r="E104">
        <v>4293</v>
      </c>
      <c r="F104">
        <v>4288</v>
      </c>
      <c r="G104">
        <v>4292</v>
      </c>
      <c r="H104">
        <v>45900</v>
      </c>
    </row>
    <row r="105" spans="2:8">
      <c r="B105" t="s">
        <v>587</v>
      </c>
      <c r="C105" t="s">
        <v>268</v>
      </c>
      <c r="D105">
        <v>4291</v>
      </c>
      <c r="E105">
        <v>4294</v>
      </c>
      <c r="F105">
        <v>4286</v>
      </c>
      <c r="G105">
        <v>4294</v>
      </c>
      <c r="H105">
        <v>69500</v>
      </c>
    </row>
    <row r="106" spans="2:8">
      <c r="B106" t="s">
        <v>587</v>
      </c>
      <c r="C106" t="s">
        <v>269</v>
      </c>
      <c r="D106">
        <v>4294</v>
      </c>
      <c r="E106">
        <v>4295</v>
      </c>
      <c r="F106">
        <v>4288</v>
      </c>
      <c r="G106">
        <v>4289</v>
      </c>
      <c r="H106">
        <v>65200</v>
      </c>
    </row>
    <row r="107" spans="2:8">
      <c r="B107" t="s">
        <v>587</v>
      </c>
      <c r="C107" t="s">
        <v>270</v>
      </c>
      <c r="D107">
        <v>4289</v>
      </c>
      <c r="E107">
        <v>4293</v>
      </c>
      <c r="F107">
        <v>4287</v>
      </c>
      <c r="G107">
        <v>4291</v>
      </c>
      <c r="H107">
        <v>39400</v>
      </c>
    </row>
    <row r="108" spans="2:8">
      <c r="B108" t="s">
        <v>587</v>
      </c>
      <c r="C108" t="s">
        <v>271</v>
      </c>
      <c r="D108">
        <v>4291</v>
      </c>
      <c r="E108">
        <v>4294</v>
      </c>
      <c r="F108">
        <v>4289</v>
      </c>
      <c r="G108">
        <v>4292</v>
      </c>
      <c r="H108">
        <v>35900</v>
      </c>
    </row>
    <row r="109" spans="2:8">
      <c r="B109" t="s">
        <v>587</v>
      </c>
      <c r="C109" t="s">
        <v>272</v>
      </c>
      <c r="D109">
        <v>4292</v>
      </c>
      <c r="E109">
        <v>4301</v>
      </c>
      <c r="F109">
        <v>4292</v>
      </c>
      <c r="G109">
        <v>4300</v>
      </c>
      <c r="H109">
        <v>107000</v>
      </c>
    </row>
    <row r="110" spans="2:8">
      <c r="B110" t="s">
        <v>587</v>
      </c>
      <c r="C110" t="s">
        <v>273</v>
      </c>
      <c r="D110">
        <v>4300</v>
      </c>
      <c r="E110">
        <v>4301</v>
      </c>
      <c r="F110">
        <v>4297</v>
      </c>
      <c r="G110">
        <v>4297</v>
      </c>
      <c r="H110">
        <v>37900</v>
      </c>
    </row>
    <row r="111" spans="2:8">
      <c r="B111" t="s">
        <v>587</v>
      </c>
      <c r="C111" t="s">
        <v>274</v>
      </c>
      <c r="D111">
        <v>4297</v>
      </c>
      <c r="E111">
        <v>4301</v>
      </c>
      <c r="F111">
        <v>4296</v>
      </c>
      <c r="G111">
        <v>4297</v>
      </c>
      <c r="H111">
        <v>65500</v>
      </c>
    </row>
    <row r="112" spans="2:8">
      <c r="B112" t="s">
        <v>587</v>
      </c>
      <c r="C112" t="s">
        <v>275</v>
      </c>
      <c r="D112">
        <v>4296</v>
      </c>
      <c r="E112">
        <v>4299</v>
      </c>
      <c r="F112">
        <v>4293</v>
      </c>
      <c r="G112">
        <v>4296</v>
      </c>
      <c r="H112">
        <v>50200</v>
      </c>
    </row>
    <row r="113" spans="2:8">
      <c r="B113" t="s">
        <v>587</v>
      </c>
      <c r="C113" t="s">
        <v>276</v>
      </c>
      <c r="D113">
        <v>4295</v>
      </c>
      <c r="E113">
        <v>4299</v>
      </c>
      <c r="F113">
        <v>4293</v>
      </c>
      <c r="G113">
        <v>4298</v>
      </c>
      <c r="H113">
        <v>31000</v>
      </c>
    </row>
    <row r="114" spans="2:8">
      <c r="B114" t="s">
        <v>587</v>
      </c>
      <c r="C114" t="s">
        <v>277</v>
      </c>
      <c r="D114">
        <v>4298</v>
      </c>
      <c r="E114">
        <v>4299</v>
      </c>
      <c r="F114">
        <v>4290</v>
      </c>
      <c r="G114">
        <v>4291</v>
      </c>
      <c r="H114">
        <v>69500</v>
      </c>
    </row>
    <row r="115" spans="2:8">
      <c r="B115" t="s">
        <v>587</v>
      </c>
      <c r="C115" t="s">
        <v>278</v>
      </c>
      <c r="D115">
        <v>4291</v>
      </c>
      <c r="E115">
        <v>4298</v>
      </c>
      <c r="F115">
        <v>4291</v>
      </c>
      <c r="G115">
        <v>4296</v>
      </c>
      <c r="H115">
        <v>37100</v>
      </c>
    </row>
    <row r="116" spans="2:8">
      <c r="B116" t="s">
        <v>587</v>
      </c>
      <c r="C116" t="s">
        <v>279</v>
      </c>
      <c r="D116">
        <v>4296</v>
      </c>
      <c r="E116">
        <v>4299</v>
      </c>
      <c r="F116">
        <v>4286</v>
      </c>
      <c r="G116">
        <v>4293</v>
      </c>
      <c r="H116">
        <v>181800</v>
      </c>
    </row>
    <row r="117" spans="2:8">
      <c r="B117" t="s">
        <v>587</v>
      </c>
      <c r="C117" t="s">
        <v>280</v>
      </c>
      <c r="D117">
        <v>4294</v>
      </c>
      <c r="E117">
        <v>4294</v>
      </c>
      <c r="F117">
        <v>4288</v>
      </c>
      <c r="G117">
        <v>4292</v>
      </c>
      <c r="H117">
        <v>39800</v>
      </c>
    </row>
    <row r="118" spans="2:8">
      <c r="B118" t="s">
        <v>587</v>
      </c>
      <c r="C118" t="s">
        <v>281</v>
      </c>
      <c r="D118">
        <v>4292</v>
      </c>
      <c r="E118">
        <v>4292</v>
      </c>
      <c r="F118">
        <v>4287</v>
      </c>
      <c r="G118">
        <v>4289</v>
      </c>
      <c r="H118">
        <v>64100</v>
      </c>
    </row>
    <row r="119" spans="2:8">
      <c r="B119" t="s">
        <v>587</v>
      </c>
      <c r="C119" t="s">
        <v>282</v>
      </c>
      <c r="D119">
        <v>4289</v>
      </c>
      <c r="E119">
        <v>4293</v>
      </c>
      <c r="F119">
        <v>4287</v>
      </c>
      <c r="G119">
        <v>4293</v>
      </c>
      <c r="H119">
        <v>48200</v>
      </c>
    </row>
    <row r="120" spans="2:8">
      <c r="B120" t="s">
        <v>587</v>
      </c>
      <c r="C120" t="s">
        <v>283</v>
      </c>
      <c r="D120">
        <v>4293</v>
      </c>
      <c r="E120">
        <v>4294</v>
      </c>
      <c r="F120">
        <v>4290</v>
      </c>
      <c r="G120">
        <v>4292</v>
      </c>
      <c r="H120">
        <v>37300</v>
      </c>
    </row>
    <row r="121" spans="2:8">
      <c r="B121" t="s">
        <v>587</v>
      </c>
      <c r="C121" t="s">
        <v>284</v>
      </c>
      <c r="D121">
        <v>4291</v>
      </c>
      <c r="E121">
        <v>4291</v>
      </c>
      <c r="F121">
        <v>4288</v>
      </c>
      <c r="G121">
        <v>4290</v>
      </c>
      <c r="H121">
        <v>67500</v>
      </c>
    </row>
    <row r="122" spans="2:8">
      <c r="B122" t="s">
        <v>587</v>
      </c>
      <c r="C122" t="s">
        <v>285</v>
      </c>
      <c r="D122">
        <v>4290</v>
      </c>
      <c r="E122">
        <v>4299</v>
      </c>
      <c r="F122">
        <v>4290</v>
      </c>
      <c r="G122">
        <v>4295</v>
      </c>
      <c r="H122">
        <v>53800</v>
      </c>
    </row>
    <row r="123" spans="2:8">
      <c r="B123" t="s">
        <v>587</v>
      </c>
      <c r="C123" t="s">
        <v>286</v>
      </c>
      <c r="D123">
        <v>4295</v>
      </c>
      <c r="E123">
        <v>4304</v>
      </c>
      <c r="F123">
        <v>4293</v>
      </c>
      <c r="G123">
        <v>4304</v>
      </c>
      <c r="H123">
        <v>82900</v>
      </c>
    </row>
    <row r="124" spans="2:8">
      <c r="B124" t="s">
        <v>587</v>
      </c>
      <c r="C124" t="s">
        <v>287</v>
      </c>
      <c r="D124">
        <v>4303</v>
      </c>
      <c r="E124">
        <v>4306</v>
      </c>
      <c r="F124">
        <v>4300</v>
      </c>
      <c r="G124">
        <v>4304</v>
      </c>
      <c r="H124">
        <v>53600</v>
      </c>
    </row>
    <row r="125" spans="2:8">
      <c r="B125" t="s">
        <v>587</v>
      </c>
      <c r="C125" t="s">
        <v>288</v>
      </c>
      <c r="D125">
        <v>4302</v>
      </c>
      <c r="E125">
        <v>4304</v>
      </c>
      <c r="F125">
        <v>4300</v>
      </c>
      <c r="G125">
        <v>4303</v>
      </c>
      <c r="H125">
        <v>81000</v>
      </c>
    </row>
    <row r="126" spans="2:8">
      <c r="B126" t="s">
        <v>587</v>
      </c>
      <c r="C126" t="s">
        <v>289</v>
      </c>
      <c r="D126">
        <v>4304</v>
      </c>
      <c r="E126">
        <v>4305</v>
      </c>
      <c r="F126">
        <v>4300</v>
      </c>
      <c r="G126">
        <v>4303</v>
      </c>
      <c r="H126">
        <v>67900</v>
      </c>
    </row>
    <row r="127" spans="2:8">
      <c r="B127" t="s">
        <v>587</v>
      </c>
      <c r="C127" t="s">
        <v>290</v>
      </c>
      <c r="D127">
        <v>4301</v>
      </c>
      <c r="E127">
        <v>4305</v>
      </c>
      <c r="F127">
        <v>4301</v>
      </c>
      <c r="G127">
        <v>4304</v>
      </c>
      <c r="H127">
        <v>35300</v>
      </c>
    </row>
    <row r="128" spans="2:8">
      <c r="B128" t="s">
        <v>587</v>
      </c>
      <c r="C128" t="s">
        <v>291</v>
      </c>
      <c r="D128">
        <v>4303</v>
      </c>
      <c r="E128">
        <v>4308</v>
      </c>
      <c r="F128">
        <v>4302</v>
      </c>
      <c r="G128">
        <v>4307</v>
      </c>
      <c r="H128">
        <v>33300</v>
      </c>
    </row>
    <row r="129" spans="2:8">
      <c r="B129" t="s">
        <v>587</v>
      </c>
      <c r="C129" t="s">
        <v>292</v>
      </c>
      <c r="D129">
        <v>4307</v>
      </c>
      <c r="E129">
        <v>4309</v>
      </c>
      <c r="F129">
        <v>4306</v>
      </c>
      <c r="G129">
        <v>4309</v>
      </c>
      <c r="H129">
        <v>41200</v>
      </c>
    </row>
    <row r="130" spans="2:8">
      <c r="B130" t="s">
        <v>587</v>
      </c>
      <c r="C130" t="s">
        <v>293</v>
      </c>
      <c r="D130">
        <v>4308</v>
      </c>
      <c r="E130">
        <v>4314</v>
      </c>
      <c r="F130">
        <v>4306</v>
      </c>
      <c r="G130">
        <v>4314</v>
      </c>
      <c r="H130">
        <v>92300</v>
      </c>
    </row>
    <row r="131" spans="2:8">
      <c r="B131" t="s">
        <v>587</v>
      </c>
      <c r="C131" t="s">
        <v>294</v>
      </c>
      <c r="D131">
        <v>4314</v>
      </c>
      <c r="E131">
        <v>4316</v>
      </c>
      <c r="F131">
        <v>4313</v>
      </c>
      <c r="G131">
        <v>4315</v>
      </c>
      <c r="H131">
        <v>65700</v>
      </c>
    </row>
    <row r="132" spans="2:8">
      <c r="B132" t="s">
        <v>587</v>
      </c>
      <c r="C132" t="s">
        <v>295</v>
      </c>
      <c r="D132">
        <v>4315</v>
      </c>
      <c r="E132">
        <v>4321</v>
      </c>
      <c r="F132">
        <v>4314</v>
      </c>
      <c r="G132">
        <v>4320</v>
      </c>
      <c r="H132">
        <v>75100</v>
      </c>
    </row>
    <row r="133" spans="2:8">
      <c r="B133" t="s">
        <v>587</v>
      </c>
      <c r="C133" t="s">
        <v>296</v>
      </c>
      <c r="D133">
        <v>4319</v>
      </c>
      <c r="E133">
        <v>4323</v>
      </c>
      <c r="F133">
        <v>4318</v>
      </c>
      <c r="G133">
        <v>4322</v>
      </c>
      <c r="H133">
        <v>101000</v>
      </c>
    </row>
    <row r="134" spans="2:8">
      <c r="B134" t="s">
        <v>587</v>
      </c>
      <c r="C134" t="s">
        <v>297</v>
      </c>
      <c r="D134">
        <v>4323</v>
      </c>
      <c r="E134">
        <v>4325</v>
      </c>
      <c r="F134">
        <v>4321</v>
      </c>
      <c r="G134">
        <v>4324</v>
      </c>
      <c r="H134">
        <v>74800</v>
      </c>
    </row>
    <row r="135" spans="2:8">
      <c r="B135" t="s">
        <v>587</v>
      </c>
      <c r="C135" t="s">
        <v>298</v>
      </c>
      <c r="D135">
        <v>4323</v>
      </c>
      <c r="E135">
        <v>4327</v>
      </c>
      <c r="F135">
        <v>4322</v>
      </c>
      <c r="G135">
        <v>4326</v>
      </c>
      <c r="H135">
        <v>47500</v>
      </c>
    </row>
    <row r="136" spans="2:8">
      <c r="B136" t="s">
        <v>587</v>
      </c>
      <c r="C136" t="s">
        <v>299</v>
      </c>
      <c r="D136">
        <v>4327</v>
      </c>
      <c r="E136">
        <v>4332</v>
      </c>
      <c r="F136">
        <v>4323</v>
      </c>
      <c r="G136">
        <v>4329</v>
      </c>
      <c r="H136">
        <v>190900</v>
      </c>
    </row>
    <row r="137" spans="2:8">
      <c r="B137" t="s">
        <v>587</v>
      </c>
      <c r="C137" t="s">
        <v>300</v>
      </c>
      <c r="D137">
        <v>4329</v>
      </c>
      <c r="E137">
        <v>4334</v>
      </c>
      <c r="F137">
        <v>4327</v>
      </c>
      <c r="G137">
        <v>4329</v>
      </c>
      <c r="H137">
        <v>69200</v>
      </c>
    </row>
    <row r="138" spans="2:8">
      <c r="B138" t="s">
        <v>587</v>
      </c>
      <c r="C138" t="s">
        <v>301</v>
      </c>
      <c r="D138">
        <v>4329</v>
      </c>
      <c r="E138">
        <v>4330</v>
      </c>
      <c r="F138">
        <v>4323</v>
      </c>
      <c r="G138">
        <v>4328</v>
      </c>
      <c r="H138">
        <v>90100</v>
      </c>
    </row>
    <row r="139" spans="2:8">
      <c r="B139" t="s">
        <v>587</v>
      </c>
      <c r="C139" t="s">
        <v>302</v>
      </c>
      <c r="D139">
        <v>4328</v>
      </c>
      <c r="E139">
        <v>4339</v>
      </c>
      <c r="F139">
        <v>4326</v>
      </c>
      <c r="G139">
        <v>4336</v>
      </c>
      <c r="H139">
        <v>193500</v>
      </c>
    </row>
    <row r="140" spans="2:8">
      <c r="B140" t="s">
        <v>587</v>
      </c>
      <c r="C140" t="s">
        <v>303</v>
      </c>
      <c r="D140">
        <v>4336</v>
      </c>
      <c r="E140">
        <v>4339</v>
      </c>
      <c r="F140">
        <v>4331</v>
      </c>
      <c r="G140">
        <v>4336</v>
      </c>
      <c r="H140">
        <v>115400</v>
      </c>
    </row>
    <row r="141" spans="2:8">
      <c r="B141" t="s">
        <v>587</v>
      </c>
      <c r="C141" t="s">
        <v>304</v>
      </c>
      <c r="D141">
        <v>4335</v>
      </c>
      <c r="E141">
        <v>4341</v>
      </c>
      <c r="F141">
        <v>4333</v>
      </c>
      <c r="G141">
        <v>4340</v>
      </c>
      <c r="H141">
        <v>116500</v>
      </c>
    </row>
    <row r="142" spans="2:8">
      <c r="B142" t="s">
        <v>587</v>
      </c>
      <c r="C142" t="s">
        <v>305</v>
      </c>
      <c r="D142">
        <v>4339</v>
      </c>
      <c r="E142">
        <v>4341</v>
      </c>
      <c r="F142">
        <v>4334</v>
      </c>
      <c r="G142">
        <v>4339</v>
      </c>
      <c r="H142">
        <v>83900</v>
      </c>
    </row>
    <row r="143" spans="2:8">
      <c r="B143" t="s">
        <v>587</v>
      </c>
      <c r="C143" t="s">
        <v>306</v>
      </c>
      <c r="D143">
        <v>4339</v>
      </c>
      <c r="E143">
        <v>4340</v>
      </c>
      <c r="F143">
        <v>4332</v>
      </c>
      <c r="G143">
        <v>4335</v>
      </c>
      <c r="H143">
        <v>76000</v>
      </c>
    </row>
    <row r="144" spans="2:8">
      <c r="B144" t="s">
        <v>587</v>
      </c>
      <c r="C144" t="s">
        <v>307</v>
      </c>
      <c r="D144">
        <v>4335</v>
      </c>
      <c r="E144">
        <v>4343</v>
      </c>
      <c r="F144">
        <v>4335</v>
      </c>
      <c r="G144">
        <v>4342</v>
      </c>
      <c r="H144">
        <v>92800</v>
      </c>
    </row>
    <row r="145" spans="2:8">
      <c r="B145" t="s">
        <v>587</v>
      </c>
      <c r="C145" t="s">
        <v>308</v>
      </c>
      <c r="D145">
        <v>4342</v>
      </c>
      <c r="E145">
        <v>4344</v>
      </c>
      <c r="F145">
        <v>4338</v>
      </c>
      <c r="G145">
        <v>4340</v>
      </c>
      <c r="H145">
        <v>97100</v>
      </c>
    </row>
    <row r="146" spans="2:8">
      <c r="B146" t="s">
        <v>587</v>
      </c>
      <c r="C146" t="s">
        <v>309</v>
      </c>
      <c r="D146">
        <v>4338</v>
      </c>
      <c r="E146">
        <v>4340</v>
      </c>
      <c r="F146">
        <v>4330</v>
      </c>
      <c r="G146">
        <v>4335</v>
      </c>
      <c r="H146">
        <v>117100</v>
      </c>
    </row>
    <row r="147" spans="2:8">
      <c r="B147" t="s">
        <v>587</v>
      </c>
      <c r="C147" t="s">
        <v>310</v>
      </c>
      <c r="D147">
        <v>4334</v>
      </c>
      <c r="E147">
        <v>4336</v>
      </c>
      <c r="F147">
        <v>4332</v>
      </c>
      <c r="G147">
        <v>4332</v>
      </c>
      <c r="H147">
        <v>31900</v>
      </c>
    </row>
    <row r="148" spans="2:8">
      <c r="B148" t="s">
        <v>587</v>
      </c>
      <c r="C148" t="s">
        <v>311</v>
      </c>
      <c r="D148">
        <v>4333</v>
      </c>
      <c r="E148">
        <v>4336</v>
      </c>
      <c r="F148">
        <v>4329</v>
      </c>
      <c r="G148">
        <v>4332</v>
      </c>
      <c r="H148">
        <v>60200</v>
      </c>
    </row>
    <row r="149" spans="2:8">
      <c r="B149" t="s">
        <v>587</v>
      </c>
      <c r="C149" t="s">
        <v>312</v>
      </c>
      <c r="D149">
        <v>4331</v>
      </c>
      <c r="E149">
        <v>4335</v>
      </c>
      <c r="F149">
        <v>4328</v>
      </c>
      <c r="G149">
        <v>4333</v>
      </c>
      <c r="H149">
        <v>58700</v>
      </c>
    </row>
    <row r="150" spans="2:8">
      <c r="B150" t="s">
        <v>587</v>
      </c>
      <c r="C150" t="s">
        <v>313</v>
      </c>
      <c r="D150">
        <v>4334</v>
      </c>
      <c r="E150">
        <v>4345</v>
      </c>
      <c r="F150">
        <v>4333</v>
      </c>
      <c r="G150">
        <v>4338</v>
      </c>
      <c r="H150">
        <v>140300</v>
      </c>
    </row>
    <row r="151" spans="2:8">
      <c r="B151" t="s">
        <v>587</v>
      </c>
      <c r="C151" t="s">
        <v>314</v>
      </c>
      <c r="D151">
        <v>4338</v>
      </c>
      <c r="E151">
        <v>4343</v>
      </c>
      <c r="F151">
        <v>4336</v>
      </c>
      <c r="G151">
        <v>4341</v>
      </c>
      <c r="H151">
        <v>43200</v>
      </c>
    </row>
    <row r="152" spans="2:8">
      <c r="B152" t="s">
        <v>587</v>
      </c>
      <c r="C152" t="s">
        <v>315</v>
      </c>
      <c r="D152">
        <v>4340</v>
      </c>
      <c r="E152">
        <v>4347</v>
      </c>
      <c r="F152">
        <v>4339</v>
      </c>
      <c r="G152">
        <v>4342</v>
      </c>
      <c r="H152">
        <v>99400</v>
      </c>
    </row>
    <row r="153" spans="2:8">
      <c r="B153" t="s">
        <v>587</v>
      </c>
      <c r="C153" t="s">
        <v>316</v>
      </c>
      <c r="D153">
        <v>4342</v>
      </c>
      <c r="E153">
        <v>4342</v>
      </c>
      <c r="F153">
        <v>4342</v>
      </c>
      <c r="G153">
        <v>4342</v>
      </c>
      <c r="H153">
        <v>30500</v>
      </c>
    </row>
    <row r="154" spans="2:8">
      <c r="B154" t="s">
        <v>587</v>
      </c>
      <c r="C154" t="s">
        <v>317</v>
      </c>
      <c r="D154">
        <v>4369</v>
      </c>
      <c r="E154">
        <v>4369</v>
      </c>
      <c r="F154">
        <v>4344</v>
      </c>
      <c r="G154">
        <v>4356</v>
      </c>
      <c r="H154">
        <v>881800</v>
      </c>
    </row>
    <row r="155" spans="2:8">
      <c r="B155" t="s">
        <v>587</v>
      </c>
      <c r="C155" t="s">
        <v>318</v>
      </c>
      <c r="D155">
        <v>4356</v>
      </c>
      <c r="E155">
        <v>4357</v>
      </c>
      <c r="F155">
        <v>4346</v>
      </c>
      <c r="G155">
        <v>4351</v>
      </c>
      <c r="H155">
        <v>117000</v>
      </c>
    </row>
    <row r="156" spans="2:8">
      <c r="B156" t="s">
        <v>587</v>
      </c>
      <c r="C156" t="s">
        <v>319</v>
      </c>
      <c r="D156">
        <v>4350</v>
      </c>
      <c r="E156">
        <v>4357</v>
      </c>
      <c r="F156">
        <v>4346</v>
      </c>
      <c r="G156">
        <v>4356</v>
      </c>
      <c r="H156">
        <v>80700</v>
      </c>
    </row>
    <row r="157" spans="2:8">
      <c r="B157" t="s">
        <v>587</v>
      </c>
      <c r="C157" t="s">
        <v>320</v>
      </c>
      <c r="D157">
        <v>4355</v>
      </c>
      <c r="E157">
        <v>4358</v>
      </c>
      <c r="F157">
        <v>4345</v>
      </c>
      <c r="G157">
        <v>4354</v>
      </c>
      <c r="H157">
        <v>117900</v>
      </c>
    </row>
    <row r="158" spans="2:8">
      <c r="B158" t="s">
        <v>587</v>
      </c>
      <c r="C158" t="s">
        <v>321</v>
      </c>
      <c r="D158">
        <v>4354</v>
      </c>
      <c r="E158">
        <v>4354</v>
      </c>
      <c r="F158">
        <v>4347</v>
      </c>
      <c r="G158">
        <v>4348</v>
      </c>
      <c r="H158">
        <v>64800</v>
      </c>
    </row>
    <row r="159" spans="2:8">
      <c r="B159" t="s">
        <v>587</v>
      </c>
      <c r="C159" t="s">
        <v>322</v>
      </c>
      <c r="D159">
        <v>4347</v>
      </c>
      <c r="E159">
        <v>4350</v>
      </c>
      <c r="F159">
        <v>4343</v>
      </c>
      <c r="G159">
        <v>4347</v>
      </c>
      <c r="H159">
        <v>88300</v>
      </c>
    </row>
    <row r="160" spans="2:8">
      <c r="B160" t="s">
        <v>587</v>
      </c>
      <c r="C160" t="s">
        <v>323</v>
      </c>
      <c r="D160">
        <v>4345</v>
      </c>
      <c r="E160">
        <v>4351</v>
      </c>
      <c r="F160">
        <v>4345</v>
      </c>
      <c r="G160">
        <v>4349</v>
      </c>
      <c r="H160">
        <v>72200</v>
      </c>
    </row>
    <row r="161" spans="2:8">
      <c r="B161" t="s">
        <v>587</v>
      </c>
      <c r="C161" t="s">
        <v>324</v>
      </c>
      <c r="D161">
        <v>4349</v>
      </c>
      <c r="E161">
        <v>4357</v>
      </c>
      <c r="F161">
        <v>4348</v>
      </c>
      <c r="G161">
        <v>4357</v>
      </c>
      <c r="H161">
        <v>121400</v>
      </c>
    </row>
    <row r="162" spans="2:8">
      <c r="B162" t="s">
        <v>587</v>
      </c>
      <c r="C162" t="s">
        <v>325</v>
      </c>
      <c r="D162">
        <v>4356</v>
      </c>
      <c r="E162">
        <v>4356</v>
      </c>
      <c r="F162">
        <v>4344</v>
      </c>
      <c r="G162">
        <v>4346</v>
      </c>
      <c r="H162">
        <v>113400</v>
      </c>
    </row>
    <row r="163" spans="2:8">
      <c r="B163" t="s">
        <v>587</v>
      </c>
      <c r="C163" t="s">
        <v>326</v>
      </c>
      <c r="D163">
        <v>4345</v>
      </c>
      <c r="E163">
        <v>4350</v>
      </c>
      <c r="F163">
        <v>4341</v>
      </c>
      <c r="G163">
        <v>4347</v>
      </c>
      <c r="H163">
        <v>111700</v>
      </c>
    </row>
    <row r="164" spans="2:8">
      <c r="B164" t="s">
        <v>587</v>
      </c>
      <c r="C164" t="s">
        <v>327</v>
      </c>
      <c r="D164">
        <v>4347</v>
      </c>
      <c r="E164">
        <v>4352</v>
      </c>
      <c r="F164">
        <v>4345</v>
      </c>
      <c r="G164">
        <v>4348</v>
      </c>
      <c r="H164">
        <v>82800</v>
      </c>
    </row>
    <row r="165" spans="2:8">
      <c r="B165" t="s">
        <v>587</v>
      </c>
      <c r="C165" t="s">
        <v>328</v>
      </c>
      <c r="D165">
        <v>4348</v>
      </c>
      <c r="E165">
        <v>4349</v>
      </c>
      <c r="F165">
        <v>4340</v>
      </c>
      <c r="G165">
        <v>4341</v>
      </c>
      <c r="H165">
        <v>87600</v>
      </c>
    </row>
    <row r="166" spans="2:8">
      <c r="B166" t="s">
        <v>587</v>
      </c>
      <c r="C166" t="s">
        <v>329</v>
      </c>
      <c r="D166">
        <v>4341</v>
      </c>
      <c r="E166">
        <v>4342</v>
      </c>
      <c r="F166">
        <v>4336</v>
      </c>
      <c r="G166">
        <v>4339</v>
      </c>
      <c r="H166">
        <v>114800</v>
      </c>
    </row>
    <row r="167" spans="2:8">
      <c r="B167" t="s">
        <v>587</v>
      </c>
      <c r="C167" t="s">
        <v>330</v>
      </c>
      <c r="D167">
        <v>4340</v>
      </c>
      <c r="E167">
        <v>4340</v>
      </c>
      <c r="F167">
        <v>4336</v>
      </c>
      <c r="G167">
        <v>4338</v>
      </c>
      <c r="H167">
        <v>29000</v>
      </c>
    </row>
    <row r="168" spans="2:8">
      <c r="B168" t="s">
        <v>587</v>
      </c>
      <c r="C168" t="s">
        <v>331</v>
      </c>
      <c r="D168">
        <v>4339</v>
      </c>
      <c r="E168">
        <v>4339</v>
      </c>
      <c r="F168">
        <v>4333</v>
      </c>
      <c r="G168">
        <v>4337</v>
      </c>
      <c r="H168">
        <v>83000</v>
      </c>
    </row>
    <row r="169" spans="2:8">
      <c r="B169" t="s">
        <v>587</v>
      </c>
      <c r="C169" t="s">
        <v>332</v>
      </c>
      <c r="D169">
        <v>4335</v>
      </c>
      <c r="E169">
        <v>4336</v>
      </c>
      <c r="F169">
        <v>4333</v>
      </c>
      <c r="G169">
        <v>4336</v>
      </c>
      <c r="H169">
        <v>33000</v>
      </c>
    </row>
    <row r="170" spans="2:8">
      <c r="B170" t="s">
        <v>587</v>
      </c>
      <c r="C170" t="s">
        <v>333</v>
      </c>
      <c r="D170">
        <v>4335</v>
      </c>
      <c r="E170">
        <v>4338</v>
      </c>
      <c r="F170">
        <v>4334</v>
      </c>
      <c r="G170">
        <v>4337</v>
      </c>
      <c r="H170">
        <v>40300</v>
      </c>
    </row>
    <row r="171" spans="2:8">
      <c r="B171" t="s">
        <v>587</v>
      </c>
      <c r="C171" t="s">
        <v>334</v>
      </c>
      <c r="D171">
        <v>4337</v>
      </c>
      <c r="E171">
        <v>4338</v>
      </c>
      <c r="F171">
        <v>4334</v>
      </c>
      <c r="G171">
        <v>4336</v>
      </c>
      <c r="H171">
        <v>41100</v>
      </c>
    </row>
    <row r="172" spans="2:8">
      <c r="B172" t="s">
        <v>587</v>
      </c>
      <c r="C172" t="s">
        <v>335</v>
      </c>
      <c r="D172">
        <v>4336</v>
      </c>
      <c r="E172">
        <v>4338</v>
      </c>
      <c r="F172">
        <v>4334</v>
      </c>
      <c r="G172">
        <v>4337</v>
      </c>
      <c r="H172">
        <v>55500</v>
      </c>
    </row>
    <row r="173" spans="2:8">
      <c r="B173" t="s">
        <v>587</v>
      </c>
      <c r="C173" t="s">
        <v>336</v>
      </c>
      <c r="D173">
        <v>4338</v>
      </c>
      <c r="E173">
        <v>4344</v>
      </c>
      <c r="F173">
        <v>4338</v>
      </c>
      <c r="G173">
        <v>4342</v>
      </c>
      <c r="H173">
        <v>41000</v>
      </c>
    </row>
    <row r="174" spans="2:8">
      <c r="B174" t="s">
        <v>587</v>
      </c>
      <c r="C174" t="s">
        <v>337</v>
      </c>
      <c r="D174">
        <v>4341</v>
      </c>
      <c r="E174">
        <v>4351</v>
      </c>
      <c r="F174">
        <v>4335</v>
      </c>
      <c r="G174">
        <v>4343</v>
      </c>
      <c r="H174">
        <v>211500</v>
      </c>
    </row>
    <row r="175" spans="2:8">
      <c r="B175" t="s">
        <v>587</v>
      </c>
      <c r="C175" t="s">
        <v>338</v>
      </c>
      <c r="D175">
        <v>4344</v>
      </c>
      <c r="E175">
        <v>4344</v>
      </c>
      <c r="F175">
        <v>4337</v>
      </c>
      <c r="G175">
        <v>4338</v>
      </c>
      <c r="H175">
        <v>37500</v>
      </c>
    </row>
    <row r="176" spans="2:8">
      <c r="B176" t="s">
        <v>587</v>
      </c>
      <c r="C176" t="s">
        <v>339</v>
      </c>
      <c r="D176">
        <v>4338</v>
      </c>
      <c r="E176">
        <v>4339</v>
      </c>
      <c r="F176">
        <v>4330</v>
      </c>
      <c r="G176">
        <v>4332</v>
      </c>
      <c r="H176">
        <v>107200</v>
      </c>
    </row>
    <row r="177" spans="2:8">
      <c r="B177" t="s">
        <v>587</v>
      </c>
      <c r="C177" t="s">
        <v>340</v>
      </c>
      <c r="D177">
        <v>4332</v>
      </c>
      <c r="E177">
        <v>4332</v>
      </c>
      <c r="F177">
        <v>4326</v>
      </c>
      <c r="G177">
        <v>4329</v>
      </c>
      <c r="H177">
        <v>125500</v>
      </c>
    </row>
    <row r="178" spans="2:8">
      <c r="B178" t="s">
        <v>587</v>
      </c>
      <c r="C178" t="s">
        <v>341</v>
      </c>
      <c r="D178">
        <v>4329</v>
      </c>
      <c r="E178">
        <v>4332</v>
      </c>
      <c r="F178">
        <v>4328</v>
      </c>
      <c r="G178">
        <v>4329</v>
      </c>
      <c r="H178">
        <v>36900</v>
      </c>
    </row>
    <row r="179" spans="2:8">
      <c r="B179" t="s">
        <v>587</v>
      </c>
      <c r="C179" t="s">
        <v>342</v>
      </c>
      <c r="D179">
        <v>4329</v>
      </c>
      <c r="E179">
        <v>4329</v>
      </c>
      <c r="F179">
        <v>4323</v>
      </c>
      <c r="G179">
        <v>4326</v>
      </c>
      <c r="H179">
        <v>73600</v>
      </c>
    </row>
    <row r="180" spans="2:8">
      <c r="B180" t="s">
        <v>587</v>
      </c>
      <c r="C180" t="s">
        <v>343</v>
      </c>
      <c r="D180">
        <v>4326</v>
      </c>
      <c r="E180">
        <v>4327</v>
      </c>
      <c r="F180">
        <v>4320</v>
      </c>
      <c r="G180">
        <v>4321</v>
      </c>
      <c r="H180">
        <v>54600</v>
      </c>
    </row>
    <row r="181" spans="2:8">
      <c r="B181" t="s">
        <v>587</v>
      </c>
      <c r="C181" t="s">
        <v>344</v>
      </c>
      <c r="D181">
        <v>4321</v>
      </c>
      <c r="E181">
        <v>4321</v>
      </c>
      <c r="F181">
        <v>4312</v>
      </c>
      <c r="G181">
        <v>4317</v>
      </c>
      <c r="H181">
        <v>150400</v>
      </c>
    </row>
    <row r="182" spans="2:8">
      <c r="B182" t="s">
        <v>587</v>
      </c>
      <c r="C182" t="s">
        <v>345</v>
      </c>
      <c r="D182">
        <v>4317</v>
      </c>
      <c r="E182">
        <v>4317</v>
      </c>
      <c r="F182">
        <v>4314</v>
      </c>
      <c r="G182">
        <v>4314</v>
      </c>
      <c r="H182">
        <v>48600</v>
      </c>
    </row>
    <row r="183" spans="2:8">
      <c r="B183" t="s">
        <v>587</v>
      </c>
      <c r="C183" t="s">
        <v>346</v>
      </c>
      <c r="D183">
        <v>4316</v>
      </c>
      <c r="E183">
        <v>4316</v>
      </c>
      <c r="F183">
        <v>4310</v>
      </c>
      <c r="G183">
        <v>4312</v>
      </c>
      <c r="H183">
        <v>109500</v>
      </c>
    </row>
    <row r="184" spans="2:8">
      <c r="B184" t="s">
        <v>587</v>
      </c>
      <c r="C184" t="s">
        <v>347</v>
      </c>
      <c r="D184">
        <v>4313</v>
      </c>
      <c r="E184">
        <v>4313</v>
      </c>
      <c r="F184">
        <v>4302</v>
      </c>
      <c r="G184">
        <v>4307</v>
      </c>
      <c r="H184">
        <v>151600</v>
      </c>
    </row>
    <row r="185" spans="2:8">
      <c r="B185" t="s">
        <v>587</v>
      </c>
      <c r="C185" t="s">
        <v>348</v>
      </c>
      <c r="D185">
        <v>4308</v>
      </c>
      <c r="E185">
        <v>4313</v>
      </c>
      <c r="F185">
        <v>4307</v>
      </c>
      <c r="G185">
        <v>4313</v>
      </c>
      <c r="H185">
        <v>72500</v>
      </c>
    </row>
    <row r="186" spans="2:8">
      <c r="B186" t="s">
        <v>587</v>
      </c>
      <c r="C186" t="s">
        <v>349</v>
      </c>
      <c r="D186">
        <v>4313</v>
      </c>
      <c r="E186">
        <v>4314</v>
      </c>
      <c r="F186">
        <v>4310</v>
      </c>
      <c r="G186">
        <v>4313</v>
      </c>
      <c r="H186">
        <v>45600</v>
      </c>
    </row>
    <row r="187" spans="2:8">
      <c r="B187" t="s">
        <v>587</v>
      </c>
      <c r="C187" t="s">
        <v>350</v>
      </c>
      <c r="D187">
        <v>4313</v>
      </c>
      <c r="E187">
        <v>4315</v>
      </c>
      <c r="F187">
        <v>4313</v>
      </c>
      <c r="G187">
        <v>4314</v>
      </c>
      <c r="H187">
        <v>29800</v>
      </c>
    </row>
    <row r="188" spans="2:8">
      <c r="B188" t="s">
        <v>587</v>
      </c>
      <c r="C188" t="s">
        <v>351</v>
      </c>
      <c r="D188">
        <v>4315</v>
      </c>
      <c r="E188">
        <v>4318</v>
      </c>
      <c r="F188">
        <v>4312</v>
      </c>
      <c r="G188">
        <v>4317</v>
      </c>
      <c r="H188">
        <v>37200</v>
      </c>
    </row>
    <row r="189" spans="2:8">
      <c r="B189" t="s">
        <v>587</v>
      </c>
      <c r="C189" t="s">
        <v>352</v>
      </c>
      <c r="D189">
        <v>4317</v>
      </c>
      <c r="E189">
        <v>4318</v>
      </c>
      <c r="F189">
        <v>4315</v>
      </c>
      <c r="G189">
        <v>4317</v>
      </c>
      <c r="H189">
        <v>24300</v>
      </c>
    </row>
    <row r="190" spans="2:8">
      <c r="B190" t="s">
        <v>587</v>
      </c>
      <c r="C190" t="s">
        <v>353</v>
      </c>
      <c r="D190">
        <v>4317</v>
      </c>
      <c r="E190">
        <v>4317</v>
      </c>
      <c r="F190">
        <v>4310</v>
      </c>
      <c r="G190">
        <v>4312</v>
      </c>
      <c r="H190">
        <v>55400</v>
      </c>
    </row>
    <row r="191" spans="2:8">
      <c r="B191" t="s">
        <v>587</v>
      </c>
      <c r="C191" t="s">
        <v>354</v>
      </c>
      <c r="D191">
        <v>4313</v>
      </c>
      <c r="E191">
        <v>4318</v>
      </c>
      <c r="F191">
        <v>4313</v>
      </c>
      <c r="G191">
        <v>4317</v>
      </c>
      <c r="H191">
        <v>24300</v>
      </c>
    </row>
    <row r="192" spans="2:8">
      <c r="B192" t="s">
        <v>587</v>
      </c>
      <c r="C192" t="s">
        <v>355</v>
      </c>
      <c r="D192">
        <v>4317</v>
      </c>
      <c r="E192">
        <v>4317</v>
      </c>
      <c r="F192">
        <v>4316</v>
      </c>
      <c r="G192">
        <v>4316</v>
      </c>
      <c r="H192">
        <v>14900</v>
      </c>
    </row>
    <row r="193" spans="2:8">
      <c r="B193" t="s">
        <v>587</v>
      </c>
      <c r="C193" t="s">
        <v>356</v>
      </c>
      <c r="D193">
        <v>4317</v>
      </c>
      <c r="E193">
        <v>4321</v>
      </c>
      <c r="F193">
        <v>4316</v>
      </c>
      <c r="G193">
        <v>4317</v>
      </c>
      <c r="H193">
        <v>42000</v>
      </c>
    </row>
    <row r="194" spans="2:8">
      <c r="B194" t="s">
        <v>587</v>
      </c>
      <c r="C194" t="s">
        <v>357</v>
      </c>
      <c r="D194">
        <v>4317</v>
      </c>
      <c r="E194">
        <v>4319</v>
      </c>
      <c r="F194">
        <v>4316</v>
      </c>
      <c r="G194">
        <v>4319</v>
      </c>
      <c r="H194">
        <v>21300</v>
      </c>
    </row>
    <row r="195" spans="2:8">
      <c r="B195" t="s">
        <v>587</v>
      </c>
      <c r="C195" t="s">
        <v>358</v>
      </c>
      <c r="D195">
        <v>4319</v>
      </c>
      <c r="E195">
        <v>4321</v>
      </c>
      <c r="F195">
        <v>4319</v>
      </c>
      <c r="G195">
        <v>4321</v>
      </c>
      <c r="H195">
        <v>33500</v>
      </c>
    </row>
    <row r="196" spans="2:8">
      <c r="B196" t="s">
        <v>587</v>
      </c>
      <c r="C196" t="s">
        <v>359</v>
      </c>
      <c r="D196">
        <v>4321</v>
      </c>
      <c r="E196">
        <v>4324</v>
      </c>
      <c r="F196">
        <v>4320</v>
      </c>
      <c r="G196">
        <v>4324</v>
      </c>
      <c r="H196">
        <v>34400</v>
      </c>
    </row>
    <row r="197" spans="2:8">
      <c r="B197" t="s">
        <v>587</v>
      </c>
      <c r="C197" t="s">
        <v>360</v>
      </c>
      <c r="D197">
        <v>4325</v>
      </c>
      <c r="E197">
        <v>4327</v>
      </c>
      <c r="F197">
        <v>4324</v>
      </c>
      <c r="G197">
        <v>4325</v>
      </c>
      <c r="H197">
        <v>35600</v>
      </c>
    </row>
    <row r="198" spans="2:8">
      <c r="B198" t="s">
        <v>587</v>
      </c>
      <c r="C198" t="s">
        <v>361</v>
      </c>
      <c r="D198">
        <v>4325</v>
      </c>
      <c r="E198">
        <v>4328</v>
      </c>
      <c r="F198">
        <v>4325</v>
      </c>
      <c r="G198">
        <v>4328</v>
      </c>
      <c r="H198">
        <v>20700</v>
      </c>
    </row>
    <row r="199" spans="2:8">
      <c r="B199" t="s">
        <v>587</v>
      </c>
      <c r="C199" t="s">
        <v>362</v>
      </c>
      <c r="D199">
        <v>4328</v>
      </c>
      <c r="E199">
        <v>4331</v>
      </c>
      <c r="F199">
        <v>4327</v>
      </c>
      <c r="G199">
        <v>4330</v>
      </c>
      <c r="H199">
        <v>68300</v>
      </c>
    </row>
    <row r="200" spans="2:8">
      <c r="B200" t="s">
        <v>587</v>
      </c>
      <c r="C200" t="s">
        <v>363</v>
      </c>
      <c r="D200">
        <v>4331</v>
      </c>
      <c r="E200">
        <v>4332</v>
      </c>
      <c r="F200">
        <v>4328</v>
      </c>
      <c r="G200">
        <v>4328</v>
      </c>
      <c r="H200">
        <v>31800</v>
      </c>
    </row>
    <row r="201" spans="2:8">
      <c r="B201" t="s">
        <v>587</v>
      </c>
      <c r="C201" t="s">
        <v>364</v>
      </c>
      <c r="D201">
        <v>4329</v>
      </c>
      <c r="E201">
        <v>4330</v>
      </c>
      <c r="F201">
        <v>4326</v>
      </c>
      <c r="G201">
        <v>4326</v>
      </c>
      <c r="H201">
        <v>54500</v>
      </c>
    </row>
    <row r="202" spans="2:8">
      <c r="B202" t="s">
        <v>587</v>
      </c>
      <c r="C202" t="s">
        <v>365</v>
      </c>
      <c r="D202">
        <v>4327</v>
      </c>
      <c r="E202">
        <v>4328</v>
      </c>
      <c r="F202">
        <v>4326</v>
      </c>
      <c r="G202">
        <v>4326</v>
      </c>
      <c r="H202">
        <v>32400</v>
      </c>
    </row>
    <row r="203" spans="2:8">
      <c r="B203" t="s">
        <v>587</v>
      </c>
      <c r="C203" t="s">
        <v>366</v>
      </c>
      <c r="D203">
        <v>4327</v>
      </c>
      <c r="E203">
        <v>4329</v>
      </c>
      <c r="F203">
        <v>4326</v>
      </c>
      <c r="G203">
        <v>4327</v>
      </c>
      <c r="H203">
        <v>21500</v>
      </c>
    </row>
    <row r="204" spans="2:8">
      <c r="B204" t="s">
        <v>587</v>
      </c>
      <c r="C204" t="s">
        <v>367</v>
      </c>
      <c r="D204">
        <v>4328</v>
      </c>
      <c r="E204">
        <v>4332</v>
      </c>
      <c r="F204">
        <v>4326</v>
      </c>
      <c r="G204">
        <v>4329</v>
      </c>
      <c r="H204">
        <v>38100</v>
      </c>
    </row>
    <row r="205" spans="2:8">
      <c r="B205" t="s">
        <v>587</v>
      </c>
      <c r="C205" t="s">
        <v>368</v>
      </c>
      <c r="D205">
        <v>4329</v>
      </c>
      <c r="E205">
        <v>4335</v>
      </c>
      <c r="F205">
        <v>4329</v>
      </c>
      <c r="G205">
        <v>4333</v>
      </c>
      <c r="H205">
        <v>30100</v>
      </c>
    </row>
    <row r="206" spans="2:8">
      <c r="B206" t="s">
        <v>587</v>
      </c>
      <c r="C206" t="s">
        <v>369</v>
      </c>
      <c r="D206">
        <v>4333</v>
      </c>
      <c r="E206">
        <v>4333</v>
      </c>
      <c r="F206">
        <v>4330</v>
      </c>
      <c r="G206">
        <v>4332</v>
      </c>
      <c r="H206">
        <v>15900</v>
      </c>
    </row>
    <row r="207" spans="2:8">
      <c r="B207" t="s">
        <v>587</v>
      </c>
      <c r="C207" t="s">
        <v>370</v>
      </c>
      <c r="D207">
        <v>4331</v>
      </c>
      <c r="E207">
        <v>4340</v>
      </c>
      <c r="F207">
        <v>4331</v>
      </c>
      <c r="G207">
        <v>4336</v>
      </c>
      <c r="H207">
        <v>81300</v>
      </c>
    </row>
    <row r="208" spans="2:8">
      <c r="B208" t="s">
        <v>587</v>
      </c>
      <c r="C208" t="s">
        <v>371</v>
      </c>
      <c r="D208">
        <v>4336</v>
      </c>
      <c r="E208">
        <v>4336</v>
      </c>
      <c r="F208">
        <v>4332</v>
      </c>
      <c r="G208">
        <v>4336</v>
      </c>
      <c r="H208">
        <v>36500</v>
      </c>
    </row>
    <row r="209" spans="2:8">
      <c r="B209" t="s">
        <v>587</v>
      </c>
      <c r="C209" t="s">
        <v>372</v>
      </c>
      <c r="D209">
        <v>4336</v>
      </c>
      <c r="E209">
        <v>4336</v>
      </c>
      <c r="F209">
        <v>4333</v>
      </c>
      <c r="G209">
        <v>4333</v>
      </c>
      <c r="H209">
        <v>26800</v>
      </c>
    </row>
    <row r="210" spans="2:8">
      <c r="B210" t="s">
        <v>587</v>
      </c>
      <c r="C210" t="s">
        <v>373</v>
      </c>
      <c r="D210">
        <v>4334</v>
      </c>
      <c r="E210">
        <v>4337</v>
      </c>
      <c r="F210">
        <v>4334</v>
      </c>
      <c r="G210">
        <v>4335</v>
      </c>
      <c r="H210">
        <v>31300</v>
      </c>
    </row>
    <row r="211" spans="2:8">
      <c r="B211" t="s">
        <v>587</v>
      </c>
      <c r="C211" t="s">
        <v>374</v>
      </c>
      <c r="D211">
        <v>4336</v>
      </c>
      <c r="E211">
        <v>4336</v>
      </c>
      <c r="F211">
        <v>4333</v>
      </c>
      <c r="G211">
        <v>4333</v>
      </c>
      <c r="H211">
        <v>33900</v>
      </c>
    </row>
    <row r="212" spans="2:8">
      <c r="B212" t="s">
        <v>587</v>
      </c>
      <c r="C212" t="s">
        <v>375</v>
      </c>
      <c r="D212">
        <v>4333</v>
      </c>
      <c r="E212">
        <v>4334</v>
      </c>
      <c r="F212">
        <v>4331</v>
      </c>
      <c r="G212">
        <v>4333</v>
      </c>
      <c r="H212">
        <v>28300</v>
      </c>
    </row>
    <row r="213" spans="2:8">
      <c r="B213" t="s">
        <v>587</v>
      </c>
      <c r="C213" t="s">
        <v>376</v>
      </c>
      <c r="D213">
        <v>4333</v>
      </c>
      <c r="E213">
        <v>4337</v>
      </c>
      <c r="F213">
        <v>4332</v>
      </c>
      <c r="G213">
        <v>4336</v>
      </c>
      <c r="H213">
        <v>35400</v>
      </c>
    </row>
    <row r="214" spans="2:8">
      <c r="B214" t="s">
        <v>587</v>
      </c>
      <c r="C214" t="s">
        <v>377</v>
      </c>
      <c r="D214">
        <v>4337</v>
      </c>
      <c r="E214">
        <v>4343</v>
      </c>
      <c r="F214">
        <v>4337</v>
      </c>
      <c r="G214">
        <v>4343</v>
      </c>
      <c r="H214">
        <v>74600</v>
      </c>
    </row>
    <row r="215" spans="2:8">
      <c r="B215" t="s">
        <v>587</v>
      </c>
      <c r="C215" t="s">
        <v>378</v>
      </c>
      <c r="D215">
        <v>4344</v>
      </c>
      <c r="E215">
        <v>4345</v>
      </c>
      <c r="F215">
        <v>4343</v>
      </c>
      <c r="G215">
        <v>4344</v>
      </c>
      <c r="H215">
        <v>31000</v>
      </c>
    </row>
    <row r="216" spans="2:8">
      <c r="B216" t="s">
        <v>587</v>
      </c>
      <c r="C216" t="s">
        <v>379</v>
      </c>
      <c r="D216">
        <v>4345</v>
      </c>
      <c r="E216">
        <v>4345</v>
      </c>
      <c r="F216">
        <v>4343</v>
      </c>
      <c r="G216">
        <v>4344</v>
      </c>
      <c r="H216">
        <v>14500</v>
      </c>
    </row>
    <row r="217" spans="2:8">
      <c r="B217" t="s">
        <v>587</v>
      </c>
      <c r="C217" t="s">
        <v>380</v>
      </c>
      <c r="D217">
        <v>4344</v>
      </c>
      <c r="E217">
        <v>4345</v>
      </c>
      <c r="F217">
        <v>4339</v>
      </c>
      <c r="G217">
        <v>4339</v>
      </c>
      <c r="H217">
        <v>70800</v>
      </c>
    </row>
    <row r="218" spans="2:8">
      <c r="B218" t="s">
        <v>587</v>
      </c>
      <c r="C218" t="s">
        <v>381</v>
      </c>
      <c r="D218">
        <v>4340</v>
      </c>
      <c r="E218">
        <v>4341</v>
      </c>
      <c r="F218">
        <v>4338</v>
      </c>
      <c r="G218">
        <v>4339</v>
      </c>
      <c r="H218">
        <v>22900</v>
      </c>
    </row>
    <row r="219" spans="2:8">
      <c r="B219" t="s">
        <v>587</v>
      </c>
      <c r="C219" t="s">
        <v>382</v>
      </c>
      <c r="D219">
        <v>4339</v>
      </c>
      <c r="E219">
        <v>4340</v>
      </c>
      <c r="F219">
        <v>4338</v>
      </c>
      <c r="G219">
        <v>4339</v>
      </c>
      <c r="H219">
        <v>16800</v>
      </c>
    </row>
    <row r="220" spans="2:8">
      <c r="B220" t="s">
        <v>587</v>
      </c>
      <c r="C220" t="s">
        <v>383</v>
      </c>
      <c r="D220">
        <v>4339</v>
      </c>
      <c r="E220">
        <v>4342</v>
      </c>
      <c r="F220">
        <v>4339</v>
      </c>
      <c r="G220">
        <v>4342</v>
      </c>
      <c r="H220">
        <v>20500</v>
      </c>
    </row>
    <row r="221" spans="2:8">
      <c r="B221" t="s">
        <v>587</v>
      </c>
      <c r="C221" t="s">
        <v>384</v>
      </c>
      <c r="D221">
        <v>4342</v>
      </c>
      <c r="E221">
        <v>4344</v>
      </c>
      <c r="F221">
        <v>4342</v>
      </c>
      <c r="G221">
        <v>4342</v>
      </c>
      <c r="H221">
        <v>37100</v>
      </c>
    </row>
    <row r="222" spans="2:8">
      <c r="B222" t="s">
        <v>587</v>
      </c>
      <c r="C222" t="s">
        <v>385</v>
      </c>
      <c r="D222">
        <v>4342</v>
      </c>
      <c r="E222">
        <v>4343</v>
      </c>
      <c r="F222">
        <v>4339</v>
      </c>
      <c r="G222">
        <v>4340</v>
      </c>
      <c r="H222">
        <v>34100</v>
      </c>
    </row>
    <row r="223" spans="2:8">
      <c r="B223" t="s">
        <v>587</v>
      </c>
      <c r="C223" t="s">
        <v>386</v>
      </c>
      <c r="D223">
        <v>4340</v>
      </c>
      <c r="E223">
        <v>4344</v>
      </c>
      <c r="F223">
        <v>4340</v>
      </c>
      <c r="G223">
        <v>4342</v>
      </c>
      <c r="H223">
        <v>42100</v>
      </c>
    </row>
    <row r="224" spans="2:8">
      <c r="B224" t="s">
        <v>587</v>
      </c>
      <c r="C224" t="s">
        <v>387</v>
      </c>
      <c r="D224">
        <v>4341</v>
      </c>
      <c r="E224">
        <v>4342</v>
      </c>
      <c r="F224">
        <v>4337</v>
      </c>
      <c r="G224">
        <v>4337</v>
      </c>
      <c r="H224">
        <v>57800</v>
      </c>
    </row>
    <row r="225" spans="2:8">
      <c r="B225" t="s">
        <v>587</v>
      </c>
      <c r="C225" t="s">
        <v>388</v>
      </c>
      <c r="D225">
        <v>4337</v>
      </c>
      <c r="E225">
        <v>4339</v>
      </c>
      <c r="F225">
        <v>4337</v>
      </c>
      <c r="G225">
        <v>4337</v>
      </c>
      <c r="H225">
        <v>17800</v>
      </c>
    </row>
    <row r="226" spans="2:8">
      <c r="B226" t="s">
        <v>587</v>
      </c>
      <c r="C226" t="s">
        <v>389</v>
      </c>
      <c r="D226">
        <v>4338</v>
      </c>
      <c r="E226">
        <v>4339</v>
      </c>
      <c r="F226">
        <v>4336</v>
      </c>
      <c r="G226">
        <v>4337</v>
      </c>
      <c r="H226">
        <v>18300</v>
      </c>
    </row>
    <row r="227" spans="2:8">
      <c r="B227" t="s">
        <v>587</v>
      </c>
      <c r="C227" t="s">
        <v>390</v>
      </c>
      <c r="D227">
        <v>4338</v>
      </c>
      <c r="E227">
        <v>4338</v>
      </c>
      <c r="F227">
        <v>4332</v>
      </c>
      <c r="G227">
        <v>4333</v>
      </c>
      <c r="H227">
        <v>71000</v>
      </c>
    </row>
    <row r="228" spans="2:8">
      <c r="B228" t="s">
        <v>587</v>
      </c>
      <c r="C228" t="s">
        <v>391</v>
      </c>
      <c r="D228">
        <v>4334</v>
      </c>
      <c r="E228">
        <v>4337</v>
      </c>
      <c r="F228">
        <v>4333</v>
      </c>
      <c r="G228">
        <v>4337</v>
      </c>
      <c r="H228">
        <v>29600</v>
      </c>
    </row>
    <row r="229" spans="2:8">
      <c r="B229" t="s">
        <v>587</v>
      </c>
      <c r="C229" t="s">
        <v>392</v>
      </c>
      <c r="D229">
        <v>4336</v>
      </c>
      <c r="E229">
        <v>4338</v>
      </c>
      <c r="F229">
        <v>4333</v>
      </c>
      <c r="G229">
        <v>4336</v>
      </c>
      <c r="H229">
        <v>47600</v>
      </c>
    </row>
    <row r="230" spans="2:8">
      <c r="B230" t="s">
        <v>587</v>
      </c>
      <c r="C230" t="s">
        <v>393</v>
      </c>
      <c r="D230">
        <v>4336</v>
      </c>
      <c r="E230">
        <v>4338</v>
      </c>
      <c r="F230">
        <v>4334</v>
      </c>
      <c r="G230">
        <v>4336</v>
      </c>
      <c r="H230">
        <v>16800</v>
      </c>
    </row>
    <row r="231" spans="2:8">
      <c r="B231" t="s">
        <v>587</v>
      </c>
      <c r="C231" t="s">
        <v>394</v>
      </c>
      <c r="D231">
        <v>4337</v>
      </c>
      <c r="E231">
        <v>4337</v>
      </c>
      <c r="F231">
        <v>4334</v>
      </c>
      <c r="G231">
        <v>4337</v>
      </c>
      <c r="H231">
        <v>33900</v>
      </c>
    </row>
    <row r="232" spans="2:8">
      <c r="B232" t="s">
        <v>587</v>
      </c>
      <c r="C232" t="s">
        <v>395</v>
      </c>
      <c r="D232">
        <v>4337</v>
      </c>
      <c r="E232">
        <v>4338</v>
      </c>
      <c r="F232">
        <v>4336</v>
      </c>
      <c r="G232">
        <v>4336</v>
      </c>
      <c r="H232">
        <v>14100</v>
      </c>
    </row>
    <row r="233" spans="2:8">
      <c r="B233" t="s">
        <v>587</v>
      </c>
      <c r="C233" t="s">
        <v>396</v>
      </c>
      <c r="D233">
        <v>4336</v>
      </c>
      <c r="E233">
        <v>4340</v>
      </c>
      <c r="F233">
        <v>4333</v>
      </c>
      <c r="G233">
        <v>4333</v>
      </c>
      <c r="H233">
        <v>39000</v>
      </c>
    </row>
    <row r="234" spans="2:8">
      <c r="B234" t="s">
        <v>587</v>
      </c>
      <c r="C234" t="s">
        <v>397</v>
      </c>
      <c r="D234">
        <v>4334</v>
      </c>
      <c r="E234">
        <v>4334</v>
      </c>
      <c r="F234">
        <v>4331</v>
      </c>
      <c r="G234">
        <v>4333</v>
      </c>
      <c r="H234">
        <v>38500</v>
      </c>
    </row>
    <row r="235" spans="2:8">
      <c r="B235" t="s">
        <v>587</v>
      </c>
      <c r="C235" t="s">
        <v>398</v>
      </c>
      <c r="D235">
        <v>4333</v>
      </c>
      <c r="E235">
        <v>4334</v>
      </c>
      <c r="F235">
        <v>4330</v>
      </c>
      <c r="G235">
        <v>4331</v>
      </c>
      <c r="H235">
        <v>28800</v>
      </c>
    </row>
    <row r="236" spans="2:8">
      <c r="B236" t="s">
        <v>587</v>
      </c>
      <c r="C236" t="s">
        <v>399</v>
      </c>
      <c r="D236">
        <v>4331</v>
      </c>
      <c r="E236">
        <v>4332</v>
      </c>
      <c r="F236">
        <v>4331</v>
      </c>
      <c r="G236">
        <v>4332</v>
      </c>
      <c r="H236">
        <v>10700</v>
      </c>
    </row>
    <row r="237" spans="2:8">
      <c r="B237" t="s">
        <v>587</v>
      </c>
      <c r="C237" t="s">
        <v>400</v>
      </c>
      <c r="D237">
        <v>4331</v>
      </c>
      <c r="E237">
        <v>4334</v>
      </c>
      <c r="F237">
        <v>4331</v>
      </c>
      <c r="G237">
        <v>4332</v>
      </c>
      <c r="H237">
        <v>42800</v>
      </c>
    </row>
    <row r="238" spans="2:8">
      <c r="B238" t="s">
        <v>587</v>
      </c>
      <c r="C238" t="s">
        <v>401</v>
      </c>
      <c r="D238">
        <v>4333</v>
      </c>
      <c r="E238">
        <v>4335</v>
      </c>
      <c r="F238">
        <v>4332</v>
      </c>
      <c r="G238">
        <v>4334</v>
      </c>
      <c r="H238">
        <v>52900</v>
      </c>
    </row>
    <row r="239" spans="2:8">
      <c r="B239" t="s">
        <v>587</v>
      </c>
      <c r="C239" t="s">
        <v>402</v>
      </c>
      <c r="D239">
        <v>4335</v>
      </c>
      <c r="E239">
        <v>4335</v>
      </c>
      <c r="F239">
        <v>4330</v>
      </c>
      <c r="G239">
        <v>4332</v>
      </c>
      <c r="H239">
        <v>80400</v>
      </c>
    </row>
    <row r="240" spans="2:8">
      <c r="B240" t="s">
        <v>587</v>
      </c>
      <c r="C240" t="s">
        <v>403</v>
      </c>
      <c r="D240">
        <v>4332</v>
      </c>
      <c r="E240">
        <v>4332</v>
      </c>
      <c r="F240">
        <v>4330</v>
      </c>
      <c r="G240">
        <v>4332</v>
      </c>
      <c r="H240">
        <v>105300</v>
      </c>
    </row>
    <row r="241" spans="2:8">
      <c r="B241" t="s">
        <v>587</v>
      </c>
      <c r="C241" t="s">
        <v>404</v>
      </c>
      <c r="D241">
        <v>4332</v>
      </c>
      <c r="E241">
        <v>4332</v>
      </c>
      <c r="F241">
        <v>4330</v>
      </c>
      <c r="G241">
        <v>4331</v>
      </c>
      <c r="H241">
        <v>27200</v>
      </c>
    </row>
    <row r="242" spans="2:8">
      <c r="B242" t="s">
        <v>587</v>
      </c>
      <c r="C242" t="s">
        <v>405</v>
      </c>
      <c r="D242">
        <v>4332</v>
      </c>
      <c r="E242">
        <v>4332</v>
      </c>
      <c r="F242">
        <v>4325</v>
      </c>
      <c r="G242">
        <v>4326</v>
      </c>
      <c r="H242">
        <v>83400</v>
      </c>
    </row>
    <row r="243" spans="2:8">
      <c r="B243" t="s">
        <v>587</v>
      </c>
      <c r="C243" t="s">
        <v>406</v>
      </c>
      <c r="D243">
        <v>4327</v>
      </c>
      <c r="E243">
        <v>4327</v>
      </c>
      <c r="F243">
        <v>4321</v>
      </c>
      <c r="G243">
        <v>4321</v>
      </c>
      <c r="H243">
        <v>57800</v>
      </c>
    </row>
    <row r="244" spans="2:8">
      <c r="B244" t="s">
        <v>587</v>
      </c>
      <c r="C244" t="s">
        <v>407</v>
      </c>
      <c r="D244">
        <v>4321</v>
      </c>
      <c r="E244">
        <v>4321</v>
      </c>
      <c r="F244">
        <v>4315</v>
      </c>
      <c r="G244">
        <v>4316</v>
      </c>
      <c r="H244">
        <v>118300</v>
      </c>
    </row>
    <row r="245" spans="2:8">
      <c r="B245" t="s">
        <v>587</v>
      </c>
      <c r="C245" t="s">
        <v>408</v>
      </c>
      <c r="D245">
        <v>4317</v>
      </c>
      <c r="E245">
        <v>4317</v>
      </c>
      <c r="F245">
        <v>4313</v>
      </c>
      <c r="G245">
        <v>4313</v>
      </c>
      <c r="H245">
        <v>46000</v>
      </c>
    </row>
    <row r="246" spans="2:8">
      <c r="B246" t="s">
        <v>587</v>
      </c>
      <c r="C246" t="s">
        <v>409</v>
      </c>
      <c r="D246">
        <v>4313</v>
      </c>
      <c r="E246">
        <v>4317</v>
      </c>
      <c r="F246">
        <v>4313</v>
      </c>
      <c r="G246">
        <v>4317</v>
      </c>
      <c r="H246">
        <v>54700</v>
      </c>
    </row>
    <row r="247" spans="2:8">
      <c r="B247" t="s">
        <v>587</v>
      </c>
      <c r="C247" t="s">
        <v>410</v>
      </c>
      <c r="D247">
        <v>4317</v>
      </c>
      <c r="E247">
        <v>4317</v>
      </c>
      <c r="F247">
        <v>4314</v>
      </c>
      <c r="G247">
        <v>4315</v>
      </c>
      <c r="H247">
        <v>33200</v>
      </c>
    </row>
    <row r="248" spans="2:8">
      <c r="B248" t="s">
        <v>587</v>
      </c>
      <c r="C248" t="s">
        <v>411</v>
      </c>
      <c r="D248">
        <v>4315</v>
      </c>
      <c r="E248">
        <v>4315</v>
      </c>
      <c r="F248">
        <v>4310</v>
      </c>
      <c r="G248">
        <v>4312</v>
      </c>
      <c r="H248">
        <v>78400</v>
      </c>
    </row>
    <row r="249" spans="2:8">
      <c r="B249" t="s">
        <v>587</v>
      </c>
      <c r="C249" t="s">
        <v>412</v>
      </c>
      <c r="D249">
        <v>4312</v>
      </c>
      <c r="E249">
        <v>4313</v>
      </c>
      <c r="F249">
        <v>4308</v>
      </c>
      <c r="G249">
        <v>4308</v>
      </c>
      <c r="H249">
        <v>109800</v>
      </c>
    </row>
    <row r="250" spans="2:8">
      <c r="B250" t="s">
        <v>587</v>
      </c>
      <c r="C250" t="s">
        <v>413</v>
      </c>
      <c r="D250">
        <v>4308</v>
      </c>
      <c r="E250">
        <v>4309</v>
      </c>
      <c r="F250">
        <v>4301</v>
      </c>
      <c r="G250">
        <v>4304</v>
      </c>
      <c r="H250">
        <v>167500</v>
      </c>
    </row>
    <row r="251" spans="2:8">
      <c r="B251" t="s">
        <v>587</v>
      </c>
      <c r="C251" t="s">
        <v>414</v>
      </c>
      <c r="D251">
        <v>4304</v>
      </c>
      <c r="E251">
        <v>4305</v>
      </c>
      <c r="F251">
        <v>4303</v>
      </c>
      <c r="G251">
        <v>4304</v>
      </c>
      <c r="H251">
        <v>33200</v>
      </c>
    </row>
    <row r="252" spans="2:8">
      <c r="B252" t="s">
        <v>587</v>
      </c>
      <c r="C252" t="s">
        <v>415</v>
      </c>
      <c r="D252">
        <v>4304</v>
      </c>
      <c r="E252">
        <v>4304</v>
      </c>
      <c r="F252">
        <v>4302</v>
      </c>
      <c r="G252">
        <v>4304</v>
      </c>
      <c r="H252">
        <v>28700</v>
      </c>
    </row>
    <row r="253" spans="2:8">
      <c r="B253" t="s">
        <v>587</v>
      </c>
      <c r="C253" t="s">
        <v>416</v>
      </c>
      <c r="D253">
        <v>4303</v>
      </c>
      <c r="E253">
        <v>4304</v>
      </c>
      <c r="F253">
        <v>4292</v>
      </c>
      <c r="G253">
        <v>4301</v>
      </c>
      <c r="H253">
        <v>506100</v>
      </c>
    </row>
    <row r="254" spans="2:8">
      <c r="B254" t="s">
        <v>587</v>
      </c>
      <c r="C254" t="s">
        <v>417</v>
      </c>
      <c r="D254">
        <v>4301</v>
      </c>
      <c r="E254">
        <v>4301</v>
      </c>
      <c r="F254">
        <v>4295</v>
      </c>
      <c r="G254">
        <v>4296</v>
      </c>
      <c r="H254">
        <v>70200</v>
      </c>
    </row>
    <row r="255" spans="2:8">
      <c r="B255" t="s">
        <v>587</v>
      </c>
      <c r="C255" t="s">
        <v>418</v>
      </c>
      <c r="D255">
        <v>4296</v>
      </c>
      <c r="E255">
        <v>4298</v>
      </c>
      <c r="F255">
        <v>4291</v>
      </c>
      <c r="G255">
        <v>4291</v>
      </c>
      <c r="H255">
        <v>104000</v>
      </c>
    </row>
    <row r="256" spans="2:8">
      <c r="B256" t="s">
        <v>587</v>
      </c>
      <c r="C256" t="s">
        <v>419</v>
      </c>
      <c r="D256">
        <v>4292</v>
      </c>
      <c r="E256">
        <v>4295</v>
      </c>
      <c r="F256">
        <v>4290</v>
      </c>
      <c r="G256">
        <v>4293</v>
      </c>
      <c r="H256">
        <v>77000</v>
      </c>
    </row>
    <row r="257" spans="2:8">
      <c r="B257" t="s">
        <v>587</v>
      </c>
      <c r="C257" t="s">
        <v>420</v>
      </c>
      <c r="D257">
        <v>4292</v>
      </c>
      <c r="E257">
        <v>4293</v>
      </c>
      <c r="F257">
        <v>4291</v>
      </c>
      <c r="G257">
        <v>4292</v>
      </c>
      <c r="H257">
        <v>36300</v>
      </c>
    </row>
    <row r="258" spans="2:8">
      <c r="B258" t="s">
        <v>587</v>
      </c>
      <c r="C258" t="s">
        <v>421</v>
      </c>
      <c r="D258">
        <v>4292</v>
      </c>
      <c r="E258">
        <v>4296</v>
      </c>
      <c r="F258">
        <v>4292</v>
      </c>
      <c r="G258">
        <v>4296</v>
      </c>
      <c r="H258">
        <v>55100</v>
      </c>
    </row>
    <row r="259" spans="2:8">
      <c r="B259" t="s">
        <v>587</v>
      </c>
      <c r="C259" t="s">
        <v>422</v>
      </c>
      <c r="D259">
        <v>4296</v>
      </c>
      <c r="E259">
        <v>4296</v>
      </c>
      <c r="F259">
        <v>4292</v>
      </c>
      <c r="G259">
        <v>4295</v>
      </c>
      <c r="H259">
        <v>35300</v>
      </c>
    </row>
    <row r="260" spans="2:8">
      <c r="B260" t="s">
        <v>587</v>
      </c>
      <c r="C260" t="s">
        <v>423</v>
      </c>
      <c r="D260">
        <v>4295</v>
      </c>
      <c r="E260">
        <v>4298</v>
      </c>
      <c r="F260">
        <v>4294</v>
      </c>
      <c r="G260">
        <v>4296</v>
      </c>
      <c r="H260">
        <v>43100</v>
      </c>
    </row>
    <row r="261" spans="2:8">
      <c r="B261" t="s">
        <v>587</v>
      </c>
      <c r="C261" t="s">
        <v>424</v>
      </c>
      <c r="D261">
        <v>4295</v>
      </c>
      <c r="E261">
        <v>4295</v>
      </c>
      <c r="F261">
        <v>4293</v>
      </c>
      <c r="G261">
        <v>4294</v>
      </c>
      <c r="H261">
        <v>29900</v>
      </c>
    </row>
    <row r="262" spans="2:8">
      <c r="B262" t="s">
        <v>587</v>
      </c>
      <c r="C262" t="s">
        <v>425</v>
      </c>
      <c r="D262">
        <v>4294</v>
      </c>
      <c r="E262">
        <v>4294</v>
      </c>
      <c r="F262">
        <v>4286</v>
      </c>
      <c r="G262">
        <v>4288</v>
      </c>
      <c r="H262">
        <v>182100</v>
      </c>
    </row>
    <row r="263" spans="2:8">
      <c r="B263" t="s">
        <v>587</v>
      </c>
      <c r="C263" t="s">
        <v>426</v>
      </c>
      <c r="D263">
        <v>4287</v>
      </c>
      <c r="E263">
        <v>4291</v>
      </c>
      <c r="F263">
        <v>4286</v>
      </c>
      <c r="G263">
        <v>4291</v>
      </c>
      <c r="H263">
        <v>48400</v>
      </c>
    </row>
    <row r="264" spans="2:8">
      <c r="B264" t="s">
        <v>587</v>
      </c>
      <c r="C264" t="s">
        <v>427</v>
      </c>
      <c r="D264">
        <v>4291</v>
      </c>
      <c r="E264">
        <v>4293</v>
      </c>
      <c r="F264">
        <v>4288</v>
      </c>
      <c r="G264">
        <v>4289</v>
      </c>
      <c r="H264">
        <v>42600</v>
      </c>
    </row>
    <row r="265" spans="2:8">
      <c r="B265" t="s">
        <v>587</v>
      </c>
      <c r="C265" t="s">
        <v>428</v>
      </c>
      <c r="D265">
        <v>4289</v>
      </c>
      <c r="E265">
        <v>4293</v>
      </c>
      <c r="F265">
        <v>4288</v>
      </c>
      <c r="G265">
        <v>4291</v>
      </c>
      <c r="H265">
        <v>33500</v>
      </c>
    </row>
    <row r="266" spans="2:8">
      <c r="B266" t="s">
        <v>587</v>
      </c>
      <c r="C266" t="s">
        <v>429</v>
      </c>
      <c r="D266">
        <v>4292</v>
      </c>
      <c r="E266">
        <v>4295</v>
      </c>
      <c r="F266">
        <v>4289</v>
      </c>
      <c r="G266">
        <v>4294</v>
      </c>
      <c r="H266">
        <v>72400</v>
      </c>
    </row>
    <row r="267" spans="2:8">
      <c r="B267" t="s">
        <v>587</v>
      </c>
      <c r="C267" t="s">
        <v>430</v>
      </c>
      <c r="D267">
        <v>4293</v>
      </c>
      <c r="E267">
        <v>4294</v>
      </c>
      <c r="F267">
        <v>4289</v>
      </c>
      <c r="G267">
        <v>4291</v>
      </c>
      <c r="H267">
        <v>40600</v>
      </c>
    </row>
    <row r="268" spans="2:8">
      <c r="B268" t="s">
        <v>587</v>
      </c>
      <c r="C268" t="s">
        <v>431</v>
      </c>
      <c r="D268">
        <v>4291</v>
      </c>
      <c r="E268">
        <v>4293</v>
      </c>
      <c r="F268">
        <v>4289</v>
      </c>
      <c r="G268">
        <v>4292</v>
      </c>
      <c r="H268">
        <v>32600</v>
      </c>
    </row>
    <row r="269" spans="2:8">
      <c r="B269" t="s">
        <v>587</v>
      </c>
      <c r="C269" t="s">
        <v>9</v>
      </c>
      <c r="D269">
        <v>4292</v>
      </c>
      <c r="E269">
        <v>4293</v>
      </c>
      <c r="F269">
        <v>4289</v>
      </c>
      <c r="G269">
        <v>4290</v>
      </c>
      <c r="H269">
        <v>29000</v>
      </c>
    </row>
    <row r="270" spans="2:8">
      <c r="B270" t="s">
        <v>587</v>
      </c>
      <c r="C270" t="s">
        <v>10</v>
      </c>
      <c r="D270">
        <v>4290</v>
      </c>
      <c r="E270">
        <v>4293</v>
      </c>
      <c r="F270">
        <v>4288</v>
      </c>
      <c r="G270">
        <v>4288</v>
      </c>
      <c r="H270">
        <v>68800</v>
      </c>
    </row>
    <row r="271" spans="2:8">
      <c r="B271" t="s">
        <v>587</v>
      </c>
      <c r="C271" t="s">
        <v>11</v>
      </c>
      <c r="D271">
        <v>4289</v>
      </c>
      <c r="E271">
        <v>4291</v>
      </c>
      <c r="F271">
        <v>4289</v>
      </c>
      <c r="G271">
        <v>4290</v>
      </c>
      <c r="H271">
        <v>36200</v>
      </c>
    </row>
    <row r="272" spans="2:8">
      <c r="B272" t="s">
        <v>587</v>
      </c>
      <c r="C272" t="s">
        <v>12</v>
      </c>
      <c r="D272">
        <v>4290</v>
      </c>
      <c r="E272">
        <v>4294</v>
      </c>
      <c r="F272">
        <v>4288</v>
      </c>
      <c r="G272">
        <v>4291</v>
      </c>
      <c r="H272">
        <v>93600</v>
      </c>
    </row>
    <row r="273" spans="2:8">
      <c r="B273" t="s">
        <v>587</v>
      </c>
      <c r="C273" t="s">
        <v>13</v>
      </c>
      <c r="D273">
        <v>4291</v>
      </c>
      <c r="E273">
        <v>4291</v>
      </c>
      <c r="F273">
        <v>4287</v>
      </c>
      <c r="G273">
        <v>4290</v>
      </c>
      <c r="H273">
        <v>50700</v>
      </c>
    </row>
    <row r="274" spans="2:8">
      <c r="B274" t="s">
        <v>587</v>
      </c>
      <c r="C274" t="s">
        <v>14</v>
      </c>
      <c r="D274">
        <v>4290</v>
      </c>
      <c r="E274">
        <v>4297</v>
      </c>
      <c r="F274">
        <v>4290</v>
      </c>
      <c r="G274">
        <v>4296</v>
      </c>
      <c r="H274">
        <v>52600</v>
      </c>
    </row>
    <row r="275" spans="2:8">
      <c r="B275" t="s">
        <v>587</v>
      </c>
      <c r="C275" t="s">
        <v>15</v>
      </c>
      <c r="D275">
        <v>4295</v>
      </c>
      <c r="E275">
        <v>4296</v>
      </c>
      <c r="F275">
        <v>4289</v>
      </c>
      <c r="G275">
        <v>4290</v>
      </c>
      <c r="H275">
        <v>38700</v>
      </c>
    </row>
    <row r="276" spans="2:8">
      <c r="B276" t="s">
        <v>587</v>
      </c>
      <c r="C276" t="s">
        <v>16</v>
      </c>
      <c r="D276">
        <v>4290</v>
      </c>
      <c r="E276">
        <v>4297</v>
      </c>
      <c r="F276">
        <v>4289</v>
      </c>
      <c r="G276">
        <v>4296</v>
      </c>
      <c r="H276">
        <v>63600</v>
      </c>
    </row>
    <row r="277" spans="2:8">
      <c r="B277" t="s">
        <v>587</v>
      </c>
      <c r="C277" t="s">
        <v>17</v>
      </c>
      <c r="D277">
        <v>4297</v>
      </c>
      <c r="E277">
        <v>4301</v>
      </c>
      <c r="F277">
        <v>4296</v>
      </c>
      <c r="G277">
        <v>4300</v>
      </c>
      <c r="H277">
        <v>80300</v>
      </c>
    </row>
    <row r="278" spans="2:8">
      <c r="B278" t="s">
        <v>587</v>
      </c>
      <c r="C278" t="s">
        <v>18</v>
      </c>
      <c r="D278">
        <v>4299</v>
      </c>
      <c r="E278">
        <v>4300</v>
      </c>
      <c r="F278">
        <v>4296</v>
      </c>
      <c r="G278">
        <v>4300</v>
      </c>
      <c r="H278">
        <v>45700</v>
      </c>
    </row>
    <row r="279" spans="2:8">
      <c r="B279" t="s">
        <v>587</v>
      </c>
      <c r="C279" t="s">
        <v>19</v>
      </c>
      <c r="D279">
        <v>4300</v>
      </c>
      <c r="E279">
        <v>4300</v>
      </c>
      <c r="F279">
        <v>4297</v>
      </c>
      <c r="G279">
        <v>4300</v>
      </c>
      <c r="H279">
        <v>30100</v>
      </c>
    </row>
    <row r="280" spans="2:8">
      <c r="B280" t="s">
        <v>587</v>
      </c>
      <c r="C280" t="s">
        <v>20</v>
      </c>
      <c r="D280">
        <v>4300</v>
      </c>
      <c r="E280">
        <v>4302</v>
      </c>
      <c r="F280">
        <v>4295</v>
      </c>
      <c r="G280">
        <v>4295</v>
      </c>
      <c r="H280">
        <v>47200</v>
      </c>
    </row>
    <row r="281" spans="2:8">
      <c r="B281" t="s">
        <v>587</v>
      </c>
      <c r="C281" t="s">
        <v>21</v>
      </c>
      <c r="D281">
        <v>4296</v>
      </c>
      <c r="E281">
        <v>4300</v>
      </c>
      <c r="F281">
        <v>4295</v>
      </c>
      <c r="G281">
        <v>4298</v>
      </c>
      <c r="H281">
        <v>32100</v>
      </c>
    </row>
    <row r="282" spans="2:8">
      <c r="B282" t="s">
        <v>587</v>
      </c>
      <c r="C282" t="s">
        <v>22</v>
      </c>
      <c r="D282">
        <v>4298</v>
      </c>
      <c r="E282">
        <v>4303</v>
      </c>
      <c r="F282">
        <v>4297</v>
      </c>
      <c r="G282">
        <v>4299</v>
      </c>
      <c r="H282">
        <v>99400</v>
      </c>
    </row>
    <row r="283" spans="2:8">
      <c r="B283" t="s">
        <v>587</v>
      </c>
      <c r="C283" t="s">
        <v>23</v>
      </c>
      <c r="D283">
        <v>4299</v>
      </c>
      <c r="E283">
        <v>4301</v>
      </c>
      <c r="F283">
        <v>4297</v>
      </c>
      <c r="G283">
        <v>4300</v>
      </c>
      <c r="H283">
        <v>27000</v>
      </c>
    </row>
    <row r="284" spans="2:8">
      <c r="B284" t="s">
        <v>587</v>
      </c>
      <c r="C284" t="s">
        <v>24</v>
      </c>
      <c r="D284">
        <v>4300</v>
      </c>
      <c r="E284">
        <v>4300</v>
      </c>
      <c r="F284">
        <v>4298</v>
      </c>
      <c r="G284">
        <v>4299</v>
      </c>
      <c r="H284">
        <v>24900</v>
      </c>
    </row>
    <row r="285" spans="2:8">
      <c r="B285" t="s">
        <v>587</v>
      </c>
      <c r="C285" t="s">
        <v>25</v>
      </c>
      <c r="D285">
        <v>4299</v>
      </c>
      <c r="E285">
        <v>4302</v>
      </c>
      <c r="F285">
        <v>4298</v>
      </c>
      <c r="G285">
        <v>4301</v>
      </c>
      <c r="H285">
        <v>36800</v>
      </c>
    </row>
    <row r="286" spans="2:8">
      <c r="B286" t="s">
        <v>587</v>
      </c>
      <c r="C286" t="s">
        <v>26</v>
      </c>
      <c r="D286">
        <v>4302</v>
      </c>
      <c r="E286">
        <v>4302</v>
      </c>
      <c r="F286">
        <v>4300</v>
      </c>
      <c r="G286">
        <v>4301</v>
      </c>
      <c r="H286">
        <v>34300</v>
      </c>
    </row>
    <row r="287" spans="2:8">
      <c r="B287" t="s">
        <v>587</v>
      </c>
      <c r="C287" t="s">
        <v>27</v>
      </c>
      <c r="D287">
        <v>4301</v>
      </c>
      <c r="E287">
        <v>4304</v>
      </c>
      <c r="F287">
        <v>4300</v>
      </c>
      <c r="G287">
        <v>4304</v>
      </c>
      <c r="H287">
        <v>40500</v>
      </c>
    </row>
    <row r="288" spans="2:8">
      <c r="B288" t="s">
        <v>587</v>
      </c>
      <c r="C288" t="s">
        <v>28</v>
      </c>
      <c r="D288">
        <v>4304</v>
      </c>
      <c r="E288">
        <v>4304</v>
      </c>
      <c r="F288">
        <v>4301</v>
      </c>
      <c r="G288">
        <v>4302</v>
      </c>
      <c r="H288">
        <v>28200</v>
      </c>
    </row>
    <row r="289" spans="2:8">
      <c r="B289" t="s">
        <v>587</v>
      </c>
      <c r="C289" t="s">
        <v>29</v>
      </c>
      <c r="D289">
        <v>4302</v>
      </c>
      <c r="E289">
        <v>4303</v>
      </c>
      <c r="F289">
        <v>4300</v>
      </c>
      <c r="G289">
        <v>4302</v>
      </c>
      <c r="H289">
        <v>29200</v>
      </c>
    </row>
    <row r="290" spans="2:8">
      <c r="B290" t="s">
        <v>587</v>
      </c>
      <c r="C290" t="s">
        <v>30</v>
      </c>
      <c r="D290">
        <v>4301</v>
      </c>
      <c r="E290">
        <v>4303</v>
      </c>
      <c r="F290">
        <v>4300</v>
      </c>
      <c r="G290">
        <v>4302</v>
      </c>
      <c r="H290">
        <v>52800</v>
      </c>
    </row>
    <row r="291" spans="2:8">
      <c r="B291" t="s">
        <v>587</v>
      </c>
      <c r="C291" t="s">
        <v>31</v>
      </c>
      <c r="D291">
        <v>4302</v>
      </c>
      <c r="E291">
        <v>4304</v>
      </c>
      <c r="F291">
        <v>4301</v>
      </c>
      <c r="G291">
        <v>4303</v>
      </c>
      <c r="H291">
        <v>31000</v>
      </c>
    </row>
    <row r="292" spans="2:8">
      <c r="B292" t="s">
        <v>587</v>
      </c>
      <c r="C292" t="s">
        <v>32</v>
      </c>
      <c r="D292">
        <v>4303</v>
      </c>
      <c r="E292">
        <v>4304</v>
      </c>
      <c r="F292">
        <v>4300</v>
      </c>
      <c r="G292">
        <v>4304</v>
      </c>
      <c r="H292">
        <v>56300</v>
      </c>
    </row>
    <row r="293" spans="2:8">
      <c r="B293" t="s">
        <v>587</v>
      </c>
      <c r="C293" t="s">
        <v>33</v>
      </c>
      <c r="D293">
        <v>4304</v>
      </c>
      <c r="E293">
        <v>4308</v>
      </c>
      <c r="F293">
        <v>4304</v>
      </c>
      <c r="G293">
        <v>4307</v>
      </c>
      <c r="H293">
        <v>48700</v>
      </c>
    </row>
    <row r="294" spans="2:8">
      <c r="B294" t="s">
        <v>587</v>
      </c>
      <c r="C294" t="s">
        <v>34</v>
      </c>
      <c r="D294">
        <v>4308</v>
      </c>
      <c r="E294">
        <v>4309</v>
      </c>
      <c r="F294">
        <v>4305</v>
      </c>
      <c r="G294">
        <v>4307</v>
      </c>
      <c r="H294">
        <v>40700</v>
      </c>
    </row>
    <row r="295" spans="2:8">
      <c r="B295" t="s">
        <v>587</v>
      </c>
      <c r="C295" t="s">
        <v>35</v>
      </c>
      <c r="D295">
        <v>4308</v>
      </c>
      <c r="E295">
        <v>4310</v>
      </c>
      <c r="F295">
        <v>4306</v>
      </c>
      <c r="G295">
        <v>4309</v>
      </c>
      <c r="H295">
        <v>35700</v>
      </c>
    </row>
    <row r="296" spans="2:8">
      <c r="B296" t="s">
        <v>587</v>
      </c>
      <c r="C296" t="s">
        <v>36</v>
      </c>
      <c r="D296">
        <v>4310</v>
      </c>
      <c r="E296">
        <v>4318</v>
      </c>
      <c r="F296">
        <v>4308</v>
      </c>
      <c r="G296">
        <v>4318</v>
      </c>
      <c r="H296">
        <v>94500</v>
      </c>
    </row>
    <row r="297" spans="2:8">
      <c r="B297" t="s">
        <v>587</v>
      </c>
      <c r="C297" t="s">
        <v>37</v>
      </c>
      <c r="D297">
        <v>4317</v>
      </c>
      <c r="E297">
        <v>4317</v>
      </c>
      <c r="F297">
        <v>4313</v>
      </c>
      <c r="G297">
        <v>4315</v>
      </c>
      <c r="H297">
        <v>60700</v>
      </c>
    </row>
    <row r="298" spans="2:8">
      <c r="B298" t="s">
        <v>587</v>
      </c>
      <c r="C298" t="s">
        <v>38</v>
      </c>
      <c r="D298">
        <v>4314</v>
      </c>
      <c r="E298">
        <v>4315</v>
      </c>
      <c r="F298">
        <v>4312</v>
      </c>
      <c r="G298">
        <v>4314</v>
      </c>
      <c r="H298">
        <v>28200</v>
      </c>
    </row>
    <row r="299" spans="2:8">
      <c r="B299" t="s">
        <v>587</v>
      </c>
      <c r="C299" t="s">
        <v>39</v>
      </c>
      <c r="D299">
        <v>4314</v>
      </c>
      <c r="E299">
        <v>4314</v>
      </c>
      <c r="F299">
        <v>4308</v>
      </c>
      <c r="G299">
        <v>4309</v>
      </c>
      <c r="H299">
        <v>56000</v>
      </c>
    </row>
    <row r="300" spans="2:8">
      <c r="B300" t="s">
        <v>587</v>
      </c>
      <c r="C300" t="s">
        <v>40</v>
      </c>
      <c r="D300">
        <v>4308</v>
      </c>
      <c r="E300">
        <v>4308</v>
      </c>
      <c r="F300">
        <v>4302</v>
      </c>
      <c r="G300">
        <v>4307</v>
      </c>
      <c r="H300">
        <v>57700</v>
      </c>
    </row>
    <row r="301" spans="2:8">
      <c r="B301" t="s">
        <v>587</v>
      </c>
      <c r="C301" t="s">
        <v>41</v>
      </c>
      <c r="D301">
        <v>4308</v>
      </c>
      <c r="E301">
        <v>4309</v>
      </c>
      <c r="F301">
        <v>4306</v>
      </c>
      <c r="G301">
        <v>4308</v>
      </c>
      <c r="H301">
        <v>37800</v>
      </c>
    </row>
    <row r="302" spans="2:8">
      <c r="B302" t="s">
        <v>587</v>
      </c>
      <c r="C302" t="s">
        <v>42</v>
      </c>
      <c r="D302">
        <v>4308</v>
      </c>
      <c r="E302">
        <v>4309</v>
      </c>
      <c r="F302">
        <v>4306</v>
      </c>
      <c r="G302">
        <v>4308</v>
      </c>
      <c r="H302">
        <v>31900</v>
      </c>
    </row>
    <row r="303" spans="2:8">
      <c r="B303" t="s">
        <v>587</v>
      </c>
      <c r="C303" t="s">
        <v>43</v>
      </c>
      <c r="D303">
        <v>4308</v>
      </c>
      <c r="E303">
        <v>4311</v>
      </c>
      <c r="F303">
        <v>4307</v>
      </c>
      <c r="G303">
        <v>4309</v>
      </c>
      <c r="H303">
        <v>38400</v>
      </c>
    </row>
    <row r="304" spans="2:8">
      <c r="B304" t="s">
        <v>587</v>
      </c>
      <c r="C304" t="s">
        <v>44</v>
      </c>
      <c r="D304">
        <v>4310</v>
      </c>
      <c r="E304">
        <v>4312</v>
      </c>
      <c r="F304">
        <v>4308</v>
      </c>
      <c r="G304">
        <v>4311</v>
      </c>
      <c r="H304">
        <v>47200</v>
      </c>
    </row>
    <row r="305" spans="2:8">
      <c r="B305" t="s">
        <v>587</v>
      </c>
      <c r="C305" t="s">
        <v>45</v>
      </c>
      <c r="D305">
        <v>4312</v>
      </c>
      <c r="E305">
        <v>4312</v>
      </c>
      <c r="F305">
        <v>4308</v>
      </c>
      <c r="G305">
        <v>4311</v>
      </c>
      <c r="H305">
        <v>36700</v>
      </c>
    </row>
    <row r="306" spans="2:8">
      <c r="B306" t="s">
        <v>587</v>
      </c>
      <c r="C306" t="s">
        <v>46</v>
      </c>
      <c r="D306">
        <v>4311</v>
      </c>
      <c r="E306">
        <v>4312</v>
      </c>
      <c r="F306">
        <v>4308</v>
      </c>
      <c r="G306">
        <v>4309</v>
      </c>
      <c r="H306">
        <v>42100</v>
      </c>
    </row>
    <row r="307" spans="2:8">
      <c r="B307" t="s">
        <v>587</v>
      </c>
      <c r="C307" t="s">
        <v>47</v>
      </c>
      <c r="D307">
        <v>4309</v>
      </c>
      <c r="E307">
        <v>4310</v>
      </c>
      <c r="F307">
        <v>4307</v>
      </c>
      <c r="G307">
        <v>4309</v>
      </c>
      <c r="H307">
        <v>32900</v>
      </c>
    </row>
    <row r="308" spans="2:8">
      <c r="B308" t="s">
        <v>587</v>
      </c>
      <c r="C308" t="s">
        <v>48</v>
      </c>
      <c r="D308">
        <v>4308</v>
      </c>
      <c r="E308">
        <v>4309</v>
      </c>
      <c r="F308">
        <v>4305</v>
      </c>
      <c r="G308">
        <v>4306</v>
      </c>
      <c r="H308">
        <v>64200</v>
      </c>
    </row>
    <row r="309" spans="2:8">
      <c r="B309" t="s">
        <v>587</v>
      </c>
      <c r="C309" t="s">
        <v>49</v>
      </c>
      <c r="D309">
        <v>4305</v>
      </c>
      <c r="E309">
        <v>4306</v>
      </c>
      <c r="F309">
        <v>4301</v>
      </c>
      <c r="G309">
        <v>4302</v>
      </c>
      <c r="H309">
        <v>67600</v>
      </c>
    </row>
    <row r="310" spans="2:8">
      <c r="B310" t="s">
        <v>587</v>
      </c>
      <c r="C310" t="s">
        <v>50</v>
      </c>
      <c r="D310">
        <v>4302</v>
      </c>
      <c r="E310">
        <v>4305</v>
      </c>
      <c r="F310">
        <v>4301</v>
      </c>
      <c r="G310">
        <v>4302</v>
      </c>
      <c r="H310">
        <v>49700</v>
      </c>
    </row>
    <row r="311" spans="2:8">
      <c r="B311" t="s">
        <v>587</v>
      </c>
      <c r="C311" t="s">
        <v>51</v>
      </c>
      <c r="D311">
        <v>4302</v>
      </c>
      <c r="E311">
        <v>4304</v>
      </c>
      <c r="F311">
        <v>4300</v>
      </c>
      <c r="G311">
        <v>4301</v>
      </c>
      <c r="H311">
        <v>70600</v>
      </c>
    </row>
    <row r="312" spans="2:8">
      <c r="B312" t="s">
        <v>587</v>
      </c>
      <c r="C312" t="s">
        <v>52</v>
      </c>
      <c r="D312">
        <v>4301</v>
      </c>
      <c r="E312">
        <v>4306</v>
      </c>
      <c r="F312">
        <v>4300</v>
      </c>
      <c r="G312">
        <v>4304</v>
      </c>
      <c r="H312">
        <v>75800</v>
      </c>
    </row>
    <row r="313" spans="2:8">
      <c r="B313" t="s">
        <v>587</v>
      </c>
      <c r="C313" t="s">
        <v>53</v>
      </c>
      <c r="D313">
        <v>4305</v>
      </c>
      <c r="E313">
        <v>4305</v>
      </c>
      <c r="F313">
        <v>4302</v>
      </c>
      <c r="G313">
        <v>4303</v>
      </c>
      <c r="H313">
        <v>45200</v>
      </c>
    </row>
    <row r="314" spans="2:8">
      <c r="B314" t="s">
        <v>587</v>
      </c>
      <c r="C314" t="s">
        <v>54</v>
      </c>
      <c r="D314">
        <v>4302</v>
      </c>
      <c r="E314">
        <v>4303</v>
      </c>
      <c r="F314">
        <v>4300</v>
      </c>
      <c r="G314">
        <v>4301</v>
      </c>
      <c r="H314">
        <v>70800</v>
      </c>
    </row>
    <row r="315" spans="2:8">
      <c r="B315" t="s">
        <v>587</v>
      </c>
      <c r="C315" t="s">
        <v>55</v>
      </c>
      <c r="D315">
        <v>4301</v>
      </c>
      <c r="E315">
        <v>4301</v>
      </c>
      <c r="F315">
        <v>4296</v>
      </c>
      <c r="G315">
        <v>4297</v>
      </c>
      <c r="H315">
        <v>150100</v>
      </c>
    </row>
    <row r="316" spans="2:8">
      <c r="B316" t="s">
        <v>587</v>
      </c>
      <c r="C316" t="s">
        <v>56</v>
      </c>
      <c r="D316">
        <v>4297</v>
      </c>
      <c r="E316">
        <v>4300</v>
      </c>
      <c r="F316">
        <v>4296</v>
      </c>
      <c r="G316">
        <v>4299</v>
      </c>
      <c r="H316">
        <v>60500</v>
      </c>
    </row>
    <row r="317" spans="2:8">
      <c r="B317" t="s">
        <v>587</v>
      </c>
      <c r="C317" t="s">
        <v>57</v>
      </c>
      <c r="D317">
        <v>4299</v>
      </c>
      <c r="E317">
        <v>4301</v>
      </c>
      <c r="F317">
        <v>4298</v>
      </c>
      <c r="G317">
        <v>4301</v>
      </c>
      <c r="H317">
        <v>49800</v>
      </c>
    </row>
    <row r="318" spans="2:8">
      <c r="B318" t="s">
        <v>587</v>
      </c>
      <c r="C318" t="s">
        <v>58</v>
      </c>
      <c r="D318">
        <v>4300</v>
      </c>
      <c r="E318">
        <v>4301</v>
      </c>
      <c r="F318">
        <v>4295</v>
      </c>
      <c r="G318">
        <v>4298</v>
      </c>
      <c r="H318">
        <v>78800</v>
      </c>
    </row>
    <row r="319" spans="2:8">
      <c r="B319" t="s">
        <v>587</v>
      </c>
      <c r="C319" t="s">
        <v>59</v>
      </c>
      <c r="D319">
        <v>4298</v>
      </c>
      <c r="E319">
        <v>4300</v>
      </c>
      <c r="F319">
        <v>4297</v>
      </c>
      <c r="G319">
        <v>4299</v>
      </c>
      <c r="H319">
        <v>49700</v>
      </c>
    </row>
    <row r="320" spans="2:8">
      <c r="B320" t="s">
        <v>587</v>
      </c>
      <c r="C320" t="s">
        <v>60</v>
      </c>
      <c r="D320">
        <v>4299</v>
      </c>
      <c r="E320">
        <v>4300</v>
      </c>
      <c r="F320">
        <v>4297</v>
      </c>
      <c r="G320">
        <v>4299</v>
      </c>
      <c r="H320">
        <v>56000</v>
      </c>
    </row>
    <row r="321" spans="1:8">
      <c r="B321" t="s">
        <v>587</v>
      </c>
      <c r="C321" t="s">
        <v>61</v>
      </c>
      <c r="D321">
        <v>4299</v>
      </c>
      <c r="E321">
        <v>4299</v>
      </c>
      <c r="F321">
        <v>4297</v>
      </c>
      <c r="G321">
        <v>4298</v>
      </c>
      <c r="H321">
        <v>28400</v>
      </c>
    </row>
    <row r="322" spans="1:8">
      <c r="B322" t="s">
        <v>587</v>
      </c>
      <c r="C322" t="s">
        <v>62</v>
      </c>
      <c r="D322">
        <v>4299</v>
      </c>
      <c r="E322">
        <v>4301</v>
      </c>
      <c r="F322">
        <v>4297</v>
      </c>
      <c r="G322">
        <v>4298</v>
      </c>
      <c r="H322">
        <v>57100</v>
      </c>
    </row>
    <row r="323" spans="1:8">
      <c r="B323" t="s">
        <v>587</v>
      </c>
      <c r="C323" t="s">
        <v>63</v>
      </c>
      <c r="D323">
        <v>4297</v>
      </c>
      <c r="E323">
        <v>4300</v>
      </c>
      <c r="F323">
        <v>4296</v>
      </c>
      <c r="G323">
        <v>4298</v>
      </c>
      <c r="H323">
        <v>60700</v>
      </c>
    </row>
    <row r="324" spans="1:8">
      <c r="B324" t="s">
        <v>587</v>
      </c>
      <c r="C324" t="s">
        <v>64</v>
      </c>
      <c r="D324">
        <v>4298</v>
      </c>
      <c r="E324">
        <v>4298</v>
      </c>
      <c r="F324">
        <v>4295</v>
      </c>
      <c r="G324">
        <v>4297</v>
      </c>
      <c r="H324">
        <v>83000</v>
      </c>
    </row>
    <row r="325" spans="1:8">
      <c r="B325" t="s">
        <v>587</v>
      </c>
      <c r="C325" t="s">
        <v>65</v>
      </c>
      <c r="D325">
        <v>4297</v>
      </c>
      <c r="E325">
        <v>4300</v>
      </c>
      <c r="F325">
        <v>4296</v>
      </c>
      <c r="G325">
        <v>4300</v>
      </c>
      <c r="H325">
        <v>72400</v>
      </c>
    </row>
    <row r="326" spans="1:8">
      <c r="B326" t="s">
        <v>587</v>
      </c>
      <c r="C326" t="s">
        <v>66</v>
      </c>
      <c r="D326">
        <v>4299</v>
      </c>
      <c r="E326">
        <v>4301</v>
      </c>
      <c r="F326">
        <v>4297</v>
      </c>
      <c r="G326">
        <v>4298</v>
      </c>
      <c r="H326">
        <v>86300</v>
      </c>
    </row>
    <row r="327" spans="1:8">
      <c r="B327" t="s">
        <v>587</v>
      </c>
      <c r="C327" t="s">
        <v>164</v>
      </c>
      <c r="D327">
        <v>4300</v>
      </c>
      <c r="E327">
        <v>4300</v>
      </c>
      <c r="F327">
        <v>4297</v>
      </c>
      <c r="G327">
        <v>4298</v>
      </c>
      <c r="H327">
        <v>66000</v>
      </c>
    </row>
    <row r="328" spans="1:8">
      <c r="B328" t="s">
        <v>587</v>
      </c>
      <c r="C328" t="s">
        <v>165</v>
      </c>
      <c r="D328">
        <v>4298</v>
      </c>
      <c r="E328">
        <v>4300</v>
      </c>
      <c r="F328">
        <v>4297</v>
      </c>
      <c r="G328">
        <v>4297</v>
      </c>
      <c r="H328">
        <v>76900</v>
      </c>
    </row>
    <row r="329" spans="1:8">
      <c r="B329" t="s">
        <v>587</v>
      </c>
      <c r="C329" t="s">
        <v>67</v>
      </c>
      <c r="D329" t="s">
        <v>8</v>
      </c>
      <c r="E329" t="s">
        <v>8</v>
      </c>
      <c r="F329" t="s">
        <v>8</v>
      </c>
      <c r="G329" t="s">
        <v>8</v>
      </c>
      <c r="H329">
        <v>0</v>
      </c>
    </row>
    <row r="330" spans="1:8">
      <c r="B330" t="s">
        <v>587</v>
      </c>
      <c r="C330" t="s">
        <v>68</v>
      </c>
      <c r="D330" t="s">
        <v>8</v>
      </c>
      <c r="E330" t="s">
        <v>8</v>
      </c>
      <c r="F330" t="s">
        <v>8</v>
      </c>
      <c r="G330" t="s">
        <v>8</v>
      </c>
      <c r="H330">
        <v>0</v>
      </c>
    </row>
    <row r="331" spans="1:8">
      <c r="B331" t="s">
        <v>587</v>
      </c>
      <c r="C331" t="s">
        <v>69</v>
      </c>
      <c r="D331" t="s">
        <v>8</v>
      </c>
      <c r="E331" t="s">
        <v>8</v>
      </c>
      <c r="F331" t="s">
        <v>8</v>
      </c>
      <c r="G331" t="s">
        <v>8</v>
      </c>
      <c r="H331">
        <v>0</v>
      </c>
    </row>
    <row r="332" spans="1:8">
      <c r="B332" t="s">
        <v>587</v>
      </c>
      <c r="C332" t="s">
        <v>70</v>
      </c>
      <c r="D332" t="s">
        <v>8</v>
      </c>
      <c r="E332" t="s">
        <v>8</v>
      </c>
      <c r="F332" t="s">
        <v>8</v>
      </c>
      <c r="G332" t="s">
        <v>8</v>
      </c>
      <c r="H332">
        <v>0</v>
      </c>
    </row>
    <row r="333" spans="1:8">
      <c r="B333" t="s">
        <v>587</v>
      </c>
      <c r="C333" t="s">
        <v>71</v>
      </c>
      <c r="D333" t="s">
        <v>8</v>
      </c>
      <c r="E333" t="s">
        <v>8</v>
      </c>
      <c r="F333" t="s">
        <v>8</v>
      </c>
      <c r="G333" t="s">
        <v>8</v>
      </c>
      <c r="H333">
        <v>0</v>
      </c>
    </row>
    <row r="334" spans="1:8">
      <c r="B334" t="s">
        <v>587</v>
      </c>
      <c r="C334" t="s">
        <v>72</v>
      </c>
      <c r="D334">
        <v>4283</v>
      </c>
      <c r="E334">
        <v>4283</v>
      </c>
      <c r="F334">
        <v>4283</v>
      </c>
      <c r="G334">
        <v>4283</v>
      </c>
      <c r="H334">
        <v>3373400</v>
      </c>
    </row>
    <row r="335" spans="1:8">
      <c r="A335" s="1" t="s">
        <v>79</v>
      </c>
      <c r="B335" s="1" t="s">
        <v>79</v>
      </c>
      <c r="C335" s="1" t="s">
        <v>79</v>
      </c>
      <c r="D335" s="1" t="s">
        <v>79</v>
      </c>
      <c r="E335" s="1" t="s">
        <v>79</v>
      </c>
      <c r="F335" s="1" t="s">
        <v>79</v>
      </c>
      <c r="G335" s="1" t="s">
        <v>79</v>
      </c>
      <c r="H335" s="1" t="s">
        <v>79</v>
      </c>
    </row>
    <row r="336" spans="1:8">
      <c r="B336" t="s">
        <v>442</v>
      </c>
      <c r="C336" t="s">
        <v>167</v>
      </c>
      <c r="D336">
        <v>4443</v>
      </c>
      <c r="E336">
        <v>4462</v>
      </c>
      <c r="F336">
        <v>4434</v>
      </c>
      <c r="G336">
        <v>4453</v>
      </c>
      <c r="H336">
        <v>158500</v>
      </c>
    </row>
    <row r="337" spans="2:8">
      <c r="B337" t="s">
        <v>442</v>
      </c>
      <c r="C337" t="s">
        <v>168</v>
      </c>
      <c r="D337">
        <v>4455</v>
      </c>
      <c r="E337">
        <v>4462</v>
      </c>
      <c r="F337">
        <v>4442</v>
      </c>
      <c r="G337">
        <v>4460</v>
      </c>
      <c r="H337">
        <v>186800</v>
      </c>
    </row>
    <row r="338" spans="2:8">
      <c r="B338" t="s">
        <v>442</v>
      </c>
      <c r="C338" t="s">
        <v>169</v>
      </c>
      <c r="D338">
        <v>4460</v>
      </c>
      <c r="E338">
        <v>4465</v>
      </c>
      <c r="F338">
        <v>4452</v>
      </c>
      <c r="G338">
        <v>4456</v>
      </c>
      <c r="H338">
        <v>66800</v>
      </c>
    </row>
    <row r="339" spans="2:8">
      <c r="B339" t="s">
        <v>442</v>
      </c>
      <c r="C339" t="s">
        <v>170</v>
      </c>
      <c r="D339">
        <v>4456</v>
      </c>
      <c r="E339">
        <v>4471</v>
      </c>
      <c r="F339">
        <v>4455</v>
      </c>
      <c r="G339">
        <v>4468</v>
      </c>
      <c r="H339">
        <v>46700</v>
      </c>
    </row>
    <row r="340" spans="2:8">
      <c r="B340" t="s">
        <v>442</v>
      </c>
      <c r="C340" t="s">
        <v>171</v>
      </c>
      <c r="D340">
        <v>4467</v>
      </c>
      <c r="E340">
        <v>4467</v>
      </c>
      <c r="F340">
        <v>4453</v>
      </c>
      <c r="G340">
        <v>4453</v>
      </c>
      <c r="H340">
        <v>60500</v>
      </c>
    </row>
    <row r="341" spans="2:8">
      <c r="B341" t="s">
        <v>442</v>
      </c>
      <c r="C341" t="s">
        <v>172</v>
      </c>
      <c r="D341">
        <v>4454</v>
      </c>
      <c r="E341">
        <v>4455</v>
      </c>
      <c r="F341">
        <v>4447</v>
      </c>
      <c r="G341">
        <v>4455</v>
      </c>
      <c r="H341">
        <v>56200</v>
      </c>
    </row>
    <row r="342" spans="2:8">
      <c r="B342" t="s">
        <v>442</v>
      </c>
      <c r="C342" t="s">
        <v>173</v>
      </c>
      <c r="D342">
        <v>4455</v>
      </c>
      <c r="E342">
        <v>4466</v>
      </c>
      <c r="F342">
        <v>4454</v>
      </c>
      <c r="G342">
        <v>4464</v>
      </c>
      <c r="H342">
        <v>51100</v>
      </c>
    </row>
    <row r="343" spans="2:8">
      <c r="B343" t="s">
        <v>442</v>
      </c>
      <c r="C343" t="s">
        <v>174</v>
      </c>
      <c r="D343">
        <v>4464</v>
      </c>
      <c r="E343">
        <v>4465</v>
      </c>
      <c r="F343">
        <v>4457</v>
      </c>
      <c r="G343">
        <v>4458</v>
      </c>
      <c r="H343">
        <v>30000</v>
      </c>
    </row>
    <row r="344" spans="2:8">
      <c r="B344" t="s">
        <v>442</v>
      </c>
      <c r="C344" t="s">
        <v>175</v>
      </c>
      <c r="D344">
        <v>4458</v>
      </c>
      <c r="E344">
        <v>4462</v>
      </c>
      <c r="F344">
        <v>4453</v>
      </c>
      <c r="G344">
        <v>4459</v>
      </c>
      <c r="H344">
        <v>68200</v>
      </c>
    </row>
    <row r="345" spans="2:8">
      <c r="B345" t="s">
        <v>442</v>
      </c>
      <c r="C345" t="s">
        <v>176</v>
      </c>
      <c r="D345">
        <v>4460</v>
      </c>
      <c r="E345">
        <v>4461</v>
      </c>
      <c r="F345">
        <v>4450</v>
      </c>
      <c r="G345">
        <v>4455</v>
      </c>
      <c r="H345">
        <v>43000</v>
      </c>
    </row>
    <row r="346" spans="2:8">
      <c r="B346" t="s">
        <v>442</v>
      </c>
      <c r="C346" t="s">
        <v>177</v>
      </c>
      <c r="D346">
        <v>4456</v>
      </c>
      <c r="E346">
        <v>4459</v>
      </c>
      <c r="F346">
        <v>4455</v>
      </c>
      <c r="G346">
        <v>4458</v>
      </c>
      <c r="H346">
        <v>20300</v>
      </c>
    </row>
    <row r="347" spans="2:8">
      <c r="B347" t="s">
        <v>442</v>
      </c>
      <c r="C347" t="s">
        <v>178</v>
      </c>
      <c r="D347">
        <v>4458</v>
      </c>
      <c r="E347">
        <v>4461</v>
      </c>
      <c r="F347">
        <v>4454</v>
      </c>
      <c r="G347">
        <v>4456</v>
      </c>
      <c r="H347">
        <v>30000</v>
      </c>
    </row>
    <row r="348" spans="2:8">
      <c r="B348" t="s">
        <v>442</v>
      </c>
      <c r="C348" t="s">
        <v>179</v>
      </c>
      <c r="D348">
        <v>4456</v>
      </c>
      <c r="E348">
        <v>4457</v>
      </c>
      <c r="F348">
        <v>4452</v>
      </c>
      <c r="G348">
        <v>4453</v>
      </c>
      <c r="H348">
        <v>27800</v>
      </c>
    </row>
    <row r="349" spans="2:8">
      <c r="B349" t="s">
        <v>442</v>
      </c>
      <c r="C349" t="s">
        <v>180</v>
      </c>
      <c r="D349">
        <v>4453</v>
      </c>
      <c r="E349">
        <v>4453</v>
      </c>
      <c r="F349">
        <v>4448</v>
      </c>
      <c r="G349">
        <v>4451</v>
      </c>
      <c r="H349">
        <v>55800</v>
      </c>
    </row>
    <row r="350" spans="2:8">
      <c r="B350" t="s">
        <v>442</v>
      </c>
      <c r="C350" t="s">
        <v>181</v>
      </c>
      <c r="D350">
        <v>4450</v>
      </c>
      <c r="E350">
        <v>4458</v>
      </c>
      <c r="F350">
        <v>4448</v>
      </c>
      <c r="G350">
        <v>4455</v>
      </c>
      <c r="H350">
        <v>49400</v>
      </c>
    </row>
    <row r="351" spans="2:8">
      <c r="B351" t="s">
        <v>442</v>
      </c>
      <c r="C351" t="s">
        <v>182</v>
      </c>
      <c r="D351">
        <v>4456</v>
      </c>
      <c r="E351">
        <v>4464</v>
      </c>
      <c r="F351">
        <v>4456</v>
      </c>
      <c r="G351">
        <v>4460</v>
      </c>
      <c r="H351">
        <v>38000</v>
      </c>
    </row>
    <row r="352" spans="2:8">
      <c r="B352" t="s">
        <v>442</v>
      </c>
      <c r="C352" t="s">
        <v>183</v>
      </c>
      <c r="D352">
        <v>4460</v>
      </c>
      <c r="E352">
        <v>4460</v>
      </c>
      <c r="F352">
        <v>4456</v>
      </c>
      <c r="G352">
        <v>4458</v>
      </c>
      <c r="H352">
        <v>19600</v>
      </c>
    </row>
    <row r="353" spans="2:8">
      <c r="B353" t="s">
        <v>442</v>
      </c>
      <c r="C353" t="s">
        <v>184</v>
      </c>
      <c r="D353">
        <v>4458</v>
      </c>
      <c r="E353">
        <v>4458</v>
      </c>
      <c r="F353">
        <v>4452</v>
      </c>
      <c r="G353">
        <v>4454</v>
      </c>
      <c r="H353">
        <v>23200</v>
      </c>
    </row>
    <row r="354" spans="2:8">
      <c r="B354" t="s">
        <v>442</v>
      </c>
      <c r="C354" t="s">
        <v>185</v>
      </c>
      <c r="D354">
        <v>4452</v>
      </c>
      <c r="E354">
        <v>4457</v>
      </c>
      <c r="F354">
        <v>4451</v>
      </c>
      <c r="G354">
        <v>4453</v>
      </c>
      <c r="H354">
        <v>28300</v>
      </c>
    </row>
    <row r="355" spans="2:8">
      <c r="B355" t="s">
        <v>442</v>
      </c>
      <c r="C355" t="s">
        <v>186</v>
      </c>
      <c r="D355">
        <v>4454</v>
      </c>
      <c r="E355">
        <v>4462</v>
      </c>
      <c r="F355">
        <v>4454</v>
      </c>
      <c r="G355">
        <v>4458</v>
      </c>
      <c r="H355">
        <v>30800</v>
      </c>
    </row>
    <row r="356" spans="2:8">
      <c r="B356" t="s">
        <v>442</v>
      </c>
      <c r="C356" t="s">
        <v>187</v>
      </c>
      <c r="D356">
        <v>4459</v>
      </c>
      <c r="E356">
        <v>4464</v>
      </c>
      <c r="F356">
        <v>4457</v>
      </c>
      <c r="G356">
        <v>4462</v>
      </c>
      <c r="H356">
        <v>31400</v>
      </c>
    </row>
    <row r="357" spans="2:8">
      <c r="B357" t="s">
        <v>442</v>
      </c>
      <c r="C357" t="s">
        <v>188</v>
      </c>
      <c r="D357">
        <v>4462</v>
      </c>
      <c r="E357">
        <v>4467</v>
      </c>
      <c r="F357">
        <v>4460</v>
      </c>
      <c r="G357">
        <v>4464</v>
      </c>
      <c r="H357">
        <v>24300</v>
      </c>
    </row>
    <row r="358" spans="2:8">
      <c r="B358" t="s">
        <v>442</v>
      </c>
      <c r="C358" t="s">
        <v>189</v>
      </c>
      <c r="D358">
        <v>4465</v>
      </c>
      <c r="E358">
        <v>4467</v>
      </c>
      <c r="F358">
        <v>4462</v>
      </c>
      <c r="G358">
        <v>4466</v>
      </c>
      <c r="H358">
        <v>19200</v>
      </c>
    </row>
    <row r="359" spans="2:8">
      <c r="B359" t="s">
        <v>442</v>
      </c>
      <c r="C359" t="s">
        <v>190</v>
      </c>
      <c r="D359">
        <v>4467</v>
      </c>
      <c r="E359">
        <v>4472</v>
      </c>
      <c r="F359">
        <v>4466</v>
      </c>
      <c r="G359">
        <v>4472</v>
      </c>
      <c r="H359">
        <v>14300</v>
      </c>
    </row>
    <row r="360" spans="2:8">
      <c r="B360" t="s">
        <v>442</v>
      </c>
      <c r="C360" t="s">
        <v>191</v>
      </c>
      <c r="D360">
        <v>4472</v>
      </c>
      <c r="E360">
        <v>4477</v>
      </c>
      <c r="F360">
        <v>4468</v>
      </c>
      <c r="G360">
        <v>4471</v>
      </c>
      <c r="H360">
        <v>38300</v>
      </c>
    </row>
    <row r="361" spans="2:8">
      <c r="B361" t="s">
        <v>442</v>
      </c>
      <c r="C361" t="s">
        <v>192</v>
      </c>
      <c r="D361">
        <v>4472</v>
      </c>
      <c r="E361">
        <v>4474</v>
      </c>
      <c r="F361">
        <v>4470</v>
      </c>
      <c r="G361">
        <v>4473</v>
      </c>
      <c r="H361">
        <v>21200</v>
      </c>
    </row>
    <row r="362" spans="2:8">
      <c r="B362" t="s">
        <v>442</v>
      </c>
      <c r="C362" t="s">
        <v>193</v>
      </c>
      <c r="D362">
        <v>4474</v>
      </c>
      <c r="E362">
        <v>4479</v>
      </c>
      <c r="F362">
        <v>4467</v>
      </c>
      <c r="G362">
        <v>4470</v>
      </c>
      <c r="H362">
        <v>26300</v>
      </c>
    </row>
    <row r="363" spans="2:8">
      <c r="B363" t="s">
        <v>442</v>
      </c>
      <c r="C363" t="s">
        <v>194</v>
      </c>
      <c r="D363">
        <v>4469</v>
      </c>
      <c r="E363">
        <v>4474</v>
      </c>
      <c r="F363">
        <v>4469</v>
      </c>
      <c r="G363">
        <v>4469</v>
      </c>
      <c r="H363">
        <v>26300</v>
      </c>
    </row>
    <row r="364" spans="2:8">
      <c r="B364" t="s">
        <v>442</v>
      </c>
      <c r="C364" t="s">
        <v>195</v>
      </c>
      <c r="D364">
        <v>4470</v>
      </c>
      <c r="E364">
        <v>4470</v>
      </c>
      <c r="F364">
        <v>4463</v>
      </c>
      <c r="G364">
        <v>4464</v>
      </c>
      <c r="H364">
        <v>17900</v>
      </c>
    </row>
    <row r="365" spans="2:8">
      <c r="B365" t="s">
        <v>442</v>
      </c>
      <c r="C365" t="s">
        <v>196</v>
      </c>
      <c r="D365">
        <v>4463</v>
      </c>
      <c r="E365">
        <v>4463</v>
      </c>
      <c r="F365">
        <v>4458</v>
      </c>
      <c r="G365">
        <v>4458</v>
      </c>
      <c r="H365">
        <v>18600</v>
      </c>
    </row>
    <row r="366" spans="2:8">
      <c r="B366" t="s">
        <v>442</v>
      </c>
      <c r="C366" t="s">
        <v>197</v>
      </c>
      <c r="D366">
        <v>4459</v>
      </c>
      <c r="E366">
        <v>4460</v>
      </c>
      <c r="F366">
        <v>4455</v>
      </c>
      <c r="G366">
        <v>4456</v>
      </c>
      <c r="H366">
        <v>22100</v>
      </c>
    </row>
    <row r="367" spans="2:8">
      <c r="B367" t="s">
        <v>442</v>
      </c>
      <c r="C367" t="s">
        <v>198</v>
      </c>
      <c r="D367">
        <v>4456</v>
      </c>
      <c r="E367">
        <v>4458</v>
      </c>
      <c r="F367">
        <v>4455</v>
      </c>
      <c r="G367">
        <v>4455</v>
      </c>
      <c r="H367">
        <v>12600</v>
      </c>
    </row>
    <row r="368" spans="2:8">
      <c r="B368" t="s">
        <v>442</v>
      </c>
      <c r="C368" t="s">
        <v>199</v>
      </c>
      <c r="D368">
        <v>4455</v>
      </c>
      <c r="E368">
        <v>4457</v>
      </c>
      <c r="F368">
        <v>4452</v>
      </c>
      <c r="G368">
        <v>4454</v>
      </c>
      <c r="H368">
        <v>31600</v>
      </c>
    </row>
    <row r="369" spans="2:8">
      <c r="B369" t="s">
        <v>442</v>
      </c>
      <c r="C369" t="s">
        <v>200</v>
      </c>
      <c r="D369">
        <v>4454</v>
      </c>
      <c r="E369">
        <v>4459</v>
      </c>
      <c r="F369">
        <v>4453</v>
      </c>
      <c r="G369">
        <v>4457</v>
      </c>
      <c r="H369">
        <v>44800</v>
      </c>
    </row>
    <row r="370" spans="2:8">
      <c r="B370" t="s">
        <v>442</v>
      </c>
      <c r="C370" t="s">
        <v>201</v>
      </c>
      <c r="D370">
        <v>4456</v>
      </c>
      <c r="E370">
        <v>4457</v>
      </c>
      <c r="F370">
        <v>4455</v>
      </c>
      <c r="G370">
        <v>4456</v>
      </c>
      <c r="H370">
        <v>10800</v>
      </c>
    </row>
    <row r="371" spans="2:8">
      <c r="B371" t="s">
        <v>442</v>
      </c>
      <c r="C371" t="s">
        <v>202</v>
      </c>
      <c r="D371">
        <v>4456</v>
      </c>
      <c r="E371">
        <v>4458</v>
      </c>
      <c r="F371">
        <v>4454</v>
      </c>
      <c r="G371">
        <v>4454</v>
      </c>
      <c r="H371">
        <v>14900</v>
      </c>
    </row>
    <row r="372" spans="2:8">
      <c r="B372" t="s">
        <v>442</v>
      </c>
      <c r="C372" t="s">
        <v>203</v>
      </c>
      <c r="D372">
        <v>4453</v>
      </c>
      <c r="E372">
        <v>4456</v>
      </c>
      <c r="F372">
        <v>4453</v>
      </c>
      <c r="G372">
        <v>4454</v>
      </c>
      <c r="H372">
        <v>15000</v>
      </c>
    </row>
    <row r="373" spans="2:8">
      <c r="B373" t="s">
        <v>442</v>
      </c>
      <c r="C373" t="s">
        <v>204</v>
      </c>
      <c r="D373">
        <v>4453</v>
      </c>
      <c r="E373">
        <v>4459</v>
      </c>
      <c r="F373">
        <v>4453</v>
      </c>
      <c r="G373">
        <v>4456</v>
      </c>
      <c r="H373">
        <v>15000</v>
      </c>
    </row>
    <row r="374" spans="2:8">
      <c r="B374" t="s">
        <v>442</v>
      </c>
      <c r="C374" t="s">
        <v>205</v>
      </c>
      <c r="D374">
        <v>4456</v>
      </c>
      <c r="E374">
        <v>4456</v>
      </c>
      <c r="F374">
        <v>4454</v>
      </c>
      <c r="G374">
        <v>4456</v>
      </c>
      <c r="H374">
        <v>11200</v>
      </c>
    </row>
    <row r="375" spans="2:8">
      <c r="B375" t="s">
        <v>442</v>
      </c>
      <c r="C375" t="s">
        <v>206</v>
      </c>
      <c r="D375">
        <v>4456</v>
      </c>
      <c r="E375">
        <v>4456</v>
      </c>
      <c r="F375">
        <v>4452</v>
      </c>
      <c r="G375">
        <v>4453</v>
      </c>
      <c r="H375">
        <v>23400</v>
      </c>
    </row>
    <row r="376" spans="2:8">
      <c r="B376" t="s">
        <v>442</v>
      </c>
      <c r="C376" t="s">
        <v>207</v>
      </c>
      <c r="D376">
        <v>4452</v>
      </c>
      <c r="E376">
        <v>4453</v>
      </c>
      <c r="F376">
        <v>4450</v>
      </c>
      <c r="G376">
        <v>4450</v>
      </c>
      <c r="H376">
        <v>28400</v>
      </c>
    </row>
    <row r="377" spans="2:8">
      <c r="B377" t="s">
        <v>442</v>
      </c>
      <c r="C377" t="s">
        <v>208</v>
      </c>
      <c r="D377">
        <v>4451</v>
      </c>
      <c r="E377">
        <v>4455</v>
      </c>
      <c r="F377">
        <v>4449</v>
      </c>
      <c r="G377">
        <v>4454</v>
      </c>
      <c r="H377">
        <v>76700</v>
      </c>
    </row>
    <row r="378" spans="2:8">
      <c r="B378" t="s">
        <v>442</v>
      </c>
      <c r="C378" t="s">
        <v>209</v>
      </c>
      <c r="D378">
        <v>4453</v>
      </c>
      <c r="E378">
        <v>4455</v>
      </c>
      <c r="F378">
        <v>4452</v>
      </c>
      <c r="G378">
        <v>4453</v>
      </c>
      <c r="H378">
        <v>10500</v>
      </c>
    </row>
    <row r="379" spans="2:8">
      <c r="B379" t="s">
        <v>442</v>
      </c>
      <c r="C379" t="s">
        <v>210</v>
      </c>
      <c r="D379">
        <v>4454</v>
      </c>
      <c r="E379">
        <v>4455</v>
      </c>
      <c r="F379">
        <v>4448</v>
      </c>
      <c r="G379">
        <v>4450</v>
      </c>
      <c r="H379">
        <v>35800</v>
      </c>
    </row>
    <row r="380" spans="2:8">
      <c r="B380" t="s">
        <v>442</v>
      </c>
      <c r="C380" t="s">
        <v>211</v>
      </c>
      <c r="D380">
        <v>4448</v>
      </c>
      <c r="E380">
        <v>4449</v>
      </c>
      <c r="F380">
        <v>4445</v>
      </c>
      <c r="G380">
        <v>4449</v>
      </c>
      <c r="H380">
        <v>31600</v>
      </c>
    </row>
    <row r="381" spans="2:8">
      <c r="B381" t="s">
        <v>442</v>
      </c>
      <c r="C381" t="s">
        <v>212</v>
      </c>
      <c r="D381">
        <v>4449</v>
      </c>
      <c r="E381">
        <v>4451</v>
      </c>
      <c r="F381">
        <v>4446</v>
      </c>
      <c r="G381">
        <v>4448</v>
      </c>
      <c r="H381">
        <v>24400</v>
      </c>
    </row>
    <row r="382" spans="2:8">
      <c r="B382" t="s">
        <v>442</v>
      </c>
      <c r="C382" t="s">
        <v>213</v>
      </c>
      <c r="D382">
        <v>4449</v>
      </c>
      <c r="E382">
        <v>4449</v>
      </c>
      <c r="F382">
        <v>4446</v>
      </c>
      <c r="G382">
        <v>4447</v>
      </c>
      <c r="H382">
        <v>17100</v>
      </c>
    </row>
    <row r="383" spans="2:8">
      <c r="B383" t="s">
        <v>442</v>
      </c>
      <c r="C383" t="s">
        <v>214</v>
      </c>
      <c r="D383">
        <v>4448</v>
      </c>
      <c r="E383">
        <v>4454</v>
      </c>
      <c r="F383">
        <v>4446</v>
      </c>
      <c r="G383">
        <v>4454</v>
      </c>
      <c r="H383">
        <v>27700</v>
      </c>
    </row>
    <row r="384" spans="2:8">
      <c r="B384" t="s">
        <v>442</v>
      </c>
      <c r="C384" t="s">
        <v>215</v>
      </c>
      <c r="D384">
        <v>4454</v>
      </c>
      <c r="E384">
        <v>4465</v>
      </c>
      <c r="F384">
        <v>4453</v>
      </c>
      <c r="G384">
        <v>4464</v>
      </c>
      <c r="H384">
        <v>54200</v>
      </c>
    </row>
    <row r="385" spans="2:8">
      <c r="B385" t="s">
        <v>442</v>
      </c>
      <c r="C385" t="s">
        <v>216</v>
      </c>
      <c r="D385">
        <v>4465</v>
      </c>
      <c r="E385">
        <v>4467</v>
      </c>
      <c r="F385">
        <v>4459</v>
      </c>
      <c r="G385">
        <v>4461</v>
      </c>
      <c r="H385">
        <v>52800</v>
      </c>
    </row>
    <row r="386" spans="2:8">
      <c r="B386" t="s">
        <v>442</v>
      </c>
      <c r="C386" t="s">
        <v>217</v>
      </c>
      <c r="D386">
        <v>4461</v>
      </c>
      <c r="E386">
        <v>4462</v>
      </c>
      <c r="F386">
        <v>4455</v>
      </c>
      <c r="G386">
        <v>4455</v>
      </c>
      <c r="H386">
        <v>38100</v>
      </c>
    </row>
    <row r="387" spans="2:8">
      <c r="B387" t="s">
        <v>442</v>
      </c>
      <c r="C387" t="s">
        <v>218</v>
      </c>
      <c r="D387">
        <v>4456</v>
      </c>
      <c r="E387">
        <v>4457</v>
      </c>
      <c r="F387">
        <v>4454</v>
      </c>
      <c r="G387">
        <v>4457</v>
      </c>
      <c r="H387">
        <v>12600</v>
      </c>
    </row>
    <row r="388" spans="2:8">
      <c r="B388" t="s">
        <v>442</v>
      </c>
      <c r="C388" t="s">
        <v>219</v>
      </c>
      <c r="D388">
        <v>4458</v>
      </c>
      <c r="E388">
        <v>4458</v>
      </c>
      <c r="F388">
        <v>4452</v>
      </c>
      <c r="G388">
        <v>4453</v>
      </c>
      <c r="H388">
        <v>19700</v>
      </c>
    </row>
    <row r="389" spans="2:8">
      <c r="B389" t="s">
        <v>442</v>
      </c>
      <c r="C389" t="s">
        <v>220</v>
      </c>
      <c r="D389">
        <v>4454</v>
      </c>
      <c r="E389">
        <v>4454</v>
      </c>
      <c r="F389">
        <v>4451</v>
      </c>
      <c r="G389">
        <v>4451</v>
      </c>
      <c r="H389">
        <v>17300</v>
      </c>
    </row>
    <row r="390" spans="2:8">
      <c r="B390" t="s">
        <v>442</v>
      </c>
      <c r="C390" t="s">
        <v>221</v>
      </c>
      <c r="D390">
        <v>4452</v>
      </c>
      <c r="E390">
        <v>4456</v>
      </c>
      <c r="F390">
        <v>4452</v>
      </c>
      <c r="G390">
        <v>4452</v>
      </c>
      <c r="H390">
        <v>25900</v>
      </c>
    </row>
    <row r="391" spans="2:8">
      <c r="B391" t="s">
        <v>442</v>
      </c>
      <c r="C391" t="s">
        <v>222</v>
      </c>
      <c r="D391">
        <v>4454</v>
      </c>
      <c r="E391">
        <v>4454</v>
      </c>
      <c r="F391">
        <v>4452</v>
      </c>
      <c r="G391">
        <v>4453</v>
      </c>
      <c r="H391">
        <v>10500</v>
      </c>
    </row>
    <row r="392" spans="2:8">
      <c r="B392" t="s">
        <v>442</v>
      </c>
      <c r="C392" t="s">
        <v>223</v>
      </c>
      <c r="D392">
        <v>4455</v>
      </c>
      <c r="E392">
        <v>4456</v>
      </c>
      <c r="F392">
        <v>4453</v>
      </c>
      <c r="G392">
        <v>4455</v>
      </c>
      <c r="H392">
        <v>9700</v>
      </c>
    </row>
    <row r="393" spans="2:8">
      <c r="B393" t="s">
        <v>442</v>
      </c>
      <c r="C393" t="s">
        <v>224</v>
      </c>
      <c r="D393">
        <v>4456</v>
      </c>
      <c r="E393">
        <v>4456</v>
      </c>
      <c r="F393">
        <v>4449</v>
      </c>
      <c r="G393">
        <v>4450</v>
      </c>
      <c r="H393">
        <v>26100</v>
      </c>
    </row>
    <row r="394" spans="2:8">
      <c r="B394" t="s">
        <v>442</v>
      </c>
      <c r="C394" t="s">
        <v>225</v>
      </c>
      <c r="D394">
        <v>4449</v>
      </c>
      <c r="E394">
        <v>4454</v>
      </c>
      <c r="F394">
        <v>4449</v>
      </c>
      <c r="G394">
        <v>4453</v>
      </c>
      <c r="H394">
        <v>13100</v>
      </c>
    </row>
    <row r="395" spans="2:8">
      <c r="B395" t="s">
        <v>442</v>
      </c>
      <c r="C395" t="s">
        <v>226</v>
      </c>
      <c r="D395">
        <v>4452</v>
      </c>
      <c r="E395">
        <v>4454</v>
      </c>
      <c r="F395">
        <v>4448</v>
      </c>
      <c r="G395">
        <v>4454</v>
      </c>
      <c r="H395">
        <v>23300</v>
      </c>
    </row>
    <row r="396" spans="2:8">
      <c r="B396" t="s">
        <v>442</v>
      </c>
      <c r="C396" t="s">
        <v>227</v>
      </c>
      <c r="D396">
        <v>4453</v>
      </c>
      <c r="E396">
        <v>4454</v>
      </c>
      <c r="F396">
        <v>4451</v>
      </c>
      <c r="G396">
        <v>4452</v>
      </c>
      <c r="H396">
        <v>11900</v>
      </c>
    </row>
    <row r="397" spans="2:8">
      <c r="B397" t="s">
        <v>442</v>
      </c>
      <c r="C397" t="s">
        <v>228</v>
      </c>
      <c r="D397">
        <v>4452</v>
      </c>
      <c r="E397">
        <v>4453</v>
      </c>
      <c r="F397">
        <v>4451</v>
      </c>
      <c r="G397">
        <v>4452</v>
      </c>
      <c r="H397">
        <v>9100</v>
      </c>
    </row>
    <row r="398" spans="2:8">
      <c r="B398" t="s">
        <v>442</v>
      </c>
      <c r="C398" t="s">
        <v>229</v>
      </c>
      <c r="D398">
        <v>4452</v>
      </c>
      <c r="E398">
        <v>4454</v>
      </c>
      <c r="F398">
        <v>4452</v>
      </c>
      <c r="G398">
        <v>4453</v>
      </c>
      <c r="H398">
        <v>9200</v>
      </c>
    </row>
    <row r="399" spans="2:8">
      <c r="B399" t="s">
        <v>442</v>
      </c>
      <c r="C399" t="s">
        <v>230</v>
      </c>
      <c r="D399">
        <v>4453</v>
      </c>
      <c r="E399">
        <v>4453</v>
      </c>
      <c r="F399">
        <v>4450</v>
      </c>
      <c r="G399">
        <v>4450</v>
      </c>
      <c r="H399">
        <v>9600</v>
      </c>
    </row>
    <row r="400" spans="2:8">
      <c r="B400" t="s">
        <v>442</v>
      </c>
      <c r="C400" t="s">
        <v>231</v>
      </c>
      <c r="D400">
        <v>4450</v>
      </c>
      <c r="E400">
        <v>4450</v>
      </c>
      <c r="F400">
        <v>4446</v>
      </c>
      <c r="G400">
        <v>4447</v>
      </c>
      <c r="H400">
        <v>26700</v>
      </c>
    </row>
    <row r="401" spans="2:8">
      <c r="B401" t="s">
        <v>442</v>
      </c>
      <c r="C401" t="s">
        <v>232</v>
      </c>
      <c r="D401">
        <v>4447</v>
      </c>
      <c r="E401">
        <v>4448</v>
      </c>
      <c r="F401">
        <v>4445</v>
      </c>
      <c r="G401">
        <v>4445</v>
      </c>
      <c r="H401">
        <v>32600</v>
      </c>
    </row>
    <row r="402" spans="2:8">
      <c r="B402" t="s">
        <v>442</v>
      </c>
      <c r="C402" t="s">
        <v>233</v>
      </c>
      <c r="D402">
        <v>4446</v>
      </c>
      <c r="E402">
        <v>4447</v>
      </c>
      <c r="F402">
        <v>4444</v>
      </c>
      <c r="G402">
        <v>4445</v>
      </c>
      <c r="H402">
        <v>17700</v>
      </c>
    </row>
    <row r="403" spans="2:8">
      <c r="B403" t="s">
        <v>442</v>
      </c>
      <c r="C403" t="s">
        <v>234</v>
      </c>
      <c r="D403">
        <v>4444</v>
      </c>
      <c r="E403">
        <v>4445</v>
      </c>
      <c r="F403">
        <v>4442</v>
      </c>
      <c r="G403">
        <v>4442</v>
      </c>
      <c r="H403">
        <v>24100</v>
      </c>
    </row>
    <row r="404" spans="2:8">
      <c r="B404" t="s">
        <v>442</v>
      </c>
      <c r="C404" t="s">
        <v>235</v>
      </c>
      <c r="D404">
        <v>4442</v>
      </c>
      <c r="E404">
        <v>4449</v>
      </c>
      <c r="F404">
        <v>4442</v>
      </c>
      <c r="G404">
        <v>4449</v>
      </c>
      <c r="H404">
        <v>24700</v>
      </c>
    </row>
    <row r="405" spans="2:8">
      <c r="B405" t="s">
        <v>442</v>
      </c>
      <c r="C405" t="s">
        <v>236</v>
      </c>
      <c r="D405">
        <v>4449</v>
      </c>
      <c r="E405">
        <v>4450</v>
      </c>
      <c r="F405">
        <v>4447</v>
      </c>
      <c r="G405">
        <v>4447</v>
      </c>
      <c r="H405">
        <v>9900</v>
      </c>
    </row>
    <row r="406" spans="2:8">
      <c r="B406" t="s">
        <v>442</v>
      </c>
      <c r="C406" t="s">
        <v>237</v>
      </c>
      <c r="D406">
        <v>4448</v>
      </c>
      <c r="E406">
        <v>4449</v>
      </c>
      <c r="F406">
        <v>4447</v>
      </c>
      <c r="G406">
        <v>4449</v>
      </c>
      <c r="H406">
        <v>8300</v>
      </c>
    </row>
    <row r="407" spans="2:8">
      <c r="B407" t="s">
        <v>442</v>
      </c>
      <c r="C407" t="s">
        <v>238</v>
      </c>
      <c r="D407">
        <v>4449</v>
      </c>
      <c r="E407">
        <v>4449</v>
      </c>
      <c r="F407">
        <v>4447</v>
      </c>
      <c r="G407">
        <v>4448</v>
      </c>
      <c r="H407">
        <v>3600</v>
      </c>
    </row>
    <row r="408" spans="2:8">
      <c r="B408" t="s">
        <v>442</v>
      </c>
      <c r="C408" t="s">
        <v>239</v>
      </c>
      <c r="D408">
        <v>4447</v>
      </c>
      <c r="E408">
        <v>4450</v>
      </c>
      <c r="F408">
        <v>4447</v>
      </c>
      <c r="G408">
        <v>4450</v>
      </c>
      <c r="H408">
        <v>8200</v>
      </c>
    </row>
    <row r="409" spans="2:8">
      <c r="B409" t="s">
        <v>442</v>
      </c>
      <c r="C409" t="s">
        <v>240</v>
      </c>
      <c r="D409">
        <v>4450</v>
      </c>
      <c r="E409">
        <v>4454</v>
      </c>
      <c r="F409">
        <v>4450</v>
      </c>
      <c r="G409">
        <v>4453</v>
      </c>
      <c r="H409">
        <v>16800</v>
      </c>
    </row>
    <row r="410" spans="2:8">
      <c r="B410" t="s">
        <v>442</v>
      </c>
      <c r="C410" t="s">
        <v>241</v>
      </c>
      <c r="D410">
        <v>4454</v>
      </c>
      <c r="E410">
        <v>4464</v>
      </c>
      <c r="F410">
        <v>4454</v>
      </c>
      <c r="G410">
        <v>4464</v>
      </c>
      <c r="H410">
        <v>55300</v>
      </c>
    </row>
    <row r="411" spans="2:8">
      <c r="B411" t="s">
        <v>442</v>
      </c>
      <c r="C411" t="s">
        <v>242</v>
      </c>
      <c r="D411">
        <v>4464</v>
      </c>
      <c r="E411">
        <v>4466</v>
      </c>
      <c r="F411">
        <v>4458</v>
      </c>
      <c r="G411">
        <v>4460</v>
      </c>
      <c r="H411">
        <v>53300</v>
      </c>
    </row>
    <row r="412" spans="2:8">
      <c r="B412" t="s">
        <v>442</v>
      </c>
      <c r="C412" t="s">
        <v>243</v>
      </c>
      <c r="D412">
        <v>4461</v>
      </c>
      <c r="E412">
        <v>4462</v>
      </c>
      <c r="F412">
        <v>4459</v>
      </c>
      <c r="G412">
        <v>4461</v>
      </c>
      <c r="H412">
        <v>18200</v>
      </c>
    </row>
    <row r="413" spans="2:8">
      <c r="B413" t="s">
        <v>442</v>
      </c>
      <c r="C413" t="s">
        <v>244</v>
      </c>
      <c r="D413">
        <v>4462</v>
      </c>
      <c r="E413">
        <v>4464</v>
      </c>
      <c r="F413">
        <v>4462</v>
      </c>
      <c r="G413">
        <v>4463</v>
      </c>
      <c r="H413">
        <v>11500</v>
      </c>
    </row>
    <row r="414" spans="2:8">
      <c r="B414" t="s">
        <v>442</v>
      </c>
      <c r="C414" t="s">
        <v>245</v>
      </c>
      <c r="D414">
        <v>4463</v>
      </c>
      <c r="E414">
        <v>4464</v>
      </c>
      <c r="F414">
        <v>4462</v>
      </c>
      <c r="G414">
        <v>4463</v>
      </c>
      <c r="H414">
        <v>15300</v>
      </c>
    </row>
    <row r="415" spans="2:8">
      <c r="B415" t="s">
        <v>442</v>
      </c>
      <c r="C415" t="s">
        <v>246</v>
      </c>
      <c r="D415">
        <v>4463</v>
      </c>
      <c r="E415">
        <v>4463</v>
      </c>
      <c r="F415">
        <v>4460</v>
      </c>
      <c r="G415">
        <v>4460</v>
      </c>
      <c r="H415">
        <v>9600</v>
      </c>
    </row>
    <row r="416" spans="2:8">
      <c r="B416" t="s">
        <v>442</v>
      </c>
      <c r="C416" t="s">
        <v>247</v>
      </c>
      <c r="D416">
        <v>4461</v>
      </c>
      <c r="E416">
        <v>4461</v>
      </c>
      <c r="F416">
        <v>4454</v>
      </c>
      <c r="G416">
        <v>4454</v>
      </c>
      <c r="H416">
        <v>21000</v>
      </c>
    </row>
    <row r="417" spans="2:8">
      <c r="B417" t="s">
        <v>442</v>
      </c>
      <c r="C417" t="s">
        <v>248</v>
      </c>
      <c r="D417">
        <v>4453</v>
      </c>
      <c r="E417">
        <v>4453</v>
      </c>
      <c r="F417">
        <v>4448</v>
      </c>
      <c r="G417">
        <v>4448</v>
      </c>
      <c r="H417">
        <v>18700</v>
      </c>
    </row>
    <row r="418" spans="2:8">
      <c r="B418" t="s">
        <v>442</v>
      </c>
      <c r="C418" t="s">
        <v>249</v>
      </c>
      <c r="D418">
        <v>4447</v>
      </c>
      <c r="E418">
        <v>4452</v>
      </c>
      <c r="F418">
        <v>4447</v>
      </c>
      <c r="G418">
        <v>4452</v>
      </c>
      <c r="H418">
        <v>16600</v>
      </c>
    </row>
    <row r="419" spans="2:8">
      <c r="B419" t="s">
        <v>442</v>
      </c>
      <c r="C419" t="s">
        <v>250</v>
      </c>
      <c r="D419">
        <v>4452</v>
      </c>
      <c r="E419">
        <v>4452</v>
      </c>
      <c r="F419">
        <v>4448</v>
      </c>
      <c r="G419">
        <v>4449</v>
      </c>
      <c r="H419">
        <v>9800</v>
      </c>
    </row>
    <row r="420" spans="2:8">
      <c r="B420" t="s">
        <v>442</v>
      </c>
      <c r="C420" t="s">
        <v>251</v>
      </c>
      <c r="D420">
        <v>4449</v>
      </c>
      <c r="E420">
        <v>4450</v>
      </c>
      <c r="F420">
        <v>4448</v>
      </c>
      <c r="G420">
        <v>4450</v>
      </c>
      <c r="H420">
        <v>5000</v>
      </c>
    </row>
    <row r="421" spans="2:8">
      <c r="B421" t="s">
        <v>442</v>
      </c>
      <c r="C421" t="s">
        <v>252</v>
      </c>
      <c r="D421">
        <v>4448</v>
      </c>
      <c r="E421">
        <v>4450</v>
      </c>
      <c r="F421">
        <v>4448</v>
      </c>
      <c r="G421">
        <v>4449</v>
      </c>
      <c r="H421">
        <v>7000</v>
      </c>
    </row>
    <row r="422" spans="2:8">
      <c r="B422" t="s">
        <v>442</v>
      </c>
      <c r="C422" t="s">
        <v>253</v>
      </c>
      <c r="D422">
        <v>4449</v>
      </c>
      <c r="E422">
        <v>4452</v>
      </c>
      <c r="F422">
        <v>4449</v>
      </c>
      <c r="G422">
        <v>4451</v>
      </c>
      <c r="H422">
        <v>7100</v>
      </c>
    </row>
    <row r="423" spans="2:8">
      <c r="B423" t="s">
        <v>442</v>
      </c>
      <c r="C423" t="s">
        <v>254</v>
      </c>
      <c r="D423">
        <v>4450</v>
      </c>
      <c r="E423">
        <v>4451</v>
      </c>
      <c r="F423">
        <v>4448</v>
      </c>
      <c r="G423">
        <v>4448</v>
      </c>
      <c r="H423">
        <v>14300</v>
      </c>
    </row>
    <row r="424" spans="2:8">
      <c r="B424" t="s">
        <v>442</v>
      </c>
      <c r="C424" t="s">
        <v>255</v>
      </c>
      <c r="D424">
        <v>4448</v>
      </c>
      <c r="E424">
        <v>4451</v>
      </c>
      <c r="F424">
        <v>4447</v>
      </c>
      <c r="G424">
        <v>4451</v>
      </c>
      <c r="H424">
        <v>9000</v>
      </c>
    </row>
    <row r="425" spans="2:8">
      <c r="B425" t="s">
        <v>442</v>
      </c>
      <c r="C425" t="s">
        <v>256</v>
      </c>
      <c r="D425">
        <v>4451</v>
      </c>
      <c r="E425">
        <v>4451</v>
      </c>
      <c r="F425">
        <v>4449</v>
      </c>
      <c r="G425">
        <v>4450</v>
      </c>
      <c r="H425">
        <v>6500</v>
      </c>
    </row>
    <row r="426" spans="2:8">
      <c r="B426" t="s">
        <v>442</v>
      </c>
      <c r="C426" t="s">
        <v>257</v>
      </c>
      <c r="D426">
        <v>4450</v>
      </c>
      <c r="E426">
        <v>4450</v>
      </c>
      <c r="F426">
        <v>4447</v>
      </c>
      <c r="G426">
        <v>4450</v>
      </c>
      <c r="H426">
        <v>19400</v>
      </c>
    </row>
    <row r="427" spans="2:8">
      <c r="B427" t="s">
        <v>442</v>
      </c>
      <c r="C427" t="s">
        <v>258</v>
      </c>
      <c r="D427">
        <v>4449</v>
      </c>
      <c r="E427">
        <v>4452</v>
      </c>
      <c r="F427">
        <v>4449</v>
      </c>
      <c r="G427">
        <v>4449</v>
      </c>
      <c r="H427">
        <v>6900</v>
      </c>
    </row>
    <row r="428" spans="2:8">
      <c r="B428" t="s">
        <v>442</v>
      </c>
      <c r="C428" t="s">
        <v>259</v>
      </c>
      <c r="D428">
        <v>4450</v>
      </c>
      <c r="E428">
        <v>4452</v>
      </c>
      <c r="F428">
        <v>4449</v>
      </c>
      <c r="G428">
        <v>4451</v>
      </c>
      <c r="H428">
        <v>5200</v>
      </c>
    </row>
    <row r="429" spans="2:8">
      <c r="B429" t="s">
        <v>442</v>
      </c>
      <c r="C429" t="s">
        <v>260</v>
      </c>
      <c r="D429">
        <v>4451</v>
      </c>
      <c r="E429">
        <v>4454</v>
      </c>
      <c r="F429">
        <v>4451</v>
      </c>
      <c r="G429">
        <v>4453</v>
      </c>
      <c r="H429">
        <v>7400</v>
      </c>
    </row>
    <row r="430" spans="2:8">
      <c r="B430" t="s">
        <v>442</v>
      </c>
      <c r="C430" t="s">
        <v>261</v>
      </c>
      <c r="D430">
        <v>4452</v>
      </c>
      <c r="E430">
        <v>4452</v>
      </c>
      <c r="F430">
        <v>4451</v>
      </c>
      <c r="G430">
        <v>4452</v>
      </c>
      <c r="H430">
        <v>2900</v>
      </c>
    </row>
    <row r="431" spans="2:8">
      <c r="B431" t="s">
        <v>442</v>
      </c>
      <c r="C431" t="s">
        <v>262</v>
      </c>
      <c r="D431">
        <v>4451</v>
      </c>
      <c r="E431">
        <v>4452</v>
      </c>
      <c r="F431">
        <v>4450</v>
      </c>
      <c r="G431">
        <v>4450</v>
      </c>
      <c r="H431">
        <v>10500</v>
      </c>
    </row>
    <row r="432" spans="2:8">
      <c r="B432" t="s">
        <v>442</v>
      </c>
      <c r="C432" t="s">
        <v>263</v>
      </c>
      <c r="D432">
        <v>4451</v>
      </c>
      <c r="E432">
        <v>4454</v>
      </c>
      <c r="F432">
        <v>4450</v>
      </c>
      <c r="G432">
        <v>4454</v>
      </c>
      <c r="H432">
        <v>12500</v>
      </c>
    </row>
    <row r="433" spans="2:8">
      <c r="B433" t="s">
        <v>442</v>
      </c>
      <c r="C433" t="s">
        <v>264</v>
      </c>
      <c r="D433">
        <v>4453</v>
      </c>
      <c r="E433">
        <v>4454</v>
      </c>
      <c r="F433">
        <v>4452</v>
      </c>
      <c r="G433">
        <v>4453</v>
      </c>
      <c r="H433">
        <v>3500</v>
      </c>
    </row>
    <row r="434" spans="2:8">
      <c r="B434" t="s">
        <v>442</v>
      </c>
      <c r="C434" t="s">
        <v>265</v>
      </c>
      <c r="D434">
        <v>4453</v>
      </c>
      <c r="E434">
        <v>4453</v>
      </c>
      <c r="F434">
        <v>4449</v>
      </c>
      <c r="G434">
        <v>4449</v>
      </c>
      <c r="H434">
        <v>11500</v>
      </c>
    </row>
    <row r="435" spans="2:8">
      <c r="B435" t="s">
        <v>442</v>
      </c>
      <c r="C435" t="s">
        <v>266</v>
      </c>
      <c r="D435">
        <v>4450</v>
      </c>
      <c r="E435">
        <v>4451</v>
      </c>
      <c r="F435">
        <v>4449</v>
      </c>
      <c r="G435">
        <v>4449</v>
      </c>
      <c r="H435">
        <v>6400</v>
      </c>
    </row>
    <row r="436" spans="2:8">
      <c r="B436" t="s">
        <v>442</v>
      </c>
      <c r="C436" t="s">
        <v>267</v>
      </c>
      <c r="D436">
        <v>4449</v>
      </c>
      <c r="E436">
        <v>4454</v>
      </c>
      <c r="F436">
        <v>4448</v>
      </c>
      <c r="G436">
        <v>4453</v>
      </c>
      <c r="H436">
        <v>16700</v>
      </c>
    </row>
    <row r="437" spans="2:8">
      <c r="B437" t="s">
        <v>442</v>
      </c>
      <c r="C437" t="s">
        <v>268</v>
      </c>
      <c r="D437">
        <v>4452</v>
      </c>
      <c r="E437">
        <v>4452</v>
      </c>
      <c r="F437">
        <v>4451</v>
      </c>
      <c r="G437">
        <v>4452</v>
      </c>
      <c r="H437">
        <v>3400</v>
      </c>
    </row>
    <row r="438" spans="2:8">
      <c r="B438" t="s">
        <v>442</v>
      </c>
      <c r="C438" t="s">
        <v>269</v>
      </c>
      <c r="D438">
        <v>4452</v>
      </c>
      <c r="E438">
        <v>4454</v>
      </c>
      <c r="F438">
        <v>4451</v>
      </c>
      <c r="G438">
        <v>4453</v>
      </c>
      <c r="H438">
        <v>15300</v>
      </c>
    </row>
    <row r="439" spans="2:8">
      <c r="B439" t="s">
        <v>442</v>
      </c>
      <c r="C439" t="s">
        <v>270</v>
      </c>
      <c r="D439">
        <v>4454</v>
      </c>
      <c r="E439">
        <v>4455</v>
      </c>
      <c r="F439">
        <v>4453</v>
      </c>
      <c r="G439">
        <v>4455</v>
      </c>
      <c r="H439">
        <v>6800</v>
      </c>
    </row>
    <row r="440" spans="2:8">
      <c r="B440" t="s">
        <v>442</v>
      </c>
      <c r="C440" t="s">
        <v>271</v>
      </c>
      <c r="D440">
        <v>4455</v>
      </c>
      <c r="E440">
        <v>4456</v>
      </c>
      <c r="F440">
        <v>4454</v>
      </c>
      <c r="G440">
        <v>4456</v>
      </c>
      <c r="H440">
        <v>6400</v>
      </c>
    </row>
    <row r="441" spans="2:8">
      <c r="B441" t="s">
        <v>442</v>
      </c>
      <c r="C441" t="s">
        <v>272</v>
      </c>
      <c r="D441">
        <v>4456</v>
      </c>
      <c r="E441">
        <v>4457</v>
      </c>
      <c r="F441">
        <v>4455</v>
      </c>
      <c r="G441">
        <v>4456</v>
      </c>
      <c r="H441">
        <v>7300</v>
      </c>
    </row>
    <row r="442" spans="2:8">
      <c r="B442" t="s">
        <v>442</v>
      </c>
      <c r="C442" t="s">
        <v>273</v>
      </c>
      <c r="D442">
        <v>4456</v>
      </c>
      <c r="E442">
        <v>4458</v>
      </c>
      <c r="F442">
        <v>4456</v>
      </c>
      <c r="G442">
        <v>4458</v>
      </c>
      <c r="H442">
        <v>13500</v>
      </c>
    </row>
    <row r="443" spans="2:8">
      <c r="B443" t="s">
        <v>442</v>
      </c>
      <c r="C443" t="s">
        <v>274</v>
      </c>
      <c r="D443">
        <v>4458</v>
      </c>
      <c r="E443">
        <v>4460</v>
      </c>
      <c r="F443">
        <v>4458</v>
      </c>
      <c r="G443">
        <v>4459</v>
      </c>
      <c r="H443">
        <v>12200</v>
      </c>
    </row>
    <row r="444" spans="2:8">
      <c r="B444" t="s">
        <v>442</v>
      </c>
      <c r="C444" t="s">
        <v>275</v>
      </c>
      <c r="D444">
        <v>4460</v>
      </c>
      <c r="E444">
        <v>4460</v>
      </c>
      <c r="F444">
        <v>4458</v>
      </c>
      <c r="G444">
        <v>4459</v>
      </c>
      <c r="H444">
        <v>12500</v>
      </c>
    </row>
    <row r="445" spans="2:8">
      <c r="B445" t="s">
        <v>442</v>
      </c>
      <c r="C445" t="s">
        <v>276</v>
      </c>
      <c r="D445">
        <v>4459</v>
      </c>
      <c r="E445">
        <v>4460</v>
      </c>
      <c r="F445">
        <v>4455</v>
      </c>
      <c r="G445">
        <v>4456</v>
      </c>
      <c r="H445">
        <v>31400</v>
      </c>
    </row>
    <row r="446" spans="2:8">
      <c r="B446" t="s">
        <v>442</v>
      </c>
      <c r="C446" t="s">
        <v>277</v>
      </c>
      <c r="D446">
        <v>4456</v>
      </c>
      <c r="E446">
        <v>4458</v>
      </c>
      <c r="F446">
        <v>4456</v>
      </c>
      <c r="G446">
        <v>4457</v>
      </c>
      <c r="H446">
        <v>5000</v>
      </c>
    </row>
    <row r="447" spans="2:8">
      <c r="B447" t="s">
        <v>442</v>
      </c>
      <c r="C447" t="s">
        <v>278</v>
      </c>
      <c r="D447">
        <v>4457</v>
      </c>
      <c r="E447">
        <v>4459</v>
      </c>
      <c r="F447">
        <v>4456</v>
      </c>
      <c r="G447">
        <v>4459</v>
      </c>
      <c r="H447">
        <v>6100</v>
      </c>
    </row>
    <row r="448" spans="2:8">
      <c r="B448" t="s">
        <v>442</v>
      </c>
      <c r="C448" t="s">
        <v>279</v>
      </c>
      <c r="D448">
        <v>4460</v>
      </c>
      <c r="E448">
        <v>4460</v>
      </c>
      <c r="F448">
        <v>4458</v>
      </c>
      <c r="G448">
        <v>4458</v>
      </c>
      <c r="H448">
        <v>10500</v>
      </c>
    </row>
    <row r="449" spans="2:8">
      <c r="B449" t="s">
        <v>442</v>
      </c>
      <c r="C449" t="s">
        <v>280</v>
      </c>
      <c r="D449">
        <v>4459</v>
      </c>
      <c r="E449">
        <v>4468</v>
      </c>
      <c r="F449">
        <v>4459</v>
      </c>
      <c r="G449">
        <v>4466</v>
      </c>
      <c r="H449">
        <v>25500</v>
      </c>
    </row>
    <row r="450" spans="2:8">
      <c r="B450" t="s">
        <v>442</v>
      </c>
      <c r="C450" t="s">
        <v>281</v>
      </c>
      <c r="D450">
        <v>4465</v>
      </c>
      <c r="E450">
        <v>4465</v>
      </c>
      <c r="F450">
        <v>4463</v>
      </c>
      <c r="G450">
        <v>4463</v>
      </c>
      <c r="H450">
        <v>6100</v>
      </c>
    </row>
    <row r="451" spans="2:8">
      <c r="B451" t="s">
        <v>442</v>
      </c>
      <c r="C451" t="s">
        <v>282</v>
      </c>
      <c r="D451">
        <v>4464</v>
      </c>
      <c r="E451">
        <v>4464</v>
      </c>
      <c r="F451">
        <v>4458</v>
      </c>
      <c r="G451">
        <v>4459</v>
      </c>
      <c r="H451">
        <v>14800</v>
      </c>
    </row>
    <row r="452" spans="2:8">
      <c r="B452" t="s">
        <v>442</v>
      </c>
      <c r="C452" t="s">
        <v>283</v>
      </c>
      <c r="D452">
        <v>4458</v>
      </c>
      <c r="E452">
        <v>4460</v>
      </c>
      <c r="F452">
        <v>4457</v>
      </c>
      <c r="G452">
        <v>4460</v>
      </c>
      <c r="H452">
        <v>8500</v>
      </c>
    </row>
    <row r="453" spans="2:8">
      <c r="B453" t="s">
        <v>442</v>
      </c>
      <c r="C453" t="s">
        <v>284</v>
      </c>
      <c r="D453">
        <v>4459</v>
      </c>
      <c r="E453">
        <v>4461</v>
      </c>
      <c r="F453">
        <v>4459</v>
      </c>
      <c r="G453">
        <v>4460</v>
      </c>
      <c r="H453">
        <v>7300</v>
      </c>
    </row>
    <row r="454" spans="2:8">
      <c r="B454" t="s">
        <v>442</v>
      </c>
      <c r="C454" t="s">
        <v>285</v>
      </c>
      <c r="D454">
        <v>4460</v>
      </c>
      <c r="E454">
        <v>4460</v>
      </c>
      <c r="F454">
        <v>4458</v>
      </c>
      <c r="G454">
        <v>4458</v>
      </c>
      <c r="H454">
        <v>5200</v>
      </c>
    </row>
    <row r="455" spans="2:8">
      <c r="B455" t="s">
        <v>442</v>
      </c>
      <c r="C455" t="s">
        <v>286</v>
      </c>
      <c r="D455">
        <v>4458</v>
      </c>
      <c r="E455">
        <v>4458</v>
      </c>
      <c r="F455">
        <v>4457</v>
      </c>
      <c r="G455">
        <v>4457</v>
      </c>
      <c r="H455">
        <v>9300</v>
      </c>
    </row>
    <row r="456" spans="2:8">
      <c r="B456" t="s">
        <v>442</v>
      </c>
      <c r="C456" t="s">
        <v>287</v>
      </c>
      <c r="D456">
        <v>4456</v>
      </c>
      <c r="E456">
        <v>4458</v>
      </c>
      <c r="F456">
        <v>4454</v>
      </c>
      <c r="G456">
        <v>4458</v>
      </c>
      <c r="H456">
        <v>23500</v>
      </c>
    </row>
    <row r="457" spans="2:8">
      <c r="B457" t="s">
        <v>442</v>
      </c>
      <c r="C457" t="s">
        <v>288</v>
      </c>
      <c r="D457">
        <v>4458</v>
      </c>
      <c r="E457">
        <v>4460</v>
      </c>
      <c r="F457">
        <v>4457</v>
      </c>
      <c r="G457">
        <v>4458</v>
      </c>
      <c r="H457">
        <v>10900</v>
      </c>
    </row>
    <row r="458" spans="2:8">
      <c r="B458" t="s">
        <v>442</v>
      </c>
      <c r="C458" t="s">
        <v>289</v>
      </c>
      <c r="D458">
        <v>4458</v>
      </c>
      <c r="E458">
        <v>4460</v>
      </c>
      <c r="F458">
        <v>4458</v>
      </c>
      <c r="G458">
        <v>4460</v>
      </c>
      <c r="H458">
        <v>8100</v>
      </c>
    </row>
    <row r="459" spans="2:8">
      <c r="B459" t="s">
        <v>442</v>
      </c>
      <c r="C459" t="s">
        <v>290</v>
      </c>
      <c r="D459">
        <v>4459</v>
      </c>
      <c r="E459">
        <v>4459</v>
      </c>
      <c r="F459">
        <v>4458</v>
      </c>
      <c r="G459">
        <v>4459</v>
      </c>
      <c r="H459">
        <v>6500</v>
      </c>
    </row>
    <row r="460" spans="2:8">
      <c r="B460" t="s">
        <v>442</v>
      </c>
      <c r="C460" t="s">
        <v>291</v>
      </c>
      <c r="D460">
        <v>4459</v>
      </c>
      <c r="E460">
        <v>4463</v>
      </c>
      <c r="F460">
        <v>4458</v>
      </c>
      <c r="G460">
        <v>4463</v>
      </c>
      <c r="H460">
        <v>13900</v>
      </c>
    </row>
    <row r="461" spans="2:8">
      <c r="B461" t="s">
        <v>442</v>
      </c>
      <c r="C461" t="s">
        <v>292</v>
      </c>
      <c r="D461">
        <v>4464</v>
      </c>
      <c r="E461">
        <v>4464</v>
      </c>
      <c r="F461">
        <v>4460</v>
      </c>
      <c r="G461">
        <v>4461</v>
      </c>
      <c r="H461">
        <v>9100</v>
      </c>
    </row>
    <row r="462" spans="2:8">
      <c r="B462" t="s">
        <v>442</v>
      </c>
      <c r="C462" t="s">
        <v>293</v>
      </c>
      <c r="D462">
        <v>4462</v>
      </c>
      <c r="E462">
        <v>4463</v>
      </c>
      <c r="F462">
        <v>4462</v>
      </c>
      <c r="G462">
        <v>4463</v>
      </c>
      <c r="H462">
        <v>4400</v>
      </c>
    </row>
    <row r="463" spans="2:8">
      <c r="B463" t="s">
        <v>442</v>
      </c>
      <c r="C463" t="s">
        <v>294</v>
      </c>
      <c r="D463">
        <v>4462</v>
      </c>
      <c r="E463">
        <v>4463</v>
      </c>
      <c r="F463">
        <v>4457</v>
      </c>
      <c r="G463">
        <v>4457</v>
      </c>
      <c r="H463">
        <v>13000</v>
      </c>
    </row>
    <row r="464" spans="2:8">
      <c r="B464" t="s">
        <v>442</v>
      </c>
      <c r="C464" t="s">
        <v>295</v>
      </c>
      <c r="D464">
        <v>4457</v>
      </c>
      <c r="E464">
        <v>4462</v>
      </c>
      <c r="F464">
        <v>4457</v>
      </c>
      <c r="G464">
        <v>4461</v>
      </c>
      <c r="H464">
        <v>15600</v>
      </c>
    </row>
    <row r="465" spans="2:8">
      <c r="B465" t="s">
        <v>442</v>
      </c>
      <c r="C465" t="s">
        <v>296</v>
      </c>
      <c r="D465">
        <v>4461</v>
      </c>
      <c r="E465">
        <v>4463</v>
      </c>
      <c r="F465">
        <v>4460</v>
      </c>
      <c r="G465">
        <v>4463</v>
      </c>
      <c r="H465">
        <v>10900</v>
      </c>
    </row>
    <row r="466" spans="2:8">
      <c r="B466" t="s">
        <v>442</v>
      </c>
      <c r="C466" t="s">
        <v>297</v>
      </c>
      <c r="D466">
        <v>4462</v>
      </c>
      <c r="E466">
        <v>4462</v>
      </c>
      <c r="F466">
        <v>4460</v>
      </c>
      <c r="G466">
        <v>4460</v>
      </c>
      <c r="H466">
        <v>3400</v>
      </c>
    </row>
    <row r="467" spans="2:8">
      <c r="B467" t="s">
        <v>442</v>
      </c>
      <c r="C467" t="s">
        <v>298</v>
      </c>
      <c r="D467">
        <v>4460</v>
      </c>
      <c r="E467">
        <v>4460</v>
      </c>
      <c r="F467">
        <v>4458</v>
      </c>
      <c r="G467">
        <v>4459</v>
      </c>
      <c r="H467">
        <v>6200</v>
      </c>
    </row>
    <row r="468" spans="2:8">
      <c r="B468" t="s">
        <v>442</v>
      </c>
      <c r="C468" t="s">
        <v>299</v>
      </c>
      <c r="D468">
        <v>4458</v>
      </c>
      <c r="E468">
        <v>4458</v>
      </c>
      <c r="F468">
        <v>4457</v>
      </c>
      <c r="G468">
        <v>4457</v>
      </c>
      <c r="H468">
        <v>3800</v>
      </c>
    </row>
    <row r="469" spans="2:8">
      <c r="B469" t="s">
        <v>442</v>
      </c>
      <c r="C469" t="s">
        <v>300</v>
      </c>
      <c r="D469">
        <v>4457</v>
      </c>
      <c r="E469">
        <v>4457</v>
      </c>
      <c r="F469">
        <v>4456</v>
      </c>
      <c r="G469">
        <v>4456</v>
      </c>
      <c r="H469">
        <v>7300</v>
      </c>
    </row>
    <row r="470" spans="2:8">
      <c r="B470" t="s">
        <v>442</v>
      </c>
      <c r="C470" t="s">
        <v>301</v>
      </c>
      <c r="D470">
        <v>4456</v>
      </c>
      <c r="E470">
        <v>4457</v>
      </c>
      <c r="F470">
        <v>4456</v>
      </c>
      <c r="G470">
        <v>4456</v>
      </c>
      <c r="H470">
        <v>8100</v>
      </c>
    </row>
    <row r="471" spans="2:8">
      <c r="B471" t="s">
        <v>442</v>
      </c>
      <c r="C471" t="s">
        <v>302</v>
      </c>
      <c r="D471">
        <v>4457</v>
      </c>
      <c r="E471">
        <v>4457</v>
      </c>
      <c r="F471">
        <v>4455</v>
      </c>
      <c r="G471">
        <v>4457</v>
      </c>
      <c r="H471">
        <v>12100</v>
      </c>
    </row>
    <row r="472" spans="2:8">
      <c r="B472" t="s">
        <v>442</v>
      </c>
      <c r="C472" t="s">
        <v>303</v>
      </c>
      <c r="D472">
        <v>4457</v>
      </c>
      <c r="E472">
        <v>4458</v>
      </c>
      <c r="F472">
        <v>4456</v>
      </c>
      <c r="G472">
        <v>4456</v>
      </c>
      <c r="H472">
        <v>4500</v>
      </c>
    </row>
    <row r="473" spans="2:8">
      <c r="B473" t="s">
        <v>442</v>
      </c>
      <c r="C473" t="s">
        <v>304</v>
      </c>
      <c r="D473">
        <v>4458</v>
      </c>
      <c r="E473">
        <v>4458</v>
      </c>
      <c r="F473">
        <v>4456</v>
      </c>
      <c r="G473">
        <v>4457</v>
      </c>
      <c r="H473">
        <v>4300</v>
      </c>
    </row>
    <row r="474" spans="2:8">
      <c r="B474" t="s">
        <v>442</v>
      </c>
      <c r="C474" t="s">
        <v>305</v>
      </c>
      <c r="D474">
        <v>4457</v>
      </c>
      <c r="E474">
        <v>4458</v>
      </c>
      <c r="F474">
        <v>4456</v>
      </c>
      <c r="G474">
        <v>4457</v>
      </c>
      <c r="H474">
        <v>12400</v>
      </c>
    </row>
    <row r="475" spans="2:8">
      <c r="B475" t="s">
        <v>442</v>
      </c>
      <c r="C475" t="s">
        <v>306</v>
      </c>
      <c r="D475">
        <v>4457</v>
      </c>
      <c r="E475">
        <v>4458</v>
      </c>
      <c r="F475">
        <v>4457</v>
      </c>
      <c r="G475">
        <v>4458</v>
      </c>
      <c r="H475">
        <v>7600</v>
      </c>
    </row>
    <row r="476" spans="2:8">
      <c r="B476" t="s">
        <v>442</v>
      </c>
      <c r="C476" t="s">
        <v>307</v>
      </c>
      <c r="D476">
        <v>4458</v>
      </c>
      <c r="E476">
        <v>4461</v>
      </c>
      <c r="F476">
        <v>4458</v>
      </c>
      <c r="G476">
        <v>4459</v>
      </c>
      <c r="H476">
        <v>9900</v>
      </c>
    </row>
    <row r="477" spans="2:8">
      <c r="B477" t="s">
        <v>442</v>
      </c>
      <c r="C477" t="s">
        <v>308</v>
      </c>
      <c r="D477">
        <v>4458</v>
      </c>
      <c r="E477">
        <v>4458</v>
      </c>
      <c r="F477">
        <v>4456</v>
      </c>
      <c r="G477">
        <v>4457</v>
      </c>
      <c r="H477">
        <v>5100</v>
      </c>
    </row>
    <row r="478" spans="2:8">
      <c r="B478" t="s">
        <v>442</v>
      </c>
      <c r="C478" t="s">
        <v>309</v>
      </c>
      <c r="D478">
        <v>4457</v>
      </c>
      <c r="E478">
        <v>4458</v>
      </c>
      <c r="F478">
        <v>4457</v>
      </c>
      <c r="G478">
        <v>4458</v>
      </c>
      <c r="H478">
        <v>9500</v>
      </c>
    </row>
    <row r="479" spans="2:8">
      <c r="B479" t="s">
        <v>442</v>
      </c>
      <c r="C479" t="s">
        <v>310</v>
      </c>
      <c r="D479">
        <v>4458</v>
      </c>
      <c r="E479">
        <v>4458</v>
      </c>
      <c r="F479">
        <v>4454</v>
      </c>
      <c r="G479">
        <v>4454</v>
      </c>
      <c r="H479">
        <v>12900</v>
      </c>
    </row>
    <row r="480" spans="2:8">
      <c r="B480" t="s">
        <v>442</v>
      </c>
      <c r="C480" t="s">
        <v>311</v>
      </c>
      <c r="D480">
        <v>4454</v>
      </c>
      <c r="E480">
        <v>4457</v>
      </c>
      <c r="F480">
        <v>4454</v>
      </c>
      <c r="G480">
        <v>4457</v>
      </c>
      <c r="H480">
        <v>7900</v>
      </c>
    </row>
    <row r="481" spans="2:8">
      <c r="B481" t="s">
        <v>442</v>
      </c>
      <c r="C481" t="s">
        <v>312</v>
      </c>
      <c r="D481">
        <v>4458</v>
      </c>
      <c r="E481">
        <v>4458</v>
      </c>
      <c r="F481">
        <v>4457</v>
      </c>
      <c r="G481">
        <v>4457</v>
      </c>
      <c r="H481">
        <v>5800</v>
      </c>
    </row>
    <row r="482" spans="2:8">
      <c r="B482" t="s">
        <v>442</v>
      </c>
      <c r="C482" t="s">
        <v>313</v>
      </c>
      <c r="D482">
        <v>4457</v>
      </c>
      <c r="E482">
        <v>4457</v>
      </c>
      <c r="F482">
        <v>4453</v>
      </c>
      <c r="G482">
        <v>4456</v>
      </c>
      <c r="H482">
        <v>26100</v>
      </c>
    </row>
    <row r="483" spans="2:8">
      <c r="B483" t="s">
        <v>442</v>
      </c>
      <c r="C483" t="s">
        <v>314</v>
      </c>
      <c r="D483">
        <v>4455</v>
      </c>
      <c r="E483">
        <v>4455</v>
      </c>
      <c r="F483">
        <v>4454</v>
      </c>
      <c r="G483">
        <v>4455</v>
      </c>
      <c r="H483">
        <v>10200</v>
      </c>
    </row>
    <row r="484" spans="2:8">
      <c r="B484" t="s">
        <v>442</v>
      </c>
      <c r="C484" t="s">
        <v>315</v>
      </c>
      <c r="D484">
        <v>4454</v>
      </c>
      <c r="E484">
        <v>4455</v>
      </c>
      <c r="F484">
        <v>4454</v>
      </c>
      <c r="G484">
        <v>4455</v>
      </c>
      <c r="H484">
        <v>3700</v>
      </c>
    </row>
    <row r="485" spans="2:8">
      <c r="B485" t="s">
        <v>442</v>
      </c>
      <c r="C485" t="s">
        <v>316</v>
      </c>
      <c r="D485">
        <v>4455</v>
      </c>
      <c r="E485">
        <v>4455</v>
      </c>
      <c r="F485">
        <v>4455</v>
      </c>
      <c r="G485">
        <v>4455</v>
      </c>
      <c r="H485">
        <v>23500</v>
      </c>
    </row>
    <row r="486" spans="2:8">
      <c r="B486" t="s">
        <v>442</v>
      </c>
      <c r="C486" t="s">
        <v>317</v>
      </c>
      <c r="D486">
        <v>4450</v>
      </c>
      <c r="E486">
        <v>4454</v>
      </c>
      <c r="F486">
        <v>4441</v>
      </c>
      <c r="G486">
        <v>4442</v>
      </c>
      <c r="H486">
        <v>192300</v>
      </c>
    </row>
    <row r="487" spans="2:8">
      <c r="B487" t="s">
        <v>442</v>
      </c>
      <c r="C487" t="s">
        <v>318</v>
      </c>
      <c r="D487">
        <v>4442</v>
      </c>
      <c r="E487">
        <v>4443</v>
      </c>
      <c r="F487">
        <v>4438</v>
      </c>
      <c r="G487">
        <v>4440</v>
      </c>
      <c r="H487">
        <v>96800</v>
      </c>
    </row>
    <row r="488" spans="2:8">
      <c r="B488" t="s">
        <v>442</v>
      </c>
      <c r="C488" t="s">
        <v>319</v>
      </c>
      <c r="D488">
        <v>4441</v>
      </c>
      <c r="E488">
        <v>4442</v>
      </c>
      <c r="F488">
        <v>4435</v>
      </c>
      <c r="G488">
        <v>4437</v>
      </c>
      <c r="H488">
        <v>58400</v>
      </c>
    </row>
    <row r="489" spans="2:8">
      <c r="B489" t="s">
        <v>442</v>
      </c>
      <c r="C489" t="s">
        <v>320</v>
      </c>
      <c r="D489">
        <v>4437</v>
      </c>
      <c r="E489">
        <v>4437</v>
      </c>
      <c r="F489">
        <v>4435</v>
      </c>
      <c r="G489">
        <v>4436</v>
      </c>
      <c r="H489">
        <v>20600</v>
      </c>
    </row>
    <row r="490" spans="2:8">
      <c r="B490" t="s">
        <v>442</v>
      </c>
      <c r="C490" t="s">
        <v>321</v>
      </c>
      <c r="D490">
        <v>4436</v>
      </c>
      <c r="E490">
        <v>4441</v>
      </c>
      <c r="F490">
        <v>4435</v>
      </c>
      <c r="G490">
        <v>4438</v>
      </c>
      <c r="H490">
        <v>22400</v>
      </c>
    </row>
    <row r="491" spans="2:8">
      <c r="B491" t="s">
        <v>442</v>
      </c>
      <c r="C491" t="s">
        <v>322</v>
      </c>
      <c r="D491">
        <v>4440</v>
      </c>
      <c r="E491">
        <v>4443</v>
      </c>
      <c r="F491">
        <v>4438</v>
      </c>
      <c r="G491">
        <v>4441</v>
      </c>
      <c r="H491">
        <v>21800</v>
      </c>
    </row>
    <row r="492" spans="2:8">
      <c r="B492" t="s">
        <v>442</v>
      </c>
      <c r="C492" t="s">
        <v>323</v>
      </c>
      <c r="D492">
        <v>4440</v>
      </c>
      <c r="E492">
        <v>4450</v>
      </c>
      <c r="F492">
        <v>4440</v>
      </c>
      <c r="G492">
        <v>4446</v>
      </c>
      <c r="H492">
        <v>41000</v>
      </c>
    </row>
    <row r="493" spans="2:8">
      <c r="B493" t="s">
        <v>442</v>
      </c>
      <c r="C493" t="s">
        <v>324</v>
      </c>
      <c r="D493">
        <v>4445</v>
      </c>
      <c r="E493">
        <v>4447</v>
      </c>
      <c r="F493">
        <v>4444</v>
      </c>
      <c r="G493">
        <v>4447</v>
      </c>
      <c r="H493">
        <v>23800</v>
      </c>
    </row>
    <row r="494" spans="2:8">
      <c r="B494" t="s">
        <v>442</v>
      </c>
      <c r="C494" t="s">
        <v>325</v>
      </c>
      <c r="D494">
        <v>4448</v>
      </c>
      <c r="E494">
        <v>4448</v>
      </c>
      <c r="F494">
        <v>4446</v>
      </c>
      <c r="G494">
        <v>4446</v>
      </c>
      <c r="H494">
        <v>9600</v>
      </c>
    </row>
    <row r="495" spans="2:8">
      <c r="B495" t="s">
        <v>442</v>
      </c>
      <c r="C495" t="s">
        <v>326</v>
      </c>
      <c r="D495">
        <v>4447</v>
      </c>
      <c r="E495">
        <v>4450</v>
      </c>
      <c r="F495">
        <v>4447</v>
      </c>
      <c r="G495">
        <v>4449</v>
      </c>
      <c r="H495">
        <v>39200</v>
      </c>
    </row>
    <row r="496" spans="2:8">
      <c r="B496" t="s">
        <v>442</v>
      </c>
      <c r="C496" t="s">
        <v>327</v>
      </c>
      <c r="D496">
        <v>4450</v>
      </c>
      <c r="E496">
        <v>4450</v>
      </c>
      <c r="F496">
        <v>4446</v>
      </c>
      <c r="G496">
        <v>4447</v>
      </c>
      <c r="H496">
        <v>14900</v>
      </c>
    </row>
    <row r="497" spans="2:8">
      <c r="B497" t="s">
        <v>442</v>
      </c>
      <c r="C497" t="s">
        <v>328</v>
      </c>
      <c r="D497">
        <v>4447</v>
      </c>
      <c r="E497">
        <v>4451</v>
      </c>
      <c r="F497">
        <v>4447</v>
      </c>
      <c r="G497">
        <v>4450</v>
      </c>
      <c r="H497">
        <v>14500</v>
      </c>
    </row>
    <row r="498" spans="2:8">
      <c r="B498" t="s">
        <v>442</v>
      </c>
      <c r="C498" t="s">
        <v>329</v>
      </c>
      <c r="D498">
        <v>4450</v>
      </c>
      <c r="E498">
        <v>4451</v>
      </c>
      <c r="F498">
        <v>4448</v>
      </c>
      <c r="G498">
        <v>4449</v>
      </c>
      <c r="H498">
        <v>9300</v>
      </c>
    </row>
    <row r="499" spans="2:8">
      <c r="B499" t="s">
        <v>442</v>
      </c>
      <c r="C499" t="s">
        <v>330</v>
      </c>
      <c r="D499">
        <v>4450</v>
      </c>
      <c r="E499">
        <v>4450</v>
      </c>
      <c r="F499">
        <v>4448</v>
      </c>
      <c r="G499">
        <v>4450</v>
      </c>
      <c r="H499">
        <v>20300</v>
      </c>
    </row>
    <row r="500" spans="2:8">
      <c r="B500" t="s">
        <v>442</v>
      </c>
      <c r="C500" t="s">
        <v>331</v>
      </c>
      <c r="D500">
        <v>4450</v>
      </c>
      <c r="E500">
        <v>4453</v>
      </c>
      <c r="F500">
        <v>4450</v>
      </c>
      <c r="G500">
        <v>4452</v>
      </c>
      <c r="H500">
        <v>7500</v>
      </c>
    </row>
    <row r="501" spans="2:8">
      <c r="B501" t="s">
        <v>442</v>
      </c>
      <c r="C501" t="s">
        <v>332</v>
      </c>
      <c r="D501">
        <v>4452</v>
      </c>
      <c r="E501">
        <v>4455</v>
      </c>
      <c r="F501">
        <v>4452</v>
      </c>
      <c r="G501">
        <v>4454</v>
      </c>
      <c r="H501">
        <v>24300</v>
      </c>
    </row>
    <row r="502" spans="2:8">
      <c r="B502" t="s">
        <v>442</v>
      </c>
      <c r="C502" t="s">
        <v>333</v>
      </c>
      <c r="D502">
        <v>4454</v>
      </c>
      <c r="E502">
        <v>4454</v>
      </c>
      <c r="F502">
        <v>4452</v>
      </c>
      <c r="G502">
        <v>4453</v>
      </c>
      <c r="H502">
        <v>8900</v>
      </c>
    </row>
    <row r="503" spans="2:8">
      <c r="B503" t="s">
        <v>442</v>
      </c>
      <c r="C503" t="s">
        <v>334</v>
      </c>
      <c r="D503">
        <v>4452</v>
      </c>
      <c r="E503">
        <v>4454</v>
      </c>
      <c r="F503">
        <v>4448</v>
      </c>
      <c r="G503">
        <v>4449</v>
      </c>
      <c r="H503">
        <v>25100</v>
      </c>
    </row>
    <row r="504" spans="2:8">
      <c r="B504" t="s">
        <v>442</v>
      </c>
      <c r="C504" t="s">
        <v>335</v>
      </c>
      <c r="D504">
        <v>4449</v>
      </c>
      <c r="E504">
        <v>4454</v>
      </c>
      <c r="F504">
        <v>4448</v>
      </c>
      <c r="G504">
        <v>4454</v>
      </c>
      <c r="H504">
        <v>32600</v>
      </c>
    </row>
    <row r="505" spans="2:8">
      <c r="B505" t="s">
        <v>442</v>
      </c>
      <c r="C505" t="s">
        <v>336</v>
      </c>
      <c r="D505">
        <v>4455</v>
      </c>
      <c r="E505">
        <v>4456</v>
      </c>
      <c r="F505">
        <v>4453</v>
      </c>
      <c r="G505">
        <v>4454</v>
      </c>
      <c r="H505">
        <v>14900</v>
      </c>
    </row>
    <row r="506" spans="2:8">
      <c r="B506" t="s">
        <v>442</v>
      </c>
      <c r="C506" t="s">
        <v>337</v>
      </c>
      <c r="D506">
        <v>4455</v>
      </c>
      <c r="E506">
        <v>4455</v>
      </c>
      <c r="F506">
        <v>4454</v>
      </c>
      <c r="G506">
        <v>4454</v>
      </c>
      <c r="H506">
        <v>11100</v>
      </c>
    </row>
    <row r="507" spans="2:8">
      <c r="B507" t="s">
        <v>442</v>
      </c>
      <c r="C507" t="s">
        <v>338</v>
      </c>
      <c r="D507">
        <v>4454</v>
      </c>
      <c r="E507">
        <v>4456</v>
      </c>
      <c r="F507">
        <v>4454</v>
      </c>
      <c r="G507">
        <v>4455</v>
      </c>
      <c r="H507">
        <v>7500</v>
      </c>
    </row>
    <row r="508" spans="2:8">
      <c r="B508" t="s">
        <v>442</v>
      </c>
      <c r="C508" t="s">
        <v>339</v>
      </c>
      <c r="D508">
        <v>4455</v>
      </c>
      <c r="E508">
        <v>4458</v>
      </c>
      <c r="F508">
        <v>4454</v>
      </c>
      <c r="G508">
        <v>4457</v>
      </c>
      <c r="H508">
        <v>35900</v>
      </c>
    </row>
    <row r="509" spans="2:8">
      <c r="B509" t="s">
        <v>442</v>
      </c>
      <c r="C509" t="s">
        <v>340</v>
      </c>
      <c r="D509">
        <v>4458</v>
      </c>
      <c r="E509">
        <v>4466</v>
      </c>
      <c r="F509">
        <v>4457</v>
      </c>
      <c r="G509">
        <v>4466</v>
      </c>
      <c r="H509">
        <v>62700</v>
      </c>
    </row>
    <row r="510" spans="2:8">
      <c r="B510" t="s">
        <v>442</v>
      </c>
      <c r="C510" t="s">
        <v>341</v>
      </c>
      <c r="D510">
        <v>4465</v>
      </c>
      <c r="E510">
        <v>4465</v>
      </c>
      <c r="F510">
        <v>4462</v>
      </c>
      <c r="G510">
        <v>4463</v>
      </c>
      <c r="H510">
        <v>10700</v>
      </c>
    </row>
    <row r="511" spans="2:8">
      <c r="B511" t="s">
        <v>442</v>
      </c>
      <c r="C511" t="s">
        <v>342</v>
      </c>
      <c r="D511">
        <v>4462</v>
      </c>
      <c r="E511">
        <v>4468</v>
      </c>
      <c r="F511">
        <v>4462</v>
      </c>
      <c r="G511">
        <v>4465</v>
      </c>
      <c r="H511">
        <v>40200</v>
      </c>
    </row>
    <row r="512" spans="2:8">
      <c r="B512" t="s">
        <v>442</v>
      </c>
      <c r="C512" t="s">
        <v>343</v>
      </c>
      <c r="D512">
        <v>4465</v>
      </c>
      <c r="E512">
        <v>4467</v>
      </c>
      <c r="F512">
        <v>4461</v>
      </c>
      <c r="G512">
        <v>4465</v>
      </c>
      <c r="H512">
        <v>47100</v>
      </c>
    </row>
    <row r="513" spans="2:8">
      <c r="B513" t="s">
        <v>442</v>
      </c>
      <c r="C513" t="s">
        <v>344</v>
      </c>
      <c r="D513">
        <v>4463</v>
      </c>
      <c r="E513">
        <v>4465</v>
      </c>
      <c r="F513">
        <v>4462</v>
      </c>
      <c r="G513">
        <v>4462</v>
      </c>
      <c r="H513">
        <v>5200</v>
      </c>
    </row>
    <row r="514" spans="2:8">
      <c r="B514" t="s">
        <v>442</v>
      </c>
      <c r="C514" t="s">
        <v>345</v>
      </c>
      <c r="D514">
        <v>4463</v>
      </c>
      <c r="E514">
        <v>4464</v>
      </c>
      <c r="F514">
        <v>4462</v>
      </c>
      <c r="G514">
        <v>4462</v>
      </c>
      <c r="H514">
        <v>16800</v>
      </c>
    </row>
    <row r="515" spans="2:8">
      <c r="B515" t="s">
        <v>442</v>
      </c>
      <c r="C515" t="s">
        <v>346</v>
      </c>
      <c r="D515">
        <v>4462</v>
      </c>
      <c r="E515">
        <v>4462</v>
      </c>
      <c r="F515">
        <v>4461</v>
      </c>
      <c r="G515">
        <v>4462</v>
      </c>
      <c r="H515">
        <v>5500</v>
      </c>
    </row>
    <row r="516" spans="2:8">
      <c r="B516" t="s">
        <v>442</v>
      </c>
      <c r="C516" t="s">
        <v>347</v>
      </c>
      <c r="D516">
        <v>4461</v>
      </c>
      <c r="E516">
        <v>4465</v>
      </c>
      <c r="F516">
        <v>4461</v>
      </c>
      <c r="G516">
        <v>4464</v>
      </c>
      <c r="H516">
        <v>17300</v>
      </c>
    </row>
    <row r="517" spans="2:8">
      <c r="B517" t="s">
        <v>442</v>
      </c>
      <c r="C517" t="s">
        <v>348</v>
      </c>
      <c r="D517">
        <v>4464</v>
      </c>
      <c r="E517">
        <v>4467</v>
      </c>
      <c r="F517">
        <v>4462</v>
      </c>
      <c r="G517">
        <v>4467</v>
      </c>
      <c r="H517">
        <v>35900</v>
      </c>
    </row>
    <row r="518" spans="2:8">
      <c r="B518" t="s">
        <v>442</v>
      </c>
      <c r="C518" t="s">
        <v>349</v>
      </c>
      <c r="D518">
        <v>4466</v>
      </c>
      <c r="E518">
        <v>4467</v>
      </c>
      <c r="F518">
        <v>4465</v>
      </c>
      <c r="G518">
        <v>4465</v>
      </c>
      <c r="H518">
        <v>4100</v>
      </c>
    </row>
    <row r="519" spans="2:8">
      <c r="B519" t="s">
        <v>442</v>
      </c>
      <c r="C519" t="s">
        <v>350</v>
      </c>
      <c r="D519">
        <v>4466</v>
      </c>
      <c r="E519">
        <v>4473</v>
      </c>
      <c r="F519">
        <v>4465</v>
      </c>
      <c r="G519">
        <v>4470</v>
      </c>
      <c r="H519">
        <v>45100</v>
      </c>
    </row>
    <row r="520" spans="2:8">
      <c r="B520" t="s">
        <v>442</v>
      </c>
      <c r="C520" t="s">
        <v>351</v>
      </c>
      <c r="D520">
        <v>4469</v>
      </c>
      <c r="E520">
        <v>4471</v>
      </c>
      <c r="F520">
        <v>4466</v>
      </c>
      <c r="G520">
        <v>4470</v>
      </c>
      <c r="H520">
        <v>28400</v>
      </c>
    </row>
    <row r="521" spans="2:8">
      <c r="B521" t="s">
        <v>442</v>
      </c>
      <c r="C521" t="s">
        <v>352</v>
      </c>
      <c r="D521">
        <v>4470</v>
      </c>
      <c r="E521">
        <v>4477</v>
      </c>
      <c r="F521">
        <v>4470</v>
      </c>
      <c r="G521">
        <v>4473</v>
      </c>
      <c r="H521">
        <v>16900</v>
      </c>
    </row>
    <row r="522" spans="2:8">
      <c r="B522" t="s">
        <v>442</v>
      </c>
      <c r="C522" t="s">
        <v>353</v>
      </c>
      <c r="D522">
        <v>4474</v>
      </c>
      <c r="E522">
        <v>4475</v>
      </c>
      <c r="F522">
        <v>4473</v>
      </c>
      <c r="G522">
        <v>4473</v>
      </c>
      <c r="H522">
        <v>3500</v>
      </c>
    </row>
    <row r="523" spans="2:8">
      <c r="B523" t="s">
        <v>442</v>
      </c>
      <c r="C523" t="s">
        <v>354</v>
      </c>
      <c r="D523">
        <v>4473</v>
      </c>
      <c r="E523">
        <v>4474</v>
      </c>
      <c r="F523">
        <v>4467</v>
      </c>
      <c r="G523">
        <v>4467</v>
      </c>
      <c r="H523">
        <v>31600</v>
      </c>
    </row>
    <row r="524" spans="2:8">
      <c r="B524" t="s">
        <v>442</v>
      </c>
      <c r="C524" t="s">
        <v>355</v>
      </c>
      <c r="D524">
        <v>4468</v>
      </c>
      <c r="E524">
        <v>4469</v>
      </c>
      <c r="F524">
        <v>4466</v>
      </c>
      <c r="G524">
        <v>4467</v>
      </c>
      <c r="H524">
        <v>15700</v>
      </c>
    </row>
    <row r="525" spans="2:8">
      <c r="B525" t="s">
        <v>442</v>
      </c>
      <c r="C525" t="s">
        <v>356</v>
      </c>
      <c r="D525">
        <v>4468</v>
      </c>
      <c r="E525">
        <v>4468</v>
      </c>
      <c r="F525">
        <v>4465</v>
      </c>
      <c r="G525">
        <v>4465</v>
      </c>
      <c r="H525">
        <v>7700</v>
      </c>
    </row>
    <row r="526" spans="2:8">
      <c r="B526" t="s">
        <v>442</v>
      </c>
      <c r="C526" t="s">
        <v>357</v>
      </c>
      <c r="D526">
        <v>4466</v>
      </c>
      <c r="E526">
        <v>4470</v>
      </c>
      <c r="F526">
        <v>4466</v>
      </c>
      <c r="G526">
        <v>4467</v>
      </c>
      <c r="H526">
        <v>14100</v>
      </c>
    </row>
    <row r="527" spans="2:8">
      <c r="B527" t="s">
        <v>442</v>
      </c>
      <c r="C527" t="s">
        <v>358</v>
      </c>
      <c r="D527">
        <v>4466</v>
      </c>
      <c r="E527">
        <v>4466</v>
      </c>
      <c r="F527">
        <v>4464</v>
      </c>
      <c r="G527">
        <v>4465</v>
      </c>
      <c r="H527">
        <v>9900</v>
      </c>
    </row>
    <row r="528" spans="2:8">
      <c r="B528" t="s">
        <v>442</v>
      </c>
      <c r="C528" t="s">
        <v>359</v>
      </c>
      <c r="D528">
        <v>4465</v>
      </c>
      <c r="E528">
        <v>4465</v>
      </c>
      <c r="F528">
        <v>4464</v>
      </c>
      <c r="G528">
        <v>4464</v>
      </c>
      <c r="H528">
        <v>4000</v>
      </c>
    </row>
    <row r="529" spans="2:8">
      <c r="B529" t="s">
        <v>442</v>
      </c>
      <c r="C529" t="s">
        <v>360</v>
      </c>
      <c r="D529">
        <v>4464</v>
      </c>
      <c r="E529">
        <v>4470</v>
      </c>
      <c r="F529">
        <v>4463</v>
      </c>
      <c r="G529">
        <v>4470</v>
      </c>
      <c r="H529">
        <v>30600</v>
      </c>
    </row>
    <row r="530" spans="2:8">
      <c r="B530" t="s">
        <v>442</v>
      </c>
      <c r="C530" t="s">
        <v>361</v>
      </c>
      <c r="D530">
        <v>4470</v>
      </c>
      <c r="E530">
        <v>4472</v>
      </c>
      <c r="F530">
        <v>4469</v>
      </c>
      <c r="G530">
        <v>4472</v>
      </c>
      <c r="H530">
        <v>10400</v>
      </c>
    </row>
    <row r="531" spans="2:8">
      <c r="B531" t="s">
        <v>442</v>
      </c>
      <c r="C531" t="s">
        <v>362</v>
      </c>
      <c r="D531">
        <v>4472</v>
      </c>
      <c r="E531">
        <v>4473</v>
      </c>
      <c r="F531">
        <v>4471</v>
      </c>
      <c r="G531">
        <v>4471</v>
      </c>
      <c r="H531">
        <v>7000</v>
      </c>
    </row>
    <row r="532" spans="2:8">
      <c r="B532" t="s">
        <v>442</v>
      </c>
      <c r="C532" t="s">
        <v>363</v>
      </c>
      <c r="D532">
        <v>4470</v>
      </c>
      <c r="E532">
        <v>4471</v>
      </c>
      <c r="F532">
        <v>4469</v>
      </c>
      <c r="G532">
        <v>4469</v>
      </c>
      <c r="H532">
        <v>15600</v>
      </c>
    </row>
    <row r="533" spans="2:8">
      <c r="B533" t="s">
        <v>442</v>
      </c>
      <c r="C533" t="s">
        <v>364</v>
      </c>
      <c r="D533">
        <v>4470</v>
      </c>
      <c r="E533">
        <v>4470</v>
      </c>
      <c r="F533">
        <v>4469</v>
      </c>
      <c r="G533">
        <v>4470</v>
      </c>
      <c r="H533">
        <v>6100</v>
      </c>
    </row>
    <row r="534" spans="2:8">
      <c r="B534" t="s">
        <v>442</v>
      </c>
      <c r="C534" t="s">
        <v>365</v>
      </c>
      <c r="D534">
        <v>4469</v>
      </c>
      <c r="E534">
        <v>4473</v>
      </c>
      <c r="F534">
        <v>4469</v>
      </c>
      <c r="G534">
        <v>4473</v>
      </c>
      <c r="H534">
        <v>10700</v>
      </c>
    </row>
    <row r="535" spans="2:8">
      <c r="B535" t="s">
        <v>442</v>
      </c>
      <c r="C535" t="s">
        <v>366</v>
      </c>
      <c r="D535">
        <v>4473</v>
      </c>
      <c r="E535">
        <v>4475</v>
      </c>
      <c r="F535">
        <v>4473</v>
      </c>
      <c r="G535">
        <v>4475</v>
      </c>
      <c r="H535">
        <v>9500</v>
      </c>
    </row>
    <row r="536" spans="2:8">
      <c r="B536" t="s">
        <v>442</v>
      </c>
      <c r="C536" t="s">
        <v>367</v>
      </c>
      <c r="D536">
        <v>4475</v>
      </c>
      <c r="E536">
        <v>4477</v>
      </c>
      <c r="F536">
        <v>4474</v>
      </c>
      <c r="G536">
        <v>4476</v>
      </c>
      <c r="H536">
        <v>30600</v>
      </c>
    </row>
    <row r="537" spans="2:8">
      <c r="B537" t="s">
        <v>442</v>
      </c>
      <c r="C537" t="s">
        <v>368</v>
      </c>
      <c r="D537">
        <v>4474</v>
      </c>
      <c r="E537">
        <v>4475</v>
      </c>
      <c r="F537">
        <v>4473</v>
      </c>
      <c r="G537">
        <v>4473</v>
      </c>
      <c r="H537">
        <v>14000</v>
      </c>
    </row>
    <row r="538" spans="2:8">
      <c r="B538" t="s">
        <v>442</v>
      </c>
      <c r="C538" t="s">
        <v>369</v>
      </c>
      <c r="D538">
        <v>4473</v>
      </c>
      <c r="E538">
        <v>4474</v>
      </c>
      <c r="F538">
        <v>4471</v>
      </c>
      <c r="G538">
        <v>4471</v>
      </c>
      <c r="H538">
        <v>13800</v>
      </c>
    </row>
    <row r="539" spans="2:8">
      <c r="B539" t="s">
        <v>442</v>
      </c>
      <c r="C539" t="s">
        <v>370</v>
      </c>
      <c r="D539">
        <v>4471</v>
      </c>
      <c r="E539">
        <v>4473</v>
      </c>
      <c r="F539">
        <v>4471</v>
      </c>
      <c r="G539">
        <v>4473</v>
      </c>
      <c r="H539">
        <v>12900</v>
      </c>
    </row>
    <row r="540" spans="2:8">
      <c r="B540" t="s">
        <v>442</v>
      </c>
      <c r="C540" t="s">
        <v>371</v>
      </c>
      <c r="D540">
        <v>4472</v>
      </c>
      <c r="E540">
        <v>4473</v>
      </c>
      <c r="F540">
        <v>4471</v>
      </c>
      <c r="G540">
        <v>4472</v>
      </c>
      <c r="H540">
        <v>15600</v>
      </c>
    </row>
    <row r="541" spans="2:8">
      <c r="B541" t="s">
        <v>442</v>
      </c>
      <c r="C541" t="s">
        <v>372</v>
      </c>
      <c r="D541">
        <v>4472</v>
      </c>
      <c r="E541">
        <v>4473</v>
      </c>
      <c r="F541">
        <v>4471</v>
      </c>
      <c r="G541">
        <v>4472</v>
      </c>
      <c r="H541">
        <v>6700</v>
      </c>
    </row>
    <row r="542" spans="2:8">
      <c r="B542" t="s">
        <v>442</v>
      </c>
      <c r="C542" t="s">
        <v>373</v>
      </c>
      <c r="D542">
        <v>4473</v>
      </c>
      <c r="E542">
        <v>4475</v>
      </c>
      <c r="F542">
        <v>4473</v>
      </c>
      <c r="G542">
        <v>4473</v>
      </c>
      <c r="H542">
        <v>12100</v>
      </c>
    </row>
    <row r="543" spans="2:8">
      <c r="B543" t="s">
        <v>442</v>
      </c>
      <c r="C543" t="s">
        <v>374</v>
      </c>
      <c r="D543">
        <v>4474</v>
      </c>
      <c r="E543">
        <v>4475</v>
      </c>
      <c r="F543">
        <v>4473</v>
      </c>
      <c r="G543">
        <v>4474</v>
      </c>
      <c r="H543">
        <v>11200</v>
      </c>
    </row>
    <row r="544" spans="2:8">
      <c r="B544" t="s">
        <v>442</v>
      </c>
      <c r="C544" t="s">
        <v>375</v>
      </c>
      <c r="D544">
        <v>4475</v>
      </c>
      <c r="E544">
        <v>4475</v>
      </c>
      <c r="F544">
        <v>4474</v>
      </c>
      <c r="G544">
        <v>4474</v>
      </c>
      <c r="H544">
        <v>2600</v>
      </c>
    </row>
    <row r="545" spans="2:8">
      <c r="B545" t="s">
        <v>442</v>
      </c>
      <c r="C545" t="s">
        <v>376</v>
      </c>
      <c r="D545">
        <v>4473</v>
      </c>
      <c r="E545">
        <v>4474</v>
      </c>
      <c r="F545">
        <v>4472</v>
      </c>
      <c r="G545">
        <v>4473</v>
      </c>
      <c r="H545">
        <v>4800</v>
      </c>
    </row>
    <row r="546" spans="2:8">
      <c r="B546" t="s">
        <v>442</v>
      </c>
      <c r="C546" t="s">
        <v>377</v>
      </c>
      <c r="D546">
        <v>4472</v>
      </c>
      <c r="E546">
        <v>4473</v>
      </c>
      <c r="F546">
        <v>4470</v>
      </c>
      <c r="G546">
        <v>4471</v>
      </c>
      <c r="H546">
        <v>28000</v>
      </c>
    </row>
    <row r="547" spans="2:8">
      <c r="B547" t="s">
        <v>442</v>
      </c>
      <c r="C547" t="s">
        <v>378</v>
      </c>
      <c r="D547">
        <v>4471</v>
      </c>
      <c r="E547">
        <v>4471</v>
      </c>
      <c r="F547">
        <v>4470</v>
      </c>
      <c r="G547">
        <v>4471</v>
      </c>
      <c r="H547">
        <v>1800</v>
      </c>
    </row>
    <row r="548" spans="2:8">
      <c r="B548" t="s">
        <v>442</v>
      </c>
      <c r="C548" t="s">
        <v>379</v>
      </c>
      <c r="D548">
        <v>4470</v>
      </c>
      <c r="E548">
        <v>4471</v>
      </c>
      <c r="F548">
        <v>4470</v>
      </c>
      <c r="G548">
        <v>4470</v>
      </c>
      <c r="H548">
        <v>3100</v>
      </c>
    </row>
    <row r="549" spans="2:8">
      <c r="B549" t="s">
        <v>442</v>
      </c>
      <c r="C549" t="s">
        <v>380</v>
      </c>
      <c r="D549">
        <v>4470</v>
      </c>
      <c r="E549">
        <v>4471</v>
      </c>
      <c r="F549">
        <v>4469</v>
      </c>
      <c r="G549">
        <v>4469</v>
      </c>
      <c r="H549">
        <v>9500</v>
      </c>
    </row>
    <row r="550" spans="2:8">
      <c r="B550" t="s">
        <v>442</v>
      </c>
      <c r="C550" t="s">
        <v>381</v>
      </c>
      <c r="D550">
        <v>4469</v>
      </c>
      <c r="E550">
        <v>4471</v>
      </c>
      <c r="F550">
        <v>4469</v>
      </c>
      <c r="G550">
        <v>4471</v>
      </c>
      <c r="H550">
        <v>12400</v>
      </c>
    </row>
    <row r="551" spans="2:8">
      <c r="B551" t="s">
        <v>442</v>
      </c>
      <c r="C551" t="s">
        <v>382</v>
      </c>
      <c r="D551">
        <v>4471</v>
      </c>
      <c r="E551">
        <v>4474</v>
      </c>
      <c r="F551">
        <v>4470</v>
      </c>
      <c r="G551">
        <v>4471</v>
      </c>
      <c r="H551">
        <v>21800</v>
      </c>
    </row>
    <row r="552" spans="2:8">
      <c r="B552" t="s">
        <v>442</v>
      </c>
      <c r="C552" t="s">
        <v>383</v>
      </c>
      <c r="D552">
        <v>4471</v>
      </c>
      <c r="E552">
        <v>4471</v>
      </c>
      <c r="F552">
        <v>4470</v>
      </c>
      <c r="G552">
        <v>4471</v>
      </c>
      <c r="H552">
        <v>8400</v>
      </c>
    </row>
    <row r="553" spans="2:8">
      <c r="B553" t="s">
        <v>442</v>
      </c>
      <c r="C553" t="s">
        <v>384</v>
      </c>
      <c r="D553">
        <v>4471</v>
      </c>
      <c r="E553">
        <v>4473</v>
      </c>
      <c r="F553">
        <v>4470</v>
      </c>
      <c r="G553">
        <v>4470</v>
      </c>
      <c r="H553">
        <v>10700</v>
      </c>
    </row>
    <row r="554" spans="2:8">
      <c r="B554" t="s">
        <v>442</v>
      </c>
      <c r="C554" t="s">
        <v>385</v>
      </c>
      <c r="D554">
        <v>4470</v>
      </c>
      <c r="E554">
        <v>4470</v>
      </c>
      <c r="F554">
        <v>4467</v>
      </c>
      <c r="G554">
        <v>4467</v>
      </c>
      <c r="H554">
        <v>11700</v>
      </c>
    </row>
    <row r="555" spans="2:8">
      <c r="B555" t="s">
        <v>442</v>
      </c>
      <c r="C555" t="s">
        <v>386</v>
      </c>
      <c r="D555">
        <v>4467</v>
      </c>
      <c r="E555">
        <v>4469</v>
      </c>
      <c r="F555">
        <v>4467</v>
      </c>
      <c r="G555">
        <v>4467</v>
      </c>
      <c r="H555">
        <v>13400</v>
      </c>
    </row>
    <row r="556" spans="2:8">
      <c r="B556" t="s">
        <v>442</v>
      </c>
      <c r="C556" t="s">
        <v>387</v>
      </c>
      <c r="D556">
        <v>4467</v>
      </c>
      <c r="E556">
        <v>4468</v>
      </c>
      <c r="F556">
        <v>4465</v>
      </c>
      <c r="G556">
        <v>4468</v>
      </c>
      <c r="H556">
        <v>12900</v>
      </c>
    </row>
    <row r="557" spans="2:8">
      <c r="B557" t="s">
        <v>442</v>
      </c>
      <c r="C557" t="s">
        <v>388</v>
      </c>
      <c r="D557">
        <v>4467</v>
      </c>
      <c r="E557">
        <v>4468</v>
      </c>
      <c r="F557">
        <v>4467</v>
      </c>
      <c r="G557">
        <v>4467</v>
      </c>
      <c r="H557">
        <v>5300</v>
      </c>
    </row>
    <row r="558" spans="2:8">
      <c r="B558" t="s">
        <v>442</v>
      </c>
      <c r="C558" t="s">
        <v>389</v>
      </c>
      <c r="D558">
        <v>4467</v>
      </c>
      <c r="E558">
        <v>4468</v>
      </c>
      <c r="F558">
        <v>4466</v>
      </c>
      <c r="G558">
        <v>4466</v>
      </c>
      <c r="H558">
        <v>6500</v>
      </c>
    </row>
    <row r="559" spans="2:8">
      <c r="B559" t="s">
        <v>442</v>
      </c>
      <c r="C559" t="s">
        <v>390</v>
      </c>
      <c r="D559">
        <v>4467</v>
      </c>
      <c r="E559">
        <v>4467</v>
      </c>
      <c r="F559">
        <v>4461</v>
      </c>
      <c r="G559">
        <v>4462</v>
      </c>
      <c r="H559">
        <v>20700</v>
      </c>
    </row>
    <row r="560" spans="2:8">
      <c r="B560" t="s">
        <v>442</v>
      </c>
      <c r="C560" t="s">
        <v>391</v>
      </c>
      <c r="D560">
        <v>4462</v>
      </c>
      <c r="E560">
        <v>4465</v>
      </c>
      <c r="F560">
        <v>4462</v>
      </c>
      <c r="G560">
        <v>4463</v>
      </c>
      <c r="H560">
        <v>18200</v>
      </c>
    </row>
    <row r="561" spans="2:8">
      <c r="B561" t="s">
        <v>442</v>
      </c>
      <c r="C561" t="s">
        <v>392</v>
      </c>
      <c r="D561">
        <v>4464</v>
      </c>
      <c r="E561">
        <v>4466</v>
      </c>
      <c r="F561">
        <v>4463</v>
      </c>
      <c r="G561">
        <v>4465</v>
      </c>
      <c r="H561">
        <v>10500</v>
      </c>
    </row>
    <row r="562" spans="2:8">
      <c r="B562" t="s">
        <v>442</v>
      </c>
      <c r="C562" t="s">
        <v>393</v>
      </c>
      <c r="D562">
        <v>4466</v>
      </c>
      <c r="E562">
        <v>4466</v>
      </c>
      <c r="F562">
        <v>4463</v>
      </c>
      <c r="G562">
        <v>4463</v>
      </c>
      <c r="H562">
        <v>4900</v>
      </c>
    </row>
    <row r="563" spans="2:8">
      <c r="B563" t="s">
        <v>442</v>
      </c>
      <c r="C563" t="s">
        <v>394</v>
      </c>
      <c r="D563">
        <v>4463</v>
      </c>
      <c r="E563">
        <v>4463</v>
      </c>
      <c r="F563">
        <v>4462</v>
      </c>
      <c r="G563">
        <v>4462</v>
      </c>
      <c r="H563">
        <v>9000</v>
      </c>
    </row>
    <row r="564" spans="2:8">
      <c r="B564" t="s">
        <v>442</v>
      </c>
      <c r="C564" t="s">
        <v>395</v>
      </c>
      <c r="D564">
        <v>4462</v>
      </c>
      <c r="E564">
        <v>4465</v>
      </c>
      <c r="F564">
        <v>4462</v>
      </c>
      <c r="G564">
        <v>4464</v>
      </c>
      <c r="H564">
        <v>17100</v>
      </c>
    </row>
    <row r="565" spans="2:8">
      <c r="B565" t="s">
        <v>442</v>
      </c>
      <c r="C565" t="s">
        <v>396</v>
      </c>
      <c r="D565">
        <v>4464</v>
      </c>
      <c r="E565">
        <v>4465</v>
      </c>
      <c r="F565">
        <v>4463</v>
      </c>
      <c r="G565">
        <v>4464</v>
      </c>
      <c r="H565">
        <v>4000</v>
      </c>
    </row>
    <row r="566" spans="2:8">
      <c r="B566" t="s">
        <v>442</v>
      </c>
      <c r="C566" t="s">
        <v>397</v>
      </c>
      <c r="D566">
        <v>4464</v>
      </c>
      <c r="E566">
        <v>4465</v>
      </c>
      <c r="F566">
        <v>4462</v>
      </c>
      <c r="G566">
        <v>4464</v>
      </c>
      <c r="H566">
        <v>14100</v>
      </c>
    </row>
    <row r="567" spans="2:8">
      <c r="B567" t="s">
        <v>442</v>
      </c>
      <c r="C567" t="s">
        <v>398</v>
      </c>
      <c r="D567">
        <v>4464</v>
      </c>
      <c r="E567">
        <v>4464</v>
      </c>
      <c r="F567">
        <v>4463</v>
      </c>
      <c r="G567">
        <v>4464</v>
      </c>
      <c r="H567">
        <v>7100</v>
      </c>
    </row>
    <row r="568" spans="2:8">
      <c r="B568" t="s">
        <v>442</v>
      </c>
      <c r="C568" t="s">
        <v>399</v>
      </c>
      <c r="D568">
        <v>4464</v>
      </c>
      <c r="E568">
        <v>4465</v>
      </c>
      <c r="F568">
        <v>4464</v>
      </c>
      <c r="G568">
        <v>4465</v>
      </c>
      <c r="H568">
        <v>3800</v>
      </c>
    </row>
    <row r="569" spans="2:8">
      <c r="B569" t="s">
        <v>442</v>
      </c>
      <c r="C569" t="s">
        <v>400</v>
      </c>
      <c r="D569">
        <v>4465</v>
      </c>
      <c r="E569">
        <v>4466</v>
      </c>
      <c r="F569">
        <v>4464</v>
      </c>
      <c r="G569">
        <v>4466</v>
      </c>
      <c r="H569">
        <v>10200</v>
      </c>
    </row>
    <row r="570" spans="2:8">
      <c r="B570" t="s">
        <v>442</v>
      </c>
      <c r="C570" t="s">
        <v>401</v>
      </c>
      <c r="D570">
        <v>4467</v>
      </c>
      <c r="E570">
        <v>4467</v>
      </c>
      <c r="F570">
        <v>4463</v>
      </c>
      <c r="G570">
        <v>4463</v>
      </c>
      <c r="H570">
        <v>10900</v>
      </c>
    </row>
    <row r="571" spans="2:8">
      <c r="B571" t="s">
        <v>442</v>
      </c>
      <c r="C571" t="s">
        <v>402</v>
      </c>
      <c r="D571">
        <v>4463</v>
      </c>
      <c r="E571">
        <v>4463</v>
      </c>
      <c r="F571">
        <v>4462</v>
      </c>
      <c r="G571">
        <v>4462</v>
      </c>
      <c r="H571">
        <v>5000</v>
      </c>
    </row>
    <row r="572" spans="2:8">
      <c r="B572" t="s">
        <v>442</v>
      </c>
      <c r="C572" t="s">
        <v>403</v>
      </c>
      <c r="D572">
        <v>4462</v>
      </c>
      <c r="E572">
        <v>4462</v>
      </c>
      <c r="F572">
        <v>4461</v>
      </c>
      <c r="G572">
        <v>4462</v>
      </c>
      <c r="H572">
        <v>17000</v>
      </c>
    </row>
    <row r="573" spans="2:8">
      <c r="B573" t="s">
        <v>442</v>
      </c>
      <c r="C573" t="s">
        <v>404</v>
      </c>
      <c r="D573">
        <v>4462</v>
      </c>
      <c r="E573">
        <v>4463</v>
      </c>
      <c r="F573">
        <v>4462</v>
      </c>
      <c r="G573">
        <v>4462</v>
      </c>
      <c r="H573">
        <v>8500</v>
      </c>
    </row>
    <row r="574" spans="2:8">
      <c r="B574" t="s">
        <v>442</v>
      </c>
      <c r="C574" t="s">
        <v>405</v>
      </c>
      <c r="D574">
        <v>4462</v>
      </c>
      <c r="E574">
        <v>4464</v>
      </c>
      <c r="F574">
        <v>4462</v>
      </c>
      <c r="G574">
        <v>4462</v>
      </c>
      <c r="H574">
        <v>7900</v>
      </c>
    </row>
    <row r="575" spans="2:8">
      <c r="B575" t="s">
        <v>442</v>
      </c>
      <c r="C575" t="s">
        <v>406</v>
      </c>
      <c r="D575">
        <v>4462</v>
      </c>
      <c r="E575">
        <v>4463</v>
      </c>
      <c r="F575">
        <v>4461</v>
      </c>
      <c r="G575">
        <v>4462</v>
      </c>
      <c r="H575">
        <v>9700</v>
      </c>
    </row>
    <row r="576" spans="2:8">
      <c r="B576" t="s">
        <v>442</v>
      </c>
      <c r="C576" t="s">
        <v>407</v>
      </c>
      <c r="D576">
        <v>4461</v>
      </c>
      <c r="E576">
        <v>4462</v>
      </c>
      <c r="F576">
        <v>4459</v>
      </c>
      <c r="G576">
        <v>4460</v>
      </c>
      <c r="H576">
        <v>43000</v>
      </c>
    </row>
    <row r="577" spans="2:8">
      <c r="B577" t="s">
        <v>442</v>
      </c>
      <c r="C577" t="s">
        <v>408</v>
      </c>
      <c r="D577">
        <v>4459</v>
      </c>
      <c r="E577">
        <v>4461</v>
      </c>
      <c r="F577">
        <v>4457</v>
      </c>
      <c r="G577">
        <v>4460</v>
      </c>
      <c r="H577">
        <v>28300</v>
      </c>
    </row>
    <row r="578" spans="2:8">
      <c r="B578" t="s">
        <v>442</v>
      </c>
      <c r="C578" t="s">
        <v>409</v>
      </c>
      <c r="D578">
        <v>4460</v>
      </c>
      <c r="E578">
        <v>4460</v>
      </c>
      <c r="F578">
        <v>4459</v>
      </c>
      <c r="G578">
        <v>4459</v>
      </c>
      <c r="H578">
        <v>2500</v>
      </c>
    </row>
    <row r="579" spans="2:8">
      <c r="B579" t="s">
        <v>442</v>
      </c>
      <c r="C579" t="s">
        <v>410</v>
      </c>
      <c r="D579">
        <v>4459</v>
      </c>
      <c r="E579">
        <v>4461</v>
      </c>
      <c r="F579">
        <v>4458</v>
      </c>
      <c r="G579">
        <v>4459</v>
      </c>
      <c r="H579">
        <v>17100</v>
      </c>
    </row>
    <row r="580" spans="2:8">
      <c r="B580" t="s">
        <v>442</v>
      </c>
      <c r="C580" t="s">
        <v>411</v>
      </c>
      <c r="D580">
        <v>4459</v>
      </c>
      <c r="E580">
        <v>4459</v>
      </c>
      <c r="F580">
        <v>4458</v>
      </c>
      <c r="G580">
        <v>4458</v>
      </c>
      <c r="H580">
        <v>1200</v>
      </c>
    </row>
    <row r="581" spans="2:8">
      <c r="B581" t="s">
        <v>442</v>
      </c>
      <c r="C581" t="s">
        <v>412</v>
      </c>
      <c r="D581">
        <v>4459</v>
      </c>
      <c r="E581">
        <v>4463</v>
      </c>
      <c r="F581">
        <v>4459</v>
      </c>
      <c r="G581">
        <v>4463</v>
      </c>
      <c r="H581">
        <v>22100</v>
      </c>
    </row>
    <row r="582" spans="2:8">
      <c r="B582" t="s">
        <v>442</v>
      </c>
      <c r="C582" t="s">
        <v>413</v>
      </c>
      <c r="D582">
        <v>4464</v>
      </c>
      <c r="E582">
        <v>4464</v>
      </c>
      <c r="F582">
        <v>4462</v>
      </c>
      <c r="G582">
        <v>4462</v>
      </c>
      <c r="H582">
        <v>3700</v>
      </c>
    </row>
    <row r="583" spans="2:8">
      <c r="B583" t="s">
        <v>442</v>
      </c>
      <c r="C583" t="s">
        <v>414</v>
      </c>
      <c r="D583">
        <v>4462</v>
      </c>
      <c r="E583">
        <v>4463</v>
      </c>
      <c r="F583">
        <v>4461</v>
      </c>
      <c r="G583">
        <v>4463</v>
      </c>
      <c r="H583">
        <v>14900</v>
      </c>
    </row>
    <row r="584" spans="2:8">
      <c r="B584" t="s">
        <v>442</v>
      </c>
      <c r="C584" t="s">
        <v>415</v>
      </c>
      <c r="D584">
        <v>4462</v>
      </c>
      <c r="E584">
        <v>4462</v>
      </c>
      <c r="F584">
        <v>4461</v>
      </c>
      <c r="G584">
        <v>4461</v>
      </c>
      <c r="H584">
        <v>2400</v>
      </c>
    </row>
    <row r="585" spans="2:8">
      <c r="B585" t="s">
        <v>442</v>
      </c>
      <c r="C585" t="s">
        <v>416</v>
      </c>
      <c r="D585">
        <v>4462</v>
      </c>
      <c r="E585">
        <v>4464</v>
      </c>
      <c r="F585">
        <v>4461</v>
      </c>
      <c r="G585">
        <v>4463</v>
      </c>
      <c r="H585">
        <v>13800</v>
      </c>
    </row>
    <row r="586" spans="2:8">
      <c r="B586" t="s">
        <v>442</v>
      </c>
      <c r="C586" t="s">
        <v>417</v>
      </c>
      <c r="D586">
        <v>4462</v>
      </c>
      <c r="E586">
        <v>4463</v>
      </c>
      <c r="F586">
        <v>4461</v>
      </c>
      <c r="G586">
        <v>4463</v>
      </c>
      <c r="H586">
        <v>11700</v>
      </c>
    </row>
    <row r="587" spans="2:8">
      <c r="B587" t="s">
        <v>442</v>
      </c>
      <c r="C587" t="s">
        <v>418</v>
      </c>
      <c r="D587">
        <v>4462</v>
      </c>
      <c r="E587">
        <v>4463</v>
      </c>
      <c r="F587">
        <v>4462</v>
      </c>
      <c r="G587">
        <v>4462</v>
      </c>
      <c r="H587">
        <v>7700</v>
      </c>
    </row>
    <row r="588" spans="2:8">
      <c r="B588" t="s">
        <v>442</v>
      </c>
      <c r="C588" t="s">
        <v>419</v>
      </c>
      <c r="D588">
        <v>4461</v>
      </c>
      <c r="E588">
        <v>4462</v>
      </c>
      <c r="F588">
        <v>4459</v>
      </c>
      <c r="G588">
        <v>4460</v>
      </c>
      <c r="H588">
        <v>19600</v>
      </c>
    </row>
    <row r="589" spans="2:8">
      <c r="B589" t="s">
        <v>442</v>
      </c>
      <c r="C589" t="s">
        <v>420</v>
      </c>
      <c r="D589">
        <v>4460</v>
      </c>
      <c r="E589">
        <v>4462</v>
      </c>
      <c r="F589">
        <v>4460</v>
      </c>
      <c r="G589">
        <v>4462</v>
      </c>
      <c r="H589">
        <v>8500</v>
      </c>
    </row>
    <row r="590" spans="2:8">
      <c r="B590" t="s">
        <v>442</v>
      </c>
      <c r="C590" t="s">
        <v>421</v>
      </c>
      <c r="D590">
        <v>4461</v>
      </c>
      <c r="E590">
        <v>4465</v>
      </c>
      <c r="F590">
        <v>4461</v>
      </c>
      <c r="G590">
        <v>4463</v>
      </c>
      <c r="H590">
        <v>24100</v>
      </c>
    </row>
    <row r="591" spans="2:8">
      <c r="B591" t="s">
        <v>442</v>
      </c>
      <c r="C591" t="s">
        <v>422</v>
      </c>
      <c r="D591">
        <v>4462</v>
      </c>
      <c r="E591">
        <v>4463</v>
      </c>
      <c r="F591">
        <v>4461</v>
      </c>
      <c r="G591">
        <v>4463</v>
      </c>
      <c r="H591">
        <v>17200</v>
      </c>
    </row>
    <row r="592" spans="2:8">
      <c r="B592" t="s">
        <v>442</v>
      </c>
      <c r="C592" t="s">
        <v>423</v>
      </c>
      <c r="D592">
        <v>4462</v>
      </c>
      <c r="E592">
        <v>4463</v>
      </c>
      <c r="F592">
        <v>4461</v>
      </c>
      <c r="G592">
        <v>4462</v>
      </c>
      <c r="H592">
        <v>12000</v>
      </c>
    </row>
    <row r="593" spans="2:8">
      <c r="B593" t="s">
        <v>442</v>
      </c>
      <c r="C593" t="s">
        <v>424</v>
      </c>
      <c r="D593">
        <v>4461</v>
      </c>
      <c r="E593">
        <v>4462</v>
      </c>
      <c r="F593">
        <v>4461</v>
      </c>
      <c r="G593">
        <v>4461</v>
      </c>
      <c r="H593">
        <v>4900</v>
      </c>
    </row>
    <row r="594" spans="2:8">
      <c r="B594" t="s">
        <v>442</v>
      </c>
      <c r="C594" t="s">
        <v>425</v>
      </c>
      <c r="D594">
        <v>4461</v>
      </c>
      <c r="E594">
        <v>4463</v>
      </c>
      <c r="F594">
        <v>4461</v>
      </c>
      <c r="G594">
        <v>4461</v>
      </c>
      <c r="H594">
        <v>11400</v>
      </c>
    </row>
    <row r="595" spans="2:8">
      <c r="B595" t="s">
        <v>442</v>
      </c>
      <c r="C595" t="s">
        <v>426</v>
      </c>
      <c r="D595">
        <v>4461</v>
      </c>
      <c r="E595">
        <v>4462</v>
      </c>
      <c r="F595">
        <v>4461</v>
      </c>
      <c r="G595">
        <v>4462</v>
      </c>
      <c r="H595">
        <v>6500</v>
      </c>
    </row>
    <row r="596" spans="2:8">
      <c r="B596" t="s">
        <v>442</v>
      </c>
      <c r="C596" t="s">
        <v>427</v>
      </c>
      <c r="D596">
        <v>4462</v>
      </c>
      <c r="E596">
        <v>4466</v>
      </c>
      <c r="F596">
        <v>4461</v>
      </c>
      <c r="G596">
        <v>4466</v>
      </c>
      <c r="H596">
        <v>23000</v>
      </c>
    </row>
    <row r="597" spans="2:8">
      <c r="B597" t="s">
        <v>442</v>
      </c>
      <c r="C597" t="s">
        <v>428</v>
      </c>
      <c r="D597">
        <v>4466</v>
      </c>
      <c r="E597">
        <v>4467</v>
      </c>
      <c r="F597">
        <v>4463</v>
      </c>
      <c r="G597">
        <v>4463</v>
      </c>
      <c r="H597">
        <v>23900</v>
      </c>
    </row>
    <row r="598" spans="2:8">
      <c r="B598" t="s">
        <v>442</v>
      </c>
      <c r="C598" t="s">
        <v>429</v>
      </c>
      <c r="D598">
        <v>4463</v>
      </c>
      <c r="E598">
        <v>4465</v>
      </c>
      <c r="F598">
        <v>4463</v>
      </c>
      <c r="G598">
        <v>4465</v>
      </c>
      <c r="H598">
        <v>9000</v>
      </c>
    </row>
    <row r="599" spans="2:8">
      <c r="B599" t="s">
        <v>442</v>
      </c>
      <c r="C599" t="s">
        <v>430</v>
      </c>
      <c r="D599">
        <v>4464</v>
      </c>
      <c r="E599">
        <v>4466</v>
      </c>
      <c r="F599">
        <v>4464</v>
      </c>
      <c r="G599">
        <v>4466</v>
      </c>
      <c r="H599">
        <v>14300</v>
      </c>
    </row>
    <row r="600" spans="2:8">
      <c r="B600" t="s">
        <v>442</v>
      </c>
      <c r="C600" t="s">
        <v>431</v>
      </c>
      <c r="D600">
        <v>4465</v>
      </c>
      <c r="E600">
        <v>4466</v>
      </c>
      <c r="F600">
        <v>4464</v>
      </c>
      <c r="G600">
        <v>4464</v>
      </c>
      <c r="H600">
        <v>5300</v>
      </c>
    </row>
    <row r="601" spans="2:8">
      <c r="B601" t="s">
        <v>442</v>
      </c>
      <c r="C601" t="s">
        <v>9</v>
      </c>
      <c r="D601">
        <v>4464</v>
      </c>
      <c r="E601">
        <v>4464</v>
      </c>
      <c r="F601">
        <v>4462</v>
      </c>
      <c r="G601">
        <v>4462</v>
      </c>
      <c r="H601">
        <v>16600</v>
      </c>
    </row>
    <row r="602" spans="2:8">
      <c r="B602" t="s">
        <v>442</v>
      </c>
      <c r="C602" t="s">
        <v>10</v>
      </c>
      <c r="D602">
        <v>4463</v>
      </c>
      <c r="E602">
        <v>4469</v>
      </c>
      <c r="F602">
        <v>4463</v>
      </c>
      <c r="G602">
        <v>4469</v>
      </c>
      <c r="H602">
        <v>22000</v>
      </c>
    </row>
    <row r="603" spans="2:8">
      <c r="B603" t="s">
        <v>442</v>
      </c>
      <c r="C603" t="s">
        <v>11</v>
      </c>
      <c r="D603">
        <v>4468</v>
      </c>
      <c r="E603">
        <v>4469</v>
      </c>
      <c r="F603">
        <v>4466</v>
      </c>
      <c r="G603">
        <v>4466</v>
      </c>
      <c r="H603">
        <v>13500</v>
      </c>
    </row>
    <row r="604" spans="2:8">
      <c r="B604" t="s">
        <v>442</v>
      </c>
      <c r="C604" t="s">
        <v>12</v>
      </c>
      <c r="D604">
        <v>4467</v>
      </c>
      <c r="E604">
        <v>4467</v>
      </c>
      <c r="F604">
        <v>4466</v>
      </c>
      <c r="G604">
        <v>4466</v>
      </c>
      <c r="H604">
        <v>4900</v>
      </c>
    </row>
    <row r="605" spans="2:8">
      <c r="B605" t="s">
        <v>442</v>
      </c>
      <c r="C605" t="s">
        <v>13</v>
      </c>
      <c r="D605">
        <v>4466</v>
      </c>
      <c r="E605">
        <v>4468</v>
      </c>
      <c r="F605">
        <v>4466</v>
      </c>
      <c r="G605">
        <v>4468</v>
      </c>
      <c r="H605">
        <v>9400</v>
      </c>
    </row>
    <row r="606" spans="2:8">
      <c r="B606" t="s">
        <v>442</v>
      </c>
      <c r="C606" t="s">
        <v>14</v>
      </c>
      <c r="D606">
        <v>4467</v>
      </c>
      <c r="E606">
        <v>4467</v>
      </c>
      <c r="F606">
        <v>4466</v>
      </c>
      <c r="G606">
        <v>4466</v>
      </c>
      <c r="H606">
        <v>5400</v>
      </c>
    </row>
    <row r="607" spans="2:8">
      <c r="B607" t="s">
        <v>442</v>
      </c>
      <c r="C607" t="s">
        <v>15</v>
      </c>
      <c r="D607">
        <v>4467</v>
      </c>
      <c r="E607">
        <v>4470</v>
      </c>
      <c r="F607">
        <v>4467</v>
      </c>
      <c r="G607">
        <v>4469</v>
      </c>
      <c r="H607">
        <v>19200</v>
      </c>
    </row>
    <row r="608" spans="2:8">
      <c r="B608" t="s">
        <v>442</v>
      </c>
      <c r="C608" t="s">
        <v>16</v>
      </c>
      <c r="D608">
        <v>4469</v>
      </c>
      <c r="E608">
        <v>4469</v>
      </c>
      <c r="F608">
        <v>4468</v>
      </c>
      <c r="G608">
        <v>4469</v>
      </c>
      <c r="H608">
        <v>8600</v>
      </c>
    </row>
    <row r="609" spans="2:8">
      <c r="B609" t="s">
        <v>442</v>
      </c>
      <c r="C609" t="s">
        <v>17</v>
      </c>
      <c r="D609">
        <v>4468</v>
      </c>
      <c r="E609">
        <v>4468</v>
      </c>
      <c r="F609">
        <v>4467</v>
      </c>
      <c r="G609">
        <v>4467</v>
      </c>
      <c r="H609">
        <v>5500</v>
      </c>
    </row>
    <row r="610" spans="2:8">
      <c r="B610" t="s">
        <v>442</v>
      </c>
      <c r="C610" t="s">
        <v>18</v>
      </c>
      <c r="D610">
        <v>4466</v>
      </c>
      <c r="E610">
        <v>4467</v>
      </c>
      <c r="F610">
        <v>4466</v>
      </c>
      <c r="G610">
        <v>4466</v>
      </c>
      <c r="H610">
        <v>3200</v>
      </c>
    </row>
    <row r="611" spans="2:8">
      <c r="B611" t="s">
        <v>442</v>
      </c>
      <c r="C611" t="s">
        <v>19</v>
      </c>
      <c r="D611">
        <v>4466</v>
      </c>
      <c r="E611">
        <v>4467</v>
      </c>
      <c r="F611">
        <v>4465</v>
      </c>
      <c r="G611">
        <v>4466</v>
      </c>
      <c r="H611">
        <v>12200</v>
      </c>
    </row>
    <row r="612" spans="2:8">
      <c r="B612" t="s">
        <v>442</v>
      </c>
      <c r="C612" t="s">
        <v>20</v>
      </c>
      <c r="D612">
        <v>4465</v>
      </c>
      <c r="E612">
        <v>4467</v>
      </c>
      <c r="F612">
        <v>4463</v>
      </c>
      <c r="G612">
        <v>4463</v>
      </c>
      <c r="H612">
        <v>18500</v>
      </c>
    </row>
    <row r="613" spans="2:8">
      <c r="B613" t="s">
        <v>442</v>
      </c>
      <c r="C613" t="s">
        <v>21</v>
      </c>
      <c r="D613">
        <v>4464</v>
      </c>
      <c r="E613">
        <v>4465</v>
      </c>
      <c r="F613">
        <v>4464</v>
      </c>
      <c r="G613">
        <v>4464</v>
      </c>
      <c r="H613">
        <v>6200</v>
      </c>
    </row>
    <row r="614" spans="2:8">
      <c r="B614" t="s">
        <v>442</v>
      </c>
      <c r="C614" t="s">
        <v>22</v>
      </c>
      <c r="D614">
        <v>4464</v>
      </c>
      <c r="E614">
        <v>4465</v>
      </c>
      <c r="F614">
        <v>4463</v>
      </c>
      <c r="G614">
        <v>4463</v>
      </c>
      <c r="H614">
        <v>2900</v>
      </c>
    </row>
    <row r="615" spans="2:8">
      <c r="B615" t="s">
        <v>442</v>
      </c>
      <c r="C615" t="s">
        <v>23</v>
      </c>
      <c r="D615">
        <v>4464</v>
      </c>
      <c r="E615">
        <v>4466</v>
      </c>
      <c r="F615">
        <v>4464</v>
      </c>
      <c r="G615">
        <v>4464</v>
      </c>
      <c r="H615">
        <v>25000</v>
      </c>
    </row>
    <row r="616" spans="2:8">
      <c r="B616" t="s">
        <v>442</v>
      </c>
      <c r="C616" t="s">
        <v>24</v>
      </c>
      <c r="D616">
        <v>4464</v>
      </c>
      <c r="E616">
        <v>4465</v>
      </c>
      <c r="F616">
        <v>4463</v>
      </c>
      <c r="G616">
        <v>4464</v>
      </c>
      <c r="H616">
        <v>19200</v>
      </c>
    </row>
    <row r="617" spans="2:8">
      <c r="B617" t="s">
        <v>442</v>
      </c>
      <c r="C617" t="s">
        <v>25</v>
      </c>
      <c r="D617">
        <v>4465</v>
      </c>
      <c r="E617">
        <v>4469</v>
      </c>
      <c r="F617">
        <v>4464</v>
      </c>
      <c r="G617">
        <v>4468</v>
      </c>
      <c r="H617">
        <v>18800</v>
      </c>
    </row>
    <row r="618" spans="2:8">
      <c r="B618" t="s">
        <v>442</v>
      </c>
      <c r="C618" t="s">
        <v>26</v>
      </c>
      <c r="D618">
        <v>4468</v>
      </c>
      <c r="E618">
        <v>4468</v>
      </c>
      <c r="F618">
        <v>4466</v>
      </c>
      <c r="G618">
        <v>4466</v>
      </c>
      <c r="H618">
        <v>5700</v>
      </c>
    </row>
    <row r="619" spans="2:8">
      <c r="B619" t="s">
        <v>442</v>
      </c>
      <c r="C619" t="s">
        <v>27</v>
      </c>
      <c r="D619">
        <v>4466</v>
      </c>
      <c r="E619">
        <v>4466</v>
      </c>
      <c r="F619">
        <v>4465</v>
      </c>
      <c r="G619">
        <v>4466</v>
      </c>
      <c r="H619">
        <v>7300</v>
      </c>
    </row>
    <row r="620" spans="2:8">
      <c r="B620" t="s">
        <v>442</v>
      </c>
      <c r="C620" t="s">
        <v>28</v>
      </c>
      <c r="D620">
        <v>4466</v>
      </c>
      <c r="E620">
        <v>4466</v>
      </c>
      <c r="F620">
        <v>4465</v>
      </c>
      <c r="G620">
        <v>4465</v>
      </c>
      <c r="H620">
        <v>4400</v>
      </c>
    </row>
    <row r="621" spans="2:8">
      <c r="B621" t="s">
        <v>442</v>
      </c>
      <c r="C621" t="s">
        <v>29</v>
      </c>
      <c r="D621">
        <v>4465</v>
      </c>
      <c r="E621">
        <v>4469</v>
      </c>
      <c r="F621">
        <v>4465</v>
      </c>
      <c r="G621">
        <v>4469</v>
      </c>
      <c r="H621">
        <v>27700</v>
      </c>
    </row>
    <row r="622" spans="2:8">
      <c r="B622" t="s">
        <v>442</v>
      </c>
      <c r="C622" t="s">
        <v>30</v>
      </c>
      <c r="D622">
        <v>4469</v>
      </c>
      <c r="E622">
        <v>4470</v>
      </c>
      <c r="F622">
        <v>4468</v>
      </c>
      <c r="G622">
        <v>4469</v>
      </c>
      <c r="H622">
        <v>35500</v>
      </c>
    </row>
    <row r="623" spans="2:8">
      <c r="B623" t="s">
        <v>442</v>
      </c>
      <c r="C623" t="s">
        <v>31</v>
      </c>
      <c r="D623">
        <v>4470</v>
      </c>
      <c r="E623">
        <v>4470</v>
      </c>
      <c r="F623">
        <v>4469</v>
      </c>
      <c r="G623">
        <v>4469</v>
      </c>
      <c r="H623">
        <v>3600</v>
      </c>
    </row>
    <row r="624" spans="2:8">
      <c r="B624" t="s">
        <v>442</v>
      </c>
      <c r="C624" t="s">
        <v>32</v>
      </c>
      <c r="D624">
        <v>4469</v>
      </c>
      <c r="E624">
        <v>4472</v>
      </c>
      <c r="F624">
        <v>4469</v>
      </c>
      <c r="G624">
        <v>4471</v>
      </c>
      <c r="H624">
        <v>13700</v>
      </c>
    </row>
    <row r="625" spans="2:8">
      <c r="B625" t="s">
        <v>442</v>
      </c>
      <c r="C625" t="s">
        <v>33</v>
      </c>
      <c r="D625">
        <v>4472</v>
      </c>
      <c r="E625">
        <v>4473</v>
      </c>
      <c r="F625">
        <v>4471</v>
      </c>
      <c r="G625">
        <v>4471</v>
      </c>
      <c r="H625">
        <v>11800</v>
      </c>
    </row>
    <row r="626" spans="2:8">
      <c r="B626" t="s">
        <v>442</v>
      </c>
      <c r="C626" t="s">
        <v>34</v>
      </c>
      <c r="D626">
        <v>4470</v>
      </c>
      <c r="E626">
        <v>4472</v>
      </c>
      <c r="F626">
        <v>4470</v>
      </c>
      <c r="G626">
        <v>4471</v>
      </c>
      <c r="H626">
        <v>7400</v>
      </c>
    </row>
    <row r="627" spans="2:8">
      <c r="B627" t="s">
        <v>442</v>
      </c>
      <c r="C627" t="s">
        <v>35</v>
      </c>
      <c r="D627">
        <v>4472</v>
      </c>
      <c r="E627">
        <v>4474</v>
      </c>
      <c r="F627">
        <v>4470</v>
      </c>
      <c r="G627">
        <v>4473</v>
      </c>
      <c r="H627">
        <v>20000</v>
      </c>
    </row>
    <row r="628" spans="2:8">
      <c r="B628" t="s">
        <v>442</v>
      </c>
      <c r="C628" t="s">
        <v>36</v>
      </c>
      <c r="D628">
        <v>4474</v>
      </c>
      <c r="E628">
        <v>4474</v>
      </c>
      <c r="F628">
        <v>4472</v>
      </c>
      <c r="G628">
        <v>4473</v>
      </c>
      <c r="H628">
        <v>4000</v>
      </c>
    </row>
    <row r="629" spans="2:8">
      <c r="B629" t="s">
        <v>442</v>
      </c>
      <c r="C629" t="s">
        <v>37</v>
      </c>
      <c r="D629">
        <v>4473</v>
      </c>
      <c r="E629">
        <v>4473</v>
      </c>
      <c r="F629">
        <v>4470</v>
      </c>
      <c r="G629">
        <v>4472</v>
      </c>
      <c r="H629">
        <v>17600</v>
      </c>
    </row>
    <row r="630" spans="2:8">
      <c r="B630" t="s">
        <v>442</v>
      </c>
      <c r="C630" t="s">
        <v>38</v>
      </c>
      <c r="D630">
        <v>4472</v>
      </c>
      <c r="E630">
        <v>4474</v>
      </c>
      <c r="F630">
        <v>4471</v>
      </c>
      <c r="G630">
        <v>4471</v>
      </c>
      <c r="H630">
        <v>18700</v>
      </c>
    </row>
    <row r="631" spans="2:8">
      <c r="B631" t="s">
        <v>442</v>
      </c>
      <c r="C631" t="s">
        <v>39</v>
      </c>
      <c r="D631">
        <v>4471</v>
      </c>
      <c r="E631">
        <v>4471</v>
      </c>
      <c r="F631">
        <v>4469</v>
      </c>
      <c r="G631">
        <v>4471</v>
      </c>
      <c r="H631">
        <v>16800</v>
      </c>
    </row>
    <row r="632" spans="2:8">
      <c r="B632" t="s">
        <v>442</v>
      </c>
      <c r="C632" t="s">
        <v>40</v>
      </c>
      <c r="D632">
        <v>4470</v>
      </c>
      <c r="E632">
        <v>4471</v>
      </c>
      <c r="F632">
        <v>4469</v>
      </c>
      <c r="G632">
        <v>4469</v>
      </c>
      <c r="H632">
        <v>10400</v>
      </c>
    </row>
    <row r="633" spans="2:8">
      <c r="B633" t="s">
        <v>442</v>
      </c>
      <c r="C633" t="s">
        <v>41</v>
      </c>
      <c r="D633">
        <v>4469</v>
      </c>
      <c r="E633">
        <v>4469</v>
      </c>
      <c r="F633">
        <v>4469</v>
      </c>
      <c r="G633">
        <v>4469</v>
      </c>
      <c r="H633">
        <v>5600</v>
      </c>
    </row>
    <row r="634" spans="2:8">
      <c r="B634" t="s">
        <v>442</v>
      </c>
      <c r="C634" t="s">
        <v>42</v>
      </c>
      <c r="D634">
        <v>4469</v>
      </c>
      <c r="E634">
        <v>4470</v>
      </c>
      <c r="F634">
        <v>4468</v>
      </c>
      <c r="G634">
        <v>4468</v>
      </c>
      <c r="H634">
        <v>4300</v>
      </c>
    </row>
    <row r="635" spans="2:8">
      <c r="B635" t="s">
        <v>442</v>
      </c>
      <c r="C635" t="s">
        <v>43</v>
      </c>
      <c r="D635">
        <v>4468</v>
      </c>
      <c r="E635">
        <v>4473</v>
      </c>
      <c r="F635">
        <v>4468</v>
      </c>
      <c r="G635">
        <v>4472</v>
      </c>
      <c r="H635">
        <v>21100</v>
      </c>
    </row>
    <row r="636" spans="2:8">
      <c r="B636" t="s">
        <v>442</v>
      </c>
      <c r="C636" t="s">
        <v>44</v>
      </c>
      <c r="D636">
        <v>4472</v>
      </c>
      <c r="E636">
        <v>4475</v>
      </c>
      <c r="F636">
        <v>4472</v>
      </c>
      <c r="G636">
        <v>4474</v>
      </c>
      <c r="H636">
        <v>16100</v>
      </c>
    </row>
    <row r="637" spans="2:8">
      <c r="B637" t="s">
        <v>442</v>
      </c>
      <c r="C637" t="s">
        <v>45</v>
      </c>
      <c r="D637">
        <v>4475</v>
      </c>
      <c r="E637">
        <v>4476</v>
      </c>
      <c r="F637">
        <v>4472</v>
      </c>
      <c r="G637">
        <v>4472</v>
      </c>
      <c r="H637">
        <v>34100</v>
      </c>
    </row>
    <row r="638" spans="2:8">
      <c r="B638" t="s">
        <v>442</v>
      </c>
      <c r="C638" t="s">
        <v>46</v>
      </c>
      <c r="D638">
        <v>4472</v>
      </c>
      <c r="E638">
        <v>4473</v>
      </c>
      <c r="F638">
        <v>4470</v>
      </c>
      <c r="G638">
        <v>4471</v>
      </c>
      <c r="H638">
        <v>10400</v>
      </c>
    </row>
    <row r="639" spans="2:8">
      <c r="B639" t="s">
        <v>442</v>
      </c>
      <c r="C639" t="s">
        <v>47</v>
      </c>
      <c r="D639">
        <v>4470</v>
      </c>
      <c r="E639">
        <v>4470</v>
      </c>
      <c r="F639">
        <v>4467</v>
      </c>
      <c r="G639">
        <v>4469</v>
      </c>
      <c r="H639">
        <v>30000</v>
      </c>
    </row>
    <row r="640" spans="2:8">
      <c r="B640" t="s">
        <v>442</v>
      </c>
      <c r="C640" t="s">
        <v>48</v>
      </c>
      <c r="D640">
        <v>4469</v>
      </c>
      <c r="E640">
        <v>4469</v>
      </c>
      <c r="F640">
        <v>4468</v>
      </c>
      <c r="G640">
        <v>4469</v>
      </c>
      <c r="H640">
        <v>2100</v>
      </c>
    </row>
    <row r="641" spans="2:8">
      <c r="B641" t="s">
        <v>442</v>
      </c>
      <c r="C641" t="s">
        <v>49</v>
      </c>
      <c r="D641">
        <v>4469</v>
      </c>
      <c r="E641">
        <v>4470</v>
      </c>
      <c r="F641">
        <v>4469</v>
      </c>
      <c r="G641">
        <v>4470</v>
      </c>
      <c r="H641">
        <v>9200</v>
      </c>
    </row>
    <row r="642" spans="2:8">
      <c r="B642" t="s">
        <v>442</v>
      </c>
      <c r="C642" t="s">
        <v>50</v>
      </c>
      <c r="D642">
        <v>4470</v>
      </c>
      <c r="E642">
        <v>4475</v>
      </c>
      <c r="F642">
        <v>4469</v>
      </c>
      <c r="G642">
        <v>4471</v>
      </c>
      <c r="H642">
        <v>30300</v>
      </c>
    </row>
    <row r="643" spans="2:8">
      <c r="B643" t="s">
        <v>442</v>
      </c>
      <c r="C643" t="s">
        <v>51</v>
      </c>
      <c r="D643">
        <v>4470</v>
      </c>
      <c r="E643">
        <v>4471</v>
      </c>
      <c r="F643">
        <v>4469</v>
      </c>
      <c r="G643">
        <v>4470</v>
      </c>
      <c r="H643">
        <v>13000</v>
      </c>
    </row>
    <row r="644" spans="2:8">
      <c r="B644" t="s">
        <v>442</v>
      </c>
      <c r="C644" t="s">
        <v>52</v>
      </c>
      <c r="D644">
        <v>4470</v>
      </c>
      <c r="E644">
        <v>4470</v>
      </c>
      <c r="F644">
        <v>4469</v>
      </c>
      <c r="G644">
        <v>4470</v>
      </c>
      <c r="H644">
        <v>6600</v>
      </c>
    </row>
    <row r="645" spans="2:8">
      <c r="B645" t="s">
        <v>442</v>
      </c>
      <c r="C645" t="s">
        <v>53</v>
      </c>
      <c r="D645">
        <v>4469</v>
      </c>
      <c r="E645">
        <v>4470</v>
      </c>
      <c r="F645">
        <v>4469</v>
      </c>
      <c r="G645">
        <v>4469</v>
      </c>
      <c r="H645">
        <v>13100</v>
      </c>
    </row>
    <row r="646" spans="2:8">
      <c r="B646" t="s">
        <v>442</v>
      </c>
      <c r="C646" t="s">
        <v>54</v>
      </c>
      <c r="D646">
        <v>4470</v>
      </c>
      <c r="E646">
        <v>4474</v>
      </c>
      <c r="F646">
        <v>4470</v>
      </c>
      <c r="G646">
        <v>4473</v>
      </c>
      <c r="H646">
        <v>30900</v>
      </c>
    </row>
    <row r="647" spans="2:8">
      <c r="B647" t="s">
        <v>442</v>
      </c>
      <c r="C647" t="s">
        <v>55</v>
      </c>
      <c r="D647">
        <v>4473</v>
      </c>
      <c r="E647">
        <v>4473</v>
      </c>
      <c r="F647">
        <v>4471</v>
      </c>
      <c r="G647">
        <v>4473</v>
      </c>
      <c r="H647">
        <v>28700</v>
      </c>
    </row>
    <row r="648" spans="2:8">
      <c r="B648" t="s">
        <v>442</v>
      </c>
      <c r="C648" t="s">
        <v>56</v>
      </c>
      <c r="D648">
        <v>4472</v>
      </c>
      <c r="E648">
        <v>4472</v>
      </c>
      <c r="F648">
        <v>4471</v>
      </c>
      <c r="G648">
        <v>4472</v>
      </c>
      <c r="H648">
        <v>6500</v>
      </c>
    </row>
    <row r="649" spans="2:8">
      <c r="B649" t="s">
        <v>442</v>
      </c>
      <c r="C649" t="s">
        <v>57</v>
      </c>
      <c r="D649">
        <v>4471</v>
      </c>
      <c r="E649">
        <v>4472</v>
      </c>
      <c r="F649">
        <v>4470</v>
      </c>
      <c r="G649">
        <v>4470</v>
      </c>
      <c r="H649">
        <v>15700</v>
      </c>
    </row>
    <row r="650" spans="2:8">
      <c r="B650" t="s">
        <v>442</v>
      </c>
      <c r="C650" t="s">
        <v>58</v>
      </c>
      <c r="D650">
        <v>4470</v>
      </c>
      <c r="E650">
        <v>4472</v>
      </c>
      <c r="F650">
        <v>4469</v>
      </c>
      <c r="G650">
        <v>4469</v>
      </c>
      <c r="H650">
        <v>19800</v>
      </c>
    </row>
    <row r="651" spans="2:8">
      <c r="B651" t="s">
        <v>442</v>
      </c>
      <c r="C651" t="s">
        <v>59</v>
      </c>
      <c r="D651">
        <v>4469</v>
      </c>
      <c r="E651">
        <v>4470</v>
      </c>
      <c r="F651">
        <v>4468</v>
      </c>
      <c r="G651">
        <v>4468</v>
      </c>
      <c r="H651">
        <v>18000</v>
      </c>
    </row>
    <row r="652" spans="2:8">
      <c r="B652" t="s">
        <v>442</v>
      </c>
      <c r="C652" t="s">
        <v>60</v>
      </c>
      <c r="D652">
        <v>4468</v>
      </c>
      <c r="E652">
        <v>4468</v>
      </c>
      <c r="F652">
        <v>4467</v>
      </c>
      <c r="G652">
        <v>4467</v>
      </c>
      <c r="H652">
        <v>7000</v>
      </c>
    </row>
    <row r="653" spans="2:8">
      <c r="B653" t="s">
        <v>442</v>
      </c>
      <c r="C653" t="s">
        <v>61</v>
      </c>
      <c r="D653">
        <v>4467</v>
      </c>
      <c r="E653">
        <v>4468</v>
      </c>
      <c r="F653">
        <v>4464</v>
      </c>
      <c r="G653">
        <v>4466</v>
      </c>
      <c r="H653">
        <v>71600</v>
      </c>
    </row>
    <row r="654" spans="2:8">
      <c r="B654" t="s">
        <v>442</v>
      </c>
      <c r="C654" t="s">
        <v>62</v>
      </c>
      <c r="D654">
        <v>4465</v>
      </c>
      <c r="E654">
        <v>4467</v>
      </c>
      <c r="F654">
        <v>4465</v>
      </c>
      <c r="G654">
        <v>4466</v>
      </c>
      <c r="H654">
        <v>9600</v>
      </c>
    </row>
    <row r="655" spans="2:8">
      <c r="B655" t="s">
        <v>442</v>
      </c>
      <c r="C655" t="s">
        <v>63</v>
      </c>
      <c r="D655">
        <v>4467</v>
      </c>
      <c r="E655">
        <v>4472</v>
      </c>
      <c r="F655">
        <v>4466</v>
      </c>
      <c r="G655">
        <v>4472</v>
      </c>
      <c r="H655">
        <v>36700</v>
      </c>
    </row>
    <row r="656" spans="2:8">
      <c r="B656" t="s">
        <v>442</v>
      </c>
      <c r="C656" t="s">
        <v>64</v>
      </c>
      <c r="D656">
        <v>4471</v>
      </c>
      <c r="E656">
        <v>4476</v>
      </c>
      <c r="F656">
        <v>4471</v>
      </c>
      <c r="G656">
        <v>4475</v>
      </c>
      <c r="H656">
        <v>34500</v>
      </c>
    </row>
    <row r="657" spans="2:8">
      <c r="B657" t="s">
        <v>442</v>
      </c>
      <c r="C657" t="s">
        <v>65</v>
      </c>
      <c r="D657">
        <v>4474</v>
      </c>
      <c r="E657">
        <v>4475</v>
      </c>
      <c r="F657">
        <v>4471</v>
      </c>
      <c r="G657">
        <v>4472</v>
      </c>
      <c r="H657">
        <v>32100</v>
      </c>
    </row>
    <row r="658" spans="2:8">
      <c r="B658" t="s">
        <v>442</v>
      </c>
      <c r="C658" t="s">
        <v>66</v>
      </c>
      <c r="D658">
        <v>4472</v>
      </c>
      <c r="E658">
        <v>4472</v>
      </c>
      <c r="F658">
        <v>4469</v>
      </c>
      <c r="G658">
        <v>4470</v>
      </c>
      <c r="H658">
        <v>34500</v>
      </c>
    </row>
    <row r="659" spans="2:8">
      <c r="B659" t="s">
        <v>442</v>
      </c>
      <c r="C659" t="s">
        <v>164</v>
      </c>
      <c r="D659">
        <v>4470</v>
      </c>
      <c r="E659">
        <v>4471</v>
      </c>
      <c r="F659">
        <v>4469</v>
      </c>
      <c r="G659">
        <v>4469</v>
      </c>
      <c r="H659">
        <v>22800</v>
      </c>
    </row>
    <row r="660" spans="2:8">
      <c r="B660" t="s">
        <v>442</v>
      </c>
      <c r="C660" t="s">
        <v>165</v>
      </c>
      <c r="D660">
        <v>4469</v>
      </c>
      <c r="E660">
        <v>4470</v>
      </c>
      <c r="F660">
        <v>4466</v>
      </c>
      <c r="G660">
        <v>4468</v>
      </c>
      <c r="H660">
        <v>48500</v>
      </c>
    </row>
    <row r="661" spans="2:8">
      <c r="B661" t="s">
        <v>442</v>
      </c>
      <c r="C661" t="s">
        <v>67</v>
      </c>
      <c r="D661" t="s">
        <v>8</v>
      </c>
      <c r="E661" t="s">
        <v>8</v>
      </c>
      <c r="F661" t="s">
        <v>8</v>
      </c>
      <c r="G661" t="s">
        <v>8</v>
      </c>
      <c r="H661">
        <v>0</v>
      </c>
    </row>
    <row r="662" spans="2:8">
      <c r="B662" t="s">
        <v>442</v>
      </c>
      <c r="C662" t="s">
        <v>68</v>
      </c>
      <c r="D662" t="s">
        <v>8</v>
      </c>
      <c r="E662" t="s">
        <v>8</v>
      </c>
      <c r="F662" t="s">
        <v>8</v>
      </c>
      <c r="G662" t="s">
        <v>8</v>
      </c>
      <c r="H662">
        <v>0</v>
      </c>
    </row>
    <row r="663" spans="2:8">
      <c r="B663" t="s">
        <v>442</v>
      </c>
      <c r="C663" t="s">
        <v>69</v>
      </c>
      <c r="D663" t="s">
        <v>8</v>
      </c>
      <c r="E663" t="s">
        <v>8</v>
      </c>
      <c r="F663" t="s">
        <v>8</v>
      </c>
      <c r="G663" t="s">
        <v>8</v>
      </c>
      <c r="H663">
        <v>0</v>
      </c>
    </row>
    <row r="664" spans="2:8">
      <c r="B664" t="s">
        <v>442</v>
      </c>
      <c r="C664" t="s">
        <v>70</v>
      </c>
      <c r="D664" t="s">
        <v>8</v>
      </c>
      <c r="E664" t="s">
        <v>8</v>
      </c>
      <c r="F664" t="s">
        <v>8</v>
      </c>
      <c r="G664" t="s">
        <v>8</v>
      </c>
      <c r="H664">
        <v>0</v>
      </c>
    </row>
    <row r="665" spans="2:8">
      <c r="B665" t="s">
        <v>442</v>
      </c>
      <c r="C665" t="s">
        <v>71</v>
      </c>
      <c r="D665" t="s">
        <v>8</v>
      </c>
      <c r="E665" t="s">
        <v>8</v>
      </c>
      <c r="F665" t="s">
        <v>8</v>
      </c>
      <c r="G665" t="s">
        <v>8</v>
      </c>
      <c r="H665">
        <v>0</v>
      </c>
    </row>
    <row r="666" spans="2:8">
      <c r="B666" t="s">
        <v>442</v>
      </c>
      <c r="C666" t="s">
        <v>72</v>
      </c>
      <c r="D666">
        <v>4457</v>
      </c>
      <c r="E666">
        <v>4457</v>
      </c>
      <c r="F666">
        <v>4457</v>
      </c>
      <c r="G666">
        <v>4457</v>
      </c>
      <c r="H666">
        <v>4105900</v>
      </c>
    </row>
    <row r="667" spans="2:8">
      <c r="B667" t="s">
        <v>443</v>
      </c>
      <c r="C667" t="s">
        <v>166</v>
      </c>
      <c r="D667">
        <v>4497</v>
      </c>
      <c r="E667">
        <v>4522</v>
      </c>
      <c r="F667">
        <v>4487</v>
      </c>
      <c r="G667">
        <v>4520</v>
      </c>
      <c r="H667">
        <v>680900</v>
      </c>
    </row>
    <row r="668" spans="2:8">
      <c r="B668" t="s">
        <v>443</v>
      </c>
      <c r="C668" t="s">
        <v>167</v>
      </c>
      <c r="D668">
        <v>4520</v>
      </c>
      <c r="E668">
        <v>4520</v>
      </c>
      <c r="F668">
        <v>4506</v>
      </c>
      <c r="G668">
        <v>4517</v>
      </c>
      <c r="H668">
        <v>64300</v>
      </c>
    </row>
    <row r="669" spans="2:8">
      <c r="B669" t="s">
        <v>443</v>
      </c>
      <c r="C669" t="s">
        <v>168</v>
      </c>
      <c r="D669">
        <v>4515</v>
      </c>
      <c r="E669">
        <v>4528</v>
      </c>
      <c r="F669">
        <v>4513</v>
      </c>
      <c r="G669">
        <v>4522</v>
      </c>
      <c r="H669">
        <v>56400</v>
      </c>
    </row>
    <row r="670" spans="2:8">
      <c r="B670" t="s">
        <v>443</v>
      </c>
      <c r="C670" t="s">
        <v>169</v>
      </c>
      <c r="D670">
        <v>4524</v>
      </c>
      <c r="E670">
        <v>4524</v>
      </c>
      <c r="F670">
        <v>4508</v>
      </c>
      <c r="G670">
        <v>4511</v>
      </c>
      <c r="H670">
        <v>51200</v>
      </c>
    </row>
    <row r="671" spans="2:8">
      <c r="B671" t="s">
        <v>443</v>
      </c>
      <c r="C671" t="s">
        <v>170</v>
      </c>
      <c r="D671">
        <v>4511</v>
      </c>
      <c r="E671">
        <v>4521</v>
      </c>
      <c r="F671">
        <v>4510</v>
      </c>
      <c r="G671">
        <v>4517</v>
      </c>
      <c r="H671">
        <v>33900</v>
      </c>
    </row>
    <row r="672" spans="2:8">
      <c r="B672" t="s">
        <v>443</v>
      </c>
      <c r="C672" t="s">
        <v>171</v>
      </c>
      <c r="D672">
        <v>4518</v>
      </c>
      <c r="E672">
        <v>4523</v>
      </c>
      <c r="F672">
        <v>4513</v>
      </c>
      <c r="G672">
        <v>4520</v>
      </c>
      <c r="H672">
        <v>40900</v>
      </c>
    </row>
    <row r="673" spans="2:8">
      <c r="B673" t="s">
        <v>443</v>
      </c>
      <c r="C673" t="s">
        <v>172</v>
      </c>
      <c r="D673">
        <v>4517</v>
      </c>
      <c r="E673">
        <v>4524</v>
      </c>
      <c r="F673">
        <v>4512</v>
      </c>
      <c r="G673">
        <v>4513</v>
      </c>
      <c r="H673">
        <v>28900</v>
      </c>
    </row>
    <row r="674" spans="2:8">
      <c r="B674" t="s">
        <v>443</v>
      </c>
      <c r="C674" t="s">
        <v>173</v>
      </c>
      <c r="D674">
        <v>4514</v>
      </c>
      <c r="E674">
        <v>4518</v>
      </c>
      <c r="F674">
        <v>4508</v>
      </c>
      <c r="G674">
        <v>4513</v>
      </c>
      <c r="H674">
        <v>41200</v>
      </c>
    </row>
    <row r="675" spans="2:8">
      <c r="B675" t="s">
        <v>443</v>
      </c>
      <c r="C675" t="s">
        <v>174</v>
      </c>
      <c r="D675">
        <v>4512</v>
      </c>
      <c r="E675">
        <v>4514</v>
      </c>
      <c r="F675">
        <v>4501</v>
      </c>
      <c r="G675">
        <v>4502</v>
      </c>
      <c r="H675">
        <v>30400</v>
      </c>
    </row>
    <row r="676" spans="2:8">
      <c r="B676" t="s">
        <v>443</v>
      </c>
      <c r="C676" t="s">
        <v>175</v>
      </c>
      <c r="D676">
        <v>4502</v>
      </c>
      <c r="E676">
        <v>4512</v>
      </c>
      <c r="F676">
        <v>4500</v>
      </c>
      <c r="G676">
        <v>4508</v>
      </c>
      <c r="H676">
        <v>29000</v>
      </c>
    </row>
    <row r="677" spans="2:8">
      <c r="B677" t="s">
        <v>443</v>
      </c>
      <c r="C677" t="s">
        <v>176</v>
      </c>
      <c r="D677">
        <v>4508</v>
      </c>
      <c r="E677">
        <v>4519</v>
      </c>
      <c r="F677">
        <v>4506</v>
      </c>
      <c r="G677">
        <v>4513</v>
      </c>
      <c r="H677">
        <v>33100</v>
      </c>
    </row>
    <row r="678" spans="2:8">
      <c r="B678" t="s">
        <v>443</v>
      </c>
      <c r="C678" t="s">
        <v>177</v>
      </c>
      <c r="D678">
        <v>4513</v>
      </c>
      <c r="E678">
        <v>4524</v>
      </c>
      <c r="F678">
        <v>4508</v>
      </c>
      <c r="G678">
        <v>4524</v>
      </c>
      <c r="H678">
        <v>28500</v>
      </c>
    </row>
    <row r="679" spans="2:8">
      <c r="B679" t="s">
        <v>443</v>
      </c>
      <c r="C679" t="s">
        <v>178</v>
      </c>
      <c r="D679">
        <v>4524</v>
      </c>
      <c r="E679">
        <v>4551</v>
      </c>
      <c r="F679">
        <v>4523</v>
      </c>
      <c r="G679">
        <v>4546</v>
      </c>
      <c r="H679">
        <v>108400</v>
      </c>
    </row>
    <row r="680" spans="2:8">
      <c r="B680" t="s">
        <v>443</v>
      </c>
      <c r="C680" t="s">
        <v>179</v>
      </c>
      <c r="D680">
        <v>4547</v>
      </c>
      <c r="E680">
        <v>4550</v>
      </c>
      <c r="F680">
        <v>4545</v>
      </c>
      <c r="G680">
        <v>4548</v>
      </c>
      <c r="H680">
        <v>25300</v>
      </c>
    </row>
    <row r="681" spans="2:8">
      <c r="B681" t="s">
        <v>443</v>
      </c>
      <c r="C681" t="s">
        <v>180</v>
      </c>
      <c r="D681">
        <v>4547</v>
      </c>
      <c r="E681">
        <v>4549</v>
      </c>
      <c r="F681">
        <v>4537</v>
      </c>
      <c r="G681">
        <v>4540</v>
      </c>
      <c r="H681">
        <v>39100</v>
      </c>
    </row>
    <row r="682" spans="2:8">
      <c r="B682" t="s">
        <v>443</v>
      </c>
      <c r="C682" t="s">
        <v>181</v>
      </c>
      <c r="D682">
        <v>4539</v>
      </c>
      <c r="E682">
        <v>4541</v>
      </c>
      <c r="F682">
        <v>4532</v>
      </c>
      <c r="G682">
        <v>4541</v>
      </c>
      <c r="H682">
        <v>50900</v>
      </c>
    </row>
    <row r="683" spans="2:8">
      <c r="B683" t="s">
        <v>443</v>
      </c>
      <c r="C683" t="s">
        <v>182</v>
      </c>
      <c r="D683">
        <v>4539</v>
      </c>
      <c r="E683">
        <v>4539</v>
      </c>
      <c r="F683">
        <v>4535</v>
      </c>
      <c r="G683">
        <v>4535</v>
      </c>
      <c r="H683">
        <v>25100</v>
      </c>
    </row>
    <row r="684" spans="2:8">
      <c r="B684" t="s">
        <v>443</v>
      </c>
      <c r="C684" t="s">
        <v>183</v>
      </c>
      <c r="D684">
        <v>4536</v>
      </c>
      <c r="E684">
        <v>4540</v>
      </c>
      <c r="F684">
        <v>4535</v>
      </c>
      <c r="G684">
        <v>4535</v>
      </c>
      <c r="H684">
        <v>25700</v>
      </c>
    </row>
    <row r="685" spans="2:8">
      <c r="B685" t="s">
        <v>443</v>
      </c>
      <c r="C685" t="s">
        <v>184</v>
      </c>
      <c r="D685">
        <v>4536</v>
      </c>
      <c r="E685">
        <v>4538</v>
      </c>
      <c r="F685">
        <v>4529</v>
      </c>
      <c r="G685">
        <v>4533</v>
      </c>
      <c r="H685">
        <v>36100</v>
      </c>
    </row>
    <row r="686" spans="2:8">
      <c r="B686" t="s">
        <v>443</v>
      </c>
      <c r="C686" t="s">
        <v>185</v>
      </c>
      <c r="D686">
        <v>4534</v>
      </c>
      <c r="E686">
        <v>4537</v>
      </c>
      <c r="F686">
        <v>4530</v>
      </c>
      <c r="G686">
        <v>4531</v>
      </c>
      <c r="H686">
        <v>41300</v>
      </c>
    </row>
    <row r="687" spans="2:8">
      <c r="B687" t="s">
        <v>443</v>
      </c>
      <c r="C687" t="s">
        <v>186</v>
      </c>
      <c r="D687">
        <v>4533</v>
      </c>
      <c r="E687">
        <v>4541</v>
      </c>
      <c r="F687">
        <v>4532</v>
      </c>
      <c r="G687">
        <v>4532</v>
      </c>
      <c r="H687">
        <v>39800</v>
      </c>
    </row>
    <row r="688" spans="2:8">
      <c r="B688" t="s">
        <v>443</v>
      </c>
      <c r="C688" t="s">
        <v>187</v>
      </c>
      <c r="D688">
        <v>4532</v>
      </c>
      <c r="E688">
        <v>4534</v>
      </c>
      <c r="F688">
        <v>4530</v>
      </c>
      <c r="G688">
        <v>4531</v>
      </c>
      <c r="H688">
        <v>10100</v>
      </c>
    </row>
    <row r="689" spans="2:8">
      <c r="B689" t="s">
        <v>443</v>
      </c>
      <c r="C689" t="s">
        <v>188</v>
      </c>
      <c r="D689">
        <v>4531</v>
      </c>
      <c r="E689">
        <v>4533</v>
      </c>
      <c r="F689">
        <v>4529</v>
      </c>
      <c r="G689">
        <v>4531</v>
      </c>
      <c r="H689">
        <v>21500</v>
      </c>
    </row>
    <row r="690" spans="2:8">
      <c r="B690" t="s">
        <v>443</v>
      </c>
      <c r="C690" t="s">
        <v>189</v>
      </c>
      <c r="D690">
        <v>4530</v>
      </c>
      <c r="E690">
        <v>4531</v>
      </c>
      <c r="F690">
        <v>4528</v>
      </c>
      <c r="G690">
        <v>4531</v>
      </c>
      <c r="H690">
        <v>16700</v>
      </c>
    </row>
    <row r="691" spans="2:8">
      <c r="B691" t="s">
        <v>443</v>
      </c>
      <c r="C691" t="s">
        <v>190</v>
      </c>
      <c r="D691">
        <v>4529</v>
      </c>
      <c r="E691">
        <v>4531</v>
      </c>
      <c r="F691">
        <v>4524</v>
      </c>
      <c r="G691">
        <v>4526</v>
      </c>
      <c r="H691">
        <v>34600</v>
      </c>
    </row>
    <row r="692" spans="2:8">
      <c r="B692" t="s">
        <v>443</v>
      </c>
      <c r="C692" t="s">
        <v>191</v>
      </c>
      <c r="D692">
        <v>4526</v>
      </c>
      <c r="E692">
        <v>4529</v>
      </c>
      <c r="F692">
        <v>4522</v>
      </c>
      <c r="G692">
        <v>4522</v>
      </c>
      <c r="H692">
        <v>21400</v>
      </c>
    </row>
    <row r="693" spans="2:8">
      <c r="B693" t="s">
        <v>443</v>
      </c>
      <c r="C693" t="s">
        <v>192</v>
      </c>
      <c r="D693">
        <v>4524</v>
      </c>
      <c r="E693">
        <v>4535</v>
      </c>
      <c r="F693">
        <v>4523</v>
      </c>
      <c r="G693">
        <v>4535</v>
      </c>
      <c r="H693">
        <v>31400</v>
      </c>
    </row>
    <row r="694" spans="2:8">
      <c r="B694" t="s">
        <v>443</v>
      </c>
      <c r="C694" t="s">
        <v>193</v>
      </c>
      <c r="D694">
        <v>4533</v>
      </c>
      <c r="E694">
        <v>4537</v>
      </c>
      <c r="F694">
        <v>4532</v>
      </c>
      <c r="G694">
        <v>4537</v>
      </c>
      <c r="H694">
        <v>14500</v>
      </c>
    </row>
    <row r="695" spans="2:8">
      <c r="B695" t="s">
        <v>443</v>
      </c>
      <c r="C695" t="s">
        <v>194</v>
      </c>
      <c r="D695">
        <v>4536</v>
      </c>
      <c r="E695">
        <v>4545</v>
      </c>
      <c r="F695">
        <v>4536</v>
      </c>
      <c r="G695">
        <v>4545</v>
      </c>
      <c r="H695">
        <v>19400</v>
      </c>
    </row>
    <row r="696" spans="2:8">
      <c r="B696" t="s">
        <v>443</v>
      </c>
      <c r="C696" t="s">
        <v>195</v>
      </c>
      <c r="D696">
        <v>4543</v>
      </c>
      <c r="E696">
        <v>4547</v>
      </c>
      <c r="F696">
        <v>4542</v>
      </c>
      <c r="G696">
        <v>4545</v>
      </c>
      <c r="H696">
        <v>32700</v>
      </c>
    </row>
    <row r="697" spans="2:8">
      <c r="B697" t="s">
        <v>443</v>
      </c>
      <c r="C697" t="s">
        <v>196</v>
      </c>
      <c r="D697">
        <v>4547</v>
      </c>
      <c r="E697">
        <v>4549</v>
      </c>
      <c r="F697">
        <v>4544</v>
      </c>
      <c r="G697">
        <v>4548</v>
      </c>
      <c r="H697">
        <v>17500</v>
      </c>
    </row>
    <row r="698" spans="2:8">
      <c r="B698" t="s">
        <v>443</v>
      </c>
      <c r="C698" t="s">
        <v>197</v>
      </c>
      <c r="D698">
        <v>4547</v>
      </c>
      <c r="E698">
        <v>4547</v>
      </c>
      <c r="F698">
        <v>4544</v>
      </c>
      <c r="G698">
        <v>4547</v>
      </c>
      <c r="H698">
        <v>14900</v>
      </c>
    </row>
    <row r="699" spans="2:8">
      <c r="B699" t="s">
        <v>443</v>
      </c>
      <c r="C699" t="s">
        <v>198</v>
      </c>
      <c r="D699">
        <v>4546</v>
      </c>
      <c r="E699">
        <v>4555</v>
      </c>
      <c r="F699">
        <v>4546</v>
      </c>
      <c r="G699">
        <v>4555</v>
      </c>
      <c r="H699">
        <v>50800</v>
      </c>
    </row>
    <row r="700" spans="2:8">
      <c r="B700" t="s">
        <v>443</v>
      </c>
      <c r="C700" t="s">
        <v>199</v>
      </c>
      <c r="D700">
        <v>4556</v>
      </c>
      <c r="E700">
        <v>4556</v>
      </c>
      <c r="F700">
        <v>4552</v>
      </c>
      <c r="G700">
        <v>4553</v>
      </c>
      <c r="H700">
        <v>11300</v>
      </c>
    </row>
    <row r="701" spans="2:8">
      <c r="B701" t="s">
        <v>443</v>
      </c>
      <c r="C701" t="s">
        <v>200</v>
      </c>
      <c r="D701">
        <v>4554</v>
      </c>
      <c r="E701">
        <v>4558</v>
      </c>
      <c r="F701">
        <v>4552</v>
      </c>
      <c r="G701">
        <v>4555</v>
      </c>
      <c r="H701">
        <v>15300</v>
      </c>
    </row>
    <row r="702" spans="2:8">
      <c r="B702" t="s">
        <v>443</v>
      </c>
      <c r="C702" t="s">
        <v>201</v>
      </c>
      <c r="D702">
        <v>4555</v>
      </c>
      <c r="E702">
        <v>4559</v>
      </c>
      <c r="F702">
        <v>4553</v>
      </c>
      <c r="G702">
        <v>4555</v>
      </c>
      <c r="H702">
        <v>22200</v>
      </c>
    </row>
    <row r="703" spans="2:8">
      <c r="B703" t="s">
        <v>443</v>
      </c>
      <c r="C703" t="s">
        <v>202</v>
      </c>
      <c r="D703">
        <v>4554</v>
      </c>
      <c r="E703">
        <v>4557</v>
      </c>
      <c r="F703">
        <v>4552</v>
      </c>
      <c r="G703">
        <v>4554</v>
      </c>
      <c r="H703">
        <v>20700</v>
      </c>
    </row>
    <row r="704" spans="2:8">
      <c r="B704" t="s">
        <v>443</v>
      </c>
      <c r="C704" t="s">
        <v>203</v>
      </c>
      <c r="D704">
        <v>4555</v>
      </c>
      <c r="E704">
        <v>4557</v>
      </c>
      <c r="F704">
        <v>4553</v>
      </c>
      <c r="G704">
        <v>4553</v>
      </c>
      <c r="H704">
        <v>13600</v>
      </c>
    </row>
    <row r="705" spans="2:8">
      <c r="B705" t="s">
        <v>443</v>
      </c>
      <c r="C705" t="s">
        <v>204</v>
      </c>
      <c r="D705">
        <v>4552</v>
      </c>
      <c r="E705">
        <v>4552</v>
      </c>
      <c r="F705">
        <v>4546</v>
      </c>
      <c r="G705">
        <v>4548</v>
      </c>
      <c r="H705">
        <v>24200</v>
      </c>
    </row>
    <row r="706" spans="2:8">
      <c r="B706" t="s">
        <v>443</v>
      </c>
      <c r="C706" t="s">
        <v>205</v>
      </c>
      <c r="D706">
        <v>4549</v>
      </c>
      <c r="E706">
        <v>4554</v>
      </c>
      <c r="F706">
        <v>4548</v>
      </c>
      <c r="G706">
        <v>4548</v>
      </c>
      <c r="H706">
        <v>20100</v>
      </c>
    </row>
    <row r="707" spans="2:8">
      <c r="B707" t="s">
        <v>443</v>
      </c>
      <c r="C707" t="s">
        <v>206</v>
      </c>
      <c r="D707">
        <v>4548</v>
      </c>
      <c r="E707">
        <v>4548</v>
      </c>
      <c r="F707">
        <v>4544</v>
      </c>
      <c r="G707">
        <v>4544</v>
      </c>
      <c r="H707">
        <v>12000</v>
      </c>
    </row>
    <row r="708" spans="2:8">
      <c r="B708" t="s">
        <v>443</v>
      </c>
      <c r="C708" t="s">
        <v>207</v>
      </c>
      <c r="D708">
        <v>4545</v>
      </c>
      <c r="E708">
        <v>4547</v>
      </c>
      <c r="F708">
        <v>4544</v>
      </c>
      <c r="G708">
        <v>4544</v>
      </c>
      <c r="H708">
        <v>12100</v>
      </c>
    </row>
    <row r="709" spans="2:8">
      <c r="B709" t="s">
        <v>443</v>
      </c>
      <c r="C709" t="s">
        <v>208</v>
      </c>
      <c r="D709">
        <v>4545</v>
      </c>
      <c r="E709">
        <v>4546</v>
      </c>
      <c r="F709">
        <v>4541</v>
      </c>
      <c r="G709">
        <v>4543</v>
      </c>
      <c r="H709">
        <v>18300</v>
      </c>
    </row>
    <row r="710" spans="2:8">
      <c r="B710" t="s">
        <v>443</v>
      </c>
      <c r="C710" t="s">
        <v>209</v>
      </c>
      <c r="D710">
        <v>4544</v>
      </c>
      <c r="E710">
        <v>4546</v>
      </c>
      <c r="F710">
        <v>4536</v>
      </c>
      <c r="G710">
        <v>4537</v>
      </c>
      <c r="H710">
        <v>21300</v>
      </c>
    </row>
    <row r="711" spans="2:8">
      <c r="B711" t="s">
        <v>443</v>
      </c>
      <c r="C711" t="s">
        <v>210</v>
      </c>
      <c r="D711">
        <v>4536</v>
      </c>
      <c r="E711">
        <v>4537</v>
      </c>
      <c r="F711">
        <v>4534</v>
      </c>
      <c r="G711">
        <v>4537</v>
      </c>
      <c r="H711">
        <v>14200</v>
      </c>
    </row>
    <row r="712" spans="2:8">
      <c r="B712" t="s">
        <v>443</v>
      </c>
      <c r="C712" t="s">
        <v>211</v>
      </c>
      <c r="D712">
        <v>4537</v>
      </c>
      <c r="E712">
        <v>4545</v>
      </c>
      <c r="F712">
        <v>4537</v>
      </c>
      <c r="G712">
        <v>4544</v>
      </c>
      <c r="H712">
        <v>14500</v>
      </c>
    </row>
    <row r="713" spans="2:8">
      <c r="B713" t="s">
        <v>443</v>
      </c>
      <c r="C713" t="s">
        <v>212</v>
      </c>
      <c r="D713">
        <v>4544</v>
      </c>
      <c r="E713">
        <v>4547</v>
      </c>
      <c r="F713">
        <v>4543</v>
      </c>
      <c r="G713">
        <v>4545</v>
      </c>
      <c r="H713">
        <v>9200</v>
      </c>
    </row>
    <row r="714" spans="2:8">
      <c r="B714" t="s">
        <v>443</v>
      </c>
      <c r="C714" t="s">
        <v>213</v>
      </c>
      <c r="D714">
        <v>4545</v>
      </c>
      <c r="E714">
        <v>4547</v>
      </c>
      <c r="F714">
        <v>4542</v>
      </c>
      <c r="G714">
        <v>4545</v>
      </c>
      <c r="H714">
        <v>19100</v>
      </c>
    </row>
    <row r="715" spans="2:8">
      <c r="B715" t="s">
        <v>443</v>
      </c>
      <c r="C715" t="s">
        <v>214</v>
      </c>
      <c r="D715">
        <v>4545</v>
      </c>
      <c r="E715">
        <v>4550</v>
      </c>
      <c r="F715">
        <v>4545</v>
      </c>
      <c r="G715">
        <v>4548</v>
      </c>
      <c r="H715">
        <v>14900</v>
      </c>
    </row>
    <row r="716" spans="2:8">
      <c r="B716" t="s">
        <v>443</v>
      </c>
      <c r="C716" t="s">
        <v>215</v>
      </c>
      <c r="D716">
        <v>4548</v>
      </c>
      <c r="E716">
        <v>4552</v>
      </c>
      <c r="F716">
        <v>4547</v>
      </c>
      <c r="G716">
        <v>4549</v>
      </c>
      <c r="H716">
        <v>21100</v>
      </c>
    </row>
    <row r="717" spans="2:8">
      <c r="B717" t="s">
        <v>443</v>
      </c>
      <c r="C717" t="s">
        <v>216</v>
      </c>
      <c r="D717">
        <v>4548</v>
      </c>
      <c r="E717">
        <v>4548</v>
      </c>
      <c r="F717">
        <v>4545</v>
      </c>
      <c r="G717">
        <v>4547</v>
      </c>
      <c r="H717">
        <v>7300</v>
      </c>
    </row>
    <row r="718" spans="2:8">
      <c r="B718" t="s">
        <v>443</v>
      </c>
      <c r="C718" t="s">
        <v>217</v>
      </c>
      <c r="D718">
        <v>4547</v>
      </c>
      <c r="E718">
        <v>4549</v>
      </c>
      <c r="F718">
        <v>4540</v>
      </c>
      <c r="G718">
        <v>4542</v>
      </c>
      <c r="H718">
        <v>15700</v>
      </c>
    </row>
    <row r="719" spans="2:8">
      <c r="B719" t="s">
        <v>443</v>
      </c>
      <c r="C719" t="s">
        <v>218</v>
      </c>
      <c r="D719">
        <v>4542</v>
      </c>
      <c r="E719">
        <v>4545</v>
      </c>
      <c r="F719">
        <v>4539</v>
      </c>
      <c r="G719">
        <v>4544</v>
      </c>
      <c r="H719">
        <v>28200</v>
      </c>
    </row>
    <row r="720" spans="2:8">
      <c r="B720" t="s">
        <v>443</v>
      </c>
      <c r="C720" t="s">
        <v>219</v>
      </c>
      <c r="D720">
        <v>4545</v>
      </c>
      <c r="E720">
        <v>4546</v>
      </c>
      <c r="F720">
        <v>4544</v>
      </c>
      <c r="G720">
        <v>4545</v>
      </c>
      <c r="H720">
        <v>7000</v>
      </c>
    </row>
    <row r="721" spans="2:8">
      <c r="B721" t="s">
        <v>443</v>
      </c>
      <c r="C721" t="s">
        <v>220</v>
      </c>
      <c r="D721">
        <v>4546</v>
      </c>
      <c r="E721">
        <v>4547</v>
      </c>
      <c r="F721">
        <v>4544</v>
      </c>
      <c r="G721">
        <v>4546</v>
      </c>
      <c r="H721">
        <v>8500</v>
      </c>
    </row>
    <row r="722" spans="2:8">
      <c r="B722" t="s">
        <v>443</v>
      </c>
      <c r="C722" t="s">
        <v>221</v>
      </c>
      <c r="D722">
        <v>4545</v>
      </c>
      <c r="E722">
        <v>4549</v>
      </c>
      <c r="F722">
        <v>4545</v>
      </c>
      <c r="G722">
        <v>4546</v>
      </c>
      <c r="H722">
        <v>7800</v>
      </c>
    </row>
    <row r="723" spans="2:8">
      <c r="B723" t="s">
        <v>443</v>
      </c>
      <c r="C723" t="s">
        <v>222</v>
      </c>
      <c r="D723">
        <v>4547</v>
      </c>
      <c r="E723">
        <v>4551</v>
      </c>
      <c r="F723">
        <v>4547</v>
      </c>
      <c r="G723">
        <v>4548</v>
      </c>
      <c r="H723">
        <v>34900</v>
      </c>
    </row>
    <row r="724" spans="2:8">
      <c r="B724" t="s">
        <v>443</v>
      </c>
      <c r="C724" t="s">
        <v>223</v>
      </c>
      <c r="D724">
        <v>4548</v>
      </c>
      <c r="E724">
        <v>4558</v>
      </c>
      <c r="F724">
        <v>4548</v>
      </c>
      <c r="G724">
        <v>4554</v>
      </c>
      <c r="H724">
        <v>62400</v>
      </c>
    </row>
    <row r="725" spans="2:8">
      <c r="B725" t="s">
        <v>443</v>
      </c>
      <c r="C725" t="s">
        <v>224</v>
      </c>
      <c r="D725">
        <v>4554</v>
      </c>
      <c r="E725">
        <v>4556</v>
      </c>
      <c r="F725">
        <v>4550</v>
      </c>
      <c r="G725">
        <v>4551</v>
      </c>
      <c r="H725">
        <v>16400</v>
      </c>
    </row>
    <row r="726" spans="2:8">
      <c r="B726" t="s">
        <v>443</v>
      </c>
      <c r="C726" t="s">
        <v>225</v>
      </c>
      <c r="D726">
        <v>4550</v>
      </c>
      <c r="E726">
        <v>4551</v>
      </c>
      <c r="F726">
        <v>4548</v>
      </c>
      <c r="G726">
        <v>4551</v>
      </c>
      <c r="H726">
        <v>8100</v>
      </c>
    </row>
    <row r="727" spans="2:8">
      <c r="B727" t="s">
        <v>443</v>
      </c>
      <c r="C727" t="s">
        <v>226</v>
      </c>
      <c r="D727">
        <v>4551</v>
      </c>
      <c r="E727">
        <v>4553</v>
      </c>
      <c r="F727">
        <v>4548</v>
      </c>
      <c r="G727">
        <v>4548</v>
      </c>
      <c r="H727">
        <v>9300</v>
      </c>
    </row>
    <row r="728" spans="2:8">
      <c r="B728" t="s">
        <v>443</v>
      </c>
      <c r="C728" t="s">
        <v>227</v>
      </c>
      <c r="D728">
        <v>4547</v>
      </c>
      <c r="E728">
        <v>4548</v>
      </c>
      <c r="F728">
        <v>4545</v>
      </c>
      <c r="G728">
        <v>4546</v>
      </c>
      <c r="H728">
        <v>9100</v>
      </c>
    </row>
    <row r="729" spans="2:8">
      <c r="B729" t="s">
        <v>443</v>
      </c>
      <c r="C729" t="s">
        <v>228</v>
      </c>
      <c r="D729">
        <v>4546</v>
      </c>
      <c r="E729">
        <v>4556</v>
      </c>
      <c r="F729">
        <v>4546</v>
      </c>
      <c r="G729">
        <v>4556</v>
      </c>
      <c r="H729">
        <v>12700</v>
      </c>
    </row>
    <row r="730" spans="2:8">
      <c r="B730" t="s">
        <v>443</v>
      </c>
      <c r="C730" t="s">
        <v>229</v>
      </c>
      <c r="D730">
        <v>4555</v>
      </c>
      <c r="E730">
        <v>4555</v>
      </c>
      <c r="F730">
        <v>4552</v>
      </c>
      <c r="G730">
        <v>4553</v>
      </c>
      <c r="H730">
        <v>7900</v>
      </c>
    </row>
    <row r="731" spans="2:8">
      <c r="B731" t="s">
        <v>443</v>
      </c>
      <c r="C731" t="s">
        <v>230</v>
      </c>
      <c r="D731">
        <v>4554</v>
      </c>
      <c r="E731">
        <v>4557</v>
      </c>
      <c r="F731">
        <v>4552</v>
      </c>
      <c r="G731">
        <v>4554</v>
      </c>
      <c r="H731">
        <v>27300</v>
      </c>
    </row>
    <row r="732" spans="2:8">
      <c r="B732" t="s">
        <v>443</v>
      </c>
      <c r="C732" t="s">
        <v>231</v>
      </c>
      <c r="D732">
        <v>4555</v>
      </c>
      <c r="E732">
        <v>4557</v>
      </c>
      <c r="F732">
        <v>4553</v>
      </c>
      <c r="G732">
        <v>4555</v>
      </c>
      <c r="H732">
        <v>10600</v>
      </c>
    </row>
    <row r="733" spans="2:8">
      <c r="B733" t="s">
        <v>443</v>
      </c>
      <c r="C733" t="s">
        <v>232</v>
      </c>
      <c r="D733">
        <v>4555</v>
      </c>
      <c r="E733">
        <v>4558</v>
      </c>
      <c r="F733">
        <v>4555</v>
      </c>
      <c r="G733">
        <v>4557</v>
      </c>
      <c r="H733">
        <v>14800</v>
      </c>
    </row>
    <row r="734" spans="2:8">
      <c r="B734" t="s">
        <v>443</v>
      </c>
      <c r="C734" t="s">
        <v>233</v>
      </c>
      <c r="D734">
        <v>4558</v>
      </c>
      <c r="E734">
        <v>4560</v>
      </c>
      <c r="F734">
        <v>4554</v>
      </c>
      <c r="G734">
        <v>4555</v>
      </c>
      <c r="H734">
        <v>43500</v>
      </c>
    </row>
    <row r="735" spans="2:8">
      <c r="B735" t="s">
        <v>443</v>
      </c>
      <c r="C735" t="s">
        <v>234</v>
      </c>
      <c r="D735">
        <v>4555</v>
      </c>
      <c r="E735">
        <v>4556</v>
      </c>
      <c r="F735">
        <v>4552</v>
      </c>
      <c r="G735">
        <v>4552</v>
      </c>
      <c r="H735">
        <v>8500</v>
      </c>
    </row>
    <row r="736" spans="2:8">
      <c r="B736" t="s">
        <v>443</v>
      </c>
      <c r="C736" t="s">
        <v>235</v>
      </c>
      <c r="D736">
        <v>4552</v>
      </c>
      <c r="E736">
        <v>4558</v>
      </c>
      <c r="F736">
        <v>4552</v>
      </c>
      <c r="G736">
        <v>4558</v>
      </c>
      <c r="H736">
        <v>16600</v>
      </c>
    </row>
    <row r="737" spans="2:8">
      <c r="B737" t="s">
        <v>443</v>
      </c>
      <c r="C737" t="s">
        <v>236</v>
      </c>
      <c r="D737">
        <v>4557</v>
      </c>
      <c r="E737">
        <v>4557</v>
      </c>
      <c r="F737">
        <v>4553</v>
      </c>
      <c r="G737">
        <v>4555</v>
      </c>
      <c r="H737">
        <v>7300</v>
      </c>
    </row>
    <row r="738" spans="2:8">
      <c r="B738" t="s">
        <v>443</v>
      </c>
      <c r="C738" t="s">
        <v>237</v>
      </c>
      <c r="D738">
        <v>4555</v>
      </c>
      <c r="E738">
        <v>4557</v>
      </c>
      <c r="F738">
        <v>4553</v>
      </c>
      <c r="G738">
        <v>4557</v>
      </c>
      <c r="H738">
        <v>8200</v>
      </c>
    </row>
    <row r="739" spans="2:8">
      <c r="B739" t="s">
        <v>443</v>
      </c>
      <c r="C739" t="s">
        <v>238</v>
      </c>
      <c r="D739">
        <v>4557</v>
      </c>
      <c r="E739">
        <v>4558</v>
      </c>
      <c r="F739">
        <v>4555</v>
      </c>
      <c r="G739">
        <v>4555</v>
      </c>
      <c r="H739">
        <v>7200</v>
      </c>
    </row>
    <row r="740" spans="2:8">
      <c r="B740" t="s">
        <v>443</v>
      </c>
      <c r="C740" t="s">
        <v>239</v>
      </c>
      <c r="D740">
        <v>4555</v>
      </c>
      <c r="E740">
        <v>4556</v>
      </c>
      <c r="F740">
        <v>4554</v>
      </c>
      <c r="G740">
        <v>4554</v>
      </c>
      <c r="H740">
        <v>8100</v>
      </c>
    </row>
    <row r="741" spans="2:8">
      <c r="B741" t="s">
        <v>443</v>
      </c>
      <c r="C741" t="s">
        <v>240</v>
      </c>
      <c r="D741">
        <v>4553</v>
      </c>
      <c r="E741">
        <v>4553</v>
      </c>
      <c r="F741">
        <v>4547</v>
      </c>
      <c r="G741">
        <v>4547</v>
      </c>
      <c r="H741">
        <v>27300</v>
      </c>
    </row>
    <row r="742" spans="2:8">
      <c r="B742" t="s">
        <v>443</v>
      </c>
      <c r="C742" t="s">
        <v>241</v>
      </c>
      <c r="D742">
        <v>4547</v>
      </c>
      <c r="E742">
        <v>4547</v>
      </c>
      <c r="F742">
        <v>4540</v>
      </c>
      <c r="G742">
        <v>4543</v>
      </c>
      <c r="H742">
        <v>35100</v>
      </c>
    </row>
    <row r="743" spans="2:8">
      <c r="B743" t="s">
        <v>443</v>
      </c>
      <c r="C743" t="s">
        <v>242</v>
      </c>
      <c r="D743">
        <v>4544</v>
      </c>
      <c r="E743">
        <v>4544</v>
      </c>
      <c r="F743">
        <v>4540</v>
      </c>
      <c r="G743">
        <v>4541</v>
      </c>
      <c r="H743">
        <v>7300</v>
      </c>
    </row>
    <row r="744" spans="2:8">
      <c r="B744" t="s">
        <v>443</v>
      </c>
      <c r="C744" t="s">
        <v>243</v>
      </c>
      <c r="D744">
        <v>4542</v>
      </c>
      <c r="E744">
        <v>4550</v>
      </c>
      <c r="F744">
        <v>4542</v>
      </c>
      <c r="G744">
        <v>4547</v>
      </c>
      <c r="H744">
        <v>16700</v>
      </c>
    </row>
    <row r="745" spans="2:8">
      <c r="B745" t="s">
        <v>443</v>
      </c>
      <c r="C745" t="s">
        <v>244</v>
      </c>
      <c r="D745">
        <v>4547</v>
      </c>
      <c r="E745">
        <v>4549</v>
      </c>
      <c r="F745">
        <v>4547</v>
      </c>
      <c r="G745">
        <v>4548</v>
      </c>
      <c r="H745">
        <v>6500</v>
      </c>
    </row>
    <row r="746" spans="2:8">
      <c r="B746" t="s">
        <v>443</v>
      </c>
      <c r="C746" t="s">
        <v>245</v>
      </c>
      <c r="D746">
        <v>4548</v>
      </c>
      <c r="E746">
        <v>4549</v>
      </c>
      <c r="F746">
        <v>4547</v>
      </c>
      <c r="G746">
        <v>4548</v>
      </c>
      <c r="H746">
        <v>6400</v>
      </c>
    </row>
    <row r="747" spans="2:8">
      <c r="B747" t="s">
        <v>443</v>
      </c>
      <c r="C747" t="s">
        <v>246</v>
      </c>
      <c r="D747">
        <v>4548</v>
      </c>
      <c r="E747">
        <v>4553</v>
      </c>
      <c r="F747">
        <v>4548</v>
      </c>
      <c r="G747">
        <v>4552</v>
      </c>
      <c r="H747">
        <v>16100</v>
      </c>
    </row>
    <row r="748" spans="2:8">
      <c r="B748" t="s">
        <v>443</v>
      </c>
      <c r="C748" t="s">
        <v>247</v>
      </c>
      <c r="D748">
        <v>4552</v>
      </c>
      <c r="E748">
        <v>4553</v>
      </c>
      <c r="F748">
        <v>4551</v>
      </c>
      <c r="G748">
        <v>4552</v>
      </c>
      <c r="H748">
        <v>11600</v>
      </c>
    </row>
    <row r="749" spans="2:8">
      <c r="B749" t="s">
        <v>443</v>
      </c>
      <c r="C749" t="s">
        <v>248</v>
      </c>
      <c r="D749">
        <v>4553</v>
      </c>
      <c r="E749">
        <v>4567</v>
      </c>
      <c r="F749">
        <v>4553</v>
      </c>
      <c r="G749">
        <v>4566</v>
      </c>
      <c r="H749">
        <v>124300</v>
      </c>
    </row>
    <row r="750" spans="2:8">
      <c r="B750" t="s">
        <v>443</v>
      </c>
      <c r="C750" t="s">
        <v>249</v>
      </c>
      <c r="D750">
        <v>4565</v>
      </c>
      <c r="E750">
        <v>4566</v>
      </c>
      <c r="F750">
        <v>4561</v>
      </c>
      <c r="G750">
        <v>4563</v>
      </c>
      <c r="H750">
        <v>14800</v>
      </c>
    </row>
    <row r="751" spans="2:8">
      <c r="B751" t="s">
        <v>443</v>
      </c>
      <c r="C751" t="s">
        <v>250</v>
      </c>
      <c r="D751">
        <v>4564</v>
      </c>
      <c r="E751">
        <v>4565</v>
      </c>
      <c r="F751">
        <v>4558</v>
      </c>
      <c r="G751">
        <v>4559</v>
      </c>
      <c r="H751">
        <v>12300</v>
      </c>
    </row>
    <row r="752" spans="2:8">
      <c r="B752" t="s">
        <v>443</v>
      </c>
      <c r="C752" t="s">
        <v>251</v>
      </c>
      <c r="D752">
        <v>4559</v>
      </c>
      <c r="E752">
        <v>4562</v>
      </c>
      <c r="F752">
        <v>4559</v>
      </c>
      <c r="G752">
        <v>4559</v>
      </c>
      <c r="H752">
        <v>8800</v>
      </c>
    </row>
    <row r="753" spans="2:8">
      <c r="B753" t="s">
        <v>443</v>
      </c>
      <c r="C753" t="s">
        <v>252</v>
      </c>
      <c r="D753">
        <v>4560</v>
      </c>
      <c r="E753">
        <v>4563</v>
      </c>
      <c r="F753">
        <v>4559</v>
      </c>
      <c r="G753">
        <v>4562</v>
      </c>
      <c r="H753">
        <v>16200</v>
      </c>
    </row>
    <row r="754" spans="2:8">
      <c r="B754" t="s">
        <v>443</v>
      </c>
      <c r="C754" t="s">
        <v>253</v>
      </c>
      <c r="D754">
        <v>4562</v>
      </c>
      <c r="E754">
        <v>4566</v>
      </c>
      <c r="F754">
        <v>4560</v>
      </c>
      <c r="G754">
        <v>4566</v>
      </c>
      <c r="H754">
        <v>17000</v>
      </c>
    </row>
    <row r="755" spans="2:8">
      <c r="B755" t="s">
        <v>443</v>
      </c>
      <c r="C755" t="s">
        <v>254</v>
      </c>
      <c r="D755">
        <v>4566</v>
      </c>
      <c r="E755">
        <v>4567</v>
      </c>
      <c r="F755">
        <v>4564</v>
      </c>
      <c r="G755">
        <v>4565</v>
      </c>
      <c r="H755">
        <v>9600</v>
      </c>
    </row>
    <row r="756" spans="2:8">
      <c r="B756" t="s">
        <v>443</v>
      </c>
      <c r="C756" t="s">
        <v>255</v>
      </c>
      <c r="D756">
        <v>4566</v>
      </c>
      <c r="E756">
        <v>4570</v>
      </c>
      <c r="F756">
        <v>4564</v>
      </c>
      <c r="G756">
        <v>4569</v>
      </c>
      <c r="H756">
        <v>22100</v>
      </c>
    </row>
    <row r="757" spans="2:8">
      <c r="B757" t="s">
        <v>443</v>
      </c>
      <c r="C757" t="s">
        <v>256</v>
      </c>
      <c r="D757">
        <v>4569</v>
      </c>
      <c r="E757">
        <v>4570</v>
      </c>
      <c r="F757">
        <v>4567</v>
      </c>
      <c r="G757">
        <v>4567</v>
      </c>
      <c r="H757">
        <v>12000</v>
      </c>
    </row>
    <row r="758" spans="2:8">
      <c r="B758" t="s">
        <v>443</v>
      </c>
      <c r="C758" t="s">
        <v>257</v>
      </c>
      <c r="D758">
        <v>4566</v>
      </c>
      <c r="E758">
        <v>4568</v>
      </c>
      <c r="F758">
        <v>4562</v>
      </c>
      <c r="G758">
        <v>4562</v>
      </c>
      <c r="H758">
        <v>11600</v>
      </c>
    </row>
    <row r="759" spans="2:8">
      <c r="B759" t="s">
        <v>443</v>
      </c>
      <c r="C759" t="s">
        <v>258</v>
      </c>
      <c r="D759">
        <v>4562</v>
      </c>
      <c r="E759">
        <v>4564</v>
      </c>
      <c r="F759">
        <v>4562</v>
      </c>
      <c r="G759">
        <v>4562</v>
      </c>
      <c r="H759">
        <v>4400</v>
      </c>
    </row>
    <row r="760" spans="2:8">
      <c r="B760" t="s">
        <v>443</v>
      </c>
      <c r="C760" t="s">
        <v>259</v>
      </c>
      <c r="D760">
        <v>4562</v>
      </c>
      <c r="E760">
        <v>4565</v>
      </c>
      <c r="F760">
        <v>4562</v>
      </c>
      <c r="G760">
        <v>4564</v>
      </c>
      <c r="H760">
        <v>8500</v>
      </c>
    </row>
    <row r="761" spans="2:8">
      <c r="B761" t="s">
        <v>443</v>
      </c>
      <c r="C761" t="s">
        <v>260</v>
      </c>
      <c r="D761">
        <v>4564</v>
      </c>
      <c r="E761">
        <v>4567</v>
      </c>
      <c r="F761">
        <v>4563</v>
      </c>
      <c r="G761">
        <v>4567</v>
      </c>
      <c r="H761">
        <v>5700</v>
      </c>
    </row>
    <row r="762" spans="2:8">
      <c r="B762" t="s">
        <v>443</v>
      </c>
      <c r="C762" t="s">
        <v>261</v>
      </c>
      <c r="D762">
        <v>4566</v>
      </c>
      <c r="E762">
        <v>4569</v>
      </c>
      <c r="F762">
        <v>4564</v>
      </c>
      <c r="G762">
        <v>4569</v>
      </c>
      <c r="H762">
        <v>10300</v>
      </c>
    </row>
    <row r="763" spans="2:8">
      <c r="B763" t="s">
        <v>443</v>
      </c>
      <c r="C763" t="s">
        <v>262</v>
      </c>
      <c r="D763">
        <v>4569</v>
      </c>
      <c r="E763">
        <v>4569</v>
      </c>
      <c r="F763">
        <v>4563</v>
      </c>
      <c r="G763">
        <v>4565</v>
      </c>
      <c r="H763">
        <v>17800</v>
      </c>
    </row>
    <row r="764" spans="2:8">
      <c r="B764" t="s">
        <v>443</v>
      </c>
      <c r="C764" t="s">
        <v>263</v>
      </c>
      <c r="D764">
        <v>4564</v>
      </c>
      <c r="E764">
        <v>4565</v>
      </c>
      <c r="F764">
        <v>4557</v>
      </c>
      <c r="G764">
        <v>4558</v>
      </c>
      <c r="H764">
        <v>14200</v>
      </c>
    </row>
    <row r="765" spans="2:8">
      <c r="B765" t="s">
        <v>443</v>
      </c>
      <c r="C765" t="s">
        <v>264</v>
      </c>
      <c r="D765">
        <v>4558</v>
      </c>
      <c r="E765">
        <v>4559</v>
      </c>
      <c r="F765">
        <v>4557</v>
      </c>
      <c r="G765">
        <v>4557</v>
      </c>
      <c r="H765">
        <v>3500</v>
      </c>
    </row>
    <row r="766" spans="2:8">
      <c r="B766" t="s">
        <v>443</v>
      </c>
      <c r="C766" t="s">
        <v>265</v>
      </c>
      <c r="D766">
        <v>4558</v>
      </c>
      <c r="E766">
        <v>4558</v>
      </c>
      <c r="F766">
        <v>4555</v>
      </c>
      <c r="G766">
        <v>4556</v>
      </c>
      <c r="H766">
        <v>13400</v>
      </c>
    </row>
    <row r="767" spans="2:8">
      <c r="B767" t="s">
        <v>443</v>
      </c>
      <c r="C767" t="s">
        <v>266</v>
      </c>
      <c r="D767">
        <v>4556</v>
      </c>
      <c r="E767">
        <v>4556</v>
      </c>
      <c r="F767">
        <v>4554</v>
      </c>
      <c r="G767">
        <v>4554</v>
      </c>
      <c r="H767">
        <v>8000</v>
      </c>
    </row>
    <row r="768" spans="2:8">
      <c r="B768" t="s">
        <v>443</v>
      </c>
      <c r="C768" t="s">
        <v>267</v>
      </c>
      <c r="D768">
        <v>4555</v>
      </c>
      <c r="E768">
        <v>4559</v>
      </c>
      <c r="F768">
        <v>4553</v>
      </c>
      <c r="G768">
        <v>4559</v>
      </c>
      <c r="H768">
        <v>12800</v>
      </c>
    </row>
    <row r="769" spans="2:8">
      <c r="B769" t="s">
        <v>443</v>
      </c>
      <c r="C769" t="s">
        <v>268</v>
      </c>
      <c r="D769">
        <v>4559</v>
      </c>
      <c r="E769">
        <v>4559</v>
      </c>
      <c r="F769">
        <v>4558</v>
      </c>
      <c r="G769">
        <v>4558</v>
      </c>
      <c r="H769">
        <v>2900</v>
      </c>
    </row>
    <row r="770" spans="2:8">
      <c r="B770" t="s">
        <v>443</v>
      </c>
      <c r="C770" t="s">
        <v>269</v>
      </c>
      <c r="D770">
        <v>4557</v>
      </c>
      <c r="E770">
        <v>4557</v>
      </c>
      <c r="F770">
        <v>4555</v>
      </c>
      <c r="G770">
        <v>4555</v>
      </c>
      <c r="H770">
        <v>5600</v>
      </c>
    </row>
    <row r="771" spans="2:8">
      <c r="B771" t="s">
        <v>443</v>
      </c>
      <c r="C771" t="s">
        <v>270</v>
      </c>
      <c r="D771">
        <v>4555</v>
      </c>
      <c r="E771">
        <v>4556</v>
      </c>
      <c r="F771">
        <v>4552</v>
      </c>
      <c r="G771">
        <v>4556</v>
      </c>
      <c r="H771">
        <v>12800</v>
      </c>
    </row>
    <row r="772" spans="2:8">
      <c r="B772" t="s">
        <v>443</v>
      </c>
      <c r="C772" t="s">
        <v>271</v>
      </c>
      <c r="D772">
        <v>4556</v>
      </c>
      <c r="E772">
        <v>4557</v>
      </c>
      <c r="F772">
        <v>4555</v>
      </c>
      <c r="G772">
        <v>4555</v>
      </c>
      <c r="H772">
        <v>5400</v>
      </c>
    </row>
    <row r="773" spans="2:8">
      <c r="B773" t="s">
        <v>443</v>
      </c>
      <c r="C773" t="s">
        <v>272</v>
      </c>
      <c r="D773">
        <v>4554</v>
      </c>
      <c r="E773">
        <v>4559</v>
      </c>
      <c r="F773">
        <v>4554</v>
      </c>
      <c r="G773">
        <v>4559</v>
      </c>
      <c r="H773">
        <v>9100</v>
      </c>
    </row>
    <row r="774" spans="2:8">
      <c r="B774" t="s">
        <v>443</v>
      </c>
      <c r="C774" t="s">
        <v>273</v>
      </c>
      <c r="D774">
        <v>4560</v>
      </c>
      <c r="E774">
        <v>4560</v>
      </c>
      <c r="F774">
        <v>4557</v>
      </c>
      <c r="G774">
        <v>4557</v>
      </c>
      <c r="H774">
        <v>5300</v>
      </c>
    </row>
    <row r="775" spans="2:8">
      <c r="B775" t="s">
        <v>443</v>
      </c>
      <c r="C775" t="s">
        <v>274</v>
      </c>
      <c r="D775">
        <v>4558</v>
      </c>
      <c r="E775">
        <v>4565</v>
      </c>
      <c r="F775">
        <v>4557</v>
      </c>
      <c r="G775">
        <v>4563</v>
      </c>
      <c r="H775">
        <v>18400</v>
      </c>
    </row>
    <row r="776" spans="2:8">
      <c r="B776" t="s">
        <v>443</v>
      </c>
      <c r="C776" t="s">
        <v>275</v>
      </c>
      <c r="D776">
        <v>4564</v>
      </c>
      <c r="E776">
        <v>4568</v>
      </c>
      <c r="F776">
        <v>4564</v>
      </c>
      <c r="G776">
        <v>4567</v>
      </c>
      <c r="H776">
        <v>6000</v>
      </c>
    </row>
    <row r="777" spans="2:8">
      <c r="B777" t="s">
        <v>443</v>
      </c>
      <c r="C777" t="s">
        <v>276</v>
      </c>
      <c r="D777">
        <v>4567</v>
      </c>
      <c r="E777">
        <v>4570</v>
      </c>
      <c r="F777">
        <v>4567</v>
      </c>
      <c r="G777">
        <v>4570</v>
      </c>
      <c r="H777">
        <v>13400</v>
      </c>
    </row>
    <row r="778" spans="2:8">
      <c r="B778" t="s">
        <v>443</v>
      </c>
      <c r="C778" t="s">
        <v>277</v>
      </c>
      <c r="D778">
        <v>4569</v>
      </c>
      <c r="E778">
        <v>4571</v>
      </c>
      <c r="F778">
        <v>4568</v>
      </c>
      <c r="G778">
        <v>4568</v>
      </c>
      <c r="H778">
        <v>20900</v>
      </c>
    </row>
    <row r="779" spans="2:8">
      <c r="B779" t="s">
        <v>443</v>
      </c>
      <c r="C779" t="s">
        <v>278</v>
      </c>
      <c r="D779">
        <v>4568</v>
      </c>
      <c r="E779">
        <v>4569</v>
      </c>
      <c r="F779">
        <v>4566</v>
      </c>
      <c r="G779">
        <v>4567</v>
      </c>
      <c r="H779">
        <v>6600</v>
      </c>
    </row>
    <row r="780" spans="2:8">
      <c r="B780" t="s">
        <v>443</v>
      </c>
      <c r="C780" t="s">
        <v>279</v>
      </c>
      <c r="D780">
        <v>4566</v>
      </c>
      <c r="E780">
        <v>4567</v>
      </c>
      <c r="F780">
        <v>4563</v>
      </c>
      <c r="G780">
        <v>4565</v>
      </c>
      <c r="H780">
        <v>12600</v>
      </c>
    </row>
    <row r="781" spans="2:8">
      <c r="B781" t="s">
        <v>443</v>
      </c>
      <c r="C781" t="s">
        <v>280</v>
      </c>
      <c r="D781">
        <v>4565</v>
      </c>
      <c r="E781">
        <v>4570</v>
      </c>
      <c r="F781">
        <v>4565</v>
      </c>
      <c r="G781">
        <v>4569</v>
      </c>
      <c r="H781">
        <v>8600</v>
      </c>
    </row>
    <row r="782" spans="2:8">
      <c r="B782" t="s">
        <v>443</v>
      </c>
      <c r="C782" t="s">
        <v>281</v>
      </c>
      <c r="D782">
        <v>4569</v>
      </c>
      <c r="E782">
        <v>4570</v>
      </c>
      <c r="F782">
        <v>4567</v>
      </c>
      <c r="G782">
        <v>4567</v>
      </c>
      <c r="H782">
        <v>18100</v>
      </c>
    </row>
    <row r="783" spans="2:8">
      <c r="B783" t="s">
        <v>443</v>
      </c>
      <c r="C783" t="s">
        <v>282</v>
      </c>
      <c r="D783">
        <v>4569</v>
      </c>
      <c r="E783">
        <v>4569</v>
      </c>
      <c r="F783">
        <v>4565</v>
      </c>
      <c r="G783">
        <v>4565</v>
      </c>
      <c r="H783">
        <v>8900</v>
      </c>
    </row>
    <row r="784" spans="2:8">
      <c r="B784" t="s">
        <v>443</v>
      </c>
      <c r="C784" t="s">
        <v>283</v>
      </c>
      <c r="D784">
        <v>4565</v>
      </c>
      <c r="E784">
        <v>4569</v>
      </c>
      <c r="F784">
        <v>4565</v>
      </c>
      <c r="G784">
        <v>4568</v>
      </c>
      <c r="H784">
        <v>9800</v>
      </c>
    </row>
    <row r="785" spans="2:8">
      <c r="B785" t="s">
        <v>443</v>
      </c>
      <c r="C785" t="s">
        <v>284</v>
      </c>
      <c r="D785">
        <v>4568</v>
      </c>
      <c r="E785">
        <v>4569</v>
      </c>
      <c r="F785">
        <v>4567</v>
      </c>
      <c r="G785">
        <v>4568</v>
      </c>
      <c r="H785">
        <v>5900</v>
      </c>
    </row>
    <row r="786" spans="2:8">
      <c r="B786" t="s">
        <v>443</v>
      </c>
      <c r="C786" t="s">
        <v>285</v>
      </c>
      <c r="D786">
        <v>4568</v>
      </c>
      <c r="E786">
        <v>4568</v>
      </c>
      <c r="F786">
        <v>4564</v>
      </c>
      <c r="G786">
        <v>4568</v>
      </c>
      <c r="H786">
        <v>12800</v>
      </c>
    </row>
    <row r="787" spans="2:8">
      <c r="B787" t="s">
        <v>443</v>
      </c>
      <c r="C787" t="s">
        <v>286</v>
      </c>
      <c r="D787">
        <v>4568</v>
      </c>
      <c r="E787">
        <v>4570</v>
      </c>
      <c r="F787">
        <v>4567</v>
      </c>
      <c r="G787">
        <v>4570</v>
      </c>
      <c r="H787">
        <v>8300</v>
      </c>
    </row>
    <row r="788" spans="2:8">
      <c r="B788" t="s">
        <v>443</v>
      </c>
      <c r="C788" t="s">
        <v>287</v>
      </c>
      <c r="D788">
        <v>4570</v>
      </c>
      <c r="E788">
        <v>4570</v>
      </c>
      <c r="F788">
        <v>4566</v>
      </c>
      <c r="G788">
        <v>4567</v>
      </c>
      <c r="H788">
        <v>11200</v>
      </c>
    </row>
    <row r="789" spans="2:8">
      <c r="B789" t="s">
        <v>443</v>
      </c>
      <c r="C789" t="s">
        <v>288</v>
      </c>
      <c r="D789">
        <v>4567</v>
      </c>
      <c r="E789">
        <v>4569</v>
      </c>
      <c r="F789">
        <v>4566</v>
      </c>
      <c r="G789">
        <v>4567</v>
      </c>
      <c r="H789">
        <v>7200</v>
      </c>
    </row>
    <row r="790" spans="2:8">
      <c r="B790" t="s">
        <v>443</v>
      </c>
      <c r="C790" t="s">
        <v>289</v>
      </c>
      <c r="D790">
        <v>4567</v>
      </c>
      <c r="E790">
        <v>4569</v>
      </c>
      <c r="F790">
        <v>4567</v>
      </c>
      <c r="G790">
        <v>4567</v>
      </c>
      <c r="H790">
        <v>7600</v>
      </c>
    </row>
    <row r="791" spans="2:8">
      <c r="B791" t="s">
        <v>443</v>
      </c>
      <c r="C791" t="s">
        <v>290</v>
      </c>
      <c r="D791">
        <v>4567</v>
      </c>
      <c r="E791">
        <v>4568</v>
      </c>
      <c r="F791">
        <v>4564</v>
      </c>
      <c r="G791">
        <v>4564</v>
      </c>
      <c r="H791">
        <v>10600</v>
      </c>
    </row>
    <row r="792" spans="2:8">
      <c r="B792" t="s">
        <v>443</v>
      </c>
      <c r="C792" t="s">
        <v>291</v>
      </c>
      <c r="D792">
        <v>4563</v>
      </c>
      <c r="E792">
        <v>4565</v>
      </c>
      <c r="F792">
        <v>4562</v>
      </c>
      <c r="G792">
        <v>4563</v>
      </c>
      <c r="H792">
        <v>14900</v>
      </c>
    </row>
    <row r="793" spans="2:8">
      <c r="B793" t="s">
        <v>443</v>
      </c>
      <c r="C793" t="s">
        <v>292</v>
      </c>
      <c r="D793">
        <v>4563</v>
      </c>
      <c r="E793">
        <v>4564</v>
      </c>
      <c r="F793">
        <v>4562</v>
      </c>
      <c r="G793">
        <v>4563</v>
      </c>
      <c r="H793">
        <v>2900</v>
      </c>
    </row>
    <row r="794" spans="2:8">
      <c r="B794" t="s">
        <v>443</v>
      </c>
      <c r="C794" t="s">
        <v>293</v>
      </c>
      <c r="D794">
        <v>4563</v>
      </c>
      <c r="E794">
        <v>4564</v>
      </c>
      <c r="F794">
        <v>4561</v>
      </c>
      <c r="G794">
        <v>4561</v>
      </c>
      <c r="H794">
        <v>14900</v>
      </c>
    </row>
    <row r="795" spans="2:8">
      <c r="B795" t="s">
        <v>443</v>
      </c>
      <c r="C795" t="s">
        <v>294</v>
      </c>
      <c r="D795">
        <v>4561</v>
      </c>
      <c r="E795">
        <v>4564</v>
      </c>
      <c r="F795">
        <v>4561</v>
      </c>
      <c r="G795">
        <v>4563</v>
      </c>
      <c r="H795">
        <v>5200</v>
      </c>
    </row>
    <row r="796" spans="2:8">
      <c r="B796" t="s">
        <v>443</v>
      </c>
      <c r="C796" t="s">
        <v>295</v>
      </c>
      <c r="D796">
        <v>4564</v>
      </c>
      <c r="E796">
        <v>4564</v>
      </c>
      <c r="F796">
        <v>4563</v>
      </c>
      <c r="G796">
        <v>4563</v>
      </c>
      <c r="H796">
        <v>700</v>
      </c>
    </row>
    <row r="797" spans="2:8">
      <c r="B797" t="s">
        <v>443</v>
      </c>
      <c r="C797" t="s">
        <v>296</v>
      </c>
      <c r="D797">
        <v>4564</v>
      </c>
      <c r="E797">
        <v>4564</v>
      </c>
      <c r="F797">
        <v>4560</v>
      </c>
      <c r="G797">
        <v>4563</v>
      </c>
      <c r="H797">
        <v>26200</v>
      </c>
    </row>
    <row r="798" spans="2:8">
      <c r="B798" t="s">
        <v>443</v>
      </c>
      <c r="C798" t="s">
        <v>297</v>
      </c>
      <c r="D798">
        <v>4563</v>
      </c>
      <c r="E798">
        <v>4563</v>
      </c>
      <c r="F798">
        <v>4561</v>
      </c>
      <c r="G798">
        <v>4562</v>
      </c>
      <c r="H798">
        <v>4500</v>
      </c>
    </row>
    <row r="799" spans="2:8">
      <c r="B799" t="s">
        <v>443</v>
      </c>
      <c r="C799" t="s">
        <v>298</v>
      </c>
      <c r="D799">
        <v>4563</v>
      </c>
      <c r="E799">
        <v>4563</v>
      </c>
      <c r="F799">
        <v>4560</v>
      </c>
      <c r="G799">
        <v>4561</v>
      </c>
      <c r="H799">
        <v>5100</v>
      </c>
    </row>
    <row r="800" spans="2:8">
      <c r="B800" t="s">
        <v>443</v>
      </c>
      <c r="C800" t="s">
        <v>299</v>
      </c>
      <c r="D800">
        <v>4561</v>
      </c>
      <c r="E800">
        <v>4561</v>
      </c>
      <c r="F800">
        <v>4557</v>
      </c>
      <c r="G800">
        <v>4559</v>
      </c>
      <c r="H800">
        <v>11100</v>
      </c>
    </row>
    <row r="801" spans="2:8">
      <c r="B801" t="s">
        <v>443</v>
      </c>
      <c r="C801" t="s">
        <v>300</v>
      </c>
      <c r="D801">
        <v>4559</v>
      </c>
      <c r="E801">
        <v>4559</v>
      </c>
      <c r="F801">
        <v>4553</v>
      </c>
      <c r="G801">
        <v>4554</v>
      </c>
      <c r="H801">
        <v>14800</v>
      </c>
    </row>
    <row r="802" spans="2:8">
      <c r="B802" t="s">
        <v>443</v>
      </c>
      <c r="C802" t="s">
        <v>301</v>
      </c>
      <c r="D802">
        <v>4554</v>
      </c>
      <c r="E802">
        <v>4554</v>
      </c>
      <c r="F802">
        <v>4553</v>
      </c>
      <c r="G802">
        <v>4553</v>
      </c>
      <c r="H802">
        <v>4800</v>
      </c>
    </row>
    <row r="803" spans="2:8">
      <c r="B803" t="s">
        <v>443</v>
      </c>
      <c r="C803" t="s">
        <v>302</v>
      </c>
      <c r="D803">
        <v>4554</v>
      </c>
      <c r="E803">
        <v>4554</v>
      </c>
      <c r="F803">
        <v>4552</v>
      </c>
      <c r="G803">
        <v>4553</v>
      </c>
      <c r="H803">
        <v>6100</v>
      </c>
    </row>
    <row r="804" spans="2:8">
      <c r="B804" t="s">
        <v>443</v>
      </c>
      <c r="C804" t="s">
        <v>303</v>
      </c>
      <c r="D804">
        <v>4553</v>
      </c>
      <c r="E804">
        <v>4555</v>
      </c>
      <c r="F804">
        <v>4551</v>
      </c>
      <c r="G804">
        <v>4553</v>
      </c>
      <c r="H804">
        <v>13100</v>
      </c>
    </row>
    <row r="805" spans="2:8">
      <c r="B805" t="s">
        <v>443</v>
      </c>
      <c r="C805" t="s">
        <v>304</v>
      </c>
      <c r="D805">
        <v>4553</v>
      </c>
      <c r="E805">
        <v>4553</v>
      </c>
      <c r="F805">
        <v>4551</v>
      </c>
      <c r="G805">
        <v>4551</v>
      </c>
      <c r="H805">
        <v>6600</v>
      </c>
    </row>
    <row r="806" spans="2:8">
      <c r="B806" t="s">
        <v>443</v>
      </c>
      <c r="C806" t="s">
        <v>305</v>
      </c>
      <c r="D806">
        <v>4550</v>
      </c>
      <c r="E806">
        <v>4552</v>
      </c>
      <c r="F806">
        <v>4548</v>
      </c>
      <c r="G806">
        <v>4548</v>
      </c>
      <c r="H806">
        <v>13200</v>
      </c>
    </row>
    <row r="807" spans="2:8">
      <c r="B807" t="s">
        <v>443</v>
      </c>
      <c r="C807" t="s">
        <v>306</v>
      </c>
      <c r="D807">
        <v>4548</v>
      </c>
      <c r="E807">
        <v>4549</v>
      </c>
      <c r="F807">
        <v>4548</v>
      </c>
      <c r="G807">
        <v>4548</v>
      </c>
      <c r="H807">
        <v>4200</v>
      </c>
    </row>
    <row r="808" spans="2:8">
      <c r="B808" t="s">
        <v>443</v>
      </c>
      <c r="C808" t="s">
        <v>307</v>
      </c>
      <c r="D808">
        <v>4547</v>
      </c>
      <c r="E808">
        <v>4549</v>
      </c>
      <c r="F808">
        <v>4547</v>
      </c>
      <c r="G808">
        <v>4548</v>
      </c>
      <c r="H808">
        <v>9200</v>
      </c>
    </row>
    <row r="809" spans="2:8">
      <c r="B809" t="s">
        <v>443</v>
      </c>
      <c r="C809" t="s">
        <v>308</v>
      </c>
      <c r="D809">
        <v>4549</v>
      </c>
      <c r="E809">
        <v>4552</v>
      </c>
      <c r="F809">
        <v>4549</v>
      </c>
      <c r="G809">
        <v>4550</v>
      </c>
      <c r="H809">
        <v>7200</v>
      </c>
    </row>
    <row r="810" spans="2:8">
      <c r="B810" t="s">
        <v>443</v>
      </c>
      <c r="C810" t="s">
        <v>309</v>
      </c>
      <c r="D810">
        <v>4550</v>
      </c>
      <c r="E810">
        <v>4555</v>
      </c>
      <c r="F810">
        <v>4550</v>
      </c>
      <c r="G810">
        <v>4552</v>
      </c>
      <c r="H810">
        <v>10200</v>
      </c>
    </row>
    <row r="811" spans="2:8">
      <c r="B811" t="s">
        <v>443</v>
      </c>
      <c r="C811" t="s">
        <v>310</v>
      </c>
      <c r="D811">
        <v>4553</v>
      </c>
      <c r="E811">
        <v>4555</v>
      </c>
      <c r="F811">
        <v>4553</v>
      </c>
      <c r="G811">
        <v>4554</v>
      </c>
      <c r="H811">
        <v>3100</v>
      </c>
    </row>
    <row r="812" spans="2:8">
      <c r="B812" t="s">
        <v>443</v>
      </c>
      <c r="C812" t="s">
        <v>311</v>
      </c>
      <c r="D812">
        <v>4554</v>
      </c>
      <c r="E812">
        <v>4556</v>
      </c>
      <c r="F812">
        <v>4554</v>
      </c>
      <c r="G812">
        <v>4556</v>
      </c>
      <c r="H812">
        <v>3600</v>
      </c>
    </row>
    <row r="813" spans="2:8">
      <c r="B813" t="s">
        <v>443</v>
      </c>
      <c r="C813" t="s">
        <v>312</v>
      </c>
      <c r="D813">
        <v>4556</v>
      </c>
      <c r="E813">
        <v>4558</v>
      </c>
      <c r="F813">
        <v>4555</v>
      </c>
      <c r="G813">
        <v>4557</v>
      </c>
      <c r="H813">
        <v>6500</v>
      </c>
    </row>
    <row r="814" spans="2:8">
      <c r="B814" t="s">
        <v>443</v>
      </c>
      <c r="C814" t="s">
        <v>313</v>
      </c>
      <c r="D814">
        <v>4557</v>
      </c>
      <c r="E814">
        <v>4561</v>
      </c>
      <c r="F814">
        <v>4557</v>
      </c>
      <c r="G814">
        <v>4560</v>
      </c>
      <c r="H814">
        <v>21500</v>
      </c>
    </row>
    <row r="815" spans="2:8">
      <c r="B815" t="s">
        <v>443</v>
      </c>
      <c r="C815" t="s">
        <v>314</v>
      </c>
      <c r="D815">
        <v>4559</v>
      </c>
      <c r="E815">
        <v>4563</v>
      </c>
      <c r="F815">
        <v>4559</v>
      </c>
      <c r="G815">
        <v>4563</v>
      </c>
      <c r="H815">
        <v>15300</v>
      </c>
    </row>
    <row r="816" spans="2:8">
      <c r="B816" t="s">
        <v>443</v>
      </c>
      <c r="C816" t="s">
        <v>315</v>
      </c>
      <c r="D816">
        <v>4562</v>
      </c>
      <c r="E816">
        <v>4566</v>
      </c>
      <c r="F816">
        <v>4561</v>
      </c>
      <c r="G816">
        <v>4565</v>
      </c>
      <c r="H816">
        <v>26300</v>
      </c>
    </row>
    <row r="817" spans="2:8">
      <c r="B817" t="s">
        <v>443</v>
      </c>
      <c r="C817" t="s">
        <v>316</v>
      </c>
      <c r="D817">
        <v>4564</v>
      </c>
      <c r="E817">
        <v>4564</v>
      </c>
      <c r="F817">
        <v>4564</v>
      </c>
      <c r="G817">
        <v>4564</v>
      </c>
      <c r="H817">
        <v>8800</v>
      </c>
    </row>
    <row r="818" spans="2:8">
      <c r="B818" t="s">
        <v>443</v>
      </c>
      <c r="C818" t="s">
        <v>317</v>
      </c>
      <c r="D818">
        <v>4569</v>
      </c>
      <c r="E818">
        <v>4584</v>
      </c>
      <c r="F818">
        <v>4565</v>
      </c>
      <c r="G818">
        <v>4578</v>
      </c>
      <c r="H818">
        <v>263900</v>
      </c>
    </row>
    <row r="819" spans="2:8">
      <c r="B819" t="s">
        <v>443</v>
      </c>
      <c r="C819" t="s">
        <v>318</v>
      </c>
      <c r="D819">
        <v>4578</v>
      </c>
      <c r="E819">
        <v>4579</v>
      </c>
      <c r="F819">
        <v>4569</v>
      </c>
      <c r="G819">
        <v>4571</v>
      </c>
      <c r="H819">
        <v>28800</v>
      </c>
    </row>
    <row r="820" spans="2:8">
      <c r="B820" t="s">
        <v>443</v>
      </c>
      <c r="C820" t="s">
        <v>319</v>
      </c>
      <c r="D820">
        <v>4571</v>
      </c>
      <c r="E820">
        <v>4574</v>
      </c>
      <c r="F820">
        <v>4571</v>
      </c>
      <c r="G820">
        <v>4572</v>
      </c>
      <c r="H820">
        <v>12900</v>
      </c>
    </row>
    <row r="821" spans="2:8">
      <c r="B821" t="s">
        <v>443</v>
      </c>
      <c r="C821" t="s">
        <v>320</v>
      </c>
      <c r="D821">
        <v>4573</v>
      </c>
      <c r="E821">
        <v>4573</v>
      </c>
      <c r="F821">
        <v>4571</v>
      </c>
      <c r="G821">
        <v>4572</v>
      </c>
      <c r="H821">
        <v>5700</v>
      </c>
    </row>
    <row r="822" spans="2:8">
      <c r="B822" t="s">
        <v>443</v>
      </c>
      <c r="C822" t="s">
        <v>321</v>
      </c>
      <c r="D822">
        <v>4572</v>
      </c>
      <c r="E822">
        <v>4577</v>
      </c>
      <c r="F822">
        <v>4571</v>
      </c>
      <c r="G822">
        <v>4574</v>
      </c>
      <c r="H822">
        <v>23700</v>
      </c>
    </row>
    <row r="823" spans="2:8">
      <c r="B823" t="s">
        <v>443</v>
      </c>
      <c r="C823" t="s">
        <v>322</v>
      </c>
      <c r="D823">
        <v>4575</v>
      </c>
      <c r="E823">
        <v>4575</v>
      </c>
      <c r="F823">
        <v>4571</v>
      </c>
      <c r="G823">
        <v>4572</v>
      </c>
      <c r="H823">
        <v>22700</v>
      </c>
    </row>
    <row r="824" spans="2:8">
      <c r="B824" t="s">
        <v>443</v>
      </c>
      <c r="C824" t="s">
        <v>323</v>
      </c>
      <c r="D824">
        <v>4572</v>
      </c>
      <c r="E824">
        <v>4572</v>
      </c>
      <c r="F824">
        <v>4569</v>
      </c>
      <c r="G824">
        <v>4570</v>
      </c>
      <c r="H824">
        <v>8100</v>
      </c>
    </row>
    <row r="825" spans="2:8">
      <c r="B825" t="s">
        <v>443</v>
      </c>
      <c r="C825" t="s">
        <v>324</v>
      </c>
      <c r="D825">
        <v>4571</v>
      </c>
      <c r="E825">
        <v>4572</v>
      </c>
      <c r="F825">
        <v>4568</v>
      </c>
      <c r="G825">
        <v>4569</v>
      </c>
      <c r="H825">
        <v>28100</v>
      </c>
    </row>
    <row r="826" spans="2:8">
      <c r="B826" t="s">
        <v>443</v>
      </c>
      <c r="C826" t="s">
        <v>325</v>
      </c>
      <c r="D826">
        <v>4569</v>
      </c>
      <c r="E826">
        <v>4570</v>
      </c>
      <c r="F826">
        <v>4567</v>
      </c>
      <c r="G826">
        <v>4567</v>
      </c>
      <c r="H826">
        <v>13000</v>
      </c>
    </row>
    <row r="827" spans="2:8">
      <c r="B827" t="s">
        <v>443</v>
      </c>
      <c r="C827" t="s">
        <v>326</v>
      </c>
      <c r="D827">
        <v>4566</v>
      </c>
      <c r="E827">
        <v>4567</v>
      </c>
      <c r="F827">
        <v>4565</v>
      </c>
      <c r="G827">
        <v>4566</v>
      </c>
      <c r="H827">
        <v>16400</v>
      </c>
    </row>
    <row r="828" spans="2:8">
      <c r="B828" t="s">
        <v>443</v>
      </c>
      <c r="C828" t="s">
        <v>327</v>
      </c>
      <c r="D828">
        <v>4565</v>
      </c>
      <c r="E828">
        <v>4566</v>
      </c>
      <c r="F828">
        <v>4563</v>
      </c>
      <c r="G828">
        <v>4566</v>
      </c>
      <c r="H828">
        <v>20100</v>
      </c>
    </row>
    <row r="829" spans="2:8">
      <c r="B829" t="s">
        <v>443</v>
      </c>
      <c r="C829" t="s">
        <v>328</v>
      </c>
      <c r="D829">
        <v>4567</v>
      </c>
      <c r="E829">
        <v>4568</v>
      </c>
      <c r="F829">
        <v>4564</v>
      </c>
      <c r="G829">
        <v>4565</v>
      </c>
      <c r="H829">
        <v>25300</v>
      </c>
    </row>
    <row r="830" spans="2:8">
      <c r="B830" t="s">
        <v>443</v>
      </c>
      <c r="C830" t="s">
        <v>329</v>
      </c>
      <c r="D830">
        <v>4565</v>
      </c>
      <c r="E830">
        <v>4565</v>
      </c>
      <c r="F830">
        <v>4564</v>
      </c>
      <c r="G830">
        <v>4565</v>
      </c>
      <c r="H830">
        <v>12300</v>
      </c>
    </row>
    <row r="831" spans="2:8">
      <c r="B831" t="s">
        <v>443</v>
      </c>
      <c r="C831" t="s">
        <v>330</v>
      </c>
      <c r="D831">
        <v>4564</v>
      </c>
      <c r="E831">
        <v>4566</v>
      </c>
      <c r="F831">
        <v>4564</v>
      </c>
      <c r="G831">
        <v>4565</v>
      </c>
      <c r="H831">
        <v>8300</v>
      </c>
    </row>
    <row r="832" spans="2:8">
      <c r="B832" t="s">
        <v>443</v>
      </c>
      <c r="C832" t="s">
        <v>331</v>
      </c>
      <c r="D832">
        <v>4565</v>
      </c>
      <c r="E832">
        <v>4568</v>
      </c>
      <c r="F832">
        <v>4564</v>
      </c>
      <c r="G832">
        <v>4568</v>
      </c>
      <c r="H832">
        <v>18700</v>
      </c>
    </row>
    <row r="833" spans="2:8">
      <c r="B833" t="s">
        <v>443</v>
      </c>
      <c r="C833" t="s">
        <v>332</v>
      </c>
      <c r="D833">
        <v>4567</v>
      </c>
      <c r="E833">
        <v>4568</v>
      </c>
      <c r="F833">
        <v>4567</v>
      </c>
      <c r="G833">
        <v>4567</v>
      </c>
      <c r="H833">
        <v>6200</v>
      </c>
    </row>
    <row r="834" spans="2:8">
      <c r="B834" t="s">
        <v>443</v>
      </c>
      <c r="C834" t="s">
        <v>333</v>
      </c>
      <c r="D834">
        <v>4567</v>
      </c>
      <c r="E834">
        <v>4569</v>
      </c>
      <c r="F834">
        <v>4567</v>
      </c>
      <c r="G834">
        <v>4568</v>
      </c>
      <c r="H834">
        <v>11900</v>
      </c>
    </row>
    <row r="835" spans="2:8">
      <c r="B835" t="s">
        <v>443</v>
      </c>
      <c r="C835" t="s">
        <v>334</v>
      </c>
      <c r="D835">
        <v>4567</v>
      </c>
      <c r="E835">
        <v>4568</v>
      </c>
      <c r="F835">
        <v>4567</v>
      </c>
      <c r="G835">
        <v>4568</v>
      </c>
      <c r="H835">
        <v>4900</v>
      </c>
    </row>
    <row r="836" spans="2:8">
      <c r="B836" t="s">
        <v>443</v>
      </c>
      <c r="C836" t="s">
        <v>335</v>
      </c>
      <c r="D836">
        <v>4568</v>
      </c>
      <c r="E836">
        <v>4568</v>
      </c>
      <c r="F836">
        <v>4564</v>
      </c>
      <c r="G836">
        <v>4566</v>
      </c>
      <c r="H836">
        <v>25300</v>
      </c>
    </row>
    <row r="837" spans="2:8">
      <c r="B837" t="s">
        <v>443</v>
      </c>
      <c r="C837" t="s">
        <v>336</v>
      </c>
      <c r="D837">
        <v>4566</v>
      </c>
      <c r="E837">
        <v>4566</v>
      </c>
      <c r="F837">
        <v>4565</v>
      </c>
      <c r="G837">
        <v>4566</v>
      </c>
      <c r="H837">
        <v>3700</v>
      </c>
    </row>
    <row r="838" spans="2:8">
      <c r="B838" t="s">
        <v>443</v>
      </c>
      <c r="C838" t="s">
        <v>337</v>
      </c>
      <c r="D838">
        <v>4565</v>
      </c>
      <c r="E838">
        <v>4567</v>
      </c>
      <c r="F838">
        <v>4565</v>
      </c>
      <c r="G838">
        <v>4566</v>
      </c>
      <c r="H838">
        <v>12300</v>
      </c>
    </row>
    <row r="839" spans="2:8">
      <c r="B839" t="s">
        <v>443</v>
      </c>
      <c r="C839" t="s">
        <v>338</v>
      </c>
      <c r="D839">
        <v>4565</v>
      </c>
      <c r="E839">
        <v>4566</v>
      </c>
      <c r="F839">
        <v>4564</v>
      </c>
      <c r="G839">
        <v>4565</v>
      </c>
      <c r="H839">
        <v>10700</v>
      </c>
    </row>
    <row r="840" spans="2:8">
      <c r="B840" t="s">
        <v>443</v>
      </c>
      <c r="C840" t="s">
        <v>339</v>
      </c>
      <c r="D840">
        <v>4564</v>
      </c>
      <c r="E840">
        <v>4565</v>
      </c>
      <c r="F840">
        <v>4563</v>
      </c>
      <c r="G840">
        <v>4563</v>
      </c>
      <c r="H840">
        <v>7200</v>
      </c>
    </row>
    <row r="841" spans="2:8">
      <c r="B841" t="s">
        <v>443</v>
      </c>
      <c r="C841" t="s">
        <v>340</v>
      </c>
      <c r="D841">
        <v>4563</v>
      </c>
      <c r="E841">
        <v>4571</v>
      </c>
      <c r="F841">
        <v>4563</v>
      </c>
      <c r="G841">
        <v>4570</v>
      </c>
      <c r="H841">
        <v>38500</v>
      </c>
    </row>
    <row r="842" spans="2:8">
      <c r="B842" t="s">
        <v>443</v>
      </c>
      <c r="C842" t="s">
        <v>341</v>
      </c>
      <c r="D842">
        <v>4571</v>
      </c>
      <c r="E842">
        <v>4574</v>
      </c>
      <c r="F842">
        <v>4571</v>
      </c>
      <c r="G842">
        <v>4571</v>
      </c>
      <c r="H842">
        <v>8800</v>
      </c>
    </row>
    <row r="843" spans="2:8">
      <c r="B843" t="s">
        <v>443</v>
      </c>
      <c r="C843" t="s">
        <v>342</v>
      </c>
      <c r="D843">
        <v>4571</v>
      </c>
      <c r="E843">
        <v>4573</v>
      </c>
      <c r="F843">
        <v>4571</v>
      </c>
      <c r="G843">
        <v>4571</v>
      </c>
      <c r="H843">
        <v>25400</v>
      </c>
    </row>
    <row r="844" spans="2:8">
      <c r="B844" t="s">
        <v>443</v>
      </c>
      <c r="C844" t="s">
        <v>343</v>
      </c>
      <c r="D844">
        <v>4572</v>
      </c>
      <c r="E844">
        <v>4575</v>
      </c>
      <c r="F844">
        <v>4571</v>
      </c>
      <c r="G844">
        <v>4573</v>
      </c>
      <c r="H844">
        <v>23100</v>
      </c>
    </row>
    <row r="845" spans="2:8">
      <c r="B845" t="s">
        <v>443</v>
      </c>
      <c r="C845" t="s">
        <v>344</v>
      </c>
      <c r="D845">
        <v>4573</v>
      </c>
      <c r="E845">
        <v>4574</v>
      </c>
      <c r="F845">
        <v>4573</v>
      </c>
      <c r="G845">
        <v>4573</v>
      </c>
      <c r="H845">
        <v>6400</v>
      </c>
    </row>
    <row r="846" spans="2:8">
      <c r="B846" t="s">
        <v>443</v>
      </c>
      <c r="C846" t="s">
        <v>345</v>
      </c>
      <c r="D846">
        <v>4574</v>
      </c>
      <c r="E846">
        <v>4575</v>
      </c>
      <c r="F846">
        <v>4573</v>
      </c>
      <c r="G846">
        <v>4574</v>
      </c>
      <c r="H846">
        <v>6200</v>
      </c>
    </row>
    <row r="847" spans="2:8">
      <c r="B847" t="s">
        <v>443</v>
      </c>
      <c r="C847" t="s">
        <v>346</v>
      </c>
      <c r="D847">
        <v>4573</v>
      </c>
      <c r="E847">
        <v>4574</v>
      </c>
      <c r="F847">
        <v>4572</v>
      </c>
      <c r="G847">
        <v>4573</v>
      </c>
      <c r="H847">
        <v>12200</v>
      </c>
    </row>
    <row r="848" spans="2:8">
      <c r="B848" t="s">
        <v>443</v>
      </c>
      <c r="C848" t="s">
        <v>347</v>
      </c>
      <c r="D848">
        <v>4573</v>
      </c>
      <c r="E848">
        <v>4575</v>
      </c>
      <c r="F848">
        <v>4573</v>
      </c>
      <c r="G848">
        <v>4574</v>
      </c>
      <c r="H848">
        <v>4300</v>
      </c>
    </row>
    <row r="849" spans="2:8">
      <c r="B849" t="s">
        <v>443</v>
      </c>
      <c r="C849" t="s">
        <v>348</v>
      </c>
      <c r="D849">
        <v>4574</v>
      </c>
      <c r="E849">
        <v>4577</v>
      </c>
      <c r="F849">
        <v>4574</v>
      </c>
      <c r="G849">
        <v>4576</v>
      </c>
      <c r="H849">
        <v>18000</v>
      </c>
    </row>
    <row r="850" spans="2:8">
      <c r="B850" t="s">
        <v>443</v>
      </c>
      <c r="C850" t="s">
        <v>349</v>
      </c>
      <c r="D850">
        <v>4576</v>
      </c>
      <c r="E850">
        <v>4576</v>
      </c>
      <c r="F850">
        <v>4575</v>
      </c>
      <c r="G850">
        <v>4575</v>
      </c>
      <c r="H850">
        <v>5700</v>
      </c>
    </row>
    <row r="851" spans="2:8">
      <c r="B851" t="s">
        <v>443</v>
      </c>
      <c r="C851" t="s">
        <v>350</v>
      </c>
      <c r="D851">
        <v>4575</v>
      </c>
      <c r="E851">
        <v>4578</v>
      </c>
      <c r="F851">
        <v>4575</v>
      </c>
      <c r="G851">
        <v>4576</v>
      </c>
      <c r="H851">
        <v>18800</v>
      </c>
    </row>
    <row r="852" spans="2:8">
      <c r="B852" t="s">
        <v>443</v>
      </c>
      <c r="C852" t="s">
        <v>351</v>
      </c>
      <c r="D852">
        <v>4576</v>
      </c>
      <c r="E852">
        <v>4578</v>
      </c>
      <c r="F852">
        <v>4576</v>
      </c>
      <c r="G852">
        <v>4578</v>
      </c>
      <c r="H852">
        <v>21400</v>
      </c>
    </row>
    <row r="853" spans="2:8">
      <c r="B853" t="s">
        <v>443</v>
      </c>
      <c r="C853" t="s">
        <v>352</v>
      </c>
      <c r="D853">
        <v>4579</v>
      </c>
      <c r="E853">
        <v>4580</v>
      </c>
      <c r="F853">
        <v>4578</v>
      </c>
      <c r="G853">
        <v>4580</v>
      </c>
      <c r="H853">
        <v>7300</v>
      </c>
    </row>
    <row r="854" spans="2:8">
      <c r="B854" t="s">
        <v>443</v>
      </c>
      <c r="C854" t="s">
        <v>353</v>
      </c>
      <c r="D854">
        <v>4580</v>
      </c>
      <c r="E854">
        <v>4580</v>
      </c>
      <c r="F854">
        <v>4579</v>
      </c>
      <c r="G854">
        <v>4579</v>
      </c>
      <c r="H854">
        <v>9700</v>
      </c>
    </row>
    <row r="855" spans="2:8">
      <c r="B855" t="s">
        <v>443</v>
      </c>
      <c r="C855" t="s">
        <v>354</v>
      </c>
      <c r="D855">
        <v>4579</v>
      </c>
      <c r="E855">
        <v>4579</v>
      </c>
      <c r="F855">
        <v>4576</v>
      </c>
      <c r="G855">
        <v>4576</v>
      </c>
      <c r="H855">
        <v>17500</v>
      </c>
    </row>
    <row r="856" spans="2:8">
      <c r="B856" t="s">
        <v>443</v>
      </c>
      <c r="C856" t="s">
        <v>355</v>
      </c>
      <c r="D856">
        <v>4575</v>
      </c>
      <c r="E856">
        <v>4577</v>
      </c>
      <c r="F856">
        <v>4573</v>
      </c>
      <c r="G856">
        <v>4575</v>
      </c>
      <c r="H856">
        <v>19600</v>
      </c>
    </row>
    <row r="857" spans="2:8">
      <c r="B857" t="s">
        <v>443</v>
      </c>
      <c r="C857" t="s">
        <v>356</v>
      </c>
      <c r="D857">
        <v>4574</v>
      </c>
      <c r="E857">
        <v>4575</v>
      </c>
      <c r="F857">
        <v>4573</v>
      </c>
      <c r="G857">
        <v>4574</v>
      </c>
      <c r="H857">
        <v>6200</v>
      </c>
    </row>
    <row r="858" spans="2:8">
      <c r="B858" t="s">
        <v>443</v>
      </c>
      <c r="C858" t="s">
        <v>357</v>
      </c>
      <c r="D858">
        <v>4573</v>
      </c>
      <c r="E858">
        <v>4575</v>
      </c>
      <c r="F858">
        <v>4573</v>
      </c>
      <c r="G858">
        <v>4575</v>
      </c>
      <c r="H858">
        <v>6200</v>
      </c>
    </row>
    <row r="859" spans="2:8">
      <c r="B859" t="s">
        <v>443</v>
      </c>
      <c r="C859" t="s">
        <v>358</v>
      </c>
      <c r="D859">
        <v>4574</v>
      </c>
      <c r="E859">
        <v>4576</v>
      </c>
      <c r="F859">
        <v>4574</v>
      </c>
      <c r="G859">
        <v>4575</v>
      </c>
      <c r="H859">
        <v>7000</v>
      </c>
    </row>
    <row r="860" spans="2:8">
      <c r="B860" t="s">
        <v>443</v>
      </c>
      <c r="C860" t="s">
        <v>359</v>
      </c>
      <c r="D860">
        <v>4576</v>
      </c>
      <c r="E860">
        <v>4579</v>
      </c>
      <c r="F860">
        <v>4576</v>
      </c>
      <c r="G860">
        <v>4578</v>
      </c>
      <c r="H860">
        <v>15900</v>
      </c>
    </row>
    <row r="861" spans="2:8">
      <c r="B861" t="s">
        <v>443</v>
      </c>
      <c r="C861" t="s">
        <v>360</v>
      </c>
      <c r="D861">
        <v>4578</v>
      </c>
      <c r="E861">
        <v>4578</v>
      </c>
      <c r="F861">
        <v>4577</v>
      </c>
      <c r="G861">
        <v>4578</v>
      </c>
      <c r="H861">
        <v>1800</v>
      </c>
    </row>
    <row r="862" spans="2:8">
      <c r="B862" t="s">
        <v>443</v>
      </c>
      <c r="C862" t="s">
        <v>361</v>
      </c>
      <c r="D862">
        <v>4579</v>
      </c>
      <c r="E862">
        <v>4579</v>
      </c>
      <c r="F862">
        <v>4578</v>
      </c>
      <c r="G862">
        <v>4578</v>
      </c>
      <c r="H862">
        <v>8300</v>
      </c>
    </row>
    <row r="863" spans="2:8">
      <c r="B863" t="s">
        <v>443</v>
      </c>
      <c r="C863" t="s">
        <v>362</v>
      </c>
      <c r="D863">
        <v>4578</v>
      </c>
      <c r="E863">
        <v>4578</v>
      </c>
      <c r="F863">
        <v>4577</v>
      </c>
      <c r="G863">
        <v>4578</v>
      </c>
      <c r="H863">
        <v>8900</v>
      </c>
    </row>
    <row r="864" spans="2:8">
      <c r="B864" t="s">
        <v>443</v>
      </c>
      <c r="C864" t="s">
        <v>363</v>
      </c>
      <c r="D864">
        <v>4578</v>
      </c>
      <c r="E864">
        <v>4578</v>
      </c>
      <c r="F864">
        <v>4575</v>
      </c>
      <c r="G864">
        <v>4575</v>
      </c>
      <c r="H864">
        <v>14200</v>
      </c>
    </row>
    <row r="865" spans="2:8">
      <c r="B865" t="s">
        <v>443</v>
      </c>
      <c r="C865" t="s">
        <v>364</v>
      </c>
      <c r="D865">
        <v>4575</v>
      </c>
      <c r="E865">
        <v>4579</v>
      </c>
      <c r="F865">
        <v>4575</v>
      </c>
      <c r="G865">
        <v>4578</v>
      </c>
      <c r="H865">
        <v>15700</v>
      </c>
    </row>
    <row r="866" spans="2:8">
      <c r="B866" t="s">
        <v>443</v>
      </c>
      <c r="C866" t="s">
        <v>365</v>
      </c>
      <c r="D866">
        <v>4579</v>
      </c>
      <c r="E866">
        <v>4579</v>
      </c>
      <c r="F866">
        <v>4577</v>
      </c>
      <c r="G866">
        <v>4578</v>
      </c>
      <c r="H866">
        <v>6400</v>
      </c>
    </row>
    <row r="867" spans="2:8">
      <c r="B867" t="s">
        <v>443</v>
      </c>
      <c r="C867" t="s">
        <v>366</v>
      </c>
      <c r="D867">
        <v>4577</v>
      </c>
      <c r="E867">
        <v>4580</v>
      </c>
      <c r="F867">
        <v>4577</v>
      </c>
      <c r="G867">
        <v>4579</v>
      </c>
      <c r="H867">
        <v>20600</v>
      </c>
    </row>
    <row r="868" spans="2:8">
      <c r="B868" t="s">
        <v>443</v>
      </c>
      <c r="C868" t="s">
        <v>367</v>
      </c>
      <c r="D868">
        <v>4579</v>
      </c>
      <c r="E868">
        <v>4586</v>
      </c>
      <c r="F868">
        <v>4578</v>
      </c>
      <c r="G868">
        <v>4585</v>
      </c>
      <c r="H868">
        <v>86100</v>
      </c>
    </row>
    <row r="869" spans="2:8">
      <c r="B869" t="s">
        <v>443</v>
      </c>
      <c r="C869" t="s">
        <v>368</v>
      </c>
      <c r="D869">
        <v>4585</v>
      </c>
      <c r="E869">
        <v>4586</v>
      </c>
      <c r="F869">
        <v>4581</v>
      </c>
      <c r="G869">
        <v>4582</v>
      </c>
      <c r="H869">
        <v>19300</v>
      </c>
    </row>
    <row r="870" spans="2:8">
      <c r="B870" t="s">
        <v>443</v>
      </c>
      <c r="C870" t="s">
        <v>369</v>
      </c>
      <c r="D870">
        <v>4581</v>
      </c>
      <c r="E870">
        <v>4587</v>
      </c>
      <c r="F870">
        <v>4580</v>
      </c>
      <c r="G870">
        <v>4585</v>
      </c>
      <c r="H870">
        <v>36500</v>
      </c>
    </row>
    <row r="871" spans="2:8">
      <c r="B871" t="s">
        <v>443</v>
      </c>
      <c r="C871" t="s">
        <v>370</v>
      </c>
      <c r="D871">
        <v>4585</v>
      </c>
      <c r="E871">
        <v>4586</v>
      </c>
      <c r="F871">
        <v>4585</v>
      </c>
      <c r="G871">
        <v>4586</v>
      </c>
      <c r="H871">
        <v>5800</v>
      </c>
    </row>
    <row r="872" spans="2:8">
      <c r="B872" t="s">
        <v>443</v>
      </c>
      <c r="C872" t="s">
        <v>371</v>
      </c>
      <c r="D872">
        <v>4585</v>
      </c>
      <c r="E872">
        <v>4586</v>
      </c>
      <c r="F872">
        <v>4582</v>
      </c>
      <c r="G872">
        <v>4584</v>
      </c>
      <c r="H872">
        <v>26800</v>
      </c>
    </row>
    <row r="873" spans="2:8">
      <c r="B873" t="s">
        <v>443</v>
      </c>
      <c r="C873" t="s">
        <v>372</v>
      </c>
      <c r="D873">
        <v>4584</v>
      </c>
      <c r="E873">
        <v>4585</v>
      </c>
      <c r="F873">
        <v>4584</v>
      </c>
      <c r="G873">
        <v>4585</v>
      </c>
      <c r="H873">
        <v>14300</v>
      </c>
    </row>
    <row r="874" spans="2:8">
      <c r="B874" t="s">
        <v>443</v>
      </c>
      <c r="C874" t="s">
        <v>373</v>
      </c>
      <c r="D874">
        <v>4584</v>
      </c>
      <c r="E874">
        <v>4587</v>
      </c>
      <c r="F874">
        <v>4584</v>
      </c>
      <c r="G874">
        <v>4586</v>
      </c>
      <c r="H874">
        <v>10700</v>
      </c>
    </row>
    <row r="875" spans="2:8">
      <c r="B875" t="s">
        <v>443</v>
      </c>
      <c r="C875" t="s">
        <v>374</v>
      </c>
      <c r="D875">
        <v>4587</v>
      </c>
      <c r="E875">
        <v>4589</v>
      </c>
      <c r="F875">
        <v>4586</v>
      </c>
      <c r="G875">
        <v>4587</v>
      </c>
      <c r="H875">
        <v>26600</v>
      </c>
    </row>
    <row r="876" spans="2:8">
      <c r="B876" t="s">
        <v>443</v>
      </c>
      <c r="C876" t="s">
        <v>375</v>
      </c>
      <c r="D876">
        <v>4588</v>
      </c>
      <c r="E876">
        <v>4588</v>
      </c>
      <c r="F876">
        <v>4587</v>
      </c>
      <c r="G876">
        <v>4587</v>
      </c>
      <c r="H876">
        <v>10100</v>
      </c>
    </row>
    <row r="877" spans="2:8">
      <c r="B877" t="s">
        <v>443</v>
      </c>
      <c r="C877" t="s">
        <v>376</v>
      </c>
      <c r="D877">
        <v>4586</v>
      </c>
      <c r="E877">
        <v>4587</v>
      </c>
      <c r="F877">
        <v>4585</v>
      </c>
      <c r="G877">
        <v>4585</v>
      </c>
      <c r="H877">
        <v>13400</v>
      </c>
    </row>
    <row r="878" spans="2:8">
      <c r="B878" t="s">
        <v>443</v>
      </c>
      <c r="C878" t="s">
        <v>377</v>
      </c>
      <c r="D878">
        <v>4585</v>
      </c>
      <c r="E878">
        <v>4587</v>
      </c>
      <c r="F878">
        <v>4584</v>
      </c>
      <c r="G878">
        <v>4586</v>
      </c>
      <c r="H878">
        <v>13800</v>
      </c>
    </row>
    <row r="879" spans="2:8">
      <c r="B879" t="s">
        <v>443</v>
      </c>
      <c r="C879" t="s">
        <v>378</v>
      </c>
      <c r="D879">
        <v>4586</v>
      </c>
      <c r="E879">
        <v>4586</v>
      </c>
      <c r="F879">
        <v>4585</v>
      </c>
      <c r="G879">
        <v>4585</v>
      </c>
      <c r="H879">
        <v>5500</v>
      </c>
    </row>
    <row r="880" spans="2:8">
      <c r="B880" t="s">
        <v>443</v>
      </c>
      <c r="C880" t="s">
        <v>379</v>
      </c>
      <c r="D880">
        <v>4585</v>
      </c>
      <c r="E880">
        <v>4586</v>
      </c>
      <c r="F880">
        <v>4585</v>
      </c>
      <c r="G880">
        <v>4585</v>
      </c>
      <c r="H880">
        <v>6600</v>
      </c>
    </row>
    <row r="881" spans="2:8">
      <c r="B881" t="s">
        <v>443</v>
      </c>
      <c r="C881" t="s">
        <v>380</v>
      </c>
      <c r="D881">
        <v>4585</v>
      </c>
      <c r="E881">
        <v>4586</v>
      </c>
      <c r="F881">
        <v>4584</v>
      </c>
      <c r="G881">
        <v>4586</v>
      </c>
      <c r="H881">
        <v>6900</v>
      </c>
    </row>
    <row r="882" spans="2:8">
      <c r="B882" t="s">
        <v>443</v>
      </c>
      <c r="C882" t="s">
        <v>381</v>
      </c>
      <c r="D882">
        <v>4585</v>
      </c>
      <c r="E882">
        <v>4585</v>
      </c>
      <c r="F882">
        <v>4585</v>
      </c>
      <c r="G882">
        <v>4585</v>
      </c>
      <c r="H882">
        <v>2900</v>
      </c>
    </row>
    <row r="883" spans="2:8">
      <c r="B883" t="s">
        <v>443</v>
      </c>
      <c r="C883" t="s">
        <v>382</v>
      </c>
      <c r="D883">
        <v>4586</v>
      </c>
      <c r="E883">
        <v>4590</v>
      </c>
      <c r="F883">
        <v>4586</v>
      </c>
      <c r="G883">
        <v>4589</v>
      </c>
      <c r="H883">
        <v>27400</v>
      </c>
    </row>
    <row r="884" spans="2:8">
      <c r="B884" t="s">
        <v>443</v>
      </c>
      <c r="C884" t="s">
        <v>383</v>
      </c>
      <c r="D884">
        <v>4589</v>
      </c>
      <c r="E884">
        <v>4589</v>
      </c>
      <c r="F884">
        <v>4588</v>
      </c>
      <c r="G884">
        <v>4588</v>
      </c>
      <c r="H884">
        <v>2400</v>
      </c>
    </row>
    <row r="885" spans="2:8">
      <c r="B885" t="s">
        <v>443</v>
      </c>
      <c r="C885" t="s">
        <v>384</v>
      </c>
      <c r="D885">
        <v>4589</v>
      </c>
      <c r="E885">
        <v>4589</v>
      </c>
      <c r="F885">
        <v>4588</v>
      </c>
      <c r="G885">
        <v>4588</v>
      </c>
      <c r="H885">
        <v>11200</v>
      </c>
    </row>
    <row r="886" spans="2:8">
      <c r="B886" t="s">
        <v>443</v>
      </c>
      <c r="C886" t="s">
        <v>385</v>
      </c>
      <c r="D886">
        <v>4588</v>
      </c>
      <c r="E886">
        <v>4588</v>
      </c>
      <c r="F886">
        <v>4588</v>
      </c>
      <c r="G886">
        <v>4588</v>
      </c>
      <c r="H886">
        <v>6100</v>
      </c>
    </row>
    <row r="887" spans="2:8">
      <c r="B887" t="s">
        <v>443</v>
      </c>
      <c r="C887" t="s">
        <v>386</v>
      </c>
      <c r="D887">
        <v>4589</v>
      </c>
      <c r="E887">
        <v>4589</v>
      </c>
      <c r="F887">
        <v>4587</v>
      </c>
      <c r="G887">
        <v>4587</v>
      </c>
      <c r="H887">
        <v>11000</v>
      </c>
    </row>
    <row r="888" spans="2:8">
      <c r="B888" t="s">
        <v>443</v>
      </c>
      <c r="C888" t="s">
        <v>387</v>
      </c>
      <c r="D888">
        <v>4587</v>
      </c>
      <c r="E888">
        <v>4588</v>
      </c>
      <c r="F888">
        <v>4587</v>
      </c>
      <c r="G888">
        <v>4588</v>
      </c>
      <c r="H888">
        <v>1100</v>
      </c>
    </row>
    <row r="889" spans="2:8">
      <c r="B889" t="s">
        <v>443</v>
      </c>
      <c r="C889" t="s">
        <v>388</v>
      </c>
      <c r="D889">
        <v>4588</v>
      </c>
      <c r="E889">
        <v>4588</v>
      </c>
      <c r="F889">
        <v>4587</v>
      </c>
      <c r="G889">
        <v>4587</v>
      </c>
      <c r="H889">
        <v>18200</v>
      </c>
    </row>
    <row r="890" spans="2:8">
      <c r="B890" t="s">
        <v>443</v>
      </c>
      <c r="C890" t="s">
        <v>389</v>
      </c>
      <c r="D890">
        <v>4587</v>
      </c>
      <c r="E890">
        <v>4587</v>
      </c>
      <c r="F890">
        <v>4585</v>
      </c>
      <c r="G890">
        <v>4586</v>
      </c>
      <c r="H890">
        <v>16500</v>
      </c>
    </row>
    <row r="891" spans="2:8">
      <c r="B891" t="s">
        <v>443</v>
      </c>
      <c r="C891" t="s">
        <v>390</v>
      </c>
      <c r="D891">
        <v>4586</v>
      </c>
      <c r="E891">
        <v>4586</v>
      </c>
      <c r="F891">
        <v>4584</v>
      </c>
      <c r="G891">
        <v>4586</v>
      </c>
      <c r="H891">
        <v>17900</v>
      </c>
    </row>
    <row r="892" spans="2:8">
      <c r="B892" t="s">
        <v>443</v>
      </c>
      <c r="C892" t="s">
        <v>391</v>
      </c>
      <c r="D892">
        <v>4585</v>
      </c>
      <c r="E892">
        <v>4588</v>
      </c>
      <c r="F892">
        <v>4585</v>
      </c>
      <c r="G892">
        <v>4585</v>
      </c>
      <c r="H892">
        <v>17300</v>
      </c>
    </row>
    <row r="893" spans="2:8">
      <c r="B893" t="s">
        <v>443</v>
      </c>
      <c r="C893" t="s">
        <v>392</v>
      </c>
      <c r="D893">
        <v>4584</v>
      </c>
      <c r="E893">
        <v>4586</v>
      </c>
      <c r="F893">
        <v>4583</v>
      </c>
      <c r="G893">
        <v>4586</v>
      </c>
      <c r="H893">
        <v>8600</v>
      </c>
    </row>
    <row r="894" spans="2:8">
      <c r="B894" t="s">
        <v>443</v>
      </c>
      <c r="C894" t="s">
        <v>393</v>
      </c>
      <c r="D894">
        <v>4586</v>
      </c>
      <c r="E894">
        <v>4588</v>
      </c>
      <c r="F894">
        <v>4586</v>
      </c>
      <c r="G894">
        <v>4588</v>
      </c>
      <c r="H894">
        <v>4300</v>
      </c>
    </row>
    <row r="895" spans="2:8">
      <c r="B895" t="s">
        <v>443</v>
      </c>
      <c r="C895" t="s">
        <v>394</v>
      </c>
      <c r="D895">
        <v>4587</v>
      </c>
      <c r="E895">
        <v>4588</v>
      </c>
      <c r="F895">
        <v>4586</v>
      </c>
      <c r="G895">
        <v>4586</v>
      </c>
      <c r="H895">
        <v>4800</v>
      </c>
    </row>
    <row r="896" spans="2:8">
      <c r="B896" t="s">
        <v>443</v>
      </c>
      <c r="C896" t="s">
        <v>395</v>
      </c>
      <c r="D896">
        <v>4586</v>
      </c>
      <c r="E896">
        <v>4587</v>
      </c>
      <c r="F896">
        <v>4581</v>
      </c>
      <c r="G896">
        <v>4582</v>
      </c>
      <c r="H896">
        <v>30700</v>
      </c>
    </row>
    <row r="897" spans="2:8">
      <c r="B897" t="s">
        <v>443</v>
      </c>
      <c r="C897" t="s">
        <v>396</v>
      </c>
      <c r="D897">
        <v>4582</v>
      </c>
      <c r="E897">
        <v>4583</v>
      </c>
      <c r="F897">
        <v>4582</v>
      </c>
      <c r="G897">
        <v>4582</v>
      </c>
      <c r="H897">
        <v>11100</v>
      </c>
    </row>
    <row r="898" spans="2:8">
      <c r="B898" t="s">
        <v>443</v>
      </c>
      <c r="C898" t="s">
        <v>397</v>
      </c>
      <c r="D898">
        <v>4583</v>
      </c>
      <c r="E898">
        <v>4587</v>
      </c>
      <c r="F898">
        <v>4583</v>
      </c>
      <c r="G898">
        <v>4587</v>
      </c>
      <c r="H898">
        <v>17700</v>
      </c>
    </row>
    <row r="899" spans="2:8">
      <c r="B899" t="s">
        <v>443</v>
      </c>
      <c r="C899" t="s">
        <v>398</v>
      </c>
      <c r="D899">
        <v>4587</v>
      </c>
      <c r="E899">
        <v>4588</v>
      </c>
      <c r="F899">
        <v>4586</v>
      </c>
      <c r="G899">
        <v>4586</v>
      </c>
      <c r="H899">
        <v>22400</v>
      </c>
    </row>
    <row r="900" spans="2:8">
      <c r="B900" t="s">
        <v>443</v>
      </c>
      <c r="C900" t="s">
        <v>399</v>
      </c>
      <c r="D900">
        <v>4586</v>
      </c>
      <c r="E900">
        <v>4587</v>
      </c>
      <c r="F900">
        <v>4585</v>
      </c>
      <c r="G900">
        <v>4585</v>
      </c>
      <c r="H900">
        <v>11700</v>
      </c>
    </row>
    <row r="901" spans="2:8">
      <c r="B901" t="s">
        <v>443</v>
      </c>
      <c r="C901" t="s">
        <v>400</v>
      </c>
      <c r="D901">
        <v>4584</v>
      </c>
      <c r="E901">
        <v>4585</v>
      </c>
      <c r="F901">
        <v>4584</v>
      </c>
      <c r="G901">
        <v>4585</v>
      </c>
      <c r="H901">
        <v>1300</v>
      </c>
    </row>
    <row r="902" spans="2:8">
      <c r="B902" t="s">
        <v>443</v>
      </c>
      <c r="C902" t="s">
        <v>401</v>
      </c>
      <c r="D902">
        <v>4585</v>
      </c>
      <c r="E902">
        <v>4586</v>
      </c>
      <c r="F902">
        <v>4583</v>
      </c>
      <c r="G902">
        <v>4586</v>
      </c>
      <c r="H902">
        <v>15000</v>
      </c>
    </row>
    <row r="903" spans="2:8">
      <c r="B903" t="s">
        <v>443</v>
      </c>
      <c r="C903" t="s">
        <v>402</v>
      </c>
      <c r="D903">
        <v>4586</v>
      </c>
      <c r="E903">
        <v>4586</v>
      </c>
      <c r="F903">
        <v>4585</v>
      </c>
      <c r="G903">
        <v>4585</v>
      </c>
      <c r="H903">
        <v>600</v>
      </c>
    </row>
    <row r="904" spans="2:8">
      <c r="B904" t="s">
        <v>443</v>
      </c>
      <c r="C904" t="s">
        <v>403</v>
      </c>
      <c r="D904">
        <v>4586</v>
      </c>
      <c r="E904">
        <v>4586</v>
      </c>
      <c r="F904">
        <v>4585</v>
      </c>
      <c r="G904">
        <v>4586</v>
      </c>
      <c r="H904">
        <v>9200</v>
      </c>
    </row>
    <row r="905" spans="2:8">
      <c r="B905" t="s">
        <v>443</v>
      </c>
      <c r="C905" t="s">
        <v>404</v>
      </c>
      <c r="D905">
        <v>4586</v>
      </c>
      <c r="E905">
        <v>4586</v>
      </c>
      <c r="F905">
        <v>4585</v>
      </c>
      <c r="G905">
        <v>4585</v>
      </c>
      <c r="H905">
        <v>7300</v>
      </c>
    </row>
    <row r="906" spans="2:8">
      <c r="B906" t="s">
        <v>443</v>
      </c>
      <c r="C906" t="s">
        <v>405</v>
      </c>
      <c r="D906">
        <v>4585</v>
      </c>
      <c r="E906">
        <v>4585</v>
      </c>
      <c r="F906">
        <v>4583</v>
      </c>
      <c r="G906">
        <v>4584</v>
      </c>
      <c r="H906">
        <v>9500</v>
      </c>
    </row>
    <row r="907" spans="2:8">
      <c r="B907" t="s">
        <v>443</v>
      </c>
      <c r="C907" t="s">
        <v>406</v>
      </c>
      <c r="D907">
        <v>4584</v>
      </c>
      <c r="E907">
        <v>4587</v>
      </c>
      <c r="F907">
        <v>4583</v>
      </c>
      <c r="G907">
        <v>4586</v>
      </c>
      <c r="H907">
        <v>36600</v>
      </c>
    </row>
    <row r="908" spans="2:8">
      <c r="B908" t="s">
        <v>443</v>
      </c>
      <c r="C908" t="s">
        <v>407</v>
      </c>
      <c r="D908">
        <v>4586</v>
      </c>
      <c r="E908">
        <v>4591</v>
      </c>
      <c r="F908">
        <v>4584</v>
      </c>
      <c r="G908">
        <v>4590</v>
      </c>
      <c r="H908">
        <v>106600</v>
      </c>
    </row>
    <row r="909" spans="2:8">
      <c r="B909" t="s">
        <v>443</v>
      </c>
      <c r="C909" t="s">
        <v>408</v>
      </c>
      <c r="D909">
        <v>4589</v>
      </c>
      <c r="E909">
        <v>4594</v>
      </c>
      <c r="F909">
        <v>4589</v>
      </c>
      <c r="G909">
        <v>4592</v>
      </c>
      <c r="H909">
        <v>39700</v>
      </c>
    </row>
    <row r="910" spans="2:8">
      <c r="B910" t="s">
        <v>443</v>
      </c>
      <c r="C910" t="s">
        <v>409</v>
      </c>
      <c r="D910">
        <v>4593</v>
      </c>
      <c r="E910">
        <v>4595</v>
      </c>
      <c r="F910">
        <v>4593</v>
      </c>
      <c r="G910">
        <v>4593</v>
      </c>
      <c r="H910">
        <v>31400</v>
      </c>
    </row>
    <row r="911" spans="2:8">
      <c r="B911" t="s">
        <v>443</v>
      </c>
      <c r="C911" t="s">
        <v>410</v>
      </c>
      <c r="D911">
        <v>4592</v>
      </c>
      <c r="E911">
        <v>4593</v>
      </c>
      <c r="F911">
        <v>4592</v>
      </c>
      <c r="G911">
        <v>4593</v>
      </c>
      <c r="H911">
        <v>9400</v>
      </c>
    </row>
    <row r="912" spans="2:8">
      <c r="B912" t="s">
        <v>443</v>
      </c>
      <c r="C912" t="s">
        <v>411</v>
      </c>
      <c r="D912">
        <v>4592</v>
      </c>
      <c r="E912">
        <v>4593</v>
      </c>
      <c r="F912">
        <v>4592</v>
      </c>
      <c r="G912">
        <v>4593</v>
      </c>
      <c r="H912">
        <v>7400</v>
      </c>
    </row>
    <row r="913" spans="2:8">
      <c r="B913" t="s">
        <v>443</v>
      </c>
      <c r="C913" t="s">
        <v>412</v>
      </c>
      <c r="D913">
        <v>4593</v>
      </c>
      <c r="E913">
        <v>4597</v>
      </c>
      <c r="F913">
        <v>4593</v>
      </c>
      <c r="G913">
        <v>4597</v>
      </c>
      <c r="H913">
        <v>43200</v>
      </c>
    </row>
    <row r="914" spans="2:8">
      <c r="B914" t="s">
        <v>443</v>
      </c>
      <c r="C914" t="s">
        <v>413</v>
      </c>
      <c r="D914">
        <v>4597</v>
      </c>
      <c r="E914">
        <v>4606</v>
      </c>
      <c r="F914">
        <v>4597</v>
      </c>
      <c r="G914">
        <v>4597</v>
      </c>
      <c r="H914">
        <v>235400</v>
      </c>
    </row>
    <row r="915" spans="2:8">
      <c r="B915" t="s">
        <v>443</v>
      </c>
      <c r="C915" t="s">
        <v>414</v>
      </c>
      <c r="D915">
        <v>4597</v>
      </c>
      <c r="E915">
        <v>4602</v>
      </c>
      <c r="F915">
        <v>4595</v>
      </c>
      <c r="G915">
        <v>4600</v>
      </c>
      <c r="H915">
        <v>72000</v>
      </c>
    </row>
    <row r="916" spans="2:8">
      <c r="B916" t="s">
        <v>443</v>
      </c>
      <c r="C916" t="s">
        <v>415</v>
      </c>
      <c r="D916">
        <v>4600</v>
      </c>
      <c r="E916">
        <v>4601</v>
      </c>
      <c r="F916">
        <v>4600</v>
      </c>
      <c r="G916">
        <v>4601</v>
      </c>
      <c r="H916">
        <v>11400</v>
      </c>
    </row>
    <row r="917" spans="2:8">
      <c r="B917" t="s">
        <v>443</v>
      </c>
      <c r="C917" t="s">
        <v>416</v>
      </c>
      <c r="D917">
        <v>4601</v>
      </c>
      <c r="E917">
        <v>4602</v>
      </c>
      <c r="F917">
        <v>4596</v>
      </c>
      <c r="G917">
        <v>4598</v>
      </c>
      <c r="H917">
        <v>48300</v>
      </c>
    </row>
    <row r="918" spans="2:8">
      <c r="B918" t="s">
        <v>443</v>
      </c>
      <c r="C918" t="s">
        <v>417</v>
      </c>
      <c r="D918">
        <v>4599</v>
      </c>
      <c r="E918">
        <v>4599</v>
      </c>
      <c r="F918">
        <v>4592</v>
      </c>
      <c r="G918">
        <v>4592</v>
      </c>
      <c r="H918">
        <v>12500</v>
      </c>
    </row>
    <row r="919" spans="2:8">
      <c r="B919" t="s">
        <v>443</v>
      </c>
      <c r="C919" t="s">
        <v>418</v>
      </c>
      <c r="D919">
        <v>4593</v>
      </c>
      <c r="E919">
        <v>4597</v>
      </c>
      <c r="F919">
        <v>4592</v>
      </c>
      <c r="G919">
        <v>4593</v>
      </c>
      <c r="H919">
        <v>37800</v>
      </c>
    </row>
    <row r="920" spans="2:8">
      <c r="B920" t="s">
        <v>443</v>
      </c>
      <c r="C920" t="s">
        <v>419</v>
      </c>
      <c r="D920">
        <v>4593</v>
      </c>
      <c r="E920">
        <v>4594</v>
      </c>
      <c r="F920">
        <v>4591</v>
      </c>
      <c r="G920">
        <v>4594</v>
      </c>
      <c r="H920">
        <v>14900</v>
      </c>
    </row>
    <row r="921" spans="2:8">
      <c r="B921" t="s">
        <v>443</v>
      </c>
      <c r="C921" t="s">
        <v>420</v>
      </c>
      <c r="D921">
        <v>4594</v>
      </c>
      <c r="E921">
        <v>4595</v>
      </c>
      <c r="F921">
        <v>4592</v>
      </c>
      <c r="G921">
        <v>4595</v>
      </c>
      <c r="H921">
        <v>16500</v>
      </c>
    </row>
    <row r="922" spans="2:8">
      <c r="B922" t="s">
        <v>443</v>
      </c>
      <c r="C922" t="s">
        <v>421</v>
      </c>
      <c r="D922">
        <v>4595</v>
      </c>
      <c r="E922">
        <v>4595</v>
      </c>
      <c r="F922">
        <v>4592</v>
      </c>
      <c r="G922">
        <v>4592</v>
      </c>
      <c r="H922">
        <v>20100</v>
      </c>
    </row>
    <row r="923" spans="2:8">
      <c r="B923" t="s">
        <v>443</v>
      </c>
      <c r="C923" t="s">
        <v>422</v>
      </c>
      <c r="D923">
        <v>4592</v>
      </c>
      <c r="E923">
        <v>4593</v>
      </c>
      <c r="F923">
        <v>4592</v>
      </c>
      <c r="G923">
        <v>4593</v>
      </c>
      <c r="H923">
        <v>1300</v>
      </c>
    </row>
    <row r="924" spans="2:8">
      <c r="B924" t="s">
        <v>443</v>
      </c>
      <c r="C924" t="s">
        <v>423</v>
      </c>
      <c r="D924">
        <v>4593</v>
      </c>
      <c r="E924">
        <v>4595</v>
      </c>
      <c r="F924">
        <v>4592</v>
      </c>
      <c r="G924">
        <v>4595</v>
      </c>
      <c r="H924">
        <v>9600</v>
      </c>
    </row>
    <row r="925" spans="2:8">
      <c r="B925" t="s">
        <v>443</v>
      </c>
      <c r="C925" t="s">
        <v>424</v>
      </c>
      <c r="D925">
        <v>4594</v>
      </c>
      <c r="E925">
        <v>4598</v>
      </c>
      <c r="F925">
        <v>4594</v>
      </c>
      <c r="G925">
        <v>4598</v>
      </c>
      <c r="H925">
        <v>28700</v>
      </c>
    </row>
    <row r="926" spans="2:8">
      <c r="B926" t="s">
        <v>443</v>
      </c>
      <c r="C926" t="s">
        <v>425</v>
      </c>
      <c r="D926">
        <v>4598</v>
      </c>
      <c r="E926">
        <v>4599</v>
      </c>
      <c r="F926">
        <v>4598</v>
      </c>
      <c r="G926">
        <v>4599</v>
      </c>
      <c r="H926">
        <v>5500</v>
      </c>
    </row>
    <row r="927" spans="2:8">
      <c r="B927" t="s">
        <v>443</v>
      </c>
      <c r="C927" t="s">
        <v>426</v>
      </c>
      <c r="D927">
        <v>4599</v>
      </c>
      <c r="E927">
        <v>4600</v>
      </c>
      <c r="F927">
        <v>4598</v>
      </c>
      <c r="G927">
        <v>4599</v>
      </c>
      <c r="H927">
        <v>12900</v>
      </c>
    </row>
    <row r="928" spans="2:8">
      <c r="B928" t="s">
        <v>443</v>
      </c>
      <c r="C928" t="s">
        <v>427</v>
      </c>
      <c r="D928">
        <v>4598</v>
      </c>
      <c r="E928">
        <v>4598</v>
      </c>
      <c r="F928">
        <v>4596</v>
      </c>
      <c r="G928">
        <v>4597</v>
      </c>
      <c r="H928">
        <v>12600</v>
      </c>
    </row>
    <row r="929" spans="2:8">
      <c r="B929" t="s">
        <v>443</v>
      </c>
      <c r="C929" t="s">
        <v>428</v>
      </c>
      <c r="D929">
        <v>4596</v>
      </c>
      <c r="E929">
        <v>4597</v>
      </c>
      <c r="F929">
        <v>4594</v>
      </c>
      <c r="G929">
        <v>4594</v>
      </c>
      <c r="H929">
        <v>24200</v>
      </c>
    </row>
    <row r="930" spans="2:8">
      <c r="B930" t="s">
        <v>443</v>
      </c>
      <c r="C930" t="s">
        <v>429</v>
      </c>
      <c r="D930">
        <v>4595</v>
      </c>
      <c r="E930">
        <v>4596</v>
      </c>
      <c r="F930">
        <v>4595</v>
      </c>
      <c r="G930">
        <v>4596</v>
      </c>
      <c r="H930">
        <v>8900</v>
      </c>
    </row>
    <row r="931" spans="2:8">
      <c r="B931" t="s">
        <v>443</v>
      </c>
      <c r="C931" t="s">
        <v>430</v>
      </c>
      <c r="D931">
        <v>4596</v>
      </c>
      <c r="E931">
        <v>4596</v>
      </c>
      <c r="F931">
        <v>4595</v>
      </c>
      <c r="G931">
        <v>4595</v>
      </c>
      <c r="H931">
        <v>14500</v>
      </c>
    </row>
    <row r="932" spans="2:8">
      <c r="B932" t="s">
        <v>443</v>
      </c>
      <c r="C932" t="s">
        <v>431</v>
      </c>
      <c r="D932">
        <v>4595</v>
      </c>
      <c r="E932">
        <v>4602</v>
      </c>
      <c r="F932">
        <v>4595</v>
      </c>
      <c r="G932">
        <v>4599</v>
      </c>
      <c r="H932">
        <v>88300</v>
      </c>
    </row>
    <row r="933" spans="2:8">
      <c r="B933" t="s">
        <v>443</v>
      </c>
      <c r="C933" t="s">
        <v>9</v>
      </c>
      <c r="D933">
        <v>4600</v>
      </c>
      <c r="E933">
        <v>4600</v>
      </c>
      <c r="F933">
        <v>4600</v>
      </c>
      <c r="G933">
        <v>4600</v>
      </c>
      <c r="H933">
        <v>10100</v>
      </c>
    </row>
    <row r="934" spans="2:8">
      <c r="B934" t="s">
        <v>443</v>
      </c>
      <c r="C934" t="s">
        <v>10</v>
      </c>
      <c r="D934">
        <v>4600</v>
      </c>
      <c r="E934">
        <v>4600</v>
      </c>
      <c r="F934">
        <v>4598</v>
      </c>
      <c r="G934">
        <v>4600</v>
      </c>
      <c r="H934">
        <v>17800</v>
      </c>
    </row>
    <row r="935" spans="2:8">
      <c r="B935" t="s">
        <v>443</v>
      </c>
      <c r="C935" t="s">
        <v>11</v>
      </c>
      <c r="D935">
        <v>4599</v>
      </c>
      <c r="E935">
        <v>4600</v>
      </c>
      <c r="F935">
        <v>4599</v>
      </c>
      <c r="G935">
        <v>4600</v>
      </c>
      <c r="H935">
        <v>14000</v>
      </c>
    </row>
    <row r="936" spans="2:8">
      <c r="B936" t="s">
        <v>443</v>
      </c>
      <c r="C936" t="s">
        <v>12</v>
      </c>
      <c r="D936">
        <v>4599</v>
      </c>
      <c r="E936">
        <v>4601</v>
      </c>
      <c r="F936">
        <v>4599</v>
      </c>
      <c r="G936">
        <v>4600</v>
      </c>
      <c r="H936">
        <v>19000</v>
      </c>
    </row>
    <row r="937" spans="2:8">
      <c r="B937" t="s">
        <v>443</v>
      </c>
      <c r="C937" t="s">
        <v>13</v>
      </c>
      <c r="D937">
        <v>4600</v>
      </c>
      <c r="E937">
        <v>4601</v>
      </c>
      <c r="F937">
        <v>4600</v>
      </c>
      <c r="G937">
        <v>4601</v>
      </c>
      <c r="H937">
        <v>3000</v>
      </c>
    </row>
    <row r="938" spans="2:8">
      <c r="B938" t="s">
        <v>443</v>
      </c>
      <c r="C938" t="s">
        <v>14</v>
      </c>
      <c r="D938">
        <v>4601</v>
      </c>
      <c r="E938">
        <v>4601</v>
      </c>
      <c r="F938">
        <v>4598</v>
      </c>
      <c r="G938">
        <v>4599</v>
      </c>
      <c r="H938">
        <v>27200</v>
      </c>
    </row>
    <row r="939" spans="2:8">
      <c r="B939" t="s">
        <v>443</v>
      </c>
      <c r="C939" t="s">
        <v>15</v>
      </c>
      <c r="D939">
        <v>4599</v>
      </c>
      <c r="E939">
        <v>4601</v>
      </c>
      <c r="F939">
        <v>4598</v>
      </c>
      <c r="G939">
        <v>4600</v>
      </c>
      <c r="H939">
        <v>18200</v>
      </c>
    </row>
    <row r="940" spans="2:8">
      <c r="B940" t="s">
        <v>443</v>
      </c>
      <c r="C940" t="s">
        <v>16</v>
      </c>
      <c r="D940">
        <v>4599</v>
      </c>
      <c r="E940">
        <v>4602</v>
      </c>
      <c r="F940">
        <v>4599</v>
      </c>
      <c r="G940">
        <v>4601</v>
      </c>
      <c r="H940">
        <v>19500</v>
      </c>
    </row>
    <row r="941" spans="2:8">
      <c r="B941" t="s">
        <v>443</v>
      </c>
      <c r="C941" t="s">
        <v>17</v>
      </c>
      <c r="D941">
        <v>4602</v>
      </c>
      <c r="E941">
        <v>4602</v>
      </c>
      <c r="F941">
        <v>4601</v>
      </c>
      <c r="G941">
        <v>4602</v>
      </c>
      <c r="H941">
        <v>15800</v>
      </c>
    </row>
    <row r="942" spans="2:8">
      <c r="B942" t="s">
        <v>443</v>
      </c>
      <c r="C942" t="s">
        <v>18</v>
      </c>
      <c r="D942">
        <v>4602</v>
      </c>
      <c r="E942">
        <v>4602</v>
      </c>
      <c r="F942">
        <v>4601</v>
      </c>
      <c r="G942">
        <v>4601</v>
      </c>
      <c r="H942">
        <v>6800</v>
      </c>
    </row>
    <row r="943" spans="2:8">
      <c r="B943" t="s">
        <v>443</v>
      </c>
      <c r="C943" t="s">
        <v>19</v>
      </c>
      <c r="D943">
        <v>4600</v>
      </c>
      <c r="E943">
        <v>4601</v>
      </c>
      <c r="F943">
        <v>4600</v>
      </c>
      <c r="G943">
        <v>4601</v>
      </c>
      <c r="H943">
        <v>4800</v>
      </c>
    </row>
    <row r="944" spans="2:8">
      <c r="B944" t="s">
        <v>443</v>
      </c>
      <c r="C944" t="s">
        <v>20</v>
      </c>
      <c r="D944">
        <v>4601</v>
      </c>
      <c r="E944">
        <v>4601</v>
      </c>
      <c r="F944">
        <v>4598</v>
      </c>
      <c r="G944">
        <v>4600</v>
      </c>
      <c r="H944">
        <v>65400</v>
      </c>
    </row>
    <row r="945" spans="2:8">
      <c r="B945" t="s">
        <v>443</v>
      </c>
      <c r="C945" t="s">
        <v>21</v>
      </c>
      <c r="D945">
        <v>4601</v>
      </c>
      <c r="E945">
        <v>4601</v>
      </c>
      <c r="F945">
        <v>4599</v>
      </c>
      <c r="G945">
        <v>4599</v>
      </c>
      <c r="H945">
        <v>15100</v>
      </c>
    </row>
    <row r="946" spans="2:8">
      <c r="B946" t="s">
        <v>443</v>
      </c>
      <c r="C946" t="s">
        <v>22</v>
      </c>
      <c r="D946">
        <v>4598</v>
      </c>
      <c r="E946">
        <v>4600</v>
      </c>
      <c r="F946">
        <v>4598</v>
      </c>
      <c r="G946">
        <v>4600</v>
      </c>
      <c r="H946">
        <v>7300</v>
      </c>
    </row>
    <row r="947" spans="2:8">
      <c r="B947" t="s">
        <v>443</v>
      </c>
      <c r="C947" t="s">
        <v>23</v>
      </c>
      <c r="D947">
        <v>4601</v>
      </c>
      <c r="E947">
        <v>4601</v>
      </c>
      <c r="F947">
        <v>4599</v>
      </c>
      <c r="G947">
        <v>4599</v>
      </c>
      <c r="H947">
        <v>7400</v>
      </c>
    </row>
    <row r="948" spans="2:8">
      <c r="B948" t="s">
        <v>443</v>
      </c>
      <c r="C948" t="s">
        <v>24</v>
      </c>
      <c r="D948">
        <v>4600</v>
      </c>
      <c r="E948">
        <v>4601</v>
      </c>
      <c r="F948">
        <v>4600</v>
      </c>
      <c r="G948">
        <v>4600</v>
      </c>
      <c r="H948">
        <v>9600</v>
      </c>
    </row>
    <row r="949" spans="2:8">
      <c r="B949" t="s">
        <v>443</v>
      </c>
      <c r="C949" t="s">
        <v>25</v>
      </c>
      <c r="D949">
        <v>4601</v>
      </c>
      <c r="E949">
        <v>4602</v>
      </c>
      <c r="F949">
        <v>4600</v>
      </c>
      <c r="G949">
        <v>4600</v>
      </c>
      <c r="H949">
        <v>20800</v>
      </c>
    </row>
    <row r="950" spans="2:8">
      <c r="B950" t="s">
        <v>443</v>
      </c>
      <c r="C950" t="s">
        <v>26</v>
      </c>
      <c r="D950">
        <v>4600</v>
      </c>
      <c r="E950">
        <v>4601</v>
      </c>
      <c r="F950">
        <v>4600</v>
      </c>
      <c r="G950">
        <v>4601</v>
      </c>
      <c r="H950">
        <v>6800</v>
      </c>
    </row>
    <row r="951" spans="2:8">
      <c r="B951" t="s">
        <v>443</v>
      </c>
      <c r="C951" t="s">
        <v>27</v>
      </c>
      <c r="D951">
        <v>4600</v>
      </c>
      <c r="E951">
        <v>4600</v>
      </c>
      <c r="F951">
        <v>4598</v>
      </c>
      <c r="G951">
        <v>4598</v>
      </c>
      <c r="H951">
        <v>29200</v>
      </c>
    </row>
    <row r="952" spans="2:8">
      <c r="B952" t="s">
        <v>443</v>
      </c>
      <c r="C952" t="s">
        <v>28</v>
      </c>
      <c r="D952">
        <v>4599</v>
      </c>
      <c r="E952">
        <v>4599</v>
      </c>
      <c r="F952">
        <v>4598</v>
      </c>
      <c r="G952">
        <v>4598</v>
      </c>
      <c r="H952">
        <v>6800</v>
      </c>
    </row>
    <row r="953" spans="2:8">
      <c r="B953" t="s">
        <v>443</v>
      </c>
      <c r="C953" t="s">
        <v>29</v>
      </c>
      <c r="D953">
        <v>4599</v>
      </c>
      <c r="E953">
        <v>4601</v>
      </c>
      <c r="F953">
        <v>4598</v>
      </c>
      <c r="G953">
        <v>4601</v>
      </c>
      <c r="H953">
        <v>17100</v>
      </c>
    </row>
    <row r="954" spans="2:8">
      <c r="B954" t="s">
        <v>443</v>
      </c>
      <c r="C954" t="s">
        <v>30</v>
      </c>
      <c r="D954">
        <v>4600</v>
      </c>
      <c r="E954">
        <v>4600</v>
      </c>
      <c r="F954">
        <v>4598</v>
      </c>
      <c r="G954">
        <v>4599</v>
      </c>
      <c r="H954">
        <v>29000</v>
      </c>
    </row>
    <row r="955" spans="2:8">
      <c r="B955" t="s">
        <v>443</v>
      </c>
      <c r="C955" t="s">
        <v>31</v>
      </c>
      <c r="D955">
        <v>4599</v>
      </c>
      <c r="E955">
        <v>4600</v>
      </c>
      <c r="F955">
        <v>4599</v>
      </c>
      <c r="G955">
        <v>4600</v>
      </c>
      <c r="H955">
        <v>7900</v>
      </c>
    </row>
    <row r="956" spans="2:8">
      <c r="B956" t="s">
        <v>443</v>
      </c>
      <c r="C956" t="s">
        <v>32</v>
      </c>
      <c r="D956">
        <v>4599</v>
      </c>
      <c r="E956">
        <v>4601</v>
      </c>
      <c r="F956">
        <v>4599</v>
      </c>
      <c r="G956">
        <v>4600</v>
      </c>
      <c r="H956">
        <v>18600</v>
      </c>
    </row>
    <row r="957" spans="2:8">
      <c r="B957" t="s">
        <v>443</v>
      </c>
      <c r="C957" t="s">
        <v>33</v>
      </c>
      <c r="D957">
        <v>4600</v>
      </c>
      <c r="E957">
        <v>4601</v>
      </c>
      <c r="F957">
        <v>4600</v>
      </c>
      <c r="G957">
        <v>4601</v>
      </c>
      <c r="H957">
        <v>4200</v>
      </c>
    </row>
    <row r="958" spans="2:8">
      <c r="B958" t="s">
        <v>443</v>
      </c>
      <c r="C958" t="s">
        <v>34</v>
      </c>
      <c r="D958">
        <v>4601</v>
      </c>
      <c r="E958">
        <v>4601</v>
      </c>
      <c r="F958">
        <v>4600</v>
      </c>
      <c r="G958">
        <v>4600</v>
      </c>
      <c r="H958">
        <v>4300</v>
      </c>
    </row>
    <row r="959" spans="2:8">
      <c r="B959" t="s">
        <v>443</v>
      </c>
      <c r="C959" t="s">
        <v>35</v>
      </c>
      <c r="D959">
        <v>4600</v>
      </c>
      <c r="E959">
        <v>4601</v>
      </c>
      <c r="F959">
        <v>4599</v>
      </c>
      <c r="G959">
        <v>4599</v>
      </c>
      <c r="H959">
        <v>15800</v>
      </c>
    </row>
    <row r="960" spans="2:8">
      <c r="B960" t="s">
        <v>443</v>
      </c>
      <c r="C960" t="s">
        <v>36</v>
      </c>
      <c r="D960">
        <v>4599</v>
      </c>
      <c r="E960">
        <v>4601</v>
      </c>
      <c r="F960">
        <v>4599</v>
      </c>
      <c r="G960">
        <v>4600</v>
      </c>
      <c r="H960">
        <v>23200</v>
      </c>
    </row>
    <row r="961" spans="2:8">
      <c r="B961" t="s">
        <v>443</v>
      </c>
      <c r="C961" t="s">
        <v>37</v>
      </c>
      <c r="D961">
        <v>4600</v>
      </c>
      <c r="E961">
        <v>4602</v>
      </c>
      <c r="F961">
        <v>4600</v>
      </c>
      <c r="G961">
        <v>4601</v>
      </c>
      <c r="H961">
        <v>8000</v>
      </c>
    </row>
    <row r="962" spans="2:8">
      <c r="B962" t="s">
        <v>443</v>
      </c>
      <c r="C962" t="s">
        <v>38</v>
      </c>
      <c r="D962">
        <v>4601</v>
      </c>
      <c r="E962">
        <v>4601</v>
      </c>
      <c r="F962">
        <v>4591</v>
      </c>
      <c r="G962">
        <v>4591</v>
      </c>
      <c r="H962">
        <v>61600</v>
      </c>
    </row>
    <row r="963" spans="2:8">
      <c r="B963" t="s">
        <v>443</v>
      </c>
      <c r="C963" t="s">
        <v>39</v>
      </c>
      <c r="D963">
        <v>4591</v>
      </c>
      <c r="E963">
        <v>4591</v>
      </c>
      <c r="F963">
        <v>4587</v>
      </c>
      <c r="G963">
        <v>4587</v>
      </c>
      <c r="H963">
        <v>20300</v>
      </c>
    </row>
    <row r="964" spans="2:8">
      <c r="B964" t="s">
        <v>443</v>
      </c>
      <c r="C964" t="s">
        <v>40</v>
      </c>
      <c r="D964">
        <v>4587</v>
      </c>
      <c r="E964">
        <v>4595</v>
      </c>
      <c r="F964">
        <v>4587</v>
      </c>
      <c r="G964">
        <v>4594</v>
      </c>
      <c r="H964">
        <v>52700</v>
      </c>
    </row>
    <row r="965" spans="2:8">
      <c r="B965" t="s">
        <v>443</v>
      </c>
      <c r="C965" t="s">
        <v>41</v>
      </c>
      <c r="D965">
        <v>4593</v>
      </c>
      <c r="E965">
        <v>4594</v>
      </c>
      <c r="F965">
        <v>4593</v>
      </c>
      <c r="G965">
        <v>4594</v>
      </c>
      <c r="H965">
        <v>4900</v>
      </c>
    </row>
    <row r="966" spans="2:8">
      <c r="B966" t="s">
        <v>443</v>
      </c>
      <c r="C966" t="s">
        <v>42</v>
      </c>
      <c r="D966">
        <v>4593</v>
      </c>
      <c r="E966">
        <v>4595</v>
      </c>
      <c r="F966">
        <v>4592</v>
      </c>
      <c r="G966">
        <v>4592</v>
      </c>
      <c r="H966">
        <v>18600</v>
      </c>
    </row>
    <row r="967" spans="2:8">
      <c r="B967" t="s">
        <v>443</v>
      </c>
      <c r="C967" t="s">
        <v>43</v>
      </c>
      <c r="D967">
        <v>4593</v>
      </c>
      <c r="E967">
        <v>4594</v>
      </c>
      <c r="F967">
        <v>4590</v>
      </c>
      <c r="G967">
        <v>4590</v>
      </c>
      <c r="H967">
        <v>24000</v>
      </c>
    </row>
    <row r="968" spans="2:8">
      <c r="B968" t="s">
        <v>443</v>
      </c>
      <c r="C968" t="s">
        <v>44</v>
      </c>
      <c r="D968">
        <v>4590</v>
      </c>
      <c r="E968">
        <v>4592</v>
      </c>
      <c r="F968">
        <v>4589</v>
      </c>
      <c r="G968">
        <v>4591</v>
      </c>
      <c r="H968">
        <v>23400</v>
      </c>
    </row>
    <row r="969" spans="2:8">
      <c r="B969" t="s">
        <v>443</v>
      </c>
      <c r="C969" t="s">
        <v>45</v>
      </c>
      <c r="D969">
        <v>4591</v>
      </c>
      <c r="E969">
        <v>4591</v>
      </c>
      <c r="F969">
        <v>4590</v>
      </c>
      <c r="G969">
        <v>4590</v>
      </c>
      <c r="H969">
        <v>16400</v>
      </c>
    </row>
    <row r="970" spans="2:8">
      <c r="B970" t="s">
        <v>443</v>
      </c>
      <c r="C970" t="s">
        <v>46</v>
      </c>
      <c r="D970">
        <v>4590</v>
      </c>
      <c r="E970">
        <v>4591</v>
      </c>
      <c r="F970">
        <v>4589</v>
      </c>
      <c r="G970">
        <v>4591</v>
      </c>
      <c r="H970">
        <v>8100</v>
      </c>
    </row>
    <row r="971" spans="2:8">
      <c r="B971" t="s">
        <v>443</v>
      </c>
      <c r="C971" t="s">
        <v>47</v>
      </c>
      <c r="D971">
        <v>4591</v>
      </c>
      <c r="E971">
        <v>4592</v>
      </c>
      <c r="F971">
        <v>4591</v>
      </c>
      <c r="G971">
        <v>4591</v>
      </c>
      <c r="H971">
        <v>12400</v>
      </c>
    </row>
    <row r="972" spans="2:8">
      <c r="B972" t="s">
        <v>443</v>
      </c>
      <c r="C972" t="s">
        <v>48</v>
      </c>
      <c r="D972">
        <v>4590</v>
      </c>
      <c r="E972">
        <v>4591</v>
      </c>
      <c r="F972">
        <v>4583</v>
      </c>
      <c r="G972">
        <v>4587</v>
      </c>
      <c r="H972">
        <v>75700</v>
      </c>
    </row>
    <row r="973" spans="2:8">
      <c r="B973" t="s">
        <v>443</v>
      </c>
      <c r="C973" t="s">
        <v>49</v>
      </c>
      <c r="D973">
        <v>4586</v>
      </c>
      <c r="E973">
        <v>4587</v>
      </c>
      <c r="F973">
        <v>4586</v>
      </c>
      <c r="G973">
        <v>4586</v>
      </c>
      <c r="H973">
        <v>5600</v>
      </c>
    </row>
    <row r="974" spans="2:8">
      <c r="B974" t="s">
        <v>443</v>
      </c>
      <c r="C974" t="s">
        <v>50</v>
      </c>
      <c r="D974">
        <v>4585</v>
      </c>
      <c r="E974">
        <v>4586</v>
      </c>
      <c r="F974">
        <v>4583</v>
      </c>
      <c r="G974">
        <v>4584</v>
      </c>
      <c r="H974">
        <v>14700</v>
      </c>
    </row>
    <row r="975" spans="2:8">
      <c r="B975" t="s">
        <v>443</v>
      </c>
      <c r="C975" t="s">
        <v>51</v>
      </c>
      <c r="D975">
        <v>4583</v>
      </c>
      <c r="E975">
        <v>4584</v>
      </c>
      <c r="F975">
        <v>4581</v>
      </c>
      <c r="G975">
        <v>4581</v>
      </c>
      <c r="H975">
        <v>21200</v>
      </c>
    </row>
    <row r="976" spans="2:8">
      <c r="B976" t="s">
        <v>443</v>
      </c>
      <c r="C976" t="s">
        <v>52</v>
      </c>
      <c r="D976">
        <v>4581</v>
      </c>
      <c r="E976">
        <v>4587</v>
      </c>
      <c r="F976">
        <v>4580</v>
      </c>
      <c r="G976">
        <v>4587</v>
      </c>
      <c r="H976">
        <v>33000</v>
      </c>
    </row>
    <row r="977" spans="2:8">
      <c r="B977" t="s">
        <v>443</v>
      </c>
      <c r="C977" t="s">
        <v>53</v>
      </c>
      <c r="D977">
        <v>4587</v>
      </c>
      <c r="E977">
        <v>4587</v>
      </c>
      <c r="F977">
        <v>4586</v>
      </c>
      <c r="G977">
        <v>4586</v>
      </c>
      <c r="H977">
        <v>12600</v>
      </c>
    </row>
    <row r="978" spans="2:8">
      <c r="B978" t="s">
        <v>443</v>
      </c>
      <c r="C978" t="s">
        <v>54</v>
      </c>
      <c r="D978">
        <v>4586</v>
      </c>
      <c r="E978">
        <v>4586</v>
      </c>
      <c r="F978">
        <v>4585</v>
      </c>
      <c r="G978">
        <v>4586</v>
      </c>
      <c r="H978">
        <v>7200</v>
      </c>
    </row>
    <row r="979" spans="2:8">
      <c r="B979" t="s">
        <v>443</v>
      </c>
      <c r="C979" t="s">
        <v>55</v>
      </c>
      <c r="D979">
        <v>4585</v>
      </c>
      <c r="E979">
        <v>4585</v>
      </c>
      <c r="F979">
        <v>4583</v>
      </c>
      <c r="G979">
        <v>4583</v>
      </c>
      <c r="H979">
        <v>23400</v>
      </c>
    </row>
    <row r="980" spans="2:8">
      <c r="B980" t="s">
        <v>443</v>
      </c>
      <c r="C980" t="s">
        <v>56</v>
      </c>
      <c r="D980">
        <v>4582</v>
      </c>
      <c r="E980">
        <v>4584</v>
      </c>
      <c r="F980">
        <v>4582</v>
      </c>
      <c r="G980">
        <v>4582</v>
      </c>
      <c r="H980">
        <v>11100</v>
      </c>
    </row>
    <row r="981" spans="2:8">
      <c r="B981" t="s">
        <v>443</v>
      </c>
      <c r="C981" t="s">
        <v>57</v>
      </c>
      <c r="D981">
        <v>4582</v>
      </c>
      <c r="E981">
        <v>4583</v>
      </c>
      <c r="F981">
        <v>4582</v>
      </c>
      <c r="G981">
        <v>4583</v>
      </c>
      <c r="H981">
        <v>12100</v>
      </c>
    </row>
    <row r="982" spans="2:8">
      <c r="B982" t="s">
        <v>443</v>
      </c>
      <c r="C982" t="s">
        <v>58</v>
      </c>
      <c r="D982">
        <v>4583</v>
      </c>
      <c r="E982">
        <v>4584</v>
      </c>
      <c r="F982">
        <v>4582</v>
      </c>
      <c r="G982">
        <v>4583</v>
      </c>
      <c r="H982">
        <v>27400</v>
      </c>
    </row>
    <row r="983" spans="2:8">
      <c r="B983" t="s">
        <v>443</v>
      </c>
      <c r="C983" t="s">
        <v>59</v>
      </c>
      <c r="D983">
        <v>4582</v>
      </c>
      <c r="E983">
        <v>4585</v>
      </c>
      <c r="F983">
        <v>4581</v>
      </c>
      <c r="G983">
        <v>4584</v>
      </c>
      <c r="H983">
        <v>44100</v>
      </c>
    </row>
    <row r="984" spans="2:8">
      <c r="B984" t="s">
        <v>443</v>
      </c>
      <c r="C984" t="s">
        <v>60</v>
      </c>
      <c r="D984">
        <v>4583</v>
      </c>
      <c r="E984">
        <v>4583</v>
      </c>
      <c r="F984">
        <v>4581</v>
      </c>
      <c r="G984">
        <v>4582</v>
      </c>
      <c r="H984">
        <v>18100</v>
      </c>
    </row>
    <row r="985" spans="2:8">
      <c r="B985" t="s">
        <v>443</v>
      </c>
      <c r="C985" t="s">
        <v>61</v>
      </c>
      <c r="D985">
        <v>4581</v>
      </c>
      <c r="E985">
        <v>4582</v>
      </c>
      <c r="F985">
        <v>4581</v>
      </c>
      <c r="G985">
        <v>4581</v>
      </c>
      <c r="H985">
        <v>6300</v>
      </c>
    </row>
    <row r="986" spans="2:8">
      <c r="B986" t="s">
        <v>443</v>
      </c>
      <c r="C986" t="s">
        <v>62</v>
      </c>
      <c r="D986">
        <v>4581</v>
      </c>
      <c r="E986">
        <v>4583</v>
      </c>
      <c r="F986">
        <v>4579</v>
      </c>
      <c r="G986">
        <v>4580</v>
      </c>
      <c r="H986">
        <v>70300</v>
      </c>
    </row>
    <row r="987" spans="2:8">
      <c r="B987" t="s">
        <v>443</v>
      </c>
      <c r="C987" t="s">
        <v>63</v>
      </c>
      <c r="D987">
        <v>4581</v>
      </c>
      <c r="E987">
        <v>4584</v>
      </c>
      <c r="F987">
        <v>4581</v>
      </c>
      <c r="G987">
        <v>4583</v>
      </c>
      <c r="H987">
        <v>40200</v>
      </c>
    </row>
    <row r="988" spans="2:8">
      <c r="B988" t="s">
        <v>443</v>
      </c>
      <c r="C988" t="s">
        <v>64</v>
      </c>
      <c r="D988">
        <v>4583</v>
      </c>
      <c r="E988">
        <v>4584</v>
      </c>
      <c r="F988">
        <v>4582</v>
      </c>
      <c r="G988">
        <v>4584</v>
      </c>
      <c r="H988">
        <v>19500</v>
      </c>
    </row>
    <row r="989" spans="2:8">
      <c r="B989" t="s">
        <v>443</v>
      </c>
      <c r="C989" t="s">
        <v>65</v>
      </c>
      <c r="D989">
        <v>4584</v>
      </c>
      <c r="E989">
        <v>4587</v>
      </c>
      <c r="F989">
        <v>4583</v>
      </c>
      <c r="G989">
        <v>4587</v>
      </c>
      <c r="H989">
        <v>22900</v>
      </c>
    </row>
    <row r="990" spans="2:8">
      <c r="B990" t="s">
        <v>443</v>
      </c>
      <c r="C990" t="s">
        <v>66</v>
      </c>
      <c r="D990">
        <v>4587</v>
      </c>
      <c r="E990">
        <v>4587</v>
      </c>
      <c r="F990">
        <v>4585</v>
      </c>
      <c r="G990">
        <v>4586</v>
      </c>
      <c r="H990">
        <v>38900</v>
      </c>
    </row>
    <row r="991" spans="2:8">
      <c r="B991" t="s">
        <v>443</v>
      </c>
      <c r="C991" t="s">
        <v>164</v>
      </c>
      <c r="D991">
        <v>4586</v>
      </c>
      <c r="E991">
        <v>4588</v>
      </c>
      <c r="F991">
        <v>4586</v>
      </c>
      <c r="G991">
        <v>4587</v>
      </c>
      <c r="H991">
        <v>14800</v>
      </c>
    </row>
    <row r="992" spans="2:8">
      <c r="B992" t="s">
        <v>443</v>
      </c>
      <c r="C992" t="s">
        <v>165</v>
      </c>
      <c r="D992">
        <v>4587</v>
      </c>
      <c r="E992">
        <v>4588</v>
      </c>
      <c r="F992">
        <v>4585</v>
      </c>
      <c r="G992">
        <v>4585</v>
      </c>
      <c r="H992">
        <v>40500</v>
      </c>
    </row>
    <row r="993" spans="2:8">
      <c r="B993" t="s">
        <v>443</v>
      </c>
      <c r="C993" t="s">
        <v>67</v>
      </c>
      <c r="D993" t="s">
        <v>8</v>
      </c>
      <c r="E993" t="s">
        <v>8</v>
      </c>
      <c r="F993" t="s">
        <v>8</v>
      </c>
      <c r="G993" t="s">
        <v>8</v>
      </c>
      <c r="H993">
        <v>0</v>
      </c>
    </row>
    <row r="994" spans="2:8">
      <c r="B994" t="s">
        <v>443</v>
      </c>
      <c r="C994" t="s">
        <v>68</v>
      </c>
      <c r="D994" t="s">
        <v>8</v>
      </c>
      <c r="E994" t="s">
        <v>8</v>
      </c>
      <c r="F994" t="s">
        <v>8</v>
      </c>
      <c r="G994" t="s">
        <v>8</v>
      </c>
      <c r="H994">
        <v>0</v>
      </c>
    </row>
    <row r="995" spans="2:8">
      <c r="B995" t="s">
        <v>443</v>
      </c>
      <c r="C995" t="s">
        <v>69</v>
      </c>
      <c r="D995" t="s">
        <v>8</v>
      </c>
      <c r="E995" t="s">
        <v>8</v>
      </c>
      <c r="F995" t="s">
        <v>8</v>
      </c>
      <c r="G995" t="s">
        <v>8</v>
      </c>
      <c r="H995">
        <v>0</v>
      </c>
    </row>
    <row r="996" spans="2:8">
      <c r="B996" t="s">
        <v>443</v>
      </c>
      <c r="C996" t="s">
        <v>70</v>
      </c>
      <c r="D996" t="s">
        <v>8</v>
      </c>
      <c r="E996" t="s">
        <v>8</v>
      </c>
      <c r="F996" t="s">
        <v>8</v>
      </c>
      <c r="G996" t="s">
        <v>8</v>
      </c>
      <c r="H996">
        <v>0</v>
      </c>
    </row>
    <row r="997" spans="2:8">
      <c r="B997" t="s">
        <v>443</v>
      </c>
      <c r="C997" t="s">
        <v>71</v>
      </c>
      <c r="D997" t="s">
        <v>8</v>
      </c>
      <c r="E997" t="s">
        <v>8</v>
      </c>
      <c r="F997" t="s">
        <v>8</v>
      </c>
      <c r="G997" t="s">
        <v>8</v>
      </c>
      <c r="H997">
        <v>0</v>
      </c>
    </row>
    <row r="998" spans="2:8">
      <c r="B998" t="s">
        <v>443</v>
      </c>
      <c r="C998" t="s">
        <v>72</v>
      </c>
      <c r="D998">
        <v>4591</v>
      </c>
      <c r="E998">
        <v>4591</v>
      </c>
      <c r="F998">
        <v>4591</v>
      </c>
      <c r="G998">
        <v>4591</v>
      </c>
      <c r="H998">
        <v>3139900</v>
      </c>
    </row>
    <row r="999" spans="2:8">
      <c r="B999" t="s">
        <v>463</v>
      </c>
      <c r="C999" t="s">
        <v>166</v>
      </c>
      <c r="D999">
        <v>4661</v>
      </c>
      <c r="E999">
        <v>4669</v>
      </c>
      <c r="F999">
        <v>4630</v>
      </c>
      <c r="G999">
        <v>4634</v>
      </c>
      <c r="H999">
        <v>927900</v>
      </c>
    </row>
    <row r="1000" spans="2:8">
      <c r="B1000" t="s">
        <v>463</v>
      </c>
      <c r="C1000" t="s">
        <v>167</v>
      </c>
      <c r="D1000">
        <v>4638</v>
      </c>
      <c r="E1000">
        <v>4638</v>
      </c>
      <c r="F1000">
        <v>4622</v>
      </c>
      <c r="G1000">
        <v>4631</v>
      </c>
      <c r="H1000">
        <v>56500</v>
      </c>
    </row>
    <row r="1001" spans="2:8">
      <c r="B1001" t="s">
        <v>463</v>
      </c>
      <c r="C1001" t="s">
        <v>168</v>
      </c>
      <c r="D1001">
        <v>4630</v>
      </c>
      <c r="E1001">
        <v>4631</v>
      </c>
      <c r="F1001">
        <v>4611</v>
      </c>
      <c r="G1001">
        <v>4618</v>
      </c>
      <c r="H1001">
        <v>77100</v>
      </c>
    </row>
    <row r="1002" spans="2:8">
      <c r="B1002" t="s">
        <v>463</v>
      </c>
      <c r="C1002" t="s">
        <v>169</v>
      </c>
      <c r="D1002">
        <v>4618</v>
      </c>
      <c r="E1002">
        <v>4618</v>
      </c>
      <c r="F1002">
        <v>4608</v>
      </c>
      <c r="G1002">
        <v>4615</v>
      </c>
      <c r="H1002">
        <v>55400</v>
      </c>
    </row>
    <row r="1003" spans="2:8">
      <c r="B1003" t="s">
        <v>463</v>
      </c>
      <c r="C1003" t="s">
        <v>170</v>
      </c>
      <c r="D1003">
        <v>4616</v>
      </c>
      <c r="E1003">
        <v>4626</v>
      </c>
      <c r="F1003">
        <v>4609</v>
      </c>
      <c r="G1003">
        <v>4617</v>
      </c>
      <c r="H1003">
        <v>52600</v>
      </c>
    </row>
    <row r="1004" spans="2:8">
      <c r="B1004" t="s">
        <v>463</v>
      </c>
      <c r="C1004" t="s">
        <v>171</v>
      </c>
      <c r="D1004">
        <v>4618</v>
      </c>
      <c r="E1004">
        <v>4631</v>
      </c>
      <c r="F1004">
        <v>4618</v>
      </c>
      <c r="G1004">
        <v>4630</v>
      </c>
      <c r="H1004">
        <v>55700</v>
      </c>
    </row>
    <row r="1005" spans="2:8">
      <c r="B1005" t="s">
        <v>463</v>
      </c>
      <c r="C1005" t="s">
        <v>172</v>
      </c>
      <c r="D1005">
        <v>4628</v>
      </c>
      <c r="E1005">
        <v>4629</v>
      </c>
      <c r="F1005">
        <v>4609</v>
      </c>
      <c r="G1005">
        <v>4609</v>
      </c>
      <c r="H1005">
        <v>38900</v>
      </c>
    </row>
    <row r="1006" spans="2:8">
      <c r="B1006" t="s">
        <v>463</v>
      </c>
      <c r="C1006" t="s">
        <v>173</v>
      </c>
      <c r="D1006">
        <v>4610</v>
      </c>
      <c r="E1006">
        <v>4619</v>
      </c>
      <c r="F1006">
        <v>4607</v>
      </c>
      <c r="G1006">
        <v>4617</v>
      </c>
      <c r="H1006">
        <v>56800</v>
      </c>
    </row>
    <row r="1007" spans="2:8">
      <c r="B1007" t="s">
        <v>463</v>
      </c>
      <c r="C1007" t="s">
        <v>174</v>
      </c>
      <c r="D1007">
        <v>4619</v>
      </c>
      <c r="E1007">
        <v>4622</v>
      </c>
      <c r="F1007">
        <v>4605</v>
      </c>
      <c r="G1007">
        <v>4609</v>
      </c>
      <c r="H1007">
        <v>70900</v>
      </c>
    </row>
    <row r="1008" spans="2:8">
      <c r="B1008" t="s">
        <v>463</v>
      </c>
      <c r="C1008" t="s">
        <v>175</v>
      </c>
      <c r="D1008">
        <v>4608</v>
      </c>
      <c r="E1008">
        <v>4619</v>
      </c>
      <c r="F1008">
        <v>4608</v>
      </c>
      <c r="G1008">
        <v>4610</v>
      </c>
      <c r="H1008">
        <v>51800</v>
      </c>
    </row>
    <row r="1009" spans="2:8">
      <c r="B1009" t="s">
        <v>463</v>
      </c>
      <c r="C1009" t="s">
        <v>176</v>
      </c>
      <c r="D1009">
        <v>4612</v>
      </c>
      <c r="E1009">
        <v>4615</v>
      </c>
      <c r="F1009">
        <v>4606</v>
      </c>
      <c r="G1009">
        <v>4613</v>
      </c>
      <c r="H1009">
        <v>46200</v>
      </c>
    </row>
    <row r="1010" spans="2:8">
      <c r="B1010" t="s">
        <v>463</v>
      </c>
      <c r="C1010" t="s">
        <v>177</v>
      </c>
      <c r="D1010">
        <v>4615</v>
      </c>
      <c r="E1010">
        <v>4621</v>
      </c>
      <c r="F1010">
        <v>4611</v>
      </c>
      <c r="G1010">
        <v>4620</v>
      </c>
      <c r="H1010">
        <v>42600</v>
      </c>
    </row>
    <row r="1011" spans="2:8">
      <c r="B1011" t="s">
        <v>463</v>
      </c>
      <c r="C1011" t="s">
        <v>178</v>
      </c>
      <c r="D1011">
        <v>4620</v>
      </c>
      <c r="E1011">
        <v>4623</v>
      </c>
      <c r="F1011">
        <v>4613</v>
      </c>
      <c r="G1011">
        <v>4618</v>
      </c>
      <c r="H1011">
        <v>34700</v>
      </c>
    </row>
    <row r="1012" spans="2:8">
      <c r="B1012" t="s">
        <v>463</v>
      </c>
      <c r="C1012" t="s">
        <v>179</v>
      </c>
      <c r="D1012">
        <v>4617</v>
      </c>
      <c r="E1012">
        <v>4642</v>
      </c>
      <c r="F1012">
        <v>4611</v>
      </c>
      <c r="G1012">
        <v>4630</v>
      </c>
      <c r="H1012">
        <v>98300</v>
      </c>
    </row>
    <row r="1013" spans="2:8">
      <c r="B1013" t="s">
        <v>463</v>
      </c>
      <c r="C1013" t="s">
        <v>180</v>
      </c>
      <c r="D1013">
        <v>4629</v>
      </c>
      <c r="E1013">
        <v>4639</v>
      </c>
      <c r="F1013">
        <v>4625</v>
      </c>
      <c r="G1013">
        <v>4625</v>
      </c>
      <c r="H1013">
        <v>53700</v>
      </c>
    </row>
    <row r="1014" spans="2:8">
      <c r="B1014" t="s">
        <v>463</v>
      </c>
      <c r="C1014" t="s">
        <v>181</v>
      </c>
      <c r="D1014">
        <v>4626</v>
      </c>
      <c r="E1014">
        <v>4633</v>
      </c>
      <c r="F1014">
        <v>4626</v>
      </c>
      <c r="G1014">
        <v>4629</v>
      </c>
      <c r="H1014">
        <v>63300</v>
      </c>
    </row>
    <row r="1015" spans="2:8">
      <c r="B1015" t="s">
        <v>463</v>
      </c>
      <c r="C1015" t="s">
        <v>182</v>
      </c>
      <c r="D1015">
        <v>4628</v>
      </c>
      <c r="E1015">
        <v>4638</v>
      </c>
      <c r="F1015">
        <v>4627</v>
      </c>
      <c r="G1015">
        <v>4634</v>
      </c>
      <c r="H1015">
        <v>46400</v>
      </c>
    </row>
    <row r="1016" spans="2:8">
      <c r="B1016" t="s">
        <v>463</v>
      </c>
      <c r="C1016" t="s">
        <v>183</v>
      </c>
      <c r="D1016">
        <v>4635</v>
      </c>
      <c r="E1016">
        <v>4645</v>
      </c>
      <c r="F1016">
        <v>4632</v>
      </c>
      <c r="G1016">
        <v>4638</v>
      </c>
      <c r="H1016">
        <v>70500</v>
      </c>
    </row>
    <row r="1017" spans="2:8">
      <c r="B1017" t="s">
        <v>463</v>
      </c>
      <c r="C1017" t="s">
        <v>184</v>
      </c>
      <c r="D1017">
        <v>4639</v>
      </c>
      <c r="E1017">
        <v>4643</v>
      </c>
      <c r="F1017">
        <v>4633</v>
      </c>
      <c r="G1017">
        <v>4634</v>
      </c>
      <c r="H1017">
        <v>82100</v>
      </c>
    </row>
    <row r="1018" spans="2:8">
      <c r="B1018" t="s">
        <v>463</v>
      </c>
      <c r="C1018" t="s">
        <v>185</v>
      </c>
      <c r="D1018">
        <v>4635</v>
      </c>
      <c r="E1018">
        <v>4638</v>
      </c>
      <c r="F1018">
        <v>4624</v>
      </c>
      <c r="G1018">
        <v>4629</v>
      </c>
      <c r="H1018">
        <v>69200</v>
      </c>
    </row>
    <row r="1019" spans="2:8">
      <c r="B1019" t="s">
        <v>463</v>
      </c>
      <c r="C1019" t="s">
        <v>186</v>
      </c>
      <c r="D1019">
        <v>4629</v>
      </c>
      <c r="E1019">
        <v>4635</v>
      </c>
      <c r="F1019">
        <v>4629</v>
      </c>
      <c r="G1019">
        <v>4629</v>
      </c>
      <c r="H1019">
        <v>29600</v>
      </c>
    </row>
    <row r="1020" spans="2:8">
      <c r="B1020" t="s">
        <v>463</v>
      </c>
      <c r="C1020" t="s">
        <v>187</v>
      </c>
      <c r="D1020">
        <v>4630</v>
      </c>
      <c r="E1020">
        <v>4632</v>
      </c>
      <c r="F1020">
        <v>4627</v>
      </c>
      <c r="G1020">
        <v>4631</v>
      </c>
      <c r="H1020">
        <v>21800</v>
      </c>
    </row>
    <row r="1021" spans="2:8">
      <c r="B1021" t="s">
        <v>463</v>
      </c>
      <c r="C1021" t="s">
        <v>188</v>
      </c>
      <c r="D1021">
        <v>4632</v>
      </c>
      <c r="E1021">
        <v>4635</v>
      </c>
      <c r="F1021">
        <v>4629</v>
      </c>
      <c r="G1021">
        <v>4632</v>
      </c>
      <c r="H1021">
        <v>23400</v>
      </c>
    </row>
    <row r="1022" spans="2:8">
      <c r="B1022" t="s">
        <v>463</v>
      </c>
      <c r="C1022" t="s">
        <v>189</v>
      </c>
      <c r="D1022">
        <v>4632</v>
      </c>
      <c r="E1022">
        <v>4633</v>
      </c>
      <c r="F1022">
        <v>4627</v>
      </c>
      <c r="G1022">
        <v>4630</v>
      </c>
      <c r="H1022">
        <v>38100</v>
      </c>
    </row>
    <row r="1023" spans="2:8">
      <c r="B1023" t="s">
        <v>463</v>
      </c>
      <c r="C1023" t="s">
        <v>190</v>
      </c>
      <c r="D1023">
        <v>4631</v>
      </c>
      <c r="E1023">
        <v>4634</v>
      </c>
      <c r="F1023">
        <v>4627</v>
      </c>
      <c r="G1023">
        <v>4628</v>
      </c>
      <c r="H1023">
        <v>27200</v>
      </c>
    </row>
    <row r="1024" spans="2:8">
      <c r="B1024" t="s">
        <v>463</v>
      </c>
      <c r="C1024" t="s">
        <v>191</v>
      </c>
      <c r="D1024">
        <v>4629</v>
      </c>
      <c r="E1024">
        <v>4635</v>
      </c>
      <c r="F1024">
        <v>4627</v>
      </c>
      <c r="G1024">
        <v>4633</v>
      </c>
      <c r="H1024">
        <v>36300</v>
      </c>
    </row>
    <row r="1025" spans="2:8">
      <c r="B1025" t="s">
        <v>463</v>
      </c>
      <c r="C1025" t="s">
        <v>192</v>
      </c>
      <c r="D1025">
        <v>4633</v>
      </c>
      <c r="E1025">
        <v>4633</v>
      </c>
      <c r="F1025">
        <v>4629</v>
      </c>
      <c r="G1025">
        <v>4631</v>
      </c>
      <c r="H1025">
        <v>16200</v>
      </c>
    </row>
    <row r="1026" spans="2:8">
      <c r="B1026" t="s">
        <v>463</v>
      </c>
      <c r="C1026" t="s">
        <v>193</v>
      </c>
      <c r="D1026">
        <v>4632</v>
      </c>
      <c r="E1026">
        <v>4637</v>
      </c>
      <c r="F1026">
        <v>4632</v>
      </c>
      <c r="G1026">
        <v>4637</v>
      </c>
      <c r="H1026">
        <v>30300</v>
      </c>
    </row>
    <row r="1027" spans="2:8">
      <c r="B1027" t="s">
        <v>463</v>
      </c>
      <c r="C1027" t="s">
        <v>194</v>
      </c>
      <c r="D1027">
        <v>4638</v>
      </c>
      <c r="E1027">
        <v>4645</v>
      </c>
      <c r="F1027">
        <v>4637</v>
      </c>
      <c r="G1027">
        <v>4641</v>
      </c>
      <c r="H1027">
        <v>58100</v>
      </c>
    </row>
    <row r="1028" spans="2:8">
      <c r="B1028" t="s">
        <v>463</v>
      </c>
      <c r="C1028" t="s">
        <v>195</v>
      </c>
      <c r="D1028">
        <v>4641</v>
      </c>
      <c r="E1028">
        <v>4642</v>
      </c>
      <c r="F1028">
        <v>4639</v>
      </c>
      <c r="G1028">
        <v>4641</v>
      </c>
      <c r="H1028">
        <v>15500</v>
      </c>
    </row>
    <row r="1029" spans="2:8">
      <c r="B1029" t="s">
        <v>463</v>
      </c>
      <c r="C1029" t="s">
        <v>196</v>
      </c>
      <c r="D1029">
        <v>4642</v>
      </c>
      <c r="E1029">
        <v>4646</v>
      </c>
      <c r="F1029">
        <v>4641</v>
      </c>
      <c r="G1029">
        <v>4643</v>
      </c>
      <c r="H1029">
        <v>32500</v>
      </c>
    </row>
    <row r="1030" spans="2:8">
      <c r="B1030" t="s">
        <v>463</v>
      </c>
      <c r="C1030" t="s">
        <v>197</v>
      </c>
      <c r="D1030">
        <v>4642</v>
      </c>
      <c r="E1030">
        <v>4648</v>
      </c>
      <c r="F1030">
        <v>4639</v>
      </c>
      <c r="G1030">
        <v>4644</v>
      </c>
      <c r="H1030">
        <v>45000</v>
      </c>
    </row>
    <row r="1031" spans="2:8">
      <c r="B1031" t="s">
        <v>463</v>
      </c>
      <c r="C1031" t="s">
        <v>198</v>
      </c>
      <c r="D1031">
        <v>4645</v>
      </c>
      <c r="E1031">
        <v>4646</v>
      </c>
      <c r="F1031">
        <v>4641</v>
      </c>
      <c r="G1031">
        <v>4642</v>
      </c>
      <c r="H1031">
        <v>16900</v>
      </c>
    </row>
    <row r="1032" spans="2:8">
      <c r="B1032" t="s">
        <v>463</v>
      </c>
      <c r="C1032" t="s">
        <v>199</v>
      </c>
      <c r="D1032">
        <v>4642</v>
      </c>
      <c r="E1032">
        <v>4647</v>
      </c>
      <c r="F1032">
        <v>4640</v>
      </c>
      <c r="G1032">
        <v>4647</v>
      </c>
      <c r="H1032">
        <v>19300</v>
      </c>
    </row>
    <row r="1033" spans="2:8">
      <c r="B1033" t="s">
        <v>463</v>
      </c>
      <c r="C1033" t="s">
        <v>200</v>
      </c>
      <c r="D1033">
        <v>4646</v>
      </c>
      <c r="E1033">
        <v>4654</v>
      </c>
      <c r="F1033">
        <v>4646</v>
      </c>
      <c r="G1033">
        <v>4647</v>
      </c>
      <c r="H1033">
        <v>67900</v>
      </c>
    </row>
    <row r="1034" spans="2:8">
      <c r="B1034" t="s">
        <v>463</v>
      </c>
      <c r="C1034" t="s">
        <v>201</v>
      </c>
      <c r="D1034">
        <v>4649</v>
      </c>
      <c r="E1034">
        <v>4653</v>
      </c>
      <c r="F1034">
        <v>4648</v>
      </c>
      <c r="G1034">
        <v>4649</v>
      </c>
      <c r="H1034">
        <v>18000</v>
      </c>
    </row>
    <row r="1035" spans="2:8">
      <c r="B1035" t="s">
        <v>463</v>
      </c>
      <c r="C1035" t="s">
        <v>202</v>
      </c>
      <c r="D1035">
        <v>4649</v>
      </c>
      <c r="E1035">
        <v>4650</v>
      </c>
      <c r="F1035">
        <v>4645</v>
      </c>
      <c r="G1035">
        <v>4647</v>
      </c>
      <c r="H1035">
        <v>15100</v>
      </c>
    </row>
    <row r="1036" spans="2:8">
      <c r="B1036" t="s">
        <v>463</v>
      </c>
      <c r="C1036" t="s">
        <v>203</v>
      </c>
      <c r="D1036">
        <v>4646</v>
      </c>
      <c r="E1036">
        <v>4652</v>
      </c>
      <c r="F1036">
        <v>4646</v>
      </c>
      <c r="G1036">
        <v>4652</v>
      </c>
      <c r="H1036">
        <v>15100</v>
      </c>
    </row>
    <row r="1037" spans="2:8">
      <c r="B1037" t="s">
        <v>463</v>
      </c>
      <c r="C1037" t="s">
        <v>204</v>
      </c>
      <c r="D1037">
        <v>4651</v>
      </c>
      <c r="E1037">
        <v>4652</v>
      </c>
      <c r="F1037">
        <v>4649</v>
      </c>
      <c r="G1037">
        <v>4652</v>
      </c>
      <c r="H1037">
        <v>15900</v>
      </c>
    </row>
    <row r="1038" spans="2:8">
      <c r="B1038" t="s">
        <v>463</v>
      </c>
      <c r="C1038" t="s">
        <v>205</v>
      </c>
      <c r="D1038">
        <v>4651</v>
      </c>
      <c r="E1038">
        <v>4651</v>
      </c>
      <c r="F1038">
        <v>4649</v>
      </c>
      <c r="G1038">
        <v>4650</v>
      </c>
      <c r="H1038">
        <v>11300</v>
      </c>
    </row>
    <row r="1039" spans="2:8">
      <c r="B1039" t="s">
        <v>463</v>
      </c>
      <c r="C1039" t="s">
        <v>206</v>
      </c>
      <c r="D1039">
        <v>4650</v>
      </c>
      <c r="E1039">
        <v>4651</v>
      </c>
      <c r="F1039">
        <v>4648</v>
      </c>
      <c r="G1039">
        <v>4649</v>
      </c>
      <c r="H1039">
        <v>10600</v>
      </c>
    </row>
    <row r="1040" spans="2:8">
      <c r="B1040" t="s">
        <v>463</v>
      </c>
      <c r="C1040" t="s">
        <v>207</v>
      </c>
      <c r="D1040">
        <v>4649</v>
      </c>
      <c r="E1040">
        <v>4655</v>
      </c>
      <c r="F1040">
        <v>4648</v>
      </c>
      <c r="G1040">
        <v>4655</v>
      </c>
      <c r="H1040">
        <v>23100</v>
      </c>
    </row>
    <row r="1041" spans="2:8">
      <c r="B1041" t="s">
        <v>463</v>
      </c>
      <c r="C1041" t="s">
        <v>208</v>
      </c>
      <c r="D1041">
        <v>4655</v>
      </c>
      <c r="E1041">
        <v>4658</v>
      </c>
      <c r="F1041">
        <v>4655</v>
      </c>
      <c r="G1041">
        <v>4657</v>
      </c>
      <c r="H1041">
        <v>14100</v>
      </c>
    </row>
    <row r="1042" spans="2:8">
      <c r="B1042" t="s">
        <v>463</v>
      </c>
      <c r="C1042" t="s">
        <v>209</v>
      </c>
      <c r="D1042">
        <v>4657</v>
      </c>
      <c r="E1042">
        <v>4666</v>
      </c>
      <c r="F1042">
        <v>4656</v>
      </c>
      <c r="G1042">
        <v>4666</v>
      </c>
      <c r="H1042">
        <v>53700</v>
      </c>
    </row>
    <row r="1043" spans="2:8">
      <c r="B1043" t="s">
        <v>463</v>
      </c>
      <c r="C1043" t="s">
        <v>210</v>
      </c>
      <c r="D1043">
        <v>4665</v>
      </c>
      <c r="E1043">
        <v>4672</v>
      </c>
      <c r="F1043">
        <v>4663</v>
      </c>
      <c r="G1043">
        <v>4668</v>
      </c>
      <c r="H1043">
        <v>81500</v>
      </c>
    </row>
    <row r="1044" spans="2:8">
      <c r="B1044" t="s">
        <v>463</v>
      </c>
      <c r="C1044" t="s">
        <v>211</v>
      </c>
      <c r="D1044">
        <v>4667</v>
      </c>
      <c r="E1044">
        <v>4672</v>
      </c>
      <c r="F1044">
        <v>4666</v>
      </c>
      <c r="G1044">
        <v>4670</v>
      </c>
      <c r="H1044">
        <v>50400</v>
      </c>
    </row>
    <row r="1045" spans="2:8">
      <c r="B1045" t="s">
        <v>463</v>
      </c>
      <c r="C1045" t="s">
        <v>212</v>
      </c>
      <c r="D1045">
        <v>4669</v>
      </c>
      <c r="E1045">
        <v>4670</v>
      </c>
      <c r="F1045">
        <v>4657</v>
      </c>
      <c r="G1045">
        <v>4657</v>
      </c>
      <c r="H1045">
        <v>34800</v>
      </c>
    </row>
    <row r="1046" spans="2:8">
      <c r="B1046" t="s">
        <v>463</v>
      </c>
      <c r="C1046" t="s">
        <v>213</v>
      </c>
      <c r="D1046">
        <v>4657</v>
      </c>
      <c r="E1046">
        <v>4667</v>
      </c>
      <c r="F1046">
        <v>4655</v>
      </c>
      <c r="G1046">
        <v>4667</v>
      </c>
      <c r="H1046">
        <v>25300</v>
      </c>
    </row>
    <row r="1047" spans="2:8">
      <c r="B1047" t="s">
        <v>463</v>
      </c>
      <c r="C1047" t="s">
        <v>214</v>
      </c>
      <c r="D1047">
        <v>4667</v>
      </c>
      <c r="E1047">
        <v>4667</v>
      </c>
      <c r="F1047">
        <v>4658</v>
      </c>
      <c r="G1047">
        <v>4658</v>
      </c>
      <c r="H1047">
        <v>12100</v>
      </c>
    </row>
    <row r="1048" spans="2:8">
      <c r="B1048" t="s">
        <v>463</v>
      </c>
      <c r="C1048" t="s">
        <v>215</v>
      </c>
      <c r="D1048">
        <v>4658</v>
      </c>
      <c r="E1048">
        <v>4659</v>
      </c>
      <c r="F1048">
        <v>4651</v>
      </c>
      <c r="G1048">
        <v>4658</v>
      </c>
      <c r="H1048">
        <v>30200</v>
      </c>
    </row>
    <row r="1049" spans="2:8">
      <c r="B1049" t="s">
        <v>463</v>
      </c>
      <c r="C1049" t="s">
        <v>216</v>
      </c>
      <c r="D1049">
        <v>4658</v>
      </c>
      <c r="E1049">
        <v>4659</v>
      </c>
      <c r="F1049">
        <v>4651</v>
      </c>
      <c r="G1049">
        <v>4658</v>
      </c>
      <c r="H1049">
        <v>32800</v>
      </c>
    </row>
    <row r="1050" spans="2:8">
      <c r="B1050" t="s">
        <v>463</v>
      </c>
      <c r="C1050" t="s">
        <v>217</v>
      </c>
      <c r="D1050">
        <v>4658</v>
      </c>
      <c r="E1050">
        <v>4658</v>
      </c>
      <c r="F1050">
        <v>4650</v>
      </c>
      <c r="G1050">
        <v>4654</v>
      </c>
      <c r="H1050">
        <v>20700</v>
      </c>
    </row>
    <row r="1051" spans="2:8">
      <c r="B1051" t="s">
        <v>463</v>
      </c>
      <c r="C1051" t="s">
        <v>218</v>
      </c>
      <c r="D1051">
        <v>4655</v>
      </c>
      <c r="E1051">
        <v>4656</v>
      </c>
      <c r="F1051">
        <v>4652</v>
      </c>
      <c r="G1051">
        <v>4656</v>
      </c>
      <c r="H1051">
        <v>19300</v>
      </c>
    </row>
    <row r="1052" spans="2:8">
      <c r="B1052" t="s">
        <v>463</v>
      </c>
      <c r="C1052" t="s">
        <v>219</v>
      </c>
      <c r="D1052">
        <v>4656</v>
      </c>
      <c r="E1052">
        <v>4656</v>
      </c>
      <c r="F1052">
        <v>4653</v>
      </c>
      <c r="G1052">
        <v>4655</v>
      </c>
      <c r="H1052">
        <v>13500</v>
      </c>
    </row>
    <row r="1053" spans="2:8">
      <c r="B1053" t="s">
        <v>463</v>
      </c>
      <c r="C1053" t="s">
        <v>220</v>
      </c>
      <c r="D1053">
        <v>4654</v>
      </c>
      <c r="E1053">
        <v>4660</v>
      </c>
      <c r="F1053">
        <v>4654</v>
      </c>
      <c r="G1053">
        <v>4657</v>
      </c>
      <c r="H1053">
        <v>23700</v>
      </c>
    </row>
    <row r="1054" spans="2:8">
      <c r="B1054" t="s">
        <v>463</v>
      </c>
      <c r="C1054" t="s">
        <v>221</v>
      </c>
      <c r="D1054">
        <v>4657</v>
      </c>
      <c r="E1054">
        <v>4657</v>
      </c>
      <c r="F1054">
        <v>4653</v>
      </c>
      <c r="G1054">
        <v>4653</v>
      </c>
      <c r="H1054">
        <v>20000</v>
      </c>
    </row>
    <row r="1055" spans="2:8">
      <c r="B1055" t="s">
        <v>463</v>
      </c>
      <c r="C1055" t="s">
        <v>222</v>
      </c>
      <c r="D1055">
        <v>4652</v>
      </c>
      <c r="E1055">
        <v>4652</v>
      </c>
      <c r="F1055">
        <v>4646</v>
      </c>
      <c r="G1055">
        <v>4651</v>
      </c>
      <c r="H1055">
        <v>26500</v>
      </c>
    </row>
    <row r="1056" spans="2:8">
      <c r="B1056" t="s">
        <v>463</v>
      </c>
      <c r="C1056" t="s">
        <v>223</v>
      </c>
      <c r="D1056">
        <v>4652</v>
      </c>
      <c r="E1056">
        <v>4654</v>
      </c>
      <c r="F1056">
        <v>4652</v>
      </c>
      <c r="G1056">
        <v>4653</v>
      </c>
      <c r="H1056">
        <v>10300</v>
      </c>
    </row>
    <row r="1057" spans="2:8">
      <c r="B1057" t="s">
        <v>463</v>
      </c>
      <c r="C1057" t="s">
        <v>224</v>
      </c>
      <c r="D1057">
        <v>4653</v>
      </c>
      <c r="E1057">
        <v>4656</v>
      </c>
      <c r="F1057">
        <v>4652</v>
      </c>
      <c r="G1057">
        <v>4654</v>
      </c>
      <c r="H1057">
        <v>16400</v>
      </c>
    </row>
    <row r="1058" spans="2:8">
      <c r="B1058" t="s">
        <v>463</v>
      </c>
      <c r="C1058" t="s">
        <v>225</v>
      </c>
      <c r="D1058">
        <v>4653</v>
      </c>
      <c r="E1058">
        <v>4655</v>
      </c>
      <c r="F1058">
        <v>4650</v>
      </c>
      <c r="G1058">
        <v>4650</v>
      </c>
      <c r="H1058">
        <v>12200</v>
      </c>
    </row>
    <row r="1059" spans="2:8">
      <c r="B1059" t="s">
        <v>463</v>
      </c>
      <c r="C1059" t="s">
        <v>226</v>
      </c>
      <c r="D1059">
        <v>4651</v>
      </c>
      <c r="E1059">
        <v>4653</v>
      </c>
      <c r="F1059">
        <v>4646</v>
      </c>
      <c r="G1059">
        <v>4647</v>
      </c>
      <c r="H1059">
        <v>19800</v>
      </c>
    </row>
    <row r="1060" spans="2:8">
      <c r="B1060" t="s">
        <v>463</v>
      </c>
      <c r="C1060" t="s">
        <v>227</v>
      </c>
      <c r="D1060">
        <v>4646</v>
      </c>
      <c r="E1060">
        <v>4646</v>
      </c>
      <c r="F1060">
        <v>4641</v>
      </c>
      <c r="G1060">
        <v>4642</v>
      </c>
      <c r="H1060">
        <v>20300</v>
      </c>
    </row>
    <row r="1061" spans="2:8">
      <c r="B1061" t="s">
        <v>463</v>
      </c>
      <c r="C1061" t="s">
        <v>228</v>
      </c>
      <c r="D1061">
        <v>4643</v>
      </c>
      <c r="E1061">
        <v>4644</v>
      </c>
      <c r="F1061">
        <v>4636</v>
      </c>
      <c r="G1061">
        <v>4639</v>
      </c>
      <c r="H1061">
        <v>28600</v>
      </c>
    </row>
    <row r="1062" spans="2:8">
      <c r="B1062" t="s">
        <v>463</v>
      </c>
      <c r="C1062" t="s">
        <v>229</v>
      </c>
      <c r="D1062">
        <v>4640</v>
      </c>
      <c r="E1062">
        <v>4642</v>
      </c>
      <c r="F1062">
        <v>4638</v>
      </c>
      <c r="G1062">
        <v>4642</v>
      </c>
      <c r="H1062">
        <v>11700</v>
      </c>
    </row>
    <row r="1063" spans="2:8">
      <c r="B1063" t="s">
        <v>463</v>
      </c>
      <c r="C1063" t="s">
        <v>230</v>
      </c>
      <c r="D1063">
        <v>4642</v>
      </c>
      <c r="E1063">
        <v>4648</v>
      </c>
      <c r="F1063">
        <v>4640</v>
      </c>
      <c r="G1063">
        <v>4648</v>
      </c>
      <c r="H1063">
        <v>29500</v>
      </c>
    </row>
    <row r="1064" spans="2:8">
      <c r="B1064" t="s">
        <v>463</v>
      </c>
      <c r="C1064" t="s">
        <v>231</v>
      </c>
      <c r="D1064">
        <v>4648</v>
      </c>
      <c r="E1064">
        <v>4652</v>
      </c>
      <c r="F1064">
        <v>4645</v>
      </c>
      <c r="G1064">
        <v>4652</v>
      </c>
      <c r="H1064">
        <v>20800</v>
      </c>
    </row>
    <row r="1065" spans="2:8">
      <c r="B1065" t="s">
        <v>463</v>
      </c>
      <c r="C1065" t="s">
        <v>232</v>
      </c>
      <c r="D1065">
        <v>4652</v>
      </c>
      <c r="E1065">
        <v>4654</v>
      </c>
      <c r="F1065">
        <v>4651</v>
      </c>
      <c r="G1065">
        <v>4653</v>
      </c>
      <c r="H1065">
        <v>13100</v>
      </c>
    </row>
    <row r="1066" spans="2:8">
      <c r="B1066" t="s">
        <v>463</v>
      </c>
      <c r="C1066" t="s">
        <v>233</v>
      </c>
      <c r="D1066">
        <v>4652</v>
      </c>
      <c r="E1066">
        <v>4659</v>
      </c>
      <c r="F1066">
        <v>4652</v>
      </c>
      <c r="G1066">
        <v>4657</v>
      </c>
      <c r="H1066">
        <v>24200</v>
      </c>
    </row>
    <row r="1067" spans="2:8">
      <c r="B1067" t="s">
        <v>463</v>
      </c>
      <c r="C1067" t="s">
        <v>234</v>
      </c>
      <c r="D1067">
        <v>4657</v>
      </c>
      <c r="E1067">
        <v>4665</v>
      </c>
      <c r="F1067">
        <v>4656</v>
      </c>
      <c r="G1067">
        <v>4664</v>
      </c>
      <c r="H1067">
        <v>36300</v>
      </c>
    </row>
    <row r="1068" spans="2:8">
      <c r="B1068" t="s">
        <v>463</v>
      </c>
      <c r="C1068" t="s">
        <v>235</v>
      </c>
      <c r="D1068">
        <v>4665</v>
      </c>
      <c r="E1068">
        <v>4666</v>
      </c>
      <c r="F1068">
        <v>4661</v>
      </c>
      <c r="G1068">
        <v>4661</v>
      </c>
      <c r="H1068">
        <v>22300</v>
      </c>
    </row>
    <row r="1069" spans="2:8">
      <c r="B1069" t="s">
        <v>463</v>
      </c>
      <c r="C1069" t="s">
        <v>236</v>
      </c>
      <c r="D1069">
        <v>4662</v>
      </c>
      <c r="E1069">
        <v>4663</v>
      </c>
      <c r="F1069">
        <v>4662</v>
      </c>
      <c r="G1069">
        <v>4663</v>
      </c>
      <c r="H1069">
        <v>6000</v>
      </c>
    </row>
    <row r="1070" spans="2:8">
      <c r="B1070" t="s">
        <v>463</v>
      </c>
      <c r="C1070" t="s">
        <v>237</v>
      </c>
      <c r="D1070">
        <v>4662</v>
      </c>
      <c r="E1070">
        <v>4664</v>
      </c>
      <c r="F1070">
        <v>4659</v>
      </c>
      <c r="G1070">
        <v>4662</v>
      </c>
      <c r="H1070">
        <v>20800</v>
      </c>
    </row>
    <row r="1071" spans="2:8">
      <c r="B1071" t="s">
        <v>463</v>
      </c>
      <c r="C1071" t="s">
        <v>238</v>
      </c>
      <c r="D1071">
        <v>4661</v>
      </c>
      <c r="E1071">
        <v>4665</v>
      </c>
      <c r="F1071">
        <v>4661</v>
      </c>
      <c r="G1071">
        <v>4664</v>
      </c>
      <c r="H1071">
        <v>14400</v>
      </c>
    </row>
    <row r="1072" spans="2:8">
      <c r="B1072" t="s">
        <v>463</v>
      </c>
      <c r="C1072" t="s">
        <v>239</v>
      </c>
      <c r="D1072">
        <v>4664</v>
      </c>
      <c r="E1072">
        <v>4665</v>
      </c>
      <c r="F1072">
        <v>4660</v>
      </c>
      <c r="G1072">
        <v>4664</v>
      </c>
      <c r="H1072">
        <v>9100</v>
      </c>
    </row>
    <row r="1073" spans="2:8">
      <c r="B1073" t="s">
        <v>463</v>
      </c>
      <c r="C1073" t="s">
        <v>240</v>
      </c>
      <c r="D1073">
        <v>4663</v>
      </c>
      <c r="E1073">
        <v>4663</v>
      </c>
      <c r="F1073">
        <v>4660</v>
      </c>
      <c r="G1073">
        <v>4662</v>
      </c>
      <c r="H1073">
        <v>13200</v>
      </c>
    </row>
    <row r="1074" spans="2:8">
      <c r="B1074" t="s">
        <v>463</v>
      </c>
      <c r="C1074" t="s">
        <v>241</v>
      </c>
      <c r="D1074">
        <v>4662</v>
      </c>
      <c r="E1074">
        <v>4669</v>
      </c>
      <c r="F1074">
        <v>4662</v>
      </c>
      <c r="G1074">
        <v>4667</v>
      </c>
      <c r="H1074">
        <v>22700</v>
      </c>
    </row>
    <row r="1075" spans="2:8">
      <c r="B1075" t="s">
        <v>463</v>
      </c>
      <c r="C1075" t="s">
        <v>242</v>
      </c>
      <c r="D1075">
        <v>4667</v>
      </c>
      <c r="E1075">
        <v>4669</v>
      </c>
      <c r="F1075">
        <v>4666</v>
      </c>
      <c r="G1075">
        <v>4668</v>
      </c>
      <c r="H1075">
        <v>13400</v>
      </c>
    </row>
    <row r="1076" spans="2:8">
      <c r="B1076" t="s">
        <v>463</v>
      </c>
      <c r="C1076" t="s">
        <v>243</v>
      </c>
      <c r="D1076">
        <v>4667</v>
      </c>
      <c r="E1076">
        <v>4672</v>
      </c>
      <c r="F1076">
        <v>4667</v>
      </c>
      <c r="G1076">
        <v>4671</v>
      </c>
      <c r="H1076">
        <v>44800</v>
      </c>
    </row>
    <row r="1077" spans="2:8">
      <c r="B1077" t="s">
        <v>463</v>
      </c>
      <c r="C1077" t="s">
        <v>244</v>
      </c>
      <c r="D1077">
        <v>4669</v>
      </c>
      <c r="E1077">
        <v>4674</v>
      </c>
      <c r="F1077">
        <v>4669</v>
      </c>
      <c r="G1077">
        <v>4673</v>
      </c>
      <c r="H1077">
        <v>17800</v>
      </c>
    </row>
    <row r="1078" spans="2:8">
      <c r="B1078" t="s">
        <v>463</v>
      </c>
      <c r="C1078" t="s">
        <v>245</v>
      </c>
      <c r="D1078">
        <v>4673</v>
      </c>
      <c r="E1078">
        <v>4678</v>
      </c>
      <c r="F1078">
        <v>4672</v>
      </c>
      <c r="G1078">
        <v>4678</v>
      </c>
      <c r="H1078">
        <v>30000</v>
      </c>
    </row>
    <row r="1079" spans="2:8">
      <c r="B1079" t="s">
        <v>463</v>
      </c>
      <c r="C1079" t="s">
        <v>246</v>
      </c>
      <c r="D1079">
        <v>4677</v>
      </c>
      <c r="E1079">
        <v>4685</v>
      </c>
      <c r="F1079">
        <v>4677</v>
      </c>
      <c r="G1079">
        <v>4684</v>
      </c>
      <c r="H1079">
        <v>49200</v>
      </c>
    </row>
    <row r="1080" spans="2:8">
      <c r="B1080" t="s">
        <v>463</v>
      </c>
      <c r="C1080" t="s">
        <v>247</v>
      </c>
      <c r="D1080">
        <v>4684</v>
      </c>
      <c r="E1080">
        <v>4693</v>
      </c>
      <c r="F1080">
        <v>4684</v>
      </c>
      <c r="G1080">
        <v>4689</v>
      </c>
      <c r="H1080">
        <v>148500</v>
      </c>
    </row>
    <row r="1081" spans="2:8">
      <c r="B1081" t="s">
        <v>463</v>
      </c>
      <c r="C1081" t="s">
        <v>248</v>
      </c>
      <c r="D1081">
        <v>4689</v>
      </c>
      <c r="E1081">
        <v>4689</v>
      </c>
      <c r="F1081">
        <v>4685</v>
      </c>
      <c r="G1081">
        <v>4687</v>
      </c>
      <c r="H1081">
        <v>28800</v>
      </c>
    </row>
    <row r="1082" spans="2:8">
      <c r="B1082" t="s">
        <v>463</v>
      </c>
      <c r="C1082" t="s">
        <v>249</v>
      </c>
      <c r="D1082">
        <v>4687</v>
      </c>
      <c r="E1082">
        <v>4687</v>
      </c>
      <c r="F1082">
        <v>4683</v>
      </c>
      <c r="G1082">
        <v>4684</v>
      </c>
      <c r="H1082">
        <v>18100</v>
      </c>
    </row>
    <row r="1083" spans="2:8">
      <c r="B1083" t="s">
        <v>463</v>
      </c>
      <c r="C1083" t="s">
        <v>250</v>
      </c>
      <c r="D1083">
        <v>4684</v>
      </c>
      <c r="E1083">
        <v>4685</v>
      </c>
      <c r="F1083">
        <v>4682</v>
      </c>
      <c r="G1083">
        <v>4683</v>
      </c>
      <c r="H1083">
        <v>14900</v>
      </c>
    </row>
    <row r="1084" spans="2:8">
      <c r="B1084" t="s">
        <v>463</v>
      </c>
      <c r="C1084" t="s">
        <v>251</v>
      </c>
      <c r="D1084">
        <v>4683</v>
      </c>
      <c r="E1084">
        <v>4684</v>
      </c>
      <c r="F1084">
        <v>4677</v>
      </c>
      <c r="G1084">
        <v>4677</v>
      </c>
      <c r="H1084">
        <v>25500</v>
      </c>
    </row>
    <row r="1085" spans="2:8">
      <c r="B1085" t="s">
        <v>463</v>
      </c>
      <c r="C1085" t="s">
        <v>252</v>
      </c>
      <c r="D1085">
        <v>4678</v>
      </c>
      <c r="E1085">
        <v>4679</v>
      </c>
      <c r="F1085">
        <v>4675</v>
      </c>
      <c r="G1085">
        <v>4675</v>
      </c>
      <c r="H1085">
        <v>26600</v>
      </c>
    </row>
    <row r="1086" spans="2:8">
      <c r="B1086" t="s">
        <v>463</v>
      </c>
      <c r="C1086" t="s">
        <v>253</v>
      </c>
      <c r="D1086">
        <v>4674</v>
      </c>
      <c r="E1086">
        <v>4682</v>
      </c>
      <c r="F1086">
        <v>4674</v>
      </c>
      <c r="G1086">
        <v>4682</v>
      </c>
      <c r="H1086">
        <v>20100</v>
      </c>
    </row>
    <row r="1087" spans="2:8">
      <c r="B1087" t="s">
        <v>463</v>
      </c>
      <c r="C1087" t="s">
        <v>254</v>
      </c>
      <c r="D1087">
        <v>4682</v>
      </c>
      <c r="E1087">
        <v>4685</v>
      </c>
      <c r="F1087">
        <v>4681</v>
      </c>
      <c r="G1087">
        <v>4681</v>
      </c>
      <c r="H1087">
        <v>18800</v>
      </c>
    </row>
    <row r="1088" spans="2:8">
      <c r="B1088" t="s">
        <v>463</v>
      </c>
      <c r="C1088" t="s">
        <v>255</v>
      </c>
      <c r="D1088">
        <v>4683</v>
      </c>
      <c r="E1088">
        <v>4686</v>
      </c>
      <c r="F1088">
        <v>4682</v>
      </c>
      <c r="G1088">
        <v>4684</v>
      </c>
      <c r="H1088">
        <v>15100</v>
      </c>
    </row>
    <row r="1089" spans="2:8">
      <c r="B1089" t="s">
        <v>463</v>
      </c>
      <c r="C1089" t="s">
        <v>256</v>
      </c>
      <c r="D1089">
        <v>4684</v>
      </c>
      <c r="E1089">
        <v>4688</v>
      </c>
      <c r="F1089">
        <v>4684</v>
      </c>
      <c r="G1089">
        <v>4686</v>
      </c>
      <c r="H1089">
        <v>25700</v>
      </c>
    </row>
    <row r="1090" spans="2:8">
      <c r="B1090" t="s">
        <v>463</v>
      </c>
      <c r="C1090" t="s">
        <v>257</v>
      </c>
      <c r="D1090">
        <v>4685</v>
      </c>
      <c r="E1090">
        <v>4690</v>
      </c>
      <c r="F1090">
        <v>4685</v>
      </c>
      <c r="G1090">
        <v>4686</v>
      </c>
      <c r="H1090">
        <v>35200</v>
      </c>
    </row>
    <row r="1091" spans="2:8">
      <c r="B1091" t="s">
        <v>463</v>
      </c>
      <c r="C1091" t="s">
        <v>258</v>
      </c>
      <c r="D1091">
        <v>4686</v>
      </c>
      <c r="E1091">
        <v>4687</v>
      </c>
      <c r="F1091">
        <v>4677</v>
      </c>
      <c r="G1091">
        <v>4686</v>
      </c>
      <c r="H1091">
        <v>70400</v>
      </c>
    </row>
    <row r="1092" spans="2:8">
      <c r="B1092" t="s">
        <v>463</v>
      </c>
      <c r="C1092" t="s">
        <v>259</v>
      </c>
      <c r="D1092">
        <v>4685</v>
      </c>
      <c r="E1092">
        <v>4690</v>
      </c>
      <c r="F1092">
        <v>4684</v>
      </c>
      <c r="G1092">
        <v>4686</v>
      </c>
      <c r="H1092">
        <v>37200</v>
      </c>
    </row>
    <row r="1093" spans="2:8">
      <c r="B1093" t="s">
        <v>463</v>
      </c>
      <c r="C1093" t="s">
        <v>260</v>
      </c>
      <c r="D1093">
        <v>4686</v>
      </c>
      <c r="E1093">
        <v>4690</v>
      </c>
      <c r="F1093">
        <v>4685</v>
      </c>
      <c r="G1093">
        <v>4689</v>
      </c>
      <c r="H1093">
        <v>20200</v>
      </c>
    </row>
    <row r="1094" spans="2:8">
      <c r="B1094" t="s">
        <v>463</v>
      </c>
      <c r="C1094" t="s">
        <v>261</v>
      </c>
      <c r="D1094">
        <v>4689</v>
      </c>
      <c r="E1094">
        <v>4692</v>
      </c>
      <c r="F1094">
        <v>4686</v>
      </c>
      <c r="G1094">
        <v>4690</v>
      </c>
      <c r="H1094">
        <v>27800</v>
      </c>
    </row>
    <row r="1095" spans="2:8">
      <c r="B1095" t="s">
        <v>463</v>
      </c>
      <c r="C1095" t="s">
        <v>262</v>
      </c>
      <c r="D1095">
        <v>4691</v>
      </c>
      <c r="E1095">
        <v>4693</v>
      </c>
      <c r="F1095">
        <v>4683</v>
      </c>
      <c r="G1095">
        <v>4684</v>
      </c>
      <c r="H1095">
        <v>48100</v>
      </c>
    </row>
    <row r="1096" spans="2:8">
      <c r="B1096" t="s">
        <v>463</v>
      </c>
      <c r="C1096" t="s">
        <v>263</v>
      </c>
      <c r="D1096">
        <v>4685</v>
      </c>
      <c r="E1096">
        <v>4685</v>
      </c>
      <c r="F1096">
        <v>4680</v>
      </c>
      <c r="G1096">
        <v>4680</v>
      </c>
      <c r="H1096">
        <v>17900</v>
      </c>
    </row>
    <row r="1097" spans="2:8">
      <c r="B1097" t="s">
        <v>463</v>
      </c>
      <c r="C1097" t="s">
        <v>264</v>
      </c>
      <c r="D1097">
        <v>4679</v>
      </c>
      <c r="E1097">
        <v>4683</v>
      </c>
      <c r="F1097">
        <v>4678</v>
      </c>
      <c r="G1097">
        <v>4681</v>
      </c>
      <c r="H1097">
        <v>23300</v>
      </c>
    </row>
    <row r="1098" spans="2:8">
      <c r="B1098" t="s">
        <v>463</v>
      </c>
      <c r="C1098" t="s">
        <v>265</v>
      </c>
      <c r="D1098">
        <v>4681</v>
      </c>
      <c r="E1098">
        <v>4684</v>
      </c>
      <c r="F1098">
        <v>4680</v>
      </c>
      <c r="G1098">
        <v>4680</v>
      </c>
      <c r="H1098">
        <v>23000</v>
      </c>
    </row>
    <row r="1099" spans="2:8">
      <c r="B1099" t="s">
        <v>463</v>
      </c>
      <c r="C1099" t="s">
        <v>266</v>
      </c>
      <c r="D1099">
        <v>4682</v>
      </c>
      <c r="E1099">
        <v>4682</v>
      </c>
      <c r="F1099">
        <v>4679</v>
      </c>
      <c r="G1099">
        <v>4679</v>
      </c>
      <c r="H1099">
        <v>12600</v>
      </c>
    </row>
    <row r="1100" spans="2:8">
      <c r="B1100" t="s">
        <v>463</v>
      </c>
      <c r="C1100" t="s">
        <v>267</v>
      </c>
      <c r="D1100">
        <v>4680</v>
      </c>
      <c r="E1100">
        <v>4681</v>
      </c>
      <c r="F1100">
        <v>4679</v>
      </c>
      <c r="G1100">
        <v>4680</v>
      </c>
      <c r="H1100">
        <v>14700</v>
      </c>
    </row>
    <row r="1101" spans="2:8">
      <c r="B1101" t="s">
        <v>463</v>
      </c>
      <c r="C1101" t="s">
        <v>268</v>
      </c>
      <c r="D1101">
        <v>4680</v>
      </c>
      <c r="E1101">
        <v>4688</v>
      </c>
      <c r="F1101">
        <v>4679</v>
      </c>
      <c r="G1101">
        <v>4685</v>
      </c>
      <c r="H1101">
        <v>21300</v>
      </c>
    </row>
    <row r="1102" spans="2:8">
      <c r="B1102" t="s">
        <v>463</v>
      </c>
      <c r="C1102" t="s">
        <v>269</v>
      </c>
      <c r="D1102">
        <v>4684</v>
      </c>
      <c r="E1102">
        <v>4685</v>
      </c>
      <c r="F1102">
        <v>4682</v>
      </c>
      <c r="G1102">
        <v>4684</v>
      </c>
      <c r="H1102">
        <v>17500</v>
      </c>
    </row>
    <row r="1103" spans="2:8">
      <c r="B1103" t="s">
        <v>463</v>
      </c>
      <c r="C1103" t="s">
        <v>270</v>
      </c>
      <c r="D1103">
        <v>4683</v>
      </c>
      <c r="E1103">
        <v>4687</v>
      </c>
      <c r="F1103">
        <v>4682</v>
      </c>
      <c r="G1103">
        <v>4687</v>
      </c>
      <c r="H1103">
        <v>24300</v>
      </c>
    </row>
    <row r="1104" spans="2:8">
      <c r="B1104" t="s">
        <v>463</v>
      </c>
      <c r="C1104" t="s">
        <v>271</v>
      </c>
      <c r="D1104">
        <v>4688</v>
      </c>
      <c r="E1104">
        <v>4694</v>
      </c>
      <c r="F1104">
        <v>4685</v>
      </c>
      <c r="G1104">
        <v>4692</v>
      </c>
      <c r="H1104">
        <v>33600</v>
      </c>
    </row>
    <row r="1105" spans="2:8">
      <c r="B1105" t="s">
        <v>463</v>
      </c>
      <c r="C1105" t="s">
        <v>272</v>
      </c>
      <c r="D1105">
        <v>4692</v>
      </c>
      <c r="E1105">
        <v>4692</v>
      </c>
      <c r="F1105">
        <v>4689</v>
      </c>
      <c r="G1105">
        <v>4689</v>
      </c>
      <c r="H1105">
        <v>8400</v>
      </c>
    </row>
    <row r="1106" spans="2:8">
      <c r="B1106" t="s">
        <v>463</v>
      </c>
      <c r="C1106" t="s">
        <v>273</v>
      </c>
      <c r="D1106">
        <v>4689</v>
      </c>
      <c r="E1106">
        <v>4689</v>
      </c>
      <c r="F1106">
        <v>4686</v>
      </c>
      <c r="G1106">
        <v>4689</v>
      </c>
      <c r="H1106">
        <v>8300</v>
      </c>
    </row>
    <row r="1107" spans="2:8">
      <c r="B1107" t="s">
        <v>463</v>
      </c>
      <c r="C1107" t="s">
        <v>274</v>
      </c>
      <c r="D1107">
        <v>4688</v>
      </c>
      <c r="E1107">
        <v>4689</v>
      </c>
      <c r="F1107">
        <v>4688</v>
      </c>
      <c r="G1107">
        <v>4688</v>
      </c>
      <c r="H1107">
        <v>6600</v>
      </c>
    </row>
    <row r="1108" spans="2:8">
      <c r="B1108" t="s">
        <v>463</v>
      </c>
      <c r="C1108" t="s">
        <v>275</v>
      </c>
      <c r="D1108">
        <v>4688</v>
      </c>
      <c r="E1108">
        <v>4692</v>
      </c>
      <c r="F1108">
        <v>4688</v>
      </c>
      <c r="G1108">
        <v>4691</v>
      </c>
      <c r="H1108">
        <v>20600</v>
      </c>
    </row>
    <row r="1109" spans="2:8">
      <c r="B1109" t="s">
        <v>463</v>
      </c>
      <c r="C1109" t="s">
        <v>276</v>
      </c>
      <c r="D1109">
        <v>4690</v>
      </c>
      <c r="E1109">
        <v>4690</v>
      </c>
      <c r="F1109">
        <v>4686</v>
      </c>
      <c r="G1109">
        <v>4686</v>
      </c>
      <c r="H1109">
        <v>16300</v>
      </c>
    </row>
    <row r="1110" spans="2:8">
      <c r="B1110" t="s">
        <v>463</v>
      </c>
      <c r="C1110" t="s">
        <v>277</v>
      </c>
      <c r="D1110">
        <v>4686</v>
      </c>
      <c r="E1110">
        <v>4687</v>
      </c>
      <c r="F1110">
        <v>4680</v>
      </c>
      <c r="G1110">
        <v>4681</v>
      </c>
      <c r="H1110">
        <v>15700</v>
      </c>
    </row>
    <row r="1111" spans="2:8">
      <c r="B1111" t="s">
        <v>463</v>
      </c>
      <c r="C1111" t="s">
        <v>278</v>
      </c>
      <c r="D1111">
        <v>4682</v>
      </c>
      <c r="E1111">
        <v>4683</v>
      </c>
      <c r="F1111">
        <v>4680</v>
      </c>
      <c r="G1111">
        <v>4681</v>
      </c>
      <c r="H1111">
        <v>15000</v>
      </c>
    </row>
    <row r="1112" spans="2:8">
      <c r="B1112" t="s">
        <v>463</v>
      </c>
      <c r="C1112" t="s">
        <v>279</v>
      </c>
      <c r="D1112">
        <v>4681</v>
      </c>
      <c r="E1112">
        <v>4682</v>
      </c>
      <c r="F1112">
        <v>4680</v>
      </c>
      <c r="G1112">
        <v>4681</v>
      </c>
      <c r="H1112">
        <v>4200</v>
      </c>
    </row>
    <row r="1113" spans="2:8">
      <c r="B1113" t="s">
        <v>463</v>
      </c>
      <c r="C1113" t="s">
        <v>280</v>
      </c>
      <c r="D1113">
        <v>4681</v>
      </c>
      <c r="E1113">
        <v>4683</v>
      </c>
      <c r="F1113">
        <v>4680</v>
      </c>
      <c r="G1113">
        <v>4682</v>
      </c>
      <c r="H1113">
        <v>11900</v>
      </c>
    </row>
    <row r="1114" spans="2:8">
      <c r="B1114" t="s">
        <v>463</v>
      </c>
      <c r="C1114" t="s">
        <v>281</v>
      </c>
      <c r="D1114">
        <v>4683</v>
      </c>
      <c r="E1114">
        <v>4684</v>
      </c>
      <c r="F1114">
        <v>4682</v>
      </c>
      <c r="G1114">
        <v>4682</v>
      </c>
      <c r="H1114">
        <v>12900</v>
      </c>
    </row>
    <row r="1115" spans="2:8">
      <c r="B1115" t="s">
        <v>463</v>
      </c>
      <c r="C1115" t="s">
        <v>282</v>
      </c>
      <c r="D1115">
        <v>4682</v>
      </c>
      <c r="E1115">
        <v>4682</v>
      </c>
      <c r="F1115">
        <v>4675</v>
      </c>
      <c r="G1115">
        <v>4678</v>
      </c>
      <c r="H1115">
        <v>36500</v>
      </c>
    </row>
    <row r="1116" spans="2:8">
      <c r="B1116" t="s">
        <v>463</v>
      </c>
      <c r="C1116" t="s">
        <v>283</v>
      </c>
      <c r="D1116">
        <v>4678</v>
      </c>
      <c r="E1116">
        <v>4681</v>
      </c>
      <c r="F1116">
        <v>4677</v>
      </c>
      <c r="G1116">
        <v>4680</v>
      </c>
      <c r="H1116">
        <v>10900</v>
      </c>
    </row>
    <row r="1117" spans="2:8">
      <c r="B1117" t="s">
        <v>463</v>
      </c>
      <c r="C1117" t="s">
        <v>284</v>
      </c>
      <c r="D1117">
        <v>4680</v>
      </c>
      <c r="E1117">
        <v>4680</v>
      </c>
      <c r="F1117">
        <v>4678</v>
      </c>
      <c r="G1117">
        <v>4679</v>
      </c>
      <c r="H1117">
        <v>6800</v>
      </c>
    </row>
    <row r="1118" spans="2:8">
      <c r="B1118" t="s">
        <v>463</v>
      </c>
      <c r="C1118" t="s">
        <v>285</v>
      </c>
      <c r="D1118">
        <v>4680</v>
      </c>
      <c r="E1118">
        <v>4682</v>
      </c>
      <c r="F1118">
        <v>4680</v>
      </c>
      <c r="G1118">
        <v>4681</v>
      </c>
      <c r="H1118">
        <v>7400</v>
      </c>
    </row>
    <row r="1119" spans="2:8">
      <c r="B1119" t="s">
        <v>463</v>
      </c>
      <c r="C1119" t="s">
        <v>286</v>
      </c>
      <c r="D1119">
        <v>4680</v>
      </c>
      <c r="E1119">
        <v>4684</v>
      </c>
      <c r="F1119">
        <v>4677</v>
      </c>
      <c r="G1119">
        <v>4684</v>
      </c>
      <c r="H1119">
        <v>21500</v>
      </c>
    </row>
    <row r="1120" spans="2:8">
      <c r="B1120" t="s">
        <v>463</v>
      </c>
      <c r="C1120" t="s">
        <v>287</v>
      </c>
      <c r="D1120">
        <v>4684</v>
      </c>
      <c r="E1120">
        <v>4686</v>
      </c>
      <c r="F1120">
        <v>4683</v>
      </c>
      <c r="G1120">
        <v>4684</v>
      </c>
      <c r="H1120">
        <v>8500</v>
      </c>
    </row>
    <row r="1121" spans="2:8">
      <c r="B1121" t="s">
        <v>463</v>
      </c>
      <c r="C1121" t="s">
        <v>288</v>
      </c>
      <c r="D1121">
        <v>4684</v>
      </c>
      <c r="E1121">
        <v>4686</v>
      </c>
      <c r="F1121">
        <v>4683</v>
      </c>
      <c r="G1121">
        <v>4685</v>
      </c>
      <c r="H1121">
        <v>11300</v>
      </c>
    </row>
    <row r="1122" spans="2:8">
      <c r="B1122" t="s">
        <v>463</v>
      </c>
      <c r="C1122" t="s">
        <v>289</v>
      </c>
      <c r="D1122">
        <v>4685</v>
      </c>
      <c r="E1122">
        <v>4687</v>
      </c>
      <c r="F1122">
        <v>4685</v>
      </c>
      <c r="G1122">
        <v>4685</v>
      </c>
      <c r="H1122">
        <v>9300</v>
      </c>
    </row>
    <row r="1123" spans="2:8">
      <c r="B1123" t="s">
        <v>463</v>
      </c>
      <c r="C1123" t="s">
        <v>290</v>
      </c>
      <c r="D1123">
        <v>4687</v>
      </c>
      <c r="E1123">
        <v>4689</v>
      </c>
      <c r="F1123">
        <v>4685</v>
      </c>
      <c r="G1123">
        <v>4688</v>
      </c>
      <c r="H1123">
        <v>27400</v>
      </c>
    </row>
    <row r="1124" spans="2:8">
      <c r="B1124" t="s">
        <v>463</v>
      </c>
      <c r="C1124" t="s">
        <v>291</v>
      </c>
      <c r="D1124">
        <v>4687</v>
      </c>
      <c r="E1124">
        <v>4693</v>
      </c>
      <c r="F1124">
        <v>4687</v>
      </c>
      <c r="G1124">
        <v>4693</v>
      </c>
      <c r="H1124">
        <v>31200</v>
      </c>
    </row>
    <row r="1125" spans="2:8">
      <c r="B1125" t="s">
        <v>463</v>
      </c>
      <c r="C1125" t="s">
        <v>292</v>
      </c>
      <c r="D1125">
        <v>4694</v>
      </c>
      <c r="E1125">
        <v>4694</v>
      </c>
      <c r="F1125">
        <v>4689</v>
      </c>
      <c r="G1125">
        <v>4690</v>
      </c>
      <c r="H1125">
        <v>13400</v>
      </c>
    </row>
    <row r="1126" spans="2:8">
      <c r="B1126" t="s">
        <v>463</v>
      </c>
      <c r="C1126" t="s">
        <v>293</v>
      </c>
      <c r="D1126">
        <v>4689</v>
      </c>
      <c r="E1126">
        <v>4689</v>
      </c>
      <c r="F1126">
        <v>4684</v>
      </c>
      <c r="G1126">
        <v>4686</v>
      </c>
      <c r="H1126">
        <v>10900</v>
      </c>
    </row>
    <row r="1127" spans="2:8">
      <c r="B1127" t="s">
        <v>463</v>
      </c>
      <c r="C1127" t="s">
        <v>294</v>
      </c>
      <c r="D1127">
        <v>4686</v>
      </c>
      <c r="E1127">
        <v>4687</v>
      </c>
      <c r="F1127">
        <v>4686</v>
      </c>
      <c r="G1127">
        <v>4687</v>
      </c>
      <c r="H1127">
        <v>10800</v>
      </c>
    </row>
    <row r="1128" spans="2:8">
      <c r="B1128" t="s">
        <v>463</v>
      </c>
      <c r="C1128" t="s">
        <v>295</v>
      </c>
      <c r="D1128">
        <v>4687</v>
      </c>
      <c r="E1128">
        <v>4688</v>
      </c>
      <c r="F1128">
        <v>4685</v>
      </c>
      <c r="G1128">
        <v>4686</v>
      </c>
      <c r="H1128">
        <v>7500</v>
      </c>
    </row>
    <row r="1129" spans="2:8">
      <c r="B1129" t="s">
        <v>463</v>
      </c>
      <c r="C1129" t="s">
        <v>296</v>
      </c>
      <c r="D1129">
        <v>4685</v>
      </c>
      <c r="E1129">
        <v>4689</v>
      </c>
      <c r="F1129">
        <v>4685</v>
      </c>
      <c r="G1129">
        <v>4688</v>
      </c>
      <c r="H1129">
        <v>10700</v>
      </c>
    </row>
    <row r="1130" spans="2:8">
      <c r="B1130" t="s">
        <v>463</v>
      </c>
      <c r="C1130" t="s">
        <v>297</v>
      </c>
      <c r="D1130">
        <v>4687</v>
      </c>
      <c r="E1130">
        <v>4687</v>
      </c>
      <c r="F1130">
        <v>4686</v>
      </c>
      <c r="G1130">
        <v>4687</v>
      </c>
      <c r="H1130">
        <v>5700</v>
      </c>
    </row>
    <row r="1131" spans="2:8">
      <c r="B1131" t="s">
        <v>463</v>
      </c>
      <c r="C1131" t="s">
        <v>298</v>
      </c>
      <c r="D1131">
        <v>4687</v>
      </c>
      <c r="E1131">
        <v>4691</v>
      </c>
      <c r="F1131">
        <v>4687</v>
      </c>
      <c r="G1131">
        <v>4690</v>
      </c>
      <c r="H1131">
        <v>20300</v>
      </c>
    </row>
    <row r="1132" spans="2:8">
      <c r="B1132" t="s">
        <v>463</v>
      </c>
      <c r="C1132" t="s">
        <v>299</v>
      </c>
      <c r="D1132">
        <v>4690</v>
      </c>
      <c r="E1132">
        <v>4690</v>
      </c>
      <c r="F1132">
        <v>4688</v>
      </c>
      <c r="G1132">
        <v>4689</v>
      </c>
      <c r="H1132">
        <v>5300</v>
      </c>
    </row>
    <row r="1133" spans="2:8">
      <c r="B1133" t="s">
        <v>463</v>
      </c>
      <c r="C1133" t="s">
        <v>300</v>
      </c>
      <c r="D1133">
        <v>4689</v>
      </c>
      <c r="E1133">
        <v>4690</v>
      </c>
      <c r="F1133">
        <v>4687</v>
      </c>
      <c r="G1133">
        <v>4687</v>
      </c>
      <c r="H1133">
        <v>9600</v>
      </c>
    </row>
    <row r="1134" spans="2:8">
      <c r="B1134" t="s">
        <v>463</v>
      </c>
      <c r="C1134" t="s">
        <v>301</v>
      </c>
      <c r="D1134">
        <v>4688</v>
      </c>
      <c r="E1134">
        <v>4688</v>
      </c>
      <c r="F1134">
        <v>4685</v>
      </c>
      <c r="G1134">
        <v>4687</v>
      </c>
      <c r="H1134">
        <v>11400</v>
      </c>
    </row>
    <row r="1135" spans="2:8">
      <c r="B1135" t="s">
        <v>463</v>
      </c>
      <c r="C1135" t="s">
        <v>302</v>
      </c>
      <c r="D1135">
        <v>4687</v>
      </c>
      <c r="E1135">
        <v>4687</v>
      </c>
      <c r="F1135">
        <v>4686</v>
      </c>
      <c r="G1135">
        <v>4686</v>
      </c>
      <c r="H1135">
        <v>3200</v>
      </c>
    </row>
    <row r="1136" spans="2:8">
      <c r="B1136" t="s">
        <v>463</v>
      </c>
      <c r="C1136" t="s">
        <v>303</v>
      </c>
      <c r="D1136">
        <v>4686</v>
      </c>
      <c r="E1136">
        <v>4688</v>
      </c>
      <c r="F1136">
        <v>4685</v>
      </c>
      <c r="G1136">
        <v>4687</v>
      </c>
      <c r="H1136">
        <v>10400</v>
      </c>
    </row>
    <row r="1137" spans="2:8">
      <c r="B1137" t="s">
        <v>463</v>
      </c>
      <c r="C1137" t="s">
        <v>304</v>
      </c>
      <c r="D1137">
        <v>4686</v>
      </c>
      <c r="E1137">
        <v>4687</v>
      </c>
      <c r="F1137">
        <v>4686</v>
      </c>
      <c r="G1137">
        <v>4686</v>
      </c>
      <c r="H1137">
        <v>3400</v>
      </c>
    </row>
    <row r="1138" spans="2:8">
      <c r="B1138" t="s">
        <v>463</v>
      </c>
      <c r="C1138" t="s">
        <v>305</v>
      </c>
      <c r="D1138">
        <v>4685</v>
      </c>
      <c r="E1138">
        <v>4686</v>
      </c>
      <c r="F1138">
        <v>4681</v>
      </c>
      <c r="G1138">
        <v>4682</v>
      </c>
      <c r="H1138">
        <v>15100</v>
      </c>
    </row>
    <row r="1139" spans="2:8">
      <c r="B1139" t="s">
        <v>463</v>
      </c>
      <c r="C1139" t="s">
        <v>306</v>
      </c>
      <c r="D1139">
        <v>4682</v>
      </c>
      <c r="E1139">
        <v>4685</v>
      </c>
      <c r="F1139">
        <v>4682</v>
      </c>
      <c r="G1139">
        <v>4684</v>
      </c>
      <c r="H1139">
        <v>5600</v>
      </c>
    </row>
    <row r="1140" spans="2:8">
      <c r="B1140" t="s">
        <v>463</v>
      </c>
      <c r="C1140" t="s">
        <v>307</v>
      </c>
      <c r="D1140">
        <v>4685</v>
      </c>
      <c r="E1140">
        <v>4686</v>
      </c>
      <c r="F1140">
        <v>4684</v>
      </c>
      <c r="G1140">
        <v>4685</v>
      </c>
      <c r="H1140">
        <v>6400</v>
      </c>
    </row>
    <row r="1141" spans="2:8">
      <c r="B1141" t="s">
        <v>463</v>
      </c>
      <c r="C1141" t="s">
        <v>308</v>
      </c>
      <c r="D1141">
        <v>4685</v>
      </c>
      <c r="E1141">
        <v>4688</v>
      </c>
      <c r="F1141">
        <v>4685</v>
      </c>
      <c r="G1141">
        <v>4687</v>
      </c>
      <c r="H1141">
        <v>9000</v>
      </c>
    </row>
    <row r="1142" spans="2:8">
      <c r="B1142" t="s">
        <v>463</v>
      </c>
      <c r="C1142" t="s">
        <v>309</v>
      </c>
      <c r="D1142">
        <v>4688</v>
      </c>
      <c r="E1142">
        <v>4688</v>
      </c>
      <c r="F1142">
        <v>4683</v>
      </c>
      <c r="G1142">
        <v>4685</v>
      </c>
      <c r="H1142">
        <v>10600</v>
      </c>
    </row>
    <row r="1143" spans="2:8">
      <c r="B1143" t="s">
        <v>463</v>
      </c>
      <c r="C1143" t="s">
        <v>310</v>
      </c>
      <c r="D1143">
        <v>4684</v>
      </c>
      <c r="E1143">
        <v>4688</v>
      </c>
      <c r="F1143">
        <v>4684</v>
      </c>
      <c r="G1143">
        <v>4687</v>
      </c>
      <c r="H1143">
        <v>14600</v>
      </c>
    </row>
    <row r="1144" spans="2:8">
      <c r="B1144" t="s">
        <v>463</v>
      </c>
      <c r="C1144" t="s">
        <v>311</v>
      </c>
      <c r="D1144">
        <v>4687</v>
      </c>
      <c r="E1144">
        <v>4690</v>
      </c>
      <c r="F1144">
        <v>4686</v>
      </c>
      <c r="G1144">
        <v>4688</v>
      </c>
      <c r="H1144">
        <v>24300</v>
      </c>
    </row>
    <row r="1145" spans="2:8">
      <c r="B1145" t="s">
        <v>463</v>
      </c>
      <c r="C1145" t="s">
        <v>312</v>
      </c>
      <c r="D1145">
        <v>4687</v>
      </c>
      <c r="E1145">
        <v>4690</v>
      </c>
      <c r="F1145">
        <v>4687</v>
      </c>
      <c r="G1145">
        <v>4689</v>
      </c>
      <c r="H1145">
        <v>5300</v>
      </c>
    </row>
    <row r="1146" spans="2:8">
      <c r="B1146" t="s">
        <v>463</v>
      </c>
      <c r="C1146" t="s">
        <v>313</v>
      </c>
      <c r="D1146">
        <v>4688</v>
      </c>
      <c r="E1146">
        <v>4691</v>
      </c>
      <c r="F1146">
        <v>4687</v>
      </c>
      <c r="G1146">
        <v>4689</v>
      </c>
      <c r="H1146">
        <v>17400</v>
      </c>
    </row>
    <row r="1147" spans="2:8">
      <c r="B1147" t="s">
        <v>463</v>
      </c>
      <c r="C1147" t="s">
        <v>314</v>
      </c>
      <c r="D1147">
        <v>4689</v>
      </c>
      <c r="E1147">
        <v>4690</v>
      </c>
      <c r="F1147">
        <v>4686</v>
      </c>
      <c r="G1147">
        <v>4690</v>
      </c>
      <c r="H1147">
        <v>14700</v>
      </c>
    </row>
    <row r="1148" spans="2:8">
      <c r="B1148" t="s">
        <v>463</v>
      </c>
      <c r="C1148" t="s">
        <v>315</v>
      </c>
      <c r="D1148">
        <v>4690</v>
      </c>
      <c r="E1148">
        <v>4691</v>
      </c>
      <c r="F1148">
        <v>4687</v>
      </c>
      <c r="G1148">
        <v>4689</v>
      </c>
      <c r="H1148">
        <v>13300</v>
      </c>
    </row>
    <row r="1149" spans="2:8">
      <c r="B1149" t="s">
        <v>463</v>
      </c>
      <c r="C1149" t="s">
        <v>316</v>
      </c>
      <c r="D1149">
        <v>4690</v>
      </c>
      <c r="E1149">
        <v>4690</v>
      </c>
      <c r="F1149">
        <v>4690</v>
      </c>
      <c r="G1149">
        <v>4690</v>
      </c>
      <c r="H1149">
        <v>18300</v>
      </c>
    </row>
    <row r="1150" spans="2:8">
      <c r="B1150" t="s">
        <v>463</v>
      </c>
      <c r="C1150" t="s">
        <v>317</v>
      </c>
      <c r="D1150">
        <v>4691</v>
      </c>
      <c r="E1150">
        <v>4694</v>
      </c>
      <c r="F1150">
        <v>4686</v>
      </c>
      <c r="G1150">
        <v>4691</v>
      </c>
      <c r="H1150">
        <v>229600</v>
      </c>
    </row>
    <row r="1151" spans="2:8">
      <c r="B1151" t="s">
        <v>463</v>
      </c>
      <c r="C1151" t="s">
        <v>318</v>
      </c>
      <c r="D1151">
        <v>4690</v>
      </c>
      <c r="E1151">
        <v>4692</v>
      </c>
      <c r="F1151">
        <v>4681</v>
      </c>
      <c r="G1151">
        <v>4681</v>
      </c>
      <c r="H1151">
        <v>92800</v>
      </c>
    </row>
    <row r="1152" spans="2:8">
      <c r="B1152" t="s">
        <v>463</v>
      </c>
      <c r="C1152" t="s">
        <v>319</v>
      </c>
      <c r="D1152">
        <v>4681</v>
      </c>
      <c r="E1152">
        <v>4682</v>
      </c>
      <c r="F1152">
        <v>4677</v>
      </c>
      <c r="G1152">
        <v>4678</v>
      </c>
      <c r="H1152">
        <v>27100</v>
      </c>
    </row>
    <row r="1153" spans="2:8">
      <c r="B1153" t="s">
        <v>463</v>
      </c>
      <c r="C1153" t="s">
        <v>320</v>
      </c>
      <c r="D1153">
        <v>4679</v>
      </c>
      <c r="E1153">
        <v>4680</v>
      </c>
      <c r="F1153">
        <v>4671</v>
      </c>
      <c r="G1153">
        <v>4674</v>
      </c>
      <c r="H1153">
        <v>39300</v>
      </c>
    </row>
    <row r="1154" spans="2:8">
      <c r="B1154" t="s">
        <v>463</v>
      </c>
      <c r="C1154" t="s">
        <v>321</v>
      </c>
      <c r="D1154">
        <v>4674</v>
      </c>
      <c r="E1154">
        <v>4681</v>
      </c>
      <c r="F1154">
        <v>4673</v>
      </c>
      <c r="G1154">
        <v>4680</v>
      </c>
      <c r="H1154">
        <v>22400</v>
      </c>
    </row>
    <row r="1155" spans="2:8">
      <c r="B1155" t="s">
        <v>463</v>
      </c>
      <c r="C1155" t="s">
        <v>322</v>
      </c>
      <c r="D1155">
        <v>4681</v>
      </c>
      <c r="E1155">
        <v>4682</v>
      </c>
      <c r="F1155">
        <v>4678</v>
      </c>
      <c r="G1155">
        <v>4678</v>
      </c>
      <c r="H1155">
        <v>85300</v>
      </c>
    </row>
    <row r="1156" spans="2:8">
      <c r="B1156" t="s">
        <v>463</v>
      </c>
      <c r="C1156" t="s">
        <v>323</v>
      </c>
      <c r="D1156">
        <v>4680</v>
      </c>
      <c r="E1156">
        <v>4689</v>
      </c>
      <c r="F1156">
        <v>4680</v>
      </c>
      <c r="G1156">
        <v>4687</v>
      </c>
      <c r="H1156">
        <v>41100</v>
      </c>
    </row>
    <row r="1157" spans="2:8">
      <c r="B1157" t="s">
        <v>463</v>
      </c>
      <c r="C1157" t="s">
        <v>324</v>
      </c>
      <c r="D1157">
        <v>4686</v>
      </c>
      <c r="E1157">
        <v>4687</v>
      </c>
      <c r="F1157">
        <v>4684</v>
      </c>
      <c r="G1157">
        <v>4686</v>
      </c>
      <c r="H1157">
        <v>9200</v>
      </c>
    </row>
    <row r="1158" spans="2:8">
      <c r="B1158" t="s">
        <v>463</v>
      </c>
      <c r="C1158" t="s">
        <v>325</v>
      </c>
      <c r="D1158">
        <v>4686</v>
      </c>
      <c r="E1158">
        <v>4691</v>
      </c>
      <c r="F1158">
        <v>4686</v>
      </c>
      <c r="G1158">
        <v>4691</v>
      </c>
      <c r="H1158">
        <v>21200</v>
      </c>
    </row>
    <row r="1159" spans="2:8">
      <c r="B1159" t="s">
        <v>463</v>
      </c>
      <c r="C1159" t="s">
        <v>326</v>
      </c>
      <c r="D1159">
        <v>4691</v>
      </c>
      <c r="E1159">
        <v>4692</v>
      </c>
      <c r="F1159">
        <v>4688</v>
      </c>
      <c r="G1159">
        <v>4691</v>
      </c>
      <c r="H1159">
        <v>12000</v>
      </c>
    </row>
    <row r="1160" spans="2:8">
      <c r="B1160" t="s">
        <v>463</v>
      </c>
      <c r="C1160" t="s">
        <v>327</v>
      </c>
      <c r="D1160">
        <v>4692</v>
      </c>
      <c r="E1160">
        <v>4693</v>
      </c>
      <c r="F1160">
        <v>4683</v>
      </c>
      <c r="G1160">
        <v>4684</v>
      </c>
      <c r="H1160">
        <v>22500</v>
      </c>
    </row>
    <row r="1161" spans="2:8">
      <c r="B1161" t="s">
        <v>463</v>
      </c>
      <c r="C1161" t="s">
        <v>328</v>
      </c>
      <c r="D1161">
        <v>4684</v>
      </c>
      <c r="E1161">
        <v>4684</v>
      </c>
      <c r="F1161">
        <v>4682</v>
      </c>
      <c r="G1161">
        <v>4684</v>
      </c>
      <c r="H1161">
        <v>8100</v>
      </c>
    </row>
    <row r="1162" spans="2:8">
      <c r="B1162" t="s">
        <v>463</v>
      </c>
      <c r="C1162" t="s">
        <v>329</v>
      </c>
      <c r="D1162">
        <v>4683</v>
      </c>
      <c r="E1162">
        <v>4685</v>
      </c>
      <c r="F1162">
        <v>4682</v>
      </c>
      <c r="G1162">
        <v>4683</v>
      </c>
      <c r="H1162">
        <v>7900</v>
      </c>
    </row>
    <row r="1163" spans="2:8">
      <c r="B1163" t="s">
        <v>463</v>
      </c>
      <c r="C1163" t="s">
        <v>330</v>
      </c>
      <c r="D1163">
        <v>4682</v>
      </c>
      <c r="E1163">
        <v>4684</v>
      </c>
      <c r="F1163">
        <v>4676</v>
      </c>
      <c r="G1163">
        <v>4676</v>
      </c>
      <c r="H1163">
        <v>17800</v>
      </c>
    </row>
    <row r="1164" spans="2:8">
      <c r="B1164" t="s">
        <v>463</v>
      </c>
      <c r="C1164" t="s">
        <v>331</v>
      </c>
      <c r="D1164">
        <v>4675</v>
      </c>
      <c r="E1164">
        <v>4675</v>
      </c>
      <c r="F1164">
        <v>4666</v>
      </c>
      <c r="G1164">
        <v>4666</v>
      </c>
      <c r="H1164">
        <v>38100</v>
      </c>
    </row>
    <row r="1165" spans="2:8">
      <c r="B1165" t="s">
        <v>463</v>
      </c>
      <c r="C1165" t="s">
        <v>332</v>
      </c>
      <c r="D1165">
        <v>4667</v>
      </c>
      <c r="E1165">
        <v>4675</v>
      </c>
      <c r="F1165">
        <v>4666</v>
      </c>
      <c r="G1165">
        <v>4675</v>
      </c>
      <c r="H1165">
        <v>15500</v>
      </c>
    </row>
    <row r="1166" spans="2:8">
      <c r="B1166" t="s">
        <v>463</v>
      </c>
      <c r="C1166" t="s">
        <v>333</v>
      </c>
      <c r="D1166">
        <v>4675</v>
      </c>
      <c r="E1166">
        <v>4677</v>
      </c>
      <c r="F1166">
        <v>4674</v>
      </c>
      <c r="G1166">
        <v>4676</v>
      </c>
      <c r="H1166">
        <v>13600</v>
      </c>
    </row>
    <row r="1167" spans="2:8">
      <c r="B1167" t="s">
        <v>463</v>
      </c>
      <c r="C1167" t="s">
        <v>334</v>
      </c>
      <c r="D1167">
        <v>4675</v>
      </c>
      <c r="E1167">
        <v>4675</v>
      </c>
      <c r="F1167">
        <v>4673</v>
      </c>
      <c r="G1167">
        <v>4674</v>
      </c>
      <c r="H1167">
        <v>12000</v>
      </c>
    </row>
    <row r="1168" spans="2:8">
      <c r="B1168" t="s">
        <v>463</v>
      </c>
      <c r="C1168" t="s">
        <v>335</v>
      </c>
      <c r="D1168">
        <v>4673</v>
      </c>
      <c r="E1168">
        <v>4679</v>
      </c>
      <c r="F1168">
        <v>4672</v>
      </c>
      <c r="G1168">
        <v>4679</v>
      </c>
      <c r="H1168">
        <v>13000</v>
      </c>
    </row>
    <row r="1169" spans="2:8">
      <c r="B1169" t="s">
        <v>463</v>
      </c>
      <c r="C1169" t="s">
        <v>336</v>
      </c>
      <c r="D1169">
        <v>4678</v>
      </c>
      <c r="E1169">
        <v>4679</v>
      </c>
      <c r="F1169">
        <v>4675</v>
      </c>
      <c r="G1169">
        <v>4678</v>
      </c>
      <c r="H1169">
        <v>12300</v>
      </c>
    </row>
    <row r="1170" spans="2:8">
      <c r="B1170" t="s">
        <v>463</v>
      </c>
      <c r="C1170" t="s">
        <v>337</v>
      </c>
      <c r="D1170">
        <v>4677</v>
      </c>
      <c r="E1170">
        <v>4678</v>
      </c>
      <c r="F1170">
        <v>4675</v>
      </c>
      <c r="G1170">
        <v>4677</v>
      </c>
      <c r="H1170">
        <v>8400</v>
      </c>
    </row>
    <row r="1171" spans="2:8">
      <c r="B1171" t="s">
        <v>463</v>
      </c>
      <c r="C1171" t="s">
        <v>338</v>
      </c>
      <c r="D1171">
        <v>4677</v>
      </c>
      <c r="E1171">
        <v>4682</v>
      </c>
      <c r="F1171">
        <v>4677</v>
      </c>
      <c r="G1171">
        <v>4682</v>
      </c>
      <c r="H1171">
        <v>9800</v>
      </c>
    </row>
    <row r="1172" spans="2:8">
      <c r="B1172" t="s">
        <v>463</v>
      </c>
      <c r="C1172" t="s">
        <v>339</v>
      </c>
      <c r="D1172">
        <v>4681</v>
      </c>
      <c r="E1172">
        <v>4684</v>
      </c>
      <c r="F1172">
        <v>4679</v>
      </c>
      <c r="G1172">
        <v>4684</v>
      </c>
      <c r="H1172">
        <v>14600</v>
      </c>
    </row>
    <row r="1173" spans="2:8">
      <c r="B1173" t="s">
        <v>463</v>
      </c>
      <c r="C1173" t="s">
        <v>340</v>
      </c>
      <c r="D1173">
        <v>4682</v>
      </c>
      <c r="E1173">
        <v>4692</v>
      </c>
      <c r="F1173">
        <v>4681</v>
      </c>
      <c r="G1173">
        <v>4691</v>
      </c>
      <c r="H1173">
        <v>41800</v>
      </c>
    </row>
    <row r="1174" spans="2:8">
      <c r="B1174" t="s">
        <v>463</v>
      </c>
      <c r="C1174" t="s">
        <v>341</v>
      </c>
      <c r="D1174">
        <v>4691</v>
      </c>
      <c r="E1174">
        <v>4691</v>
      </c>
      <c r="F1174">
        <v>4686</v>
      </c>
      <c r="G1174">
        <v>4686</v>
      </c>
      <c r="H1174">
        <v>25300</v>
      </c>
    </row>
    <row r="1175" spans="2:8">
      <c r="B1175" t="s">
        <v>463</v>
      </c>
      <c r="C1175" t="s">
        <v>342</v>
      </c>
      <c r="D1175">
        <v>4687</v>
      </c>
      <c r="E1175">
        <v>4688</v>
      </c>
      <c r="F1175">
        <v>4687</v>
      </c>
      <c r="G1175">
        <v>4687</v>
      </c>
      <c r="H1175">
        <v>2900</v>
      </c>
    </row>
    <row r="1176" spans="2:8">
      <c r="B1176" t="s">
        <v>463</v>
      </c>
      <c r="C1176" t="s">
        <v>343</v>
      </c>
      <c r="D1176">
        <v>4687</v>
      </c>
      <c r="E1176">
        <v>4687</v>
      </c>
      <c r="F1176">
        <v>4686</v>
      </c>
      <c r="G1176">
        <v>4687</v>
      </c>
      <c r="H1176">
        <v>5700</v>
      </c>
    </row>
    <row r="1177" spans="2:8">
      <c r="B1177" t="s">
        <v>463</v>
      </c>
      <c r="C1177" t="s">
        <v>344</v>
      </c>
      <c r="D1177">
        <v>4687</v>
      </c>
      <c r="E1177">
        <v>4687</v>
      </c>
      <c r="F1177">
        <v>4683</v>
      </c>
      <c r="G1177">
        <v>4683</v>
      </c>
      <c r="H1177">
        <v>15000</v>
      </c>
    </row>
    <row r="1178" spans="2:8">
      <c r="B1178" t="s">
        <v>463</v>
      </c>
      <c r="C1178" t="s">
        <v>345</v>
      </c>
      <c r="D1178">
        <v>4683</v>
      </c>
      <c r="E1178">
        <v>4683</v>
      </c>
      <c r="F1178">
        <v>4681</v>
      </c>
      <c r="G1178">
        <v>4681</v>
      </c>
      <c r="H1178">
        <v>9700</v>
      </c>
    </row>
    <row r="1179" spans="2:8">
      <c r="B1179" t="s">
        <v>463</v>
      </c>
      <c r="C1179" t="s">
        <v>346</v>
      </c>
      <c r="D1179">
        <v>4682</v>
      </c>
      <c r="E1179">
        <v>4685</v>
      </c>
      <c r="F1179">
        <v>4680</v>
      </c>
      <c r="G1179">
        <v>4682</v>
      </c>
      <c r="H1179">
        <v>10200</v>
      </c>
    </row>
    <row r="1180" spans="2:8">
      <c r="B1180" t="s">
        <v>463</v>
      </c>
      <c r="C1180" t="s">
        <v>347</v>
      </c>
      <c r="D1180">
        <v>4683</v>
      </c>
      <c r="E1180">
        <v>4685</v>
      </c>
      <c r="F1180">
        <v>4678</v>
      </c>
      <c r="G1180">
        <v>4678</v>
      </c>
      <c r="H1180">
        <v>20300</v>
      </c>
    </row>
    <row r="1181" spans="2:8">
      <c r="B1181" t="s">
        <v>463</v>
      </c>
      <c r="C1181" t="s">
        <v>348</v>
      </c>
      <c r="D1181">
        <v>4679</v>
      </c>
      <c r="E1181">
        <v>4683</v>
      </c>
      <c r="F1181">
        <v>4679</v>
      </c>
      <c r="G1181">
        <v>4681</v>
      </c>
      <c r="H1181">
        <v>9300</v>
      </c>
    </row>
    <row r="1182" spans="2:8">
      <c r="B1182" t="s">
        <v>463</v>
      </c>
      <c r="C1182" t="s">
        <v>349</v>
      </c>
      <c r="D1182">
        <v>4682</v>
      </c>
      <c r="E1182">
        <v>4682</v>
      </c>
      <c r="F1182">
        <v>4679</v>
      </c>
      <c r="G1182">
        <v>4682</v>
      </c>
      <c r="H1182">
        <v>8100</v>
      </c>
    </row>
    <row r="1183" spans="2:8">
      <c r="B1183" t="s">
        <v>463</v>
      </c>
      <c r="C1183" t="s">
        <v>350</v>
      </c>
      <c r="D1183">
        <v>4681</v>
      </c>
      <c r="E1183">
        <v>4683</v>
      </c>
      <c r="F1183">
        <v>4681</v>
      </c>
      <c r="G1183">
        <v>4682</v>
      </c>
      <c r="H1183">
        <v>7500</v>
      </c>
    </row>
    <row r="1184" spans="2:8">
      <c r="B1184" t="s">
        <v>463</v>
      </c>
      <c r="C1184" t="s">
        <v>351</v>
      </c>
      <c r="D1184">
        <v>4683</v>
      </c>
      <c r="E1184">
        <v>4683</v>
      </c>
      <c r="F1184">
        <v>4679</v>
      </c>
      <c r="G1184">
        <v>4682</v>
      </c>
      <c r="H1184">
        <v>8000</v>
      </c>
    </row>
    <row r="1185" spans="2:8">
      <c r="B1185" t="s">
        <v>463</v>
      </c>
      <c r="C1185" t="s">
        <v>352</v>
      </c>
      <c r="D1185">
        <v>4681</v>
      </c>
      <c r="E1185">
        <v>4682</v>
      </c>
      <c r="F1185">
        <v>4680</v>
      </c>
      <c r="G1185">
        <v>4680</v>
      </c>
      <c r="H1185">
        <v>7100</v>
      </c>
    </row>
    <row r="1186" spans="2:8">
      <c r="B1186" t="s">
        <v>463</v>
      </c>
      <c r="C1186" t="s">
        <v>353</v>
      </c>
      <c r="D1186">
        <v>4680</v>
      </c>
      <c r="E1186">
        <v>4683</v>
      </c>
      <c r="F1186">
        <v>4678</v>
      </c>
      <c r="G1186">
        <v>4683</v>
      </c>
      <c r="H1186">
        <v>15900</v>
      </c>
    </row>
    <row r="1187" spans="2:8">
      <c r="B1187" t="s">
        <v>463</v>
      </c>
      <c r="C1187" t="s">
        <v>354</v>
      </c>
      <c r="D1187">
        <v>4682</v>
      </c>
      <c r="E1187">
        <v>4684</v>
      </c>
      <c r="F1187">
        <v>4682</v>
      </c>
      <c r="G1187">
        <v>4683</v>
      </c>
      <c r="H1187">
        <v>7300</v>
      </c>
    </row>
    <row r="1188" spans="2:8">
      <c r="B1188" t="s">
        <v>463</v>
      </c>
      <c r="C1188" t="s">
        <v>355</v>
      </c>
      <c r="D1188">
        <v>4682</v>
      </c>
      <c r="E1188">
        <v>4684</v>
      </c>
      <c r="F1188">
        <v>4681</v>
      </c>
      <c r="G1188">
        <v>4682</v>
      </c>
      <c r="H1188">
        <v>6300</v>
      </c>
    </row>
    <row r="1189" spans="2:8">
      <c r="B1189" t="s">
        <v>463</v>
      </c>
      <c r="C1189" t="s">
        <v>356</v>
      </c>
      <c r="D1189">
        <v>4684</v>
      </c>
      <c r="E1189">
        <v>4686</v>
      </c>
      <c r="F1189">
        <v>4683</v>
      </c>
      <c r="G1189">
        <v>4686</v>
      </c>
      <c r="H1189">
        <v>18000</v>
      </c>
    </row>
    <row r="1190" spans="2:8">
      <c r="B1190" t="s">
        <v>463</v>
      </c>
      <c r="C1190" t="s">
        <v>357</v>
      </c>
      <c r="D1190">
        <v>4686</v>
      </c>
      <c r="E1190">
        <v>4686</v>
      </c>
      <c r="F1190">
        <v>4683</v>
      </c>
      <c r="G1190">
        <v>4685</v>
      </c>
      <c r="H1190">
        <v>14600</v>
      </c>
    </row>
    <row r="1191" spans="2:8">
      <c r="B1191" t="s">
        <v>463</v>
      </c>
      <c r="C1191" t="s">
        <v>358</v>
      </c>
      <c r="D1191">
        <v>4685</v>
      </c>
      <c r="E1191">
        <v>4686</v>
      </c>
      <c r="F1191">
        <v>4684</v>
      </c>
      <c r="G1191">
        <v>4686</v>
      </c>
      <c r="H1191">
        <v>8200</v>
      </c>
    </row>
    <row r="1192" spans="2:8">
      <c r="B1192" t="s">
        <v>463</v>
      </c>
      <c r="C1192" t="s">
        <v>359</v>
      </c>
      <c r="D1192">
        <v>4687</v>
      </c>
      <c r="E1192">
        <v>4690</v>
      </c>
      <c r="F1192">
        <v>4686</v>
      </c>
      <c r="G1192">
        <v>4690</v>
      </c>
      <c r="H1192">
        <v>18200</v>
      </c>
    </row>
    <row r="1193" spans="2:8">
      <c r="B1193" t="s">
        <v>463</v>
      </c>
      <c r="C1193" t="s">
        <v>360</v>
      </c>
      <c r="D1193">
        <v>4690</v>
      </c>
      <c r="E1193">
        <v>4690</v>
      </c>
      <c r="F1193">
        <v>4689</v>
      </c>
      <c r="G1193">
        <v>4690</v>
      </c>
      <c r="H1193">
        <v>5500</v>
      </c>
    </row>
    <row r="1194" spans="2:8">
      <c r="B1194" t="s">
        <v>463</v>
      </c>
      <c r="C1194" t="s">
        <v>361</v>
      </c>
      <c r="D1194">
        <v>4689</v>
      </c>
      <c r="E1194">
        <v>4689</v>
      </c>
      <c r="F1194">
        <v>4686</v>
      </c>
      <c r="G1194">
        <v>4686</v>
      </c>
      <c r="H1194">
        <v>12100</v>
      </c>
    </row>
    <row r="1195" spans="2:8">
      <c r="B1195" t="s">
        <v>463</v>
      </c>
      <c r="C1195" t="s">
        <v>362</v>
      </c>
      <c r="D1195">
        <v>4686</v>
      </c>
      <c r="E1195">
        <v>4689</v>
      </c>
      <c r="F1195">
        <v>4685</v>
      </c>
      <c r="G1195">
        <v>4688</v>
      </c>
      <c r="H1195">
        <v>36400</v>
      </c>
    </row>
    <row r="1196" spans="2:8">
      <c r="B1196" t="s">
        <v>463</v>
      </c>
      <c r="C1196" t="s">
        <v>363</v>
      </c>
      <c r="D1196">
        <v>4689</v>
      </c>
      <c r="E1196">
        <v>4690</v>
      </c>
      <c r="F1196">
        <v>4688</v>
      </c>
      <c r="G1196">
        <v>4690</v>
      </c>
      <c r="H1196">
        <v>4800</v>
      </c>
    </row>
    <row r="1197" spans="2:8">
      <c r="B1197" t="s">
        <v>463</v>
      </c>
      <c r="C1197" t="s">
        <v>364</v>
      </c>
      <c r="D1197">
        <v>4688</v>
      </c>
      <c r="E1197">
        <v>4689</v>
      </c>
      <c r="F1197">
        <v>4686</v>
      </c>
      <c r="G1197">
        <v>4686</v>
      </c>
      <c r="H1197">
        <v>14100</v>
      </c>
    </row>
    <row r="1198" spans="2:8">
      <c r="B1198" t="s">
        <v>463</v>
      </c>
      <c r="C1198" t="s">
        <v>365</v>
      </c>
      <c r="D1198">
        <v>4686</v>
      </c>
      <c r="E1198">
        <v>4687</v>
      </c>
      <c r="F1198">
        <v>4685</v>
      </c>
      <c r="G1198">
        <v>4685</v>
      </c>
      <c r="H1198">
        <v>13700</v>
      </c>
    </row>
    <row r="1199" spans="2:8">
      <c r="B1199" t="s">
        <v>463</v>
      </c>
      <c r="C1199" t="s">
        <v>366</v>
      </c>
      <c r="D1199">
        <v>4684</v>
      </c>
      <c r="E1199">
        <v>4686</v>
      </c>
      <c r="F1199">
        <v>4684</v>
      </c>
      <c r="G1199">
        <v>4684</v>
      </c>
      <c r="H1199">
        <v>4700</v>
      </c>
    </row>
    <row r="1200" spans="2:8">
      <c r="B1200" t="s">
        <v>463</v>
      </c>
      <c r="C1200" t="s">
        <v>367</v>
      </c>
      <c r="D1200">
        <v>4685</v>
      </c>
      <c r="E1200">
        <v>4686</v>
      </c>
      <c r="F1200">
        <v>4683</v>
      </c>
      <c r="G1200">
        <v>4685</v>
      </c>
      <c r="H1200">
        <v>6500</v>
      </c>
    </row>
    <row r="1201" spans="2:8">
      <c r="B1201" t="s">
        <v>463</v>
      </c>
      <c r="C1201" t="s">
        <v>368</v>
      </c>
      <c r="D1201">
        <v>4685</v>
      </c>
      <c r="E1201">
        <v>4685</v>
      </c>
      <c r="F1201">
        <v>4685</v>
      </c>
      <c r="G1201">
        <v>4685</v>
      </c>
      <c r="H1201">
        <v>4300</v>
      </c>
    </row>
    <row r="1202" spans="2:8">
      <c r="B1202" t="s">
        <v>463</v>
      </c>
      <c r="C1202" t="s">
        <v>369</v>
      </c>
      <c r="D1202">
        <v>4684</v>
      </c>
      <c r="E1202">
        <v>4684</v>
      </c>
      <c r="F1202">
        <v>4682</v>
      </c>
      <c r="G1202">
        <v>4682</v>
      </c>
      <c r="H1202">
        <v>11400</v>
      </c>
    </row>
    <row r="1203" spans="2:8">
      <c r="B1203" t="s">
        <v>463</v>
      </c>
      <c r="C1203" t="s">
        <v>370</v>
      </c>
      <c r="D1203">
        <v>4683</v>
      </c>
      <c r="E1203">
        <v>4686</v>
      </c>
      <c r="F1203">
        <v>4683</v>
      </c>
      <c r="G1203">
        <v>4685</v>
      </c>
      <c r="H1203">
        <v>14500</v>
      </c>
    </row>
    <row r="1204" spans="2:8">
      <c r="B1204" t="s">
        <v>463</v>
      </c>
      <c r="C1204" t="s">
        <v>371</v>
      </c>
      <c r="D1204">
        <v>4685</v>
      </c>
      <c r="E1204">
        <v>4688</v>
      </c>
      <c r="F1204">
        <v>4685</v>
      </c>
      <c r="G1204">
        <v>4686</v>
      </c>
      <c r="H1204">
        <v>9900</v>
      </c>
    </row>
    <row r="1205" spans="2:8">
      <c r="B1205" t="s">
        <v>463</v>
      </c>
      <c r="C1205" t="s">
        <v>372</v>
      </c>
      <c r="D1205">
        <v>4686</v>
      </c>
      <c r="E1205">
        <v>4686</v>
      </c>
      <c r="F1205">
        <v>4684</v>
      </c>
      <c r="G1205">
        <v>4685</v>
      </c>
      <c r="H1205">
        <v>6700</v>
      </c>
    </row>
    <row r="1206" spans="2:8">
      <c r="B1206" t="s">
        <v>463</v>
      </c>
      <c r="C1206" t="s">
        <v>373</v>
      </c>
      <c r="D1206">
        <v>4684</v>
      </c>
      <c r="E1206">
        <v>4685</v>
      </c>
      <c r="F1206">
        <v>4682</v>
      </c>
      <c r="G1206">
        <v>4682</v>
      </c>
      <c r="H1206">
        <v>5700</v>
      </c>
    </row>
    <row r="1207" spans="2:8">
      <c r="B1207" t="s">
        <v>463</v>
      </c>
      <c r="C1207" t="s">
        <v>374</v>
      </c>
      <c r="D1207">
        <v>4682</v>
      </c>
      <c r="E1207">
        <v>4683</v>
      </c>
      <c r="F1207">
        <v>4681</v>
      </c>
      <c r="G1207">
        <v>4683</v>
      </c>
      <c r="H1207">
        <v>11900</v>
      </c>
    </row>
    <row r="1208" spans="2:8">
      <c r="B1208" t="s">
        <v>463</v>
      </c>
      <c r="C1208" t="s">
        <v>375</v>
      </c>
      <c r="D1208">
        <v>4682</v>
      </c>
      <c r="E1208">
        <v>4683</v>
      </c>
      <c r="F1208">
        <v>4680</v>
      </c>
      <c r="G1208">
        <v>4681</v>
      </c>
      <c r="H1208">
        <v>14700</v>
      </c>
    </row>
    <row r="1209" spans="2:8">
      <c r="B1209" t="s">
        <v>463</v>
      </c>
      <c r="C1209" t="s">
        <v>376</v>
      </c>
      <c r="D1209">
        <v>4681</v>
      </c>
      <c r="E1209">
        <v>4681</v>
      </c>
      <c r="F1209">
        <v>4677</v>
      </c>
      <c r="G1209">
        <v>4677</v>
      </c>
      <c r="H1209">
        <v>21500</v>
      </c>
    </row>
    <row r="1210" spans="2:8">
      <c r="B1210" t="s">
        <v>463</v>
      </c>
      <c r="C1210" t="s">
        <v>377</v>
      </c>
      <c r="D1210">
        <v>4677</v>
      </c>
      <c r="E1210">
        <v>4678</v>
      </c>
      <c r="F1210">
        <v>4675</v>
      </c>
      <c r="G1210">
        <v>4678</v>
      </c>
      <c r="H1210">
        <v>14100</v>
      </c>
    </row>
    <row r="1211" spans="2:8">
      <c r="B1211" t="s">
        <v>463</v>
      </c>
      <c r="C1211" t="s">
        <v>378</v>
      </c>
      <c r="D1211">
        <v>4678</v>
      </c>
      <c r="E1211">
        <v>4680</v>
      </c>
      <c r="F1211">
        <v>4677</v>
      </c>
      <c r="G1211">
        <v>4680</v>
      </c>
      <c r="H1211">
        <v>16500</v>
      </c>
    </row>
    <row r="1212" spans="2:8">
      <c r="B1212" t="s">
        <v>463</v>
      </c>
      <c r="C1212" t="s">
        <v>379</v>
      </c>
      <c r="D1212">
        <v>4681</v>
      </c>
      <c r="E1212">
        <v>4681</v>
      </c>
      <c r="F1212">
        <v>4679</v>
      </c>
      <c r="G1212">
        <v>4679</v>
      </c>
      <c r="H1212">
        <v>7000</v>
      </c>
    </row>
    <row r="1213" spans="2:8">
      <c r="B1213" t="s">
        <v>463</v>
      </c>
      <c r="C1213" t="s">
        <v>380</v>
      </c>
      <c r="D1213">
        <v>4680</v>
      </c>
      <c r="E1213">
        <v>4681</v>
      </c>
      <c r="F1213">
        <v>4678</v>
      </c>
      <c r="G1213">
        <v>4679</v>
      </c>
      <c r="H1213">
        <v>9900</v>
      </c>
    </row>
    <row r="1214" spans="2:8">
      <c r="B1214" t="s">
        <v>463</v>
      </c>
      <c r="C1214" t="s">
        <v>381</v>
      </c>
      <c r="D1214">
        <v>4679</v>
      </c>
      <c r="E1214">
        <v>4681</v>
      </c>
      <c r="F1214">
        <v>4679</v>
      </c>
      <c r="G1214">
        <v>4681</v>
      </c>
      <c r="H1214">
        <v>12700</v>
      </c>
    </row>
    <row r="1215" spans="2:8">
      <c r="B1215" t="s">
        <v>463</v>
      </c>
      <c r="C1215" t="s">
        <v>382</v>
      </c>
      <c r="D1215">
        <v>4681</v>
      </c>
      <c r="E1215">
        <v>4682</v>
      </c>
      <c r="F1215">
        <v>4680</v>
      </c>
      <c r="G1215">
        <v>4681</v>
      </c>
      <c r="H1215">
        <v>4700</v>
      </c>
    </row>
    <row r="1216" spans="2:8">
      <c r="B1216" t="s">
        <v>463</v>
      </c>
      <c r="C1216" t="s">
        <v>383</v>
      </c>
      <c r="D1216">
        <v>4681</v>
      </c>
      <c r="E1216">
        <v>4681</v>
      </c>
      <c r="F1216">
        <v>4678</v>
      </c>
      <c r="G1216">
        <v>4680</v>
      </c>
      <c r="H1216">
        <v>8300</v>
      </c>
    </row>
    <row r="1217" spans="2:8">
      <c r="B1217" t="s">
        <v>463</v>
      </c>
      <c r="C1217" t="s">
        <v>384</v>
      </c>
      <c r="D1217">
        <v>4679</v>
      </c>
      <c r="E1217">
        <v>4680</v>
      </c>
      <c r="F1217">
        <v>4676</v>
      </c>
      <c r="G1217">
        <v>4676</v>
      </c>
      <c r="H1217">
        <v>11100</v>
      </c>
    </row>
    <row r="1218" spans="2:8">
      <c r="B1218" t="s">
        <v>463</v>
      </c>
      <c r="C1218" t="s">
        <v>385</v>
      </c>
      <c r="D1218">
        <v>4677</v>
      </c>
      <c r="E1218">
        <v>4677</v>
      </c>
      <c r="F1218">
        <v>4676</v>
      </c>
      <c r="G1218">
        <v>4676</v>
      </c>
      <c r="H1218">
        <v>5100</v>
      </c>
    </row>
    <row r="1219" spans="2:8">
      <c r="B1219" t="s">
        <v>463</v>
      </c>
      <c r="C1219" t="s">
        <v>386</v>
      </c>
      <c r="D1219">
        <v>4675</v>
      </c>
      <c r="E1219">
        <v>4677</v>
      </c>
      <c r="F1219">
        <v>4675</v>
      </c>
      <c r="G1219">
        <v>4677</v>
      </c>
      <c r="H1219">
        <v>3100</v>
      </c>
    </row>
    <row r="1220" spans="2:8">
      <c r="B1220" t="s">
        <v>463</v>
      </c>
      <c r="C1220" t="s">
        <v>387</v>
      </c>
      <c r="D1220">
        <v>4676</v>
      </c>
      <c r="E1220">
        <v>4677</v>
      </c>
      <c r="F1220">
        <v>4673</v>
      </c>
      <c r="G1220">
        <v>4677</v>
      </c>
      <c r="H1220">
        <v>23000</v>
      </c>
    </row>
    <row r="1221" spans="2:8">
      <c r="B1221" t="s">
        <v>463</v>
      </c>
      <c r="C1221" t="s">
        <v>388</v>
      </c>
      <c r="D1221">
        <v>4676</v>
      </c>
      <c r="E1221">
        <v>4679</v>
      </c>
      <c r="F1221">
        <v>4674</v>
      </c>
      <c r="G1221">
        <v>4678</v>
      </c>
      <c r="H1221">
        <v>16000</v>
      </c>
    </row>
    <row r="1222" spans="2:8">
      <c r="B1222" t="s">
        <v>463</v>
      </c>
      <c r="C1222" t="s">
        <v>389</v>
      </c>
      <c r="D1222">
        <v>4678</v>
      </c>
      <c r="E1222">
        <v>4679</v>
      </c>
      <c r="F1222">
        <v>4677</v>
      </c>
      <c r="G1222">
        <v>4679</v>
      </c>
      <c r="H1222">
        <v>8700</v>
      </c>
    </row>
    <row r="1223" spans="2:8">
      <c r="B1223" t="s">
        <v>463</v>
      </c>
      <c r="C1223" t="s">
        <v>390</v>
      </c>
      <c r="D1223">
        <v>4678</v>
      </c>
      <c r="E1223">
        <v>4680</v>
      </c>
      <c r="F1223">
        <v>4678</v>
      </c>
      <c r="G1223">
        <v>4679</v>
      </c>
      <c r="H1223">
        <v>9300</v>
      </c>
    </row>
    <row r="1224" spans="2:8">
      <c r="B1224" t="s">
        <v>463</v>
      </c>
      <c r="C1224" t="s">
        <v>391</v>
      </c>
      <c r="D1224">
        <v>4680</v>
      </c>
      <c r="E1224">
        <v>4680</v>
      </c>
      <c r="F1224">
        <v>4674</v>
      </c>
      <c r="G1224">
        <v>4677</v>
      </c>
      <c r="H1224">
        <v>24300</v>
      </c>
    </row>
    <row r="1225" spans="2:8">
      <c r="B1225" t="s">
        <v>463</v>
      </c>
      <c r="C1225" t="s">
        <v>392</v>
      </c>
      <c r="D1225">
        <v>4677</v>
      </c>
      <c r="E1225">
        <v>4679</v>
      </c>
      <c r="F1225">
        <v>4677</v>
      </c>
      <c r="G1225">
        <v>4679</v>
      </c>
      <c r="H1225">
        <v>6200</v>
      </c>
    </row>
    <row r="1226" spans="2:8">
      <c r="B1226" t="s">
        <v>463</v>
      </c>
      <c r="C1226" t="s">
        <v>393</v>
      </c>
      <c r="D1226">
        <v>4678</v>
      </c>
      <c r="E1226">
        <v>4680</v>
      </c>
      <c r="F1226">
        <v>4678</v>
      </c>
      <c r="G1226">
        <v>4680</v>
      </c>
      <c r="H1226">
        <v>2500</v>
      </c>
    </row>
    <row r="1227" spans="2:8">
      <c r="B1227" t="s">
        <v>463</v>
      </c>
      <c r="C1227" t="s">
        <v>394</v>
      </c>
      <c r="D1227">
        <v>4679</v>
      </c>
      <c r="E1227">
        <v>4679</v>
      </c>
      <c r="F1227">
        <v>4677</v>
      </c>
      <c r="G1227">
        <v>4677</v>
      </c>
      <c r="H1227">
        <v>6000</v>
      </c>
    </row>
    <row r="1228" spans="2:8">
      <c r="B1228" t="s">
        <v>463</v>
      </c>
      <c r="C1228" t="s">
        <v>395</v>
      </c>
      <c r="D1228">
        <v>4677</v>
      </c>
      <c r="E1228">
        <v>4680</v>
      </c>
      <c r="F1228">
        <v>4677</v>
      </c>
      <c r="G1228">
        <v>4678</v>
      </c>
      <c r="H1228">
        <v>7900</v>
      </c>
    </row>
    <row r="1229" spans="2:8">
      <c r="B1229" t="s">
        <v>463</v>
      </c>
      <c r="C1229" t="s">
        <v>396</v>
      </c>
      <c r="D1229">
        <v>4679</v>
      </c>
      <c r="E1229">
        <v>4680</v>
      </c>
      <c r="F1229">
        <v>4678</v>
      </c>
      <c r="G1229">
        <v>4679</v>
      </c>
      <c r="H1229">
        <v>9400</v>
      </c>
    </row>
    <row r="1230" spans="2:8">
      <c r="B1230" t="s">
        <v>463</v>
      </c>
      <c r="C1230" t="s">
        <v>397</v>
      </c>
      <c r="D1230">
        <v>4680</v>
      </c>
      <c r="E1230">
        <v>4681</v>
      </c>
      <c r="F1230">
        <v>4678</v>
      </c>
      <c r="G1230">
        <v>4678</v>
      </c>
      <c r="H1230">
        <v>7200</v>
      </c>
    </row>
    <row r="1231" spans="2:8">
      <c r="B1231" t="s">
        <v>463</v>
      </c>
      <c r="C1231" t="s">
        <v>398</v>
      </c>
      <c r="D1231">
        <v>4678</v>
      </c>
      <c r="E1231">
        <v>4678</v>
      </c>
      <c r="F1231">
        <v>4676</v>
      </c>
      <c r="G1231">
        <v>4676</v>
      </c>
      <c r="H1231">
        <v>3500</v>
      </c>
    </row>
    <row r="1232" spans="2:8">
      <c r="B1232" t="s">
        <v>463</v>
      </c>
      <c r="C1232" t="s">
        <v>399</v>
      </c>
      <c r="D1232">
        <v>4676</v>
      </c>
      <c r="E1232">
        <v>4677</v>
      </c>
      <c r="F1232">
        <v>4676</v>
      </c>
      <c r="G1232">
        <v>4677</v>
      </c>
      <c r="H1232">
        <v>6800</v>
      </c>
    </row>
    <row r="1233" spans="2:8">
      <c r="B1233" t="s">
        <v>463</v>
      </c>
      <c r="C1233" t="s">
        <v>400</v>
      </c>
      <c r="D1233">
        <v>4676</v>
      </c>
      <c r="E1233">
        <v>4678</v>
      </c>
      <c r="F1233">
        <v>4676</v>
      </c>
      <c r="G1233">
        <v>4676</v>
      </c>
      <c r="H1233">
        <v>4200</v>
      </c>
    </row>
    <row r="1234" spans="2:8">
      <c r="B1234" t="s">
        <v>463</v>
      </c>
      <c r="C1234" t="s">
        <v>401</v>
      </c>
      <c r="D1234">
        <v>4676</v>
      </c>
      <c r="E1234">
        <v>4677</v>
      </c>
      <c r="F1234">
        <v>4675</v>
      </c>
      <c r="G1234">
        <v>4675</v>
      </c>
      <c r="H1234">
        <v>10300</v>
      </c>
    </row>
    <row r="1235" spans="2:8">
      <c r="B1235" t="s">
        <v>463</v>
      </c>
      <c r="C1235" t="s">
        <v>402</v>
      </c>
      <c r="D1235">
        <v>4675</v>
      </c>
      <c r="E1235">
        <v>4677</v>
      </c>
      <c r="F1235">
        <v>4674</v>
      </c>
      <c r="G1235">
        <v>4677</v>
      </c>
      <c r="H1235">
        <v>9900</v>
      </c>
    </row>
    <row r="1236" spans="2:8">
      <c r="B1236" t="s">
        <v>463</v>
      </c>
      <c r="C1236" t="s">
        <v>403</v>
      </c>
      <c r="D1236">
        <v>4677</v>
      </c>
      <c r="E1236">
        <v>4679</v>
      </c>
      <c r="F1236">
        <v>4677</v>
      </c>
      <c r="G1236">
        <v>4679</v>
      </c>
      <c r="H1236">
        <v>6500</v>
      </c>
    </row>
    <row r="1237" spans="2:8">
      <c r="B1237" t="s">
        <v>463</v>
      </c>
      <c r="C1237" t="s">
        <v>404</v>
      </c>
      <c r="D1237">
        <v>4679</v>
      </c>
      <c r="E1237">
        <v>4682</v>
      </c>
      <c r="F1237">
        <v>4679</v>
      </c>
      <c r="G1237">
        <v>4682</v>
      </c>
      <c r="H1237">
        <v>13700</v>
      </c>
    </row>
    <row r="1238" spans="2:8">
      <c r="B1238" t="s">
        <v>463</v>
      </c>
      <c r="C1238" t="s">
        <v>405</v>
      </c>
      <c r="D1238">
        <v>4682</v>
      </c>
      <c r="E1238">
        <v>4682</v>
      </c>
      <c r="F1238">
        <v>4681</v>
      </c>
      <c r="G1238">
        <v>4682</v>
      </c>
      <c r="H1238">
        <v>11800</v>
      </c>
    </row>
    <row r="1239" spans="2:8">
      <c r="B1239" t="s">
        <v>463</v>
      </c>
      <c r="C1239" t="s">
        <v>406</v>
      </c>
      <c r="D1239">
        <v>4683</v>
      </c>
      <c r="E1239">
        <v>4684</v>
      </c>
      <c r="F1239">
        <v>4682</v>
      </c>
      <c r="G1239">
        <v>4684</v>
      </c>
      <c r="H1239">
        <v>12400</v>
      </c>
    </row>
    <row r="1240" spans="2:8">
      <c r="B1240" t="s">
        <v>463</v>
      </c>
      <c r="C1240" t="s">
        <v>407</v>
      </c>
      <c r="D1240">
        <v>4684</v>
      </c>
      <c r="E1240">
        <v>4684</v>
      </c>
      <c r="F1240">
        <v>4679</v>
      </c>
      <c r="G1240">
        <v>4680</v>
      </c>
      <c r="H1240">
        <v>20600</v>
      </c>
    </row>
    <row r="1241" spans="2:8">
      <c r="B1241" t="s">
        <v>463</v>
      </c>
      <c r="C1241" t="s">
        <v>408</v>
      </c>
      <c r="D1241">
        <v>4680</v>
      </c>
      <c r="E1241">
        <v>4680</v>
      </c>
      <c r="F1241">
        <v>4677</v>
      </c>
      <c r="G1241">
        <v>4678</v>
      </c>
      <c r="H1241">
        <v>8500</v>
      </c>
    </row>
    <row r="1242" spans="2:8">
      <c r="B1242" t="s">
        <v>463</v>
      </c>
      <c r="C1242" t="s">
        <v>409</v>
      </c>
      <c r="D1242">
        <v>4678</v>
      </c>
      <c r="E1242">
        <v>4681</v>
      </c>
      <c r="F1242">
        <v>4678</v>
      </c>
      <c r="G1242">
        <v>4681</v>
      </c>
      <c r="H1242">
        <v>12100</v>
      </c>
    </row>
    <row r="1243" spans="2:8">
      <c r="B1243" t="s">
        <v>463</v>
      </c>
      <c r="C1243" t="s">
        <v>410</v>
      </c>
      <c r="D1243">
        <v>4679</v>
      </c>
      <c r="E1243">
        <v>4682</v>
      </c>
      <c r="F1243">
        <v>4679</v>
      </c>
      <c r="G1243">
        <v>4682</v>
      </c>
      <c r="H1243">
        <v>8200</v>
      </c>
    </row>
    <row r="1244" spans="2:8">
      <c r="B1244" t="s">
        <v>463</v>
      </c>
      <c r="C1244" t="s">
        <v>411</v>
      </c>
      <c r="D1244">
        <v>4683</v>
      </c>
      <c r="E1244">
        <v>4687</v>
      </c>
      <c r="F1244">
        <v>4682</v>
      </c>
      <c r="G1244">
        <v>4686</v>
      </c>
      <c r="H1244">
        <v>27500</v>
      </c>
    </row>
    <row r="1245" spans="2:8">
      <c r="B1245" t="s">
        <v>463</v>
      </c>
      <c r="C1245" t="s">
        <v>412</v>
      </c>
      <c r="D1245">
        <v>4685</v>
      </c>
      <c r="E1245">
        <v>4685</v>
      </c>
      <c r="F1245">
        <v>4684</v>
      </c>
      <c r="G1245">
        <v>4685</v>
      </c>
      <c r="H1245">
        <v>4700</v>
      </c>
    </row>
    <row r="1246" spans="2:8">
      <c r="B1246" t="s">
        <v>463</v>
      </c>
      <c r="C1246" t="s">
        <v>413</v>
      </c>
      <c r="D1246">
        <v>4685</v>
      </c>
      <c r="E1246">
        <v>4685</v>
      </c>
      <c r="F1246">
        <v>4683</v>
      </c>
      <c r="G1246">
        <v>4684</v>
      </c>
      <c r="H1246">
        <v>11700</v>
      </c>
    </row>
    <row r="1247" spans="2:8">
      <c r="B1247" t="s">
        <v>463</v>
      </c>
      <c r="C1247" t="s">
        <v>414</v>
      </c>
      <c r="D1247">
        <v>4685</v>
      </c>
      <c r="E1247">
        <v>4686</v>
      </c>
      <c r="F1247">
        <v>4684</v>
      </c>
      <c r="G1247">
        <v>4684</v>
      </c>
      <c r="H1247">
        <v>10900</v>
      </c>
    </row>
    <row r="1248" spans="2:8">
      <c r="B1248" t="s">
        <v>463</v>
      </c>
      <c r="C1248" t="s">
        <v>415</v>
      </c>
      <c r="D1248">
        <v>4684</v>
      </c>
      <c r="E1248">
        <v>4684</v>
      </c>
      <c r="F1248">
        <v>4682</v>
      </c>
      <c r="G1248">
        <v>4683</v>
      </c>
      <c r="H1248">
        <v>10100</v>
      </c>
    </row>
    <row r="1249" spans="2:8">
      <c r="B1249" t="s">
        <v>463</v>
      </c>
      <c r="C1249" t="s">
        <v>416</v>
      </c>
      <c r="D1249">
        <v>4684</v>
      </c>
      <c r="E1249">
        <v>4684</v>
      </c>
      <c r="F1249">
        <v>4682</v>
      </c>
      <c r="G1249">
        <v>4683</v>
      </c>
      <c r="H1249">
        <v>4900</v>
      </c>
    </row>
    <row r="1250" spans="2:8">
      <c r="B1250" t="s">
        <v>463</v>
      </c>
      <c r="C1250" t="s">
        <v>417</v>
      </c>
      <c r="D1250">
        <v>4683</v>
      </c>
      <c r="E1250">
        <v>4686</v>
      </c>
      <c r="F1250">
        <v>4683</v>
      </c>
      <c r="G1250">
        <v>4685</v>
      </c>
      <c r="H1250">
        <v>19000</v>
      </c>
    </row>
    <row r="1251" spans="2:8">
      <c r="B1251" t="s">
        <v>463</v>
      </c>
      <c r="C1251" t="s">
        <v>418</v>
      </c>
      <c r="D1251">
        <v>4685</v>
      </c>
      <c r="E1251">
        <v>4685</v>
      </c>
      <c r="F1251">
        <v>4680</v>
      </c>
      <c r="G1251">
        <v>4683</v>
      </c>
      <c r="H1251">
        <v>22500</v>
      </c>
    </row>
    <row r="1252" spans="2:8">
      <c r="B1252" t="s">
        <v>463</v>
      </c>
      <c r="C1252" t="s">
        <v>419</v>
      </c>
      <c r="D1252">
        <v>4683</v>
      </c>
      <c r="E1252">
        <v>4684</v>
      </c>
      <c r="F1252">
        <v>4682</v>
      </c>
      <c r="G1252">
        <v>4684</v>
      </c>
      <c r="H1252">
        <v>9200</v>
      </c>
    </row>
    <row r="1253" spans="2:8">
      <c r="B1253" t="s">
        <v>463</v>
      </c>
      <c r="C1253" t="s">
        <v>420</v>
      </c>
      <c r="D1253">
        <v>4684</v>
      </c>
      <c r="E1253">
        <v>4687</v>
      </c>
      <c r="F1253">
        <v>4684</v>
      </c>
      <c r="G1253">
        <v>4687</v>
      </c>
      <c r="H1253">
        <v>15900</v>
      </c>
    </row>
    <row r="1254" spans="2:8">
      <c r="B1254" t="s">
        <v>463</v>
      </c>
      <c r="C1254" t="s">
        <v>421</v>
      </c>
      <c r="D1254">
        <v>4687</v>
      </c>
      <c r="E1254">
        <v>4687</v>
      </c>
      <c r="F1254">
        <v>4685</v>
      </c>
      <c r="G1254">
        <v>4685</v>
      </c>
      <c r="H1254">
        <v>11000</v>
      </c>
    </row>
    <row r="1255" spans="2:8">
      <c r="B1255" t="s">
        <v>463</v>
      </c>
      <c r="C1255" t="s">
        <v>422</v>
      </c>
      <c r="D1255">
        <v>4685</v>
      </c>
      <c r="E1255">
        <v>4685</v>
      </c>
      <c r="F1255">
        <v>4684</v>
      </c>
      <c r="G1255">
        <v>4685</v>
      </c>
      <c r="H1255">
        <v>12200</v>
      </c>
    </row>
    <row r="1256" spans="2:8">
      <c r="B1256" t="s">
        <v>463</v>
      </c>
      <c r="C1256" t="s">
        <v>423</v>
      </c>
      <c r="D1256">
        <v>4686</v>
      </c>
      <c r="E1256">
        <v>4686</v>
      </c>
      <c r="F1256">
        <v>4683</v>
      </c>
      <c r="G1256">
        <v>4685</v>
      </c>
      <c r="H1256">
        <v>10500</v>
      </c>
    </row>
    <row r="1257" spans="2:8">
      <c r="B1257" t="s">
        <v>463</v>
      </c>
      <c r="C1257" t="s">
        <v>424</v>
      </c>
      <c r="D1257">
        <v>4685</v>
      </c>
      <c r="E1257">
        <v>4685</v>
      </c>
      <c r="F1257">
        <v>4682</v>
      </c>
      <c r="G1257">
        <v>4682</v>
      </c>
      <c r="H1257">
        <v>10500</v>
      </c>
    </row>
    <row r="1258" spans="2:8">
      <c r="B1258" t="s">
        <v>463</v>
      </c>
      <c r="C1258" t="s">
        <v>425</v>
      </c>
      <c r="D1258">
        <v>4683</v>
      </c>
      <c r="E1258">
        <v>4683</v>
      </c>
      <c r="F1258">
        <v>4682</v>
      </c>
      <c r="G1258">
        <v>4682</v>
      </c>
      <c r="H1258">
        <v>10600</v>
      </c>
    </row>
    <row r="1259" spans="2:8">
      <c r="B1259" t="s">
        <v>463</v>
      </c>
      <c r="C1259" t="s">
        <v>426</v>
      </c>
      <c r="D1259">
        <v>4683</v>
      </c>
      <c r="E1259">
        <v>4683</v>
      </c>
      <c r="F1259">
        <v>4677</v>
      </c>
      <c r="G1259">
        <v>4679</v>
      </c>
      <c r="H1259">
        <v>25200</v>
      </c>
    </row>
    <row r="1260" spans="2:8">
      <c r="B1260" t="s">
        <v>463</v>
      </c>
      <c r="C1260" t="s">
        <v>427</v>
      </c>
      <c r="D1260">
        <v>4679</v>
      </c>
      <c r="E1260">
        <v>4680</v>
      </c>
      <c r="F1260">
        <v>4678</v>
      </c>
      <c r="G1260">
        <v>4678</v>
      </c>
      <c r="H1260">
        <v>12300</v>
      </c>
    </row>
    <row r="1261" spans="2:8">
      <c r="B1261" t="s">
        <v>463</v>
      </c>
      <c r="C1261" t="s">
        <v>428</v>
      </c>
      <c r="D1261">
        <v>4678</v>
      </c>
      <c r="E1261">
        <v>4678</v>
      </c>
      <c r="F1261">
        <v>4672</v>
      </c>
      <c r="G1261">
        <v>4673</v>
      </c>
      <c r="H1261">
        <v>29500</v>
      </c>
    </row>
    <row r="1262" spans="2:8">
      <c r="B1262" t="s">
        <v>463</v>
      </c>
      <c r="C1262" t="s">
        <v>429</v>
      </c>
      <c r="D1262">
        <v>4673</v>
      </c>
      <c r="E1262">
        <v>4674</v>
      </c>
      <c r="F1262">
        <v>4670</v>
      </c>
      <c r="G1262">
        <v>4672</v>
      </c>
      <c r="H1262">
        <v>17400</v>
      </c>
    </row>
    <row r="1263" spans="2:8">
      <c r="B1263" t="s">
        <v>463</v>
      </c>
      <c r="C1263" t="s">
        <v>430</v>
      </c>
      <c r="D1263">
        <v>4671</v>
      </c>
      <c r="E1263">
        <v>4674</v>
      </c>
      <c r="F1263">
        <v>4670</v>
      </c>
      <c r="G1263">
        <v>4674</v>
      </c>
      <c r="H1263">
        <v>9100</v>
      </c>
    </row>
    <row r="1264" spans="2:8">
      <c r="B1264" t="s">
        <v>463</v>
      </c>
      <c r="C1264" t="s">
        <v>431</v>
      </c>
      <c r="D1264">
        <v>4673</v>
      </c>
      <c r="E1264">
        <v>4674</v>
      </c>
      <c r="F1264">
        <v>4673</v>
      </c>
      <c r="G1264">
        <v>4674</v>
      </c>
      <c r="H1264">
        <v>5100</v>
      </c>
    </row>
    <row r="1265" spans="2:8">
      <c r="B1265" t="s">
        <v>463</v>
      </c>
      <c r="C1265" t="s">
        <v>9</v>
      </c>
      <c r="D1265">
        <v>4673</v>
      </c>
      <c r="E1265">
        <v>4675</v>
      </c>
      <c r="F1265">
        <v>4668</v>
      </c>
      <c r="G1265">
        <v>4669</v>
      </c>
      <c r="H1265">
        <v>27800</v>
      </c>
    </row>
    <row r="1266" spans="2:8">
      <c r="B1266" t="s">
        <v>463</v>
      </c>
      <c r="C1266" t="s">
        <v>10</v>
      </c>
      <c r="D1266">
        <v>4669</v>
      </c>
      <c r="E1266">
        <v>4672</v>
      </c>
      <c r="F1266">
        <v>4669</v>
      </c>
      <c r="G1266">
        <v>4672</v>
      </c>
      <c r="H1266">
        <v>11100</v>
      </c>
    </row>
    <row r="1267" spans="2:8">
      <c r="B1267" t="s">
        <v>463</v>
      </c>
      <c r="C1267" t="s">
        <v>11</v>
      </c>
      <c r="D1267">
        <v>4672</v>
      </c>
      <c r="E1267">
        <v>4673</v>
      </c>
      <c r="F1267">
        <v>4670</v>
      </c>
      <c r="G1267">
        <v>4672</v>
      </c>
      <c r="H1267">
        <v>16700</v>
      </c>
    </row>
    <row r="1268" spans="2:8">
      <c r="B1268" t="s">
        <v>463</v>
      </c>
      <c r="C1268" t="s">
        <v>12</v>
      </c>
      <c r="D1268">
        <v>4672</v>
      </c>
      <c r="E1268">
        <v>4673</v>
      </c>
      <c r="F1268">
        <v>4672</v>
      </c>
      <c r="G1268">
        <v>4672</v>
      </c>
      <c r="H1268">
        <v>800</v>
      </c>
    </row>
    <row r="1269" spans="2:8">
      <c r="B1269" t="s">
        <v>463</v>
      </c>
      <c r="C1269" t="s">
        <v>13</v>
      </c>
      <c r="D1269">
        <v>4672</v>
      </c>
      <c r="E1269">
        <v>4674</v>
      </c>
      <c r="F1269">
        <v>4672</v>
      </c>
      <c r="G1269">
        <v>4674</v>
      </c>
      <c r="H1269">
        <v>12700</v>
      </c>
    </row>
    <row r="1270" spans="2:8">
      <c r="B1270" t="s">
        <v>463</v>
      </c>
      <c r="C1270" t="s">
        <v>14</v>
      </c>
      <c r="D1270">
        <v>4673</v>
      </c>
      <c r="E1270">
        <v>4673</v>
      </c>
      <c r="F1270">
        <v>4667</v>
      </c>
      <c r="G1270">
        <v>4669</v>
      </c>
      <c r="H1270">
        <v>26200</v>
      </c>
    </row>
    <row r="1271" spans="2:8">
      <c r="B1271" t="s">
        <v>463</v>
      </c>
      <c r="C1271" t="s">
        <v>15</v>
      </c>
      <c r="D1271">
        <v>4669</v>
      </c>
      <c r="E1271">
        <v>4669</v>
      </c>
      <c r="F1271">
        <v>4668</v>
      </c>
      <c r="G1271">
        <v>4668</v>
      </c>
      <c r="H1271">
        <v>8200</v>
      </c>
    </row>
    <row r="1272" spans="2:8">
      <c r="B1272" t="s">
        <v>463</v>
      </c>
      <c r="C1272" t="s">
        <v>16</v>
      </c>
      <c r="D1272">
        <v>4668</v>
      </c>
      <c r="E1272">
        <v>4669</v>
      </c>
      <c r="F1272">
        <v>4666</v>
      </c>
      <c r="G1272">
        <v>4667</v>
      </c>
      <c r="H1272">
        <v>21200</v>
      </c>
    </row>
    <row r="1273" spans="2:8">
      <c r="B1273" t="s">
        <v>463</v>
      </c>
      <c r="C1273" t="s">
        <v>17</v>
      </c>
      <c r="D1273">
        <v>4666</v>
      </c>
      <c r="E1273">
        <v>4670</v>
      </c>
      <c r="F1273">
        <v>4666</v>
      </c>
      <c r="G1273">
        <v>4670</v>
      </c>
      <c r="H1273">
        <v>18900</v>
      </c>
    </row>
    <row r="1274" spans="2:8">
      <c r="B1274" t="s">
        <v>463</v>
      </c>
      <c r="C1274" t="s">
        <v>18</v>
      </c>
      <c r="D1274">
        <v>4670</v>
      </c>
      <c r="E1274">
        <v>4670</v>
      </c>
      <c r="F1274">
        <v>4668</v>
      </c>
      <c r="G1274">
        <v>4668</v>
      </c>
      <c r="H1274">
        <v>12800</v>
      </c>
    </row>
    <row r="1275" spans="2:8">
      <c r="B1275" t="s">
        <v>463</v>
      </c>
      <c r="C1275" t="s">
        <v>19</v>
      </c>
      <c r="D1275">
        <v>4667</v>
      </c>
      <c r="E1275">
        <v>4671</v>
      </c>
      <c r="F1275">
        <v>4666</v>
      </c>
      <c r="G1275">
        <v>4670</v>
      </c>
      <c r="H1275">
        <v>24600</v>
      </c>
    </row>
    <row r="1276" spans="2:8">
      <c r="B1276" t="s">
        <v>463</v>
      </c>
      <c r="C1276" t="s">
        <v>20</v>
      </c>
      <c r="D1276">
        <v>4670</v>
      </c>
      <c r="E1276">
        <v>4670</v>
      </c>
      <c r="F1276">
        <v>4669</v>
      </c>
      <c r="G1276">
        <v>4669</v>
      </c>
      <c r="H1276">
        <v>7700</v>
      </c>
    </row>
    <row r="1277" spans="2:8">
      <c r="B1277" t="s">
        <v>463</v>
      </c>
      <c r="C1277" t="s">
        <v>21</v>
      </c>
      <c r="D1277">
        <v>4669</v>
      </c>
      <c r="E1277">
        <v>4675</v>
      </c>
      <c r="F1277">
        <v>4668</v>
      </c>
      <c r="G1277">
        <v>4672</v>
      </c>
      <c r="H1277">
        <v>28900</v>
      </c>
    </row>
    <row r="1278" spans="2:8">
      <c r="B1278" t="s">
        <v>463</v>
      </c>
      <c r="C1278" t="s">
        <v>22</v>
      </c>
      <c r="D1278">
        <v>4673</v>
      </c>
      <c r="E1278">
        <v>4674</v>
      </c>
      <c r="F1278">
        <v>4672</v>
      </c>
      <c r="G1278">
        <v>4672</v>
      </c>
      <c r="H1278">
        <v>11800</v>
      </c>
    </row>
    <row r="1279" spans="2:8">
      <c r="B1279" t="s">
        <v>463</v>
      </c>
      <c r="C1279" t="s">
        <v>23</v>
      </c>
      <c r="D1279">
        <v>4672</v>
      </c>
      <c r="E1279">
        <v>4677</v>
      </c>
      <c r="F1279">
        <v>4671</v>
      </c>
      <c r="G1279">
        <v>4676</v>
      </c>
      <c r="H1279">
        <v>19600</v>
      </c>
    </row>
    <row r="1280" spans="2:8">
      <c r="B1280" t="s">
        <v>463</v>
      </c>
      <c r="C1280" t="s">
        <v>24</v>
      </c>
      <c r="D1280">
        <v>4677</v>
      </c>
      <c r="E1280">
        <v>4677</v>
      </c>
      <c r="F1280">
        <v>4675</v>
      </c>
      <c r="G1280">
        <v>4675</v>
      </c>
      <c r="H1280">
        <v>8400</v>
      </c>
    </row>
    <row r="1281" spans="2:8">
      <c r="B1281" t="s">
        <v>463</v>
      </c>
      <c r="C1281" t="s">
        <v>25</v>
      </c>
      <c r="D1281">
        <v>4675</v>
      </c>
      <c r="E1281">
        <v>4678</v>
      </c>
      <c r="F1281">
        <v>4675</v>
      </c>
      <c r="G1281">
        <v>4677</v>
      </c>
      <c r="H1281">
        <v>6100</v>
      </c>
    </row>
    <row r="1282" spans="2:8">
      <c r="B1282" t="s">
        <v>463</v>
      </c>
      <c r="C1282" t="s">
        <v>26</v>
      </c>
      <c r="D1282">
        <v>4677</v>
      </c>
      <c r="E1282">
        <v>4677</v>
      </c>
      <c r="F1282">
        <v>4674</v>
      </c>
      <c r="G1282">
        <v>4675</v>
      </c>
      <c r="H1282">
        <v>15000</v>
      </c>
    </row>
    <row r="1283" spans="2:8">
      <c r="B1283" t="s">
        <v>463</v>
      </c>
      <c r="C1283" t="s">
        <v>27</v>
      </c>
      <c r="D1283">
        <v>4675</v>
      </c>
      <c r="E1283">
        <v>4675</v>
      </c>
      <c r="F1283">
        <v>4673</v>
      </c>
      <c r="G1283">
        <v>4674</v>
      </c>
      <c r="H1283">
        <v>4800</v>
      </c>
    </row>
    <row r="1284" spans="2:8">
      <c r="B1284" t="s">
        <v>463</v>
      </c>
      <c r="C1284" t="s">
        <v>28</v>
      </c>
      <c r="D1284">
        <v>4673</v>
      </c>
      <c r="E1284">
        <v>4673</v>
      </c>
      <c r="F1284">
        <v>4671</v>
      </c>
      <c r="G1284">
        <v>4673</v>
      </c>
      <c r="H1284">
        <v>8900</v>
      </c>
    </row>
    <row r="1285" spans="2:8">
      <c r="B1285" t="s">
        <v>463</v>
      </c>
      <c r="C1285" t="s">
        <v>29</v>
      </c>
      <c r="D1285">
        <v>4673</v>
      </c>
      <c r="E1285">
        <v>4673</v>
      </c>
      <c r="F1285">
        <v>4672</v>
      </c>
      <c r="G1285">
        <v>4673</v>
      </c>
      <c r="H1285">
        <v>9600</v>
      </c>
    </row>
    <row r="1286" spans="2:8">
      <c r="B1286" t="s">
        <v>463</v>
      </c>
      <c r="C1286" t="s">
        <v>30</v>
      </c>
      <c r="D1286">
        <v>4672</v>
      </c>
      <c r="E1286">
        <v>4674</v>
      </c>
      <c r="F1286">
        <v>4672</v>
      </c>
      <c r="G1286">
        <v>4673</v>
      </c>
      <c r="H1286">
        <v>11600</v>
      </c>
    </row>
    <row r="1287" spans="2:8">
      <c r="B1287" t="s">
        <v>463</v>
      </c>
      <c r="C1287" t="s">
        <v>31</v>
      </c>
      <c r="D1287">
        <v>4672</v>
      </c>
      <c r="E1287">
        <v>4674</v>
      </c>
      <c r="F1287">
        <v>4672</v>
      </c>
      <c r="G1287">
        <v>4674</v>
      </c>
      <c r="H1287">
        <v>4000</v>
      </c>
    </row>
    <row r="1288" spans="2:8">
      <c r="B1288" t="s">
        <v>463</v>
      </c>
      <c r="C1288" t="s">
        <v>32</v>
      </c>
      <c r="D1288">
        <v>4673</v>
      </c>
      <c r="E1288">
        <v>4677</v>
      </c>
      <c r="F1288">
        <v>4673</v>
      </c>
      <c r="G1288">
        <v>4676</v>
      </c>
      <c r="H1288">
        <v>16300</v>
      </c>
    </row>
    <row r="1289" spans="2:8">
      <c r="B1289" t="s">
        <v>463</v>
      </c>
      <c r="C1289" t="s">
        <v>33</v>
      </c>
      <c r="D1289">
        <v>4676</v>
      </c>
      <c r="E1289">
        <v>4677</v>
      </c>
      <c r="F1289">
        <v>4676</v>
      </c>
      <c r="G1289">
        <v>4676</v>
      </c>
      <c r="H1289">
        <v>15000</v>
      </c>
    </row>
    <row r="1290" spans="2:8">
      <c r="B1290" t="s">
        <v>463</v>
      </c>
      <c r="C1290" t="s">
        <v>34</v>
      </c>
      <c r="D1290">
        <v>4676</v>
      </c>
      <c r="E1290">
        <v>4677</v>
      </c>
      <c r="F1290">
        <v>4675</v>
      </c>
      <c r="G1290">
        <v>4677</v>
      </c>
      <c r="H1290">
        <v>7200</v>
      </c>
    </row>
    <row r="1291" spans="2:8">
      <c r="B1291" t="s">
        <v>463</v>
      </c>
      <c r="C1291" t="s">
        <v>35</v>
      </c>
      <c r="D1291">
        <v>4676</v>
      </c>
      <c r="E1291">
        <v>4677</v>
      </c>
      <c r="F1291">
        <v>4674</v>
      </c>
      <c r="G1291">
        <v>4674</v>
      </c>
      <c r="H1291">
        <v>8400</v>
      </c>
    </row>
    <row r="1292" spans="2:8">
      <c r="B1292" t="s">
        <v>463</v>
      </c>
      <c r="C1292" t="s">
        <v>36</v>
      </c>
      <c r="D1292">
        <v>4674</v>
      </c>
      <c r="E1292">
        <v>4678</v>
      </c>
      <c r="F1292">
        <v>4674</v>
      </c>
      <c r="G1292">
        <v>4677</v>
      </c>
      <c r="H1292">
        <v>20500</v>
      </c>
    </row>
    <row r="1293" spans="2:8">
      <c r="B1293" t="s">
        <v>463</v>
      </c>
      <c r="C1293" t="s">
        <v>37</v>
      </c>
      <c r="D1293">
        <v>4678</v>
      </c>
      <c r="E1293">
        <v>4682</v>
      </c>
      <c r="F1293">
        <v>4677</v>
      </c>
      <c r="G1293">
        <v>4682</v>
      </c>
      <c r="H1293">
        <v>26800</v>
      </c>
    </row>
    <row r="1294" spans="2:8">
      <c r="B1294" t="s">
        <v>463</v>
      </c>
      <c r="C1294" t="s">
        <v>38</v>
      </c>
      <c r="D1294">
        <v>4682</v>
      </c>
      <c r="E1294">
        <v>4682</v>
      </c>
      <c r="F1294">
        <v>4680</v>
      </c>
      <c r="G1294">
        <v>4680</v>
      </c>
      <c r="H1294">
        <v>9700</v>
      </c>
    </row>
    <row r="1295" spans="2:8">
      <c r="B1295" t="s">
        <v>463</v>
      </c>
      <c r="C1295" t="s">
        <v>39</v>
      </c>
      <c r="D1295">
        <v>4680</v>
      </c>
      <c r="E1295">
        <v>4681</v>
      </c>
      <c r="F1295">
        <v>4680</v>
      </c>
      <c r="G1295">
        <v>4681</v>
      </c>
      <c r="H1295">
        <v>9100</v>
      </c>
    </row>
    <row r="1296" spans="2:8">
      <c r="B1296" t="s">
        <v>463</v>
      </c>
      <c r="C1296" t="s">
        <v>40</v>
      </c>
      <c r="D1296">
        <v>4682</v>
      </c>
      <c r="E1296">
        <v>4684</v>
      </c>
      <c r="F1296">
        <v>4682</v>
      </c>
      <c r="G1296">
        <v>4684</v>
      </c>
      <c r="H1296">
        <v>22900</v>
      </c>
    </row>
    <row r="1297" spans="2:8">
      <c r="B1297" t="s">
        <v>463</v>
      </c>
      <c r="C1297" t="s">
        <v>41</v>
      </c>
      <c r="D1297">
        <v>4684</v>
      </c>
      <c r="E1297">
        <v>4684</v>
      </c>
      <c r="F1297">
        <v>4683</v>
      </c>
      <c r="G1297">
        <v>4683</v>
      </c>
      <c r="H1297">
        <v>9400</v>
      </c>
    </row>
    <row r="1298" spans="2:8">
      <c r="B1298" t="s">
        <v>463</v>
      </c>
      <c r="C1298" t="s">
        <v>42</v>
      </c>
      <c r="D1298">
        <v>4683</v>
      </c>
      <c r="E1298">
        <v>4687</v>
      </c>
      <c r="F1298">
        <v>4683</v>
      </c>
      <c r="G1298">
        <v>4687</v>
      </c>
      <c r="H1298">
        <v>17400</v>
      </c>
    </row>
    <row r="1299" spans="2:8">
      <c r="B1299" t="s">
        <v>463</v>
      </c>
      <c r="C1299" t="s">
        <v>43</v>
      </c>
      <c r="D1299">
        <v>4687</v>
      </c>
      <c r="E1299">
        <v>4687</v>
      </c>
      <c r="F1299">
        <v>4684</v>
      </c>
      <c r="G1299">
        <v>4685</v>
      </c>
      <c r="H1299">
        <v>16300</v>
      </c>
    </row>
    <row r="1300" spans="2:8">
      <c r="B1300" t="s">
        <v>463</v>
      </c>
      <c r="C1300" t="s">
        <v>44</v>
      </c>
      <c r="D1300">
        <v>4685</v>
      </c>
      <c r="E1300">
        <v>4689</v>
      </c>
      <c r="F1300">
        <v>4683</v>
      </c>
      <c r="G1300">
        <v>4689</v>
      </c>
      <c r="H1300">
        <v>27000</v>
      </c>
    </row>
    <row r="1301" spans="2:8">
      <c r="B1301" t="s">
        <v>463</v>
      </c>
      <c r="C1301" t="s">
        <v>45</v>
      </c>
      <c r="D1301">
        <v>4689</v>
      </c>
      <c r="E1301">
        <v>4690</v>
      </c>
      <c r="F1301">
        <v>4688</v>
      </c>
      <c r="G1301">
        <v>4690</v>
      </c>
      <c r="H1301">
        <v>63600</v>
      </c>
    </row>
    <row r="1302" spans="2:8">
      <c r="B1302" t="s">
        <v>463</v>
      </c>
      <c r="C1302" t="s">
        <v>46</v>
      </c>
      <c r="D1302">
        <v>4690</v>
      </c>
      <c r="E1302">
        <v>4690</v>
      </c>
      <c r="F1302">
        <v>4687</v>
      </c>
      <c r="G1302">
        <v>4688</v>
      </c>
      <c r="H1302">
        <v>19300</v>
      </c>
    </row>
    <row r="1303" spans="2:8">
      <c r="B1303" t="s">
        <v>463</v>
      </c>
      <c r="C1303" t="s">
        <v>47</v>
      </c>
      <c r="D1303">
        <v>4688</v>
      </c>
      <c r="E1303">
        <v>4688</v>
      </c>
      <c r="F1303">
        <v>4687</v>
      </c>
      <c r="G1303">
        <v>4687</v>
      </c>
      <c r="H1303">
        <v>6200</v>
      </c>
    </row>
    <row r="1304" spans="2:8">
      <c r="B1304" t="s">
        <v>463</v>
      </c>
      <c r="C1304" t="s">
        <v>48</v>
      </c>
      <c r="D1304">
        <v>4687</v>
      </c>
      <c r="E1304">
        <v>4690</v>
      </c>
      <c r="F1304">
        <v>4686</v>
      </c>
      <c r="G1304">
        <v>4689</v>
      </c>
      <c r="H1304">
        <v>13800</v>
      </c>
    </row>
    <row r="1305" spans="2:8">
      <c r="B1305" t="s">
        <v>463</v>
      </c>
      <c r="C1305" t="s">
        <v>49</v>
      </c>
      <c r="D1305">
        <v>4690</v>
      </c>
      <c r="E1305">
        <v>4691</v>
      </c>
      <c r="F1305">
        <v>4686</v>
      </c>
      <c r="G1305">
        <v>4686</v>
      </c>
      <c r="H1305">
        <v>39600</v>
      </c>
    </row>
    <row r="1306" spans="2:8">
      <c r="B1306" t="s">
        <v>463</v>
      </c>
      <c r="C1306" t="s">
        <v>50</v>
      </c>
      <c r="D1306">
        <v>4686</v>
      </c>
      <c r="E1306">
        <v>4687</v>
      </c>
      <c r="F1306">
        <v>4685</v>
      </c>
      <c r="G1306">
        <v>4686</v>
      </c>
      <c r="H1306">
        <v>14500</v>
      </c>
    </row>
    <row r="1307" spans="2:8">
      <c r="B1307" t="s">
        <v>463</v>
      </c>
      <c r="C1307" t="s">
        <v>51</v>
      </c>
      <c r="D1307">
        <v>4686</v>
      </c>
      <c r="E1307">
        <v>4686</v>
      </c>
      <c r="F1307">
        <v>4683</v>
      </c>
      <c r="G1307">
        <v>4684</v>
      </c>
      <c r="H1307">
        <v>11900</v>
      </c>
    </row>
    <row r="1308" spans="2:8">
      <c r="B1308" t="s">
        <v>463</v>
      </c>
      <c r="C1308" t="s">
        <v>52</v>
      </c>
      <c r="D1308">
        <v>4684</v>
      </c>
      <c r="E1308">
        <v>4686</v>
      </c>
      <c r="F1308">
        <v>4683</v>
      </c>
      <c r="G1308">
        <v>4685</v>
      </c>
      <c r="H1308">
        <v>16300</v>
      </c>
    </row>
    <row r="1309" spans="2:8">
      <c r="B1309" t="s">
        <v>463</v>
      </c>
      <c r="C1309" t="s">
        <v>53</v>
      </c>
      <c r="D1309">
        <v>4686</v>
      </c>
      <c r="E1309">
        <v>4686</v>
      </c>
      <c r="F1309">
        <v>4684</v>
      </c>
      <c r="G1309">
        <v>4686</v>
      </c>
      <c r="H1309">
        <v>13900</v>
      </c>
    </row>
    <row r="1310" spans="2:8">
      <c r="B1310" t="s">
        <v>463</v>
      </c>
      <c r="C1310" t="s">
        <v>54</v>
      </c>
      <c r="D1310">
        <v>4686</v>
      </c>
      <c r="E1310">
        <v>4686</v>
      </c>
      <c r="F1310">
        <v>4680</v>
      </c>
      <c r="G1310">
        <v>4682</v>
      </c>
      <c r="H1310">
        <v>33400</v>
      </c>
    </row>
    <row r="1311" spans="2:8">
      <c r="B1311" t="s">
        <v>463</v>
      </c>
      <c r="C1311" t="s">
        <v>55</v>
      </c>
      <c r="D1311">
        <v>4680</v>
      </c>
      <c r="E1311">
        <v>4684</v>
      </c>
      <c r="F1311">
        <v>4680</v>
      </c>
      <c r="G1311">
        <v>4683</v>
      </c>
      <c r="H1311">
        <v>17200</v>
      </c>
    </row>
    <row r="1312" spans="2:8">
      <c r="B1312" t="s">
        <v>463</v>
      </c>
      <c r="C1312" t="s">
        <v>56</v>
      </c>
      <c r="D1312">
        <v>4683</v>
      </c>
      <c r="E1312">
        <v>4685</v>
      </c>
      <c r="F1312">
        <v>4683</v>
      </c>
      <c r="G1312">
        <v>4685</v>
      </c>
      <c r="H1312">
        <v>8900</v>
      </c>
    </row>
    <row r="1313" spans="2:8">
      <c r="B1313" t="s">
        <v>463</v>
      </c>
      <c r="C1313" t="s">
        <v>57</v>
      </c>
      <c r="D1313">
        <v>4684</v>
      </c>
      <c r="E1313">
        <v>4684</v>
      </c>
      <c r="F1313">
        <v>4682</v>
      </c>
      <c r="G1313">
        <v>4682</v>
      </c>
      <c r="H1313">
        <v>16700</v>
      </c>
    </row>
    <row r="1314" spans="2:8">
      <c r="B1314" t="s">
        <v>463</v>
      </c>
      <c r="C1314" t="s">
        <v>58</v>
      </c>
      <c r="D1314">
        <v>4682</v>
      </c>
      <c r="E1314">
        <v>4683</v>
      </c>
      <c r="F1314">
        <v>4681</v>
      </c>
      <c r="G1314">
        <v>4681</v>
      </c>
      <c r="H1314">
        <v>15000</v>
      </c>
    </row>
    <row r="1315" spans="2:8">
      <c r="B1315" t="s">
        <v>463</v>
      </c>
      <c r="C1315" t="s">
        <v>59</v>
      </c>
      <c r="D1315">
        <v>4683</v>
      </c>
      <c r="E1315">
        <v>4685</v>
      </c>
      <c r="F1315">
        <v>4682</v>
      </c>
      <c r="G1315">
        <v>4685</v>
      </c>
      <c r="H1315">
        <v>17700</v>
      </c>
    </row>
    <row r="1316" spans="2:8">
      <c r="B1316" t="s">
        <v>463</v>
      </c>
      <c r="C1316" t="s">
        <v>60</v>
      </c>
      <c r="D1316">
        <v>4684</v>
      </c>
      <c r="E1316">
        <v>4685</v>
      </c>
      <c r="F1316">
        <v>4684</v>
      </c>
      <c r="G1316">
        <v>4685</v>
      </c>
      <c r="H1316">
        <v>13200</v>
      </c>
    </row>
    <row r="1317" spans="2:8">
      <c r="B1317" t="s">
        <v>463</v>
      </c>
      <c r="C1317" t="s">
        <v>61</v>
      </c>
      <c r="D1317">
        <v>4684</v>
      </c>
      <c r="E1317">
        <v>4689</v>
      </c>
      <c r="F1317">
        <v>4683</v>
      </c>
      <c r="G1317">
        <v>4689</v>
      </c>
      <c r="H1317">
        <v>32700</v>
      </c>
    </row>
    <row r="1318" spans="2:8">
      <c r="B1318" t="s">
        <v>463</v>
      </c>
      <c r="C1318" t="s">
        <v>62</v>
      </c>
      <c r="D1318">
        <v>4688</v>
      </c>
      <c r="E1318">
        <v>4690</v>
      </c>
      <c r="F1318">
        <v>4688</v>
      </c>
      <c r="G1318">
        <v>4690</v>
      </c>
      <c r="H1318">
        <v>13400</v>
      </c>
    </row>
    <row r="1319" spans="2:8">
      <c r="B1319" t="s">
        <v>463</v>
      </c>
      <c r="C1319" t="s">
        <v>63</v>
      </c>
      <c r="D1319">
        <v>4690</v>
      </c>
      <c r="E1319">
        <v>4691</v>
      </c>
      <c r="F1319">
        <v>4687</v>
      </c>
      <c r="G1319">
        <v>4691</v>
      </c>
      <c r="H1319">
        <v>44200</v>
      </c>
    </row>
    <row r="1320" spans="2:8">
      <c r="B1320" t="s">
        <v>463</v>
      </c>
      <c r="C1320" t="s">
        <v>64</v>
      </c>
      <c r="D1320">
        <v>4690</v>
      </c>
      <c r="E1320">
        <v>4691</v>
      </c>
      <c r="F1320">
        <v>4688</v>
      </c>
      <c r="G1320">
        <v>4691</v>
      </c>
      <c r="H1320">
        <v>30300</v>
      </c>
    </row>
    <row r="1321" spans="2:8">
      <c r="B1321" t="s">
        <v>463</v>
      </c>
      <c r="C1321" t="s">
        <v>65</v>
      </c>
      <c r="D1321">
        <v>4691</v>
      </c>
      <c r="E1321">
        <v>4691</v>
      </c>
      <c r="F1321">
        <v>4689</v>
      </c>
      <c r="G1321">
        <v>4691</v>
      </c>
      <c r="H1321">
        <v>40300</v>
      </c>
    </row>
    <row r="1322" spans="2:8">
      <c r="B1322" t="s">
        <v>463</v>
      </c>
      <c r="C1322" t="s">
        <v>66</v>
      </c>
      <c r="D1322">
        <v>4690</v>
      </c>
      <c r="E1322">
        <v>4694</v>
      </c>
      <c r="F1322">
        <v>4687</v>
      </c>
      <c r="G1322">
        <v>4687</v>
      </c>
      <c r="H1322">
        <v>106700</v>
      </c>
    </row>
    <row r="1323" spans="2:8">
      <c r="B1323" t="s">
        <v>463</v>
      </c>
      <c r="C1323" t="s">
        <v>164</v>
      </c>
      <c r="D1323">
        <v>4687</v>
      </c>
      <c r="E1323">
        <v>4690</v>
      </c>
      <c r="F1323">
        <v>4687</v>
      </c>
      <c r="G1323">
        <v>4690</v>
      </c>
      <c r="H1323">
        <v>47700</v>
      </c>
    </row>
    <row r="1324" spans="2:8">
      <c r="B1324" t="s">
        <v>463</v>
      </c>
      <c r="C1324" t="s">
        <v>165</v>
      </c>
      <c r="D1324">
        <v>4690</v>
      </c>
      <c r="E1324">
        <v>4695</v>
      </c>
      <c r="F1324">
        <v>4689</v>
      </c>
      <c r="G1324">
        <v>4695</v>
      </c>
      <c r="H1324">
        <v>83800</v>
      </c>
    </row>
    <row r="1325" spans="2:8">
      <c r="B1325" t="s">
        <v>463</v>
      </c>
      <c r="C1325" t="s">
        <v>67</v>
      </c>
      <c r="D1325" t="s">
        <v>8</v>
      </c>
      <c r="E1325" t="s">
        <v>8</v>
      </c>
      <c r="F1325" t="s">
        <v>8</v>
      </c>
      <c r="G1325" t="s">
        <v>8</v>
      </c>
      <c r="H1325">
        <v>0</v>
      </c>
    </row>
    <row r="1326" spans="2:8">
      <c r="B1326" t="s">
        <v>463</v>
      </c>
      <c r="C1326" t="s">
        <v>68</v>
      </c>
      <c r="D1326" t="s">
        <v>8</v>
      </c>
      <c r="E1326" t="s">
        <v>8</v>
      </c>
      <c r="F1326" t="s">
        <v>8</v>
      </c>
      <c r="G1326" t="s">
        <v>8</v>
      </c>
      <c r="H1326">
        <v>0</v>
      </c>
    </row>
    <row r="1327" spans="2:8">
      <c r="B1327" t="s">
        <v>463</v>
      </c>
      <c r="C1327" t="s">
        <v>69</v>
      </c>
      <c r="D1327" t="s">
        <v>8</v>
      </c>
      <c r="E1327" t="s">
        <v>8</v>
      </c>
      <c r="F1327" t="s">
        <v>8</v>
      </c>
      <c r="G1327" t="s">
        <v>8</v>
      </c>
      <c r="H1327">
        <v>0</v>
      </c>
    </row>
    <row r="1328" spans="2:8">
      <c r="B1328" t="s">
        <v>463</v>
      </c>
      <c r="C1328" t="s">
        <v>70</v>
      </c>
      <c r="D1328" t="s">
        <v>8</v>
      </c>
      <c r="E1328" t="s">
        <v>8</v>
      </c>
      <c r="F1328" t="s">
        <v>8</v>
      </c>
      <c r="G1328" t="s">
        <v>8</v>
      </c>
      <c r="H1328">
        <v>0</v>
      </c>
    </row>
    <row r="1329" spans="2:8">
      <c r="B1329" t="s">
        <v>463</v>
      </c>
      <c r="C1329" t="s">
        <v>71</v>
      </c>
      <c r="D1329" t="s">
        <v>8</v>
      </c>
      <c r="E1329" t="s">
        <v>8</v>
      </c>
      <c r="F1329" t="s">
        <v>8</v>
      </c>
      <c r="G1329" t="s">
        <v>8</v>
      </c>
      <c r="H1329">
        <v>0</v>
      </c>
    </row>
    <row r="1330" spans="2:8">
      <c r="B1330" t="s">
        <v>463</v>
      </c>
      <c r="C1330" t="s">
        <v>72</v>
      </c>
      <c r="D1330">
        <v>4697</v>
      </c>
      <c r="E1330">
        <v>4697</v>
      </c>
      <c r="F1330">
        <v>4697</v>
      </c>
      <c r="G1330">
        <v>4697</v>
      </c>
      <c r="H1330">
        <v>3400000</v>
      </c>
    </row>
    <row r="1331" spans="2:8">
      <c r="B1331" t="s">
        <v>587</v>
      </c>
      <c r="C1331" t="s">
        <v>166</v>
      </c>
      <c r="D1331" t="s">
        <v>8</v>
      </c>
      <c r="E1331" t="s">
        <v>8</v>
      </c>
      <c r="F1331" t="s">
        <v>8</v>
      </c>
      <c r="G1331" t="s">
        <v>8</v>
      </c>
      <c r="H1331">
        <v>0</v>
      </c>
    </row>
    <row r="1332" spans="2:8">
      <c r="B1332" t="s">
        <v>587</v>
      </c>
      <c r="C1332" t="s">
        <v>167</v>
      </c>
      <c r="D1332" t="s">
        <v>8</v>
      </c>
      <c r="E1332" t="s">
        <v>8</v>
      </c>
      <c r="F1332" t="s">
        <v>8</v>
      </c>
      <c r="G1332" t="s">
        <v>8</v>
      </c>
      <c r="H1332">
        <v>0</v>
      </c>
    </row>
    <row r="1333" spans="2:8">
      <c r="B1333" t="s">
        <v>587</v>
      </c>
      <c r="C1333" t="s">
        <v>168</v>
      </c>
      <c r="D1333" t="s">
        <v>8</v>
      </c>
      <c r="E1333" t="s">
        <v>8</v>
      </c>
      <c r="F1333" t="s">
        <v>8</v>
      </c>
      <c r="G1333" t="s">
        <v>8</v>
      </c>
      <c r="H1333">
        <v>0</v>
      </c>
    </row>
    <row r="1334" spans="2:8">
      <c r="B1334" t="s">
        <v>587</v>
      </c>
      <c r="C1334" t="s">
        <v>169</v>
      </c>
      <c r="D1334" t="s">
        <v>8</v>
      </c>
      <c r="E1334" t="s">
        <v>8</v>
      </c>
      <c r="F1334" t="s">
        <v>8</v>
      </c>
      <c r="G1334" t="s">
        <v>8</v>
      </c>
      <c r="H1334">
        <v>0</v>
      </c>
    </row>
    <row r="1335" spans="2:8">
      <c r="B1335" t="s">
        <v>587</v>
      </c>
      <c r="C1335" t="s">
        <v>170</v>
      </c>
      <c r="D1335" t="s">
        <v>8</v>
      </c>
      <c r="E1335" t="s">
        <v>8</v>
      </c>
      <c r="F1335" t="s">
        <v>8</v>
      </c>
      <c r="G1335" t="s">
        <v>8</v>
      </c>
      <c r="H1335">
        <v>0</v>
      </c>
    </row>
    <row r="1336" spans="2:8">
      <c r="B1336" t="s">
        <v>587</v>
      </c>
      <c r="C1336" t="s">
        <v>171</v>
      </c>
      <c r="D1336" t="s">
        <v>8</v>
      </c>
      <c r="E1336" t="s">
        <v>8</v>
      </c>
      <c r="F1336" t="s">
        <v>8</v>
      </c>
      <c r="G1336" t="s">
        <v>8</v>
      </c>
      <c r="H1336">
        <v>0</v>
      </c>
    </row>
    <row r="1337" spans="2:8">
      <c r="B1337" t="s">
        <v>587</v>
      </c>
      <c r="C1337" t="s">
        <v>172</v>
      </c>
      <c r="D1337" t="s">
        <v>8</v>
      </c>
      <c r="E1337" t="s">
        <v>8</v>
      </c>
      <c r="F1337" t="s">
        <v>8</v>
      </c>
      <c r="G1337" t="s">
        <v>8</v>
      </c>
      <c r="H1337">
        <v>0</v>
      </c>
    </row>
    <row r="1338" spans="2:8">
      <c r="B1338" t="s">
        <v>587</v>
      </c>
      <c r="C1338" t="s">
        <v>173</v>
      </c>
      <c r="D1338" t="s">
        <v>8</v>
      </c>
      <c r="E1338" t="s">
        <v>8</v>
      </c>
      <c r="F1338" t="s">
        <v>8</v>
      </c>
      <c r="G1338" t="s">
        <v>8</v>
      </c>
      <c r="H1338">
        <v>0</v>
      </c>
    </row>
    <row r="1339" spans="2:8">
      <c r="B1339" t="s">
        <v>587</v>
      </c>
      <c r="C1339" t="s">
        <v>174</v>
      </c>
      <c r="D1339" t="s">
        <v>8</v>
      </c>
      <c r="E1339" t="s">
        <v>8</v>
      </c>
      <c r="F1339" t="s">
        <v>8</v>
      </c>
      <c r="G1339" t="s">
        <v>8</v>
      </c>
      <c r="H1339">
        <v>0</v>
      </c>
    </row>
    <row r="1340" spans="2:8">
      <c r="B1340" t="s">
        <v>587</v>
      </c>
      <c r="C1340" t="s">
        <v>175</v>
      </c>
      <c r="D1340" t="s">
        <v>8</v>
      </c>
      <c r="E1340" t="s">
        <v>8</v>
      </c>
      <c r="F1340" t="s">
        <v>8</v>
      </c>
      <c r="G1340" t="s">
        <v>8</v>
      </c>
      <c r="H1340">
        <v>0</v>
      </c>
    </row>
    <row r="1341" spans="2:8">
      <c r="B1341" t="s">
        <v>587</v>
      </c>
      <c r="C1341" t="s">
        <v>176</v>
      </c>
      <c r="D1341" t="s">
        <v>8</v>
      </c>
      <c r="E1341" t="s">
        <v>8</v>
      </c>
      <c r="F1341" t="s">
        <v>8</v>
      </c>
      <c r="G1341" t="s">
        <v>8</v>
      </c>
      <c r="H1341">
        <v>0</v>
      </c>
    </row>
    <row r="1342" spans="2:8">
      <c r="B1342" t="s">
        <v>587</v>
      </c>
      <c r="C1342" t="s">
        <v>177</v>
      </c>
      <c r="D1342" t="s">
        <v>8</v>
      </c>
      <c r="E1342" t="s">
        <v>8</v>
      </c>
      <c r="F1342" t="s">
        <v>8</v>
      </c>
      <c r="G1342" t="s">
        <v>8</v>
      </c>
      <c r="H1342">
        <v>0</v>
      </c>
    </row>
    <row r="1343" spans="2:8">
      <c r="B1343" t="s">
        <v>587</v>
      </c>
      <c r="C1343" t="s">
        <v>178</v>
      </c>
      <c r="D1343">
        <v>4368</v>
      </c>
      <c r="E1343">
        <v>4378</v>
      </c>
      <c r="F1343">
        <v>4301</v>
      </c>
      <c r="G1343">
        <v>4337</v>
      </c>
      <c r="H1343">
        <v>3433100</v>
      </c>
    </row>
    <row r="1344" spans="2:8">
      <c r="B1344" t="s">
        <v>587</v>
      </c>
      <c r="C1344" t="s">
        <v>179</v>
      </c>
      <c r="D1344">
        <v>4337</v>
      </c>
      <c r="E1344">
        <v>4368</v>
      </c>
      <c r="F1344">
        <v>4324</v>
      </c>
      <c r="G1344">
        <v>4363</v>
      </c>
      <c r="H1344">
        <v>447300</v>
      </c>
    </row>
    <row r="1345" spans="2:8">
      <c r="B1345" t="s">
        <v>587</v>
      </c>
      <c r="C1345" t="s">
        <v>180</v>
      </c>
      <c r="D1345">
        <v>4363</v>
      </c>
      <c r="E1345">
        <v>4374</v>
      </c>
      <c r="F1345">
        <v>4345</v>
      </c>
      <c r="G1345">
        <v>4359</v>
      </c>
      <c r="H1345">
        <v>447800</v>
      </c>
    </row>
    <row r="1346" spans="2:8">
      <c r="B1346" t="s">
        <v>587</v>
      </c>
      <c r="C1346" t="s">
        <v>181</v>
      </c>
      <c r="D1346">
        <v>4360</v>
      </c>
      <c r="E1346">
        <v>4365</v>
      </c>
      <c r="F1346">
        <v>4323</v>
      </c>
      <c r="G1346">
        <v>4331</v>
      </c>
      <c r="H1346">
        <v>488000</v>
      </c>
    </row>
    <row r="1347" spans="2:8">
      <c r="B1347" t="s">
        <v>587</v>
      </c>
      <c r="C1347" t="s">
        <v>182</v>
      </c>
      <c r="D1347">
        <v>4331</v>
      </c>
      <c r="E1347">
        <v>4348</v>
      </c>
      <c r="F1347">
        <v>4319</v>
      </c>
      <c r="G1347">
        <v>4338</v>
      </c>
      <c r="H1347">
        <v>331600</v>
      </c>
    </row>
    <row r="1348" spans="2:8">
      <c r="B1348" t="s">
        <v>587</v>
      </c>
      <c r="C1348" t="s">
        <v>183</v>
      </c>
      <c r="D1348">
        <v>4339</v>
      </c>
      <c r="E1348">
        <v>4342</v>
      </c>
      <c r="F1348">
        <v>4326</v>
      </c>
      <c r="G1348">
        <v>4331</v>
      </c>
      <c r="H1348">
        <v>225600</v>
      </c>
    </row>
    <row r="1349" spans="2:8">
      <c r="B1349" t="s">
        <v>587</v>
      </c>
      <c r="C1349" t="s">
        <v>184</v>
      </c>
      <c r="D1349">
        <v>4330</v>
      </c>
      <c r="E1349">
        <v>4343</v>
      </c>
      <c r="F1349">
        <v>4315</v>
      </c>
      <c r="G1349">
        <v>4319</v>
      </c>
      <c r="H1349">
        <v>391100</v>
      </c>
    </row>
    <row r="1350" spans="2:8">
      <c r="B1350" t="s">
        <v>587</v>
      </c>
      <c r="C1350" t="s">
        <v>185</v>
      </c>
      <c r="D1350">
        <v>4319</v>
      </c>
      <c r="E1350">
        <v>4342</v>
      </c>
      <c r="F1350">
        <v>4305</v>
      </c>
      <c r="G1350">
        <v>4336</v>
      </c>
      <c r="H1350">
        <v>438600</v>
      </c>
    </row>
    <row r="1351" spans="2:8">
      <c r="B1351" t="s">
        <v>587</v>
      </c>
      <c r="C1351" t="s">
        <v>186</v>
      </c>
      <c r="D1351">
        <v>4336</v>
      </c>
      <c r="E1351">
        <v>4336</v>
      </c>
      <c r="F1351">
        <v>4326</v>
      </c>
      <c r="G1351">
        <v>4329</v>
      </c>
      <c r="H1351">
        <v>178600</v>
      </c>
    </row>
    <row r="1352" spans="2:8">
      <c r="B1352" t="s">
        <v>587</v>
      </c>
      <c r="C1352" t="s">
        <v>187</v>
      </c>
      <c r="D1352">
        <v>4330</v>
      </c>
      <c r="E1352">
        <v>4340</v>
      </c>
      <c r="F1352">
        <v>4327</v>
      </c>
      <c r="G1352">
        <v>4337</v>
      </c>
      <c r="H1352">
        <v>165700</v>
      </c>
    </row>
    <row r="1353" spans="2:8">
      <c r="B1353" t="s">
        <v>587</v>
      </c>
      <c r="C1353" t="s">
        <v>188</v>
      </c>
      <c r="D1353">
        <v>4337</v>
      </c>
      <c r="E1353">
        <v>4337</v>
      </c>
      <c r="F1353">
        <v>4321</v>
      </c>
      <c r="G1353">
        <v>4327</v>
      </c>
      <c r="H1353">
        <v>236600</v>
      </c>
    </row>
    <row r="1354" spans="2:8">
      <c r="B1354" t="s">
        <v>587</v>
      </c>
      <c r="C1354" t="s">
        <v>189</v>
      </c>
      <c r="D1354">
        <v>4326</v>
      </c>
      <c r="E1354">
        <v>4344</v>
      </c>
      <c r="F1354">
        <v>4323</v>
      </c>
      <c r="G1354">
        <v>4339</v>
      </c>
      <c r="H1354">
        <v>174200</v>
      </c>
    </row>
    <row r="1355" spans="2:8">
      <c r="B1355" t="s">
        <v>587</v>
      </c>
      <c r="C1355" t="s">
        <v>190</v>
      </c>
      <c r="D1355">
        <v>4338</v>
      </c>
      <c r="E1355">
        <v>4340</v>
      </c>
      <c r="F1355">
        <v>4322</v>
      </c>
      <c r="G1355">
        <v>4326</v>
      </c>
      <c r="H1355">
        <v>206600</v>
      </c>
    </row>
    <row r="1356" spans="2:8">
      <c r="B1356" t="s">
        <v>587</v>
      </c>
      <c r="C1356" t="s">
        <v>191</v>
      </c>
      <c r="D1356">
        <v>4327</v>
      </c>
      <c r="E1356">
        <v>4327</v>
      </c>
      <c r="F1356">
        <v>4308</v>
      </c>
      <c r="G1356">
        <v>4311</v>
      </c>
      <c r="H1356">
        <v>352300</v>
      </c>
    </row>
    <row r="1357" spans="2:8">
      <c r="B1357" t="s">
        <v>587</v>
      </c>
      <c r="C1357" t="s">
        <v>192</v>
      </c>
      <c r="D1357">
        <v>4312</v>
      </c>
      <c r="E1357">
        <v>4313</v>
      </c>
      <c r="F1357">
        <v>4286</v>
      </c>
      <c r="G1357">
        <v>4289</v>
      </c>
      <c r="H1357">
        <v>575400</v>
      </c>
    </row>
    <row r="1358" spans="2:8">
      <c r="B1358" t="s">
        <v>587</v>
      </c>
      <c r="C1358" t="s">
        <v>193</v>
      </c>
      <c r="D1358">
        <v>4289</v>
      </c>
      <c r="E1358">
        <v>4293</v>
      </c>
      <c r="F1358">
        <v>4280</v>
      </c>
      <c r="G1358">
        <v>4286</v>
      </c>
      <c r="H1358">
        <v>191700</v>
      </c>
    </row>
    <row r="1359" spans="2:8">
      <c r="B1359" t="s">
        <v>587</v>
      </c>
      <c r="C1359" t="s">
        <v>194</v>
      </c>
      <c r="D1359">
        <v>4287</v>
      </c>
      <c r="E1359">
        <v>4299</v>
      </c>
      <c r="F1359">
        <v>4284</v>
      </c>
      <c r="G1359">
        <v>4289</v>
      </c>
      <c r="H1359">
        <v>123800</v>
      </c>
    </row>
    <row r="1360" spans="2:8">
      <c r="B1360" t="s">
        <v>587</v>
      </c>
      <c r="C1360" t="s">
        <v>195</v>
      </c>
      <c r="D1360">
        <v>4291</v>
      </c>
      <c r="E1360">
        <v>4298</v>
      </c>
      <c r="F1360">
        <v>4284</v>
      </c>
      <c r="G1360">
        <v>4293</v>
      </c>
      <c r="H1360">
        <v>125500</v>
      </c>
    </row>
    <row r="1361" spans="2:8">
      <c r="B1361" t="s">
        <v>587</v>
      </c>
      <c r="C1361" t="s">
        <v>196</v>
      </c>
      <c r="D1361">
        <v>4293</v>
      </c>
      <c r="E1361">
        <v>4295</v>
      </c>
      <c r="F1361">
        <v>4285</v>
      </c>
      <c r="G1361">
        <v>4288</v>
      </c>
      <c r="H1361">
        <v>160100</v>
      </c>
    </row>
    <row r="1362" spans="2:8">
      <c r="B1362" t="s">
        <v>587</v>
      </c>
      <c r="C1362" t="s">
        <v>197</v>
      </c>
      <c r="D1362">
        <v>4288</v>
      </c>
      <c r="E1362">
        <v>4297</v>
      </c>
      <c r="F1362">
        <v>4283</v>
      </c>
      <c r="G1362">
        <v>4291</v>
      </c>
      <c r="H1362">
        <v>149000</v>
      </c>
    </row>
    <row r="1363" spans="2:8">
      <c r="B1363" t="s">
        <v>587</v>
      </c>
      <c r="C1363" t="s">
        <v>198</v>
      </c>
      <c r="D1363">
        <v>4291</v>
      </c>
      <c r="E1363">
        <v>4297</v>
      </c>
      <c r="F1363">
        <v>4290</v>
      </c>
      <c r="G1363">
        <v>4294</v>
      </c>
      <c r="H1363">
        <v>86000</v>
      </c>
    </row>
    <row r="1364" spans="2:8">
      <c r="B1364" t="s">
        <v>587</v>
      </c>
      <c r="C1364" t="s">
        <v>199</v>
      </c>
      <c r="D1364">
        <v>4294</v>
      </c>
      <c r="E1364">
        <v>4308</v>
      </c>
      <c r="F1364">
        <v>4294</v>
      </c>
      <c r="G1364">
        <v>4306</v>
      </c>
      <c r="H1364">
        <v>139300</v>
      </c>
    </row>
    <row r="1365" spans="2:8">
      <c r="B1365" t="s">
        <v>587</v>
      </c>
      <c r="C1365" t="s">
        <v>200</v>
      </c>
      <c r="D1365">
        <v>4307</v>
      </c>
      <c r="E1365">
        <v>4310</v>
      </c>
      <c r="F1365">
        <v>4298</v>
      </c>
      <c r="G1365">
        <v>4300</v>
      </c>
      <c r="H1365">
        <v>200900</v>
      </c>
    </row>
    <row r="1366" spans="2:8">
      <c r="B1366" t="s">
        <v>587</v>
      </c>
      <c r="C1366" t="s">
        <v>201</v>
      </c>
      <c r="D1366">
        <v>4300</v>
      </c>
      <c r="E1366">
        <v>4307</v>
      </c>
      <c r="F1366">
        <v>4292</v>
      </c>
      <c r="G1366">
        <v>4305</v>
      </c>
      <c r="H1366">
        <v>157600</v>
      </c>
    </row>
    <row r="1367" spans="2:8">
      <c r="B1367" t="s">
        <v>587</v>
      </c>
      <c r="C1367" t="s">
        <v>202</v>
      </c>
      <c r="D1367">
        <v>4305</v>
      </c>
      <c r="E1367">
        <v>4308</v>
      </c>
      <c r="F1367">
        <v>4302</v>
      </c>
      <c r="G1367">
        <v>4306</v>
      </c>
      <c r="H1367">
        <v>90000</v>
      </c>
    </row>
    <row r="1368" spans="2:8">
      <c r="B1368" t="s">
        <v>587</v>
      </c>
      <c r="C1368" t="s">
        <v>203</v>
      </c>
      <c r="D1368">
        <v>4306</v>
      </c>
      <c r="E1368">
        <v>4310</v>
      </c>
      <c r="F1368">
        <v>4298</v>
      </c>
      <c r="G1368">
        <v>4299</v>
      </c>
      <c r="H1368">
        <v>157200</v>
      </c>
    </row>
    <row r="1369" spans="2:8">
      <c r="B1369" t="s">
        <v>587</v>
      </c>
      <c r="C1369" t="s">
        <v>204</v>
      </c>
      <c r="D1369">
        <v>4298</v>
      </c>
      <c r="E1369">
        <v>4309</v>
      </c>
      <c r="F1369">
        <v>4296</v>
      </c>
      <c r="G1369">
        <v>4307</v>
      </c>
      <c r="H1369">
        <v>143000</v>
      </c>
    </row>
    <row r="1370" spans="2:8">
      <c r="B1370" t="s">
        <v>587</v>
      </c>
      <c r="C1370" t="s">
        <v>205</v>
      </c>
      <c r="D1370">
        <v>4308</v>
      </c>
      <c r="E1370">
        <v>4310</v>
      </c>
      <c r="F1370">
        <v>4301</v>
      </c>
      <c r="G1370">
        <v>4310</v>
      </c>
      <c r="H1370">
        <v>98500</v>
      </c>
    </row>
    <row r="1371" spans="2:8">
      <c r="B1371" t="s">
        <v>587</v>
      </c>
      <c r="C1371" t="s">
        <v>206</v>
      </c>
      <c r="D1371">
        <v>4311</v>
      </c>
      <c r="E1371">
        <v>4315</v>
      </c>
      <c r="F1371">
        <v>4308</v>
      </c>
      <c r="G1371">
        <v>4314</v>
      </c>
      <c r="H1371">
        <v>81200</v>
      </c>
    </row>
    <row r="1372" spans="2:8">
      <c r="B1372" t="s">
        <v>587</v>
      </c>
      <c r="C1372" t="s">
        <v>207</v>
      </c>
      <c r="D1372">
        <v>4314</v>
      </c>
      <c r="E1372">
        <v>4320</v>
      </c>
      <c r="F1372">
        <v>4302</v>
      </c>
      <c r="G1372">
        <v>4307</v>
      </c>
      <c r="H1372">
        <v>165200</v>
      </c>
    </row>
    <row r="1373" spans="2:8">
      <c r="B1373" t="s">
        <v>587</v>
      </c>
      <c r="C1373" t="s">
        <v>208</v>
      </c>
      <c r="D1373">
        <v>4308</v>
      </c>
      <c r="E1373">
        <v>4314</v>
      </c>
      <c r="F1373">
        <v>4305</v>
      </c>
      <c r="G1373">
        <v>4312</v>
      </c>
      <c r="H1373">
        <v>50400</v>
      </c>
    </row>
    <row r="1374" spans="2:8">
      <c r="B1374" t="s">
        <v>587</v>
      </c>
      <c r="C1374" t="s">
        <v>209</v>
      </c>
      <c r="D1374">
        <v>4312</v>
      </c>
      <c r="E1374">
        <v>4319</v>
      </c>
      <c r="F1374">
        <v>4310</v>
      </c>
      <c r="G1374">
        <v>4317</v>
      </c>
      <c r="H1374">
        <v>95200</v>
      </c>
    </row>
    <row r="1375" spans="2:8">
      <c r="B1375" t="s">
        <v>587</v>
      </c>
      <c r="C1375" t="s">
        <v>210</v>
      </c>
      <c r="D1375">
        <v>4317</v>
      </c>
      <c r="E1375">
        <v>4317</v>
      </c>
      <c r="F1375">
        <v>4294</v>
      </c>
      <c r="G1375">
        <v>4294</v>
      </c>
      <c r="H1375">
        <v>322100</v>
      </c>
    </row>
    <row r="1376" spans="2:8">
      <c r="B1376" t="s">
        <v>587</v>
      </c>
      <c r="C1376" t="s">
        <v>211</v>
      </c>
      <c r="D1376">
        <v>4293</v>
      </c>
      <c r="E1376">
        <v>4299</v>
      </c>
      <c r="F1376">
        <v>4292</v>
      </c>
      <c r="G1376">
        <v>4294</v>
      </c>
      <c r="H1376">
        <v>125900</v>
      </c>
    </row>
    <row r="1377" spans="2:8">
      <c r="B1377" t="s">
        <v>587</v>
      </c>
      <c r="C1377" t="s">
        <v>212</v>
      </c>
      <c r="D1377">
        <v>4293</v>
      </c>
      <c r="E1377">
        <v>4294</v>
      </c>
      <c r="F1377">
        <v>4281</v>
      </c>
      <c r="G1377">
        <v>4291</v>
      </c>
      <c r="H1377">
        <v>367700</v>
      </c>
    </row>
    <row r="1378" spans="2:8">
      <c r="B1378" t="s">
        <v>587</v>
      </c>
      <c r="C1378" t="s">
        <v>213</v>
      </c>
      <c r="D1378">
        <v>4291</v>
      </c>
      <c r="E1378">
        <v>4292</v>
      </c>
      <c r="F1378">
        <v>4276</v>
      </c>
      <c r="G1378">
        <v>4276</v>
      </c>
      <c r="H1378">
        <v>388200</v>
      </c>
    </row>
    <row r="1379" spans="2:8">
      <c r="B1379" t="s">
        <v>587</v>
      </c>
      <c r="C1379" t="s">
        <v>214</v>
      </c>
      <c r="D1379">
        <v>4276</v>
      </c>
      <c r="E1379">
        <v>4280</v>
      </c>
      <c r="F1379">
        <v>4272</v>
      </c>
      <c r="G1379">
        <v>4272</v>
      </c>
      <c r="H1379">
        <v>221500</v>
      </c>
    </row>
    <row r="1380" spans="2:8">
      <c r="B1380" t="s">
        <v>587</v>
      </c>
      <c r="C1380" t="s">
        <v>215</v>
      </c>
      <c r="D1380">
        <v>4272</v>
      </c>
      <c r="E1380">
        <v>4278</v>
      </c>
      <c r="F1380">
        <v>4265</v>
      </c>
      <c r="G1380">
        <v>4278</v>
      </c>
      <c r="H1380">
        <v>328000</v>
      </c>
    </row>
    <row r="1381" spans="2:8">
      <c r="B1381" t="s">
        <v>587</v>
      </c>
      <c r="C1381" t="s">
        <v>216</v>
      </c>
      <c r="D1381">
        <v>4278</v>
      </c>
      <c r="E1381">
        <v>4280</v>
      </c>
      <c r="F1381">
        <v>4273</v>
      </c>
      <c r="G1381">
        <v>4278</v>
      </c>
      <c r="H1381">
        <v>72000</v>
      </c>
    </row>
    <row r="1382" spans="2:8">
      <c r="B1382" t="s">
        <v>587</v>
      </c>
      <c r="C1382" t="s">
        <v>217</v>
      </c>
      <c r="D1382">
        <v>4280</v>
      </c>
      <c r="E1382">
        <v>4283</v>
      </c>
      <c r="F1382">
        <v>4278</v>
      </c>
      <c r="G1382">
        <v>4282</v>
      </c>
      <c r="H1382">
        <v>57300</v>
      </c>
    </row>
    <row r="1383" spans="2:8">
      <c r="B1383" t="s">
        <v>587</v>
      </c>
      <c r="C1383" t="s">
        <v>218</v>
      </c>
      <c r="D1383">
        <v>4281</v>
      </c>
      <c r="E1383">
        <v>4282</v>
      </c>
      <c r="F1383">
        <v>4270</v>
      </c>
      <c r="G1383">
        <v>4271</v>
      </c>
      <c r="H1383">
        <v>172600</v>
      </c>
    </row>
    <row r="1384" spans="2:8">
      <c r="B1384" t="s">
        <v>587</v>
      </c>
      <c r="C1384" t="s">
        <v>219</v>
      </c>
      <c r="D1384">
        <v>4271</v>
      </c>
      <c r="E1384">
        <v>4271</v>
      </c>
      <c r="F1384">
        <v>4260</v>
      </c>
      <c r="G1384">
        <v>4268</v>
      </c>
      <c r="H1384">
        <v>220800</v>
      </c>
    </row>
    <row r="1385" spans="2:8">
      <c r="B1385" t="s">
        <v>587</v>
      </c>
      <c r="C1385" t="s">
        <v>220</v>
      </c>
      <c r="D1385">
        <v>4267</v>
      </c>
      <c r="E1385">
        <v>4274</v>
      </c>
      <c r="F1385">
        <v>4267</v>
      </c>
      <c r="G1385">
        <v>4270</v>
      </c>
      <c r="H1385">
        <v>93000</v>
      </c>
    </row>
    <row r="1386" spans="2:8">
      <c r="B1386" t="s">
        <v>587</v>
      </c>
      <c r="C1386" t="s">
        <v>221</v>
      </c>
      <c r="D1386">
        <v>4269</v>
      </c>
      <c r="E1386">
        <v>4274</v>
      </c>
      <c r="F1386">
        <v>4266</v>
      </c>
      <c r="G1386">
        <v>4269</v>
      </c>
      <c r="H1386">
        <v>144000</v>
      </c>
    </row>
    <row r="1387" spans="2:8">
      <c r="B1387" t="s">
        <v>587</v>
      </c>
      <c r="C1387" t="s">
        <v>222</v>
      </c>
      <c r="D1387">
        <v>4270</v>
      </c>
      <c r="E1387">
        <v>4277</v>
      </c>
      <c r="F1387">
        <v>4268</v>
      </c>
      <c r="G1387">
        <v>4277</v>
      </c>
      <c r="H1387">
        <v>88400</v>
      </c>
    </row>
    <row r="1388" spans="2:8">
      <c r="B1388" t="s">
        <v>587</v>
      </c>
      <c r="C1388" t="s">
        <v>223</v>
      </c>
      <c r="D1388">
        <v>4277</v>
      </c>
      <c r="E1388">
        <v>4277</v>
      </c>
      <c r="F1388">
        <v>4262</v>
      </c>
      <c r="G1388">
        <v>4270</v>
      </c>
      <c r="H1388">
        <v>136700</v>
      </c>
    </row>
    <row r="1389" spans="2:8">
      <c r="B1389" t="s">
        <v>587</v>
      </c>
      <c r="C1389" t="s">
        <v>224</v>
      </c>
      <c r="D1389">
        <v>4269</v>
      </c>
      <c r="E1389">
        <v>4278</v>
      </c>
      <c r="F1389">
        <v>4268</v>
      </c>
      <c r="G1389">
        <v>4276</v>
      </c>
      <c r="H1389">
        <v>124600</v>
      </c>
    </row>
    <row r="1390" spans="2:8">
      <c r="B1390" t="s">
        <v>587</v>
      </c>
      <c r="C1390" t="s">
        <v>225</v>
      </c>
      <c r="D1390">
        <v>4276</v>
      </c>
      <c r="E1390">
        <v>4282</v>
      </c>
      <c r="F1390">
        <v>4274</v>
      </c>
      <c r="G1390">
        <v>4274</v>
      </c>
      <c r="H1390">
        <v>141400</v>
      </c>
    </row>
    <row r="1391" spans="2:8">
      <c r="B1391" t="s">
        <v>587</v>
      </c>
      <c r="C1391" t="s">
        <v>226</v>
      </c>
      <c r="D1391">
        <v>4274</v>
      </c>
      <c r="E1391">
        <v>4284</v>
      </c>
      <c r="F1391">
        <v>4271</v>
      </c>
      <c r="G1391">
        <v>4282</v>
      </c>
      <c r="H1391">
        <v>155300</v>
      </c>
    </row>
    <row r="1392" spans="2:8">
      <c r="B1392" t="s">
        <v>587</v>
      </c>
      <c r="C1392" t="s">
        <v>227</v>
      </c>
      <c r="D1392">
        <v>4282</v>
      </c>
      <c r="E1392">
        <v>4284</v>
      </c>
      <c r="F1392">
        <v>4272</v>
      </c>
      <c r="G1392">
        <v>4277</v>
      </c>
      <c r="H1392">
        <v>131500</v>
      </c>
    </row>
    <row r="1393" spans="2:8">
      <c r="B1393" t="s">
        <v>587</v>
      </c>
      <c r="C1393" t="s">
        <v>228</v>
      </c>
      <c r="D1393">
        <v>4278</v>
      </c>
      <c r="E1393">
        <v>4290</v>
      </c>
      <c r="F1393">
        <v>4277</v>
      </c>
      <c r="G1393">
        <v>4290</v>
      </c>
      <c r="H1393">
        <v>136600</v>
      </c>
    </row>
    <row r="1394" spans="2:8">
      <c r="B1394" t="s">
        <v>587</v>
      </c>
      <c r="C1394" t="s">
        <v>229</v>
      </c>
      <c r="D1394">
        <v>4290</v>
      </c>
      <c r="E1394">
        <v>4290</v>
      </c>
      <c r="F1394">
        <v>4283</v>
      </c>
      <c r="G1394">
        <v>4286</v>
      </c>
      <c r="H1394">
        <v>84100</v>
      </c>
    </row>
    <row r="1395" spans="2:8">
      <c r="B1395" t="s">
        <v>587</v>
      </c>
      <c r="C1395" t="s">
        <v>230</v>
      </c>
      <c r="D1395">
        <v>4288</v>
      </c>
      <c r="E1395">
        <v>4289</v>
      </c>
      <c r="F1395">
        <v>4280</v>
      </c>
      <c r="G1395">
        <v>4289</v>
      </c>
      <c r="H1395">
        <v>84800</v>
      </c>
    </row>
    <row r="1396" spans="2:8">
      <c r="B1396" t="s">
        <v>587</v>
      </c>
      <c r="C1396" t="s">
        <v>231</v>
      </c>
      <c r="D1396">
        <v>4289</v>
      </c>
      <c r="E1396">
        <v>4293</v>
      </c>
      <c r="F1396">
        <v>4286</v>
      </c>
      <c r="G1396">
        <v>4291</v>
      </c>
      <c r="H1396">
        <v>61900</v>
      </c>
    </row>
    <row r="1397" spans="2:8">
      <c r="B1397" t="s">
        <v>587</v>
      </c>
      <c r="C1397" t="s">
        <v>232</v>
      </c>
      <c r="D1397">
        <v>4290</v>
      </c>
      <c r="E1397">
        <v>4293</v>
      </c>
      <c r="F1397">
        <v>4287</v>
      </c>
      <c r="G1397">
        <v>4292</v>
      </c>
      <c r="H1397">
        <v>73400</v>
      </c>
    </row>
    <row r="1398" spans="2:8">
      <c r="B1398" t="s">
        <v>587</v>
      </c>
      <c r="C1398" t="s">
        <v>233</v>
      </c>
      <c r="D1398">
        <v>4292</v>
      </c>
      <c r="E1398">
        <v>4297</v>
      </c>
      <c r="F1398">
        <v>4286</v>
      </c>
      <c r="G1398">
        <v>4297</v>
      </c>
      <c r="H1398">
        <v>120700</v>
      </c>
    </row>
    <row r="1399" spans="2:8">
      <c r="B1399" t="s">
        <v>587</v>
      </c>
      <c r="C1399" t="s">
        <v>234</v>
      </c>
      <c r="D1399">
        <v>4297</v>
      </c>
      <c r="E1399">
        <v>4300</v>
      </c>
      <c r="F1399">
        <v>4292</v>
      </c>
      <c r="G1399">
        <v>4293</v>
      </c>
      <c r="H1399">
        <v>121000</v>
      </c>
    </row>
    <row r="1400" spans="2:8">
      <c r="B1400" t="s">
        <v>587</v>
      </c>
      <c r="C1400" t="s">
        <v>235</v>
      </c>
      <c r="D1400">
        <v>4291</v>
      </c>
      <c r="E1400">
        <v>4295</v>
      </c>
      <c r="F1400">
        <v>4287</v>
      </c>
      <c r="G1400">
        <v>4293</v>
      </c>
      <c r="H1400">
        <v>87900</v>
      </c>
    </row>
    <row r="1401" spans="2:8">
      <c r="B1401" t="s">
        <v>587</v>
      </c>
      <c r="C1401" t="s">
        <v>236</v>
      </c>
      <c r="D1401">
        <v>4293</v>
      </c>
      <c r="E1401">
        <v>4293</v>
      </c>
      <c r="F1401">
        <v>4272</v>
      </c>
      <c r="G1401">
        <v>4272</v>
      </c>
      <c r="H1401">
        <v>235100</v>
      </c>
    </row>
    <row r="1402" spans="2:8">
      <c r="B1402" t="s">
        <v>587</v>
      </c>
      <c r="C1402" t="s">
        <v>237</v>
      </c>
      <c r="D1402">
        <v>4271</v>
      </c>
      <c r="E1402">
        <v>4277</v>
      </c>
      <c r="F1402">
        <v>4271</v>
      </c>
      <c r="G1402">
        <v>4277</v>
      </c>
      <c r="H1402">
        <v>46100</v>
      </c>
    </row>
    <row r="1403" spans="2:8">
      <c r="B1403" t="s">
        <v>587</v>
      </c>
      <c r="C1403" t="s">
        <v>238</v>
      </c>
      <c r="D1403">
        <v>4276</v>
      </c>
      <c r="E1403">
        <v>4283</v>
      </c>
      <c r="F1403">
        <v>4271</v>
      </c>
      <c r="G1403">
        <v>4280</v>
      </c>
      <c r="H1403">
        <v>87700</v>
      </c>
    </row>
    <row r="1404" spans="2:8">
      <c r="B1404" t="s">
        <v>587</v>
      </c>
      <c r="C1404" t="s">
        <v>239</v>
      </c>
      <c r="D1404">
        <v>4279</v>
      </c>
      <c r="E1404">
        <v>4284</v>
      </c>
      <c r="F1404">
        <v>4277</v>
      </c>
      <c r="G1404">
        <v>4277</v>
      </c>
      <c r="H1404">
        <v>50100</v>
      </c>
    </row>
    <row r="1405" spans="2:8">
      <c r="B1405" t="s">
        <v>587</v>
      </c>
      <c r="C1405" t="s">
        <v>240</v>
      </c>
      <c r="D1405">
        <v>4278</v>
      </c>
      <c r="E1405">
        <v>4278</v>
      </c>
      <c r="F1405">
        <v>4267</v>
      </c>
      <c r="G1405">
        <v>4270</v>
      </c>
      <c r="H1405">
        <v>232200</v>
      </c>
    </row>
    <row r="1406" spans="2:8">
      <c r="B1406" t="s">
        <v>587</v>
      </c>
      <c r="C1406" t="s">
        <v>241</v>
      </c>
      <c r="D1406">
        <v>4271</v>
      </c>
      <c r="E1406">
        <v>4281</v>
      </c>
      <c r="F1406">
        <v>4267</v>
      </c>
      <c r="G1406">
        <v>4278</v>
      </c>
      <c r="H1406">
        <v>89600</v>
      </c>
    </row>
    <row r="1407" spans="2:8">
      <c r="B1407" t="s">
        <v>587</v>
      </c>
      <c r="C1407" t="s">
        <v>242</v>
      </c>
      <c r="D1407">
        <v>4277</v>
      </c>
      <c r="E1407">
        <v>4279</v>
      </c>
      <c r="F1407">
        <v>4267</v>
      </c>
      <c r="G1407">
        <v>4269</v>
      </c>
      <c r="H1407">
        <v>71800</v>
      </c>
    </row>
    <row r="1408" spans="2:8">
      <c r="B1408" t="s">
        <v>587</v>
      </c>
      <c r="C1408" t="s">
        <v>243</v>
      </c>
      <c r="D1408">
        <v>4269</v>
      </c>
      <c r="E1408">
        <v>4273</v>
      </c>
      <c r="F1408">
        <v>4269</v>
      </c>
      <c r="G1408">
        <v>4271</v>
      </c>
      <c r="H1408">
        <v>50200</v>
      </c>
    </row>
    <row r="1409" spans="2:8">
      <c r="B1409" t="s">
        <v>587</v>
      </c>
      <c r="C1409" t="s">
        <v>244</v>
      </c>
      <c r="D1409">
        <v>4271</v>
      </c>
      <c r="E1409">
        <v>4276</v>
      </c>
      <c r="F1409">
        <v>4270</v>
      </c>
      <c r="G1409">
        <v>4275</v>
      </c>
      <c r="H1409">
        <v>55300</v>
      </c>
    </row>
    <row r="1410" spans="2:8">
      <c r="B1410" t="s">
        <v>587</v>
      </c>
      <c r="C1410" t="s">
        <v>245</v>
      </c>
      <c r="D1410">
        <v>4275</v>
      </c>
      <c r="E1410">
        <v>4281</v>
      </c>
      <c r="F1410">
        <v>4273</v>
      </c>
      <c r="G1410">
        <v>4281</v>
      </c>
      <c r="H1410">
        <v>53400</v>
      </c>
    </row>
    <row r="1411" spans="2:8">
      <c r="B1411" t="s">
        <v>587</v>
      </c>
      <c r="C1411" t="s">
        <v>246</v>
      </c>
      <c r="D1411">
        <v>4281</v>
      </c>
      <c r="E1411">
        <v>4285</v>
      </c>
      <c r="F1411">
        <v>4280</v>
      </c>
      <c r="G1411">
        <v>4283</v>
      </c>
      <c r="H1411">
        <v>48400</v>
      </c>
    </row>
    <row r="1412" spans="2:8">
      <c r="B1412" t="s">
        <v>587</v>
      </c>
      <c r="C1412" t="s">
        <v>247</v>
      </c>
      <c r="D1412">
        <v>4283</v>
      </c>
      <c r="E1412">
        <v>4303</v>
      </c>
      <c r="F1412">
        <v>4282</v>
      </c>
      <c r="G1412">
        <v>4301</v>
      </c>
      <c r="H1412">
        <v>124100</v>
      </c>
    </row>
    <row r="1413" spans="2:8">
      <c r="B1413" t="s">
        <v>587</v>
      </c>
      <c r="C1413" t="s">
        <v>248</v>
      </c>
      <c r="D1413">
        <v>4301</v>
      </c>
      <c r="E1413">
        <v>4304</v>
      </c>
      <c r="F1413">
        <v>4296</v>
      </c>
      <c r="G1413">
        <v>4299</v>
      </c>
      <c r="H1413">
        <v>92000</v>
      </c>
    </row>
    <row r="1414" spans="2:8">
      <c r="B1414" t="s">
        <v>587</v>
      </c>
      <c r="C1414" t="s">
        <v>249</v>
      </c>
      <c r="D1414">
        <v>4299</v>
      </c>
      <c r="E1414">
        <v>4300</v>
      </c>
      <c r="F1414">
        <v>4291</v>
      </c>
      <c r="G1414">
        <v>4291</v>
      </c>
      <c r="H1414">
        <v>79000</v>
      </c>
    </row>
    <row r="1415" spans="2:8">
      <c r="B1415" t="s">
        <v>587</v>
      </c>
      <c r="C1415" t="s">
        <v>250</v>
      </c>
      <c r="D1415">
        <v>4291</v>
      </c>
      <c r="E1415">
        <v>4291</v>
      </c>
      <c r="F1415">
        <v>4285</v>
      </c>
      <c r="G1415">
        <v>4286</v>
      </c>
      <c r="H1415">
        <v>86600</v>
      </c>
    </row>
    <row r="1416" spans="2:8">
      <c r="B1416" t="s">
        <v>587</v>
      </c>
      <c r="C1416" t="s">
        <v>251</v>
      </c>
      <c r="D1416">
        <v>4286</v>
      </c>
      <c r="E1416">
        <v>4286</v>
      </c>
      <c r="F1416">
        <v>4277</v>
      </c>
      <c r="G1416">
        <v>4278</v>
      </c>
      <c r="H1416">
        <v>84100</v>
      </c>
    </row>
    <row r="1417" spans="2:8">
      <c r="B1417" t="s">
        <v>587</v>
      </c>
      <c r="C1417" t="s">
        <v>252</v>
      </c>
      <c r="D1417">
        <v>4278</v>
      </c>
      <c r="E1417">
        <v>4280</v>
      </c>
      <c r="F1417">
        <v>4270</v>
      </c>
      <c r="G1417">
        <v>4277</v>
      </c>
      <c r="H1417">
        <v>173500</v>
      </c>
    </row>
    <row r="1418" spans="2:8">
      <c r="B1418" t="s">
        <v>587</v>
      </c>
      <c r="C1418" t="s">
        <v>253</v>
      </c>
      <c r="D1418">
        <v>4278</v>
      </c>
      <c r="E1418">
        <v>4279</v>
      </c>
      <c r="F1418">
        <v>4274</v>
      </c>
      <c r="G1418">
        <v>4277</v>
      </c>
      <c r="H1418">
        <v>59800</v>
      </c>
    </row>
    <row r="1419" spans="2:8">
      <c r="B1419" t="s">
        <v>587</v>
      </c>
      <c r="C1419" t="s">
        <v>254</v>
      </c>
      <c r="D1419">
        <v>4279</v>
      </c>
      <c r="E1419">
        <v>4282</v>
      </c>
      <c r="F1419">
        <v>4275</v>
      </c>
      <c r="G1419">
        <v>4280</v>
      </c>
      <c r="H1419">
        <v>44600</v>
      </c>
    </row>
    <row r="1420" spans="2:8">
      <c r="B1420" t="s">
        <v>587</v>
      </c>
      <c r="C1420" t="s">
        <v>255</v>
      </c>
      <c r="D1420">
        <v>4280</v>
      </c>
      <c r="E1420">
        <v>4282</v>
      </c>
      <c r="F1420">
        <v>4278</v>
      </c>
      <c r="G1420">
        <v>4281</v>
      </c>
      <c r="H1420">
        <v>56000</v>
      </c>
    </row>
    <row r="1421" spans="2:8">
      <c r="B1421" t="s">
        <v>587</v>
      </c>
      <c r="C1421" t="s">
        <v>256</v>
      </c>
      <c r="D1421">
        <v>4280</v>
      </c>
      <c r="E1421">
        <v>4290</v>
      </c>
      <c r="F1421">
        <v>4280</v>
      </c>
      <c r="G1421">
        <v>4287</v>
      </c>
      <c r="H1421">
        <v>74700</v>
      </c>
    </row>
    <row r="1422" spans="2:8">
      <c r="B1422" t="s">
        <v>587</v>
      </c>
      <c r="C1422" t="s">
        <v>257</v>
      </c>
      <c r="D1422">
        <v>4287</v>
      </c>
      <c r="E1422">
        <v>4290</v>
      </c>
      <c r="F1422">
        <v>4282</v>
      </c>
      <c r="G1422">
        <v>4286</v>
      </c>
      <c r="H1422">
        <v>66500</v>
      </c>
    </row>
    <row r="1423" spans="2:8">
      <c r="B1423" t="s">
        <v>587</v>
      </c>
      <c r="C1423" t="s">
        <v>258</v>
      </c>
      <c r="D1423">
        <v>4285</v>
      </c>
      <c r="E1423">
        <v>4286</v>
      </c>
      <c r="F1423">
        <v>4280</v>
      </c>
      <c r="G1423">
        <v>4280</v>
      </c>
      <c r="H1423">
        <v>54100</v>
      </c>
    </row>
    <row r="1424" spans="2:8">
      <c r="B1424" t="s">
        <v>587</v>
      </c>
      <c r="C1424" t="s">
        <v>259</v>
      </c>
      <c r="D1424">
        <v>4281</v>
      </c>
      <c r="E1424">
        <v>4282</v>
      </c>
      <c r="F1424">
        <v>4274</v>
      </c>
      <c r="G1424">
        <v>4276</v>
      </c>
      <c r="H1424">
        <v>101800</v>
      </c>
    </row>
    <row r="1425" spans="2:8">
      <c r="B1425" t="s">
        <v>587</v>
      </c>
      <c r="C1425" t="s">
        <v>260</v>
      </c>
      <c r="D1425">
        <v>4275</v>
      </c>
      <c r="E1425">
        <v>4281</v>
      </c>
      <c r="F1425">
        <v>4275</v>
      </c>
      <c r="G1425">
        <v>4278</v>
      </c>
      <c r="H1425">
        <v>48700</v>
      </c>
    </row>
    <row r="1426" spans="2:8">
      <c r="B1426" t="s">
        <v>587</v>
      </c>
      <c r="C1426" t="s">
        <v>261</v>
      </c>
      <c r="D1426">
        <v>4278</v>
      </c>
      <c r="E1426">
        <v>4280</v>
      </c>
      <c r="F1426">
        <v>4275</v>
      </c>
      <c r="G1426">
        <v>4280</v>
      </c>
      <c r="H1426">
        <v>48800</v>
      </c>
    </row>
    <row r="1427" spans="2:8">
      <c r="B1427" t="s">
        <v>587</v>
      </c>
      <c r="C1427" t="s">
        <v>262</v>
      </c>
      <c r="D1427">
        <v>4280</v>
      </c>
      <c r="E1427">
        <v>4281</v>
      </c>
      <c r="F1427">
        <v>4277</v>
      </c>
      <c r="G1427">
        <v>4281</v>
      </c>
      <c r="H1427">
        <v>80400</v>
      </c>
    </row>
    <row r="1428" spans="2:8">
      <c r="B1428" t="s">
        <v>587</v>
      </c>
      <c r="C1428" t="s">
        <v>263</v>
      </c>
      <c r="D1428">
        <v>4280</v>
      </c>
      <c r="E1428">
        <v>4284</v>
      </c>
      <c r="F1428">
        <v>4280</v>
      </c>
      <c r="G1428">
        <v>4282</v>
      </c>
      <c r="H1428">
        <v>49400</v>
      </c>
    </row>
    <row r="1429" spans="2:8">
      <c r="B1429" t="s">
        <v>587</v>
      </c>
      <c r="C1429" t="s">
        <v>264</v>
      </c>
      <c r="D1429">
        <v>4282</v>
      </c>
      <c r="E1429">
        <v>4291</v>
      </c>
      <c r="F1429">
        <v>4281</v>
      </c>
      <c r="G1429">
        <v>4290</v>
      </c>
      <c r="H1429">
        <v>59800</v>
      </c>
    </row>
    <row r="1430" spans="2:8">
      <c r="B1430" t="s">
        <v>587</v>
      </c>
      <c r="C1430" t="s">
        <v>265</v>
      </c>
      <c r="D1430">
        <v>4291</v>
      </c>
      <c r="E1430">
        <v>4295</v>
      </c>
      <c r="F1430">
        <v>4289</v>
      </c>
      <c r="G1430">
        <v>4294</v>
      </c>
      <c r="H1430">
        <v>58600</v>
      </c>
    </row>
    <row r="1431" spans="2:8">
      <c r="B1431" t="s">
        <v>587</v>
      </c>
      <c r="C1431" t="s">
        <v>266</v>
      </c>
      <c r="D1431">
        <v>4294</v>
      </c>
      <c r="E1431">
        <v>4296</v>
      </c>
      <c r="F1431">
        <v>4288</v>
      </c>
      <c r="G1431">
        <v>4288</v>
      </c>
      <c r="H1431">
        <v>59000</v>
      </c>
    </row>
    <row r="1432" spans="2:8">
      <c r="B1432" t="s">
        <v>587</v>
      </c>
      <c r="C1432" t="s">
        <v>267</v>
      </c>
      <c r="D1432">
        <v>4288</v>
      </c>
      <c r="E1432">
        <v>4293</v>
      </c>
      <c r="F1432">
        <v>4288</v>
      </c>
      <c r="G1432">
        <v>4292</v>
      </c>
      <c r="H1432">
        <v>45900</v>
      </c>
    </row>
    <row r="1433" spans="2:8">
      <c r="B1433" t="s">
        <v>587</v>
      </c>
      <c r="C1433" t="s">
        <v>268</v>
      </c>
      <c r="D1433">
        <v>4291</v>
      </c>
      <c r="E1433">
        <v>4294</v>
      </c>
      <c r="F1433">
        <v>4286</v>
      </c>
      <c r="G1433">
        <v>4294</v>
      </c>
      <c r="H1433">
        <v>69500</v>
      </c>
    </row>
    <row r="1434" spans="2:8">
      <c r="B1434" t="s">
        <v>587</v>
      </c>
      <c r="C1434" t="s">
        <v>269</v>
      </c>
      <c r="D1434">
        <v>4294</v>
      </c>
      <c r="E1434">
        <v>4295</v>
      </c>
      <c r="F1434">
        <v>4288</v>
      </c>
      <c r="G1434">
        <v>4289</v>
      </c>
      <c r="H1434">
        <v>65200</v>
      </c>
    </row>
    <row r="1435" spans="2:8">
      <c r="B1435" t="s">
        <v>587</v>
      </c>
      <c r="C1435" t="s">
        <v>270</v>
      </c>
      <c r="D1435">
        <v>4289</v>
      </c>
      <c r="E1435">
        <v>4293</v>
      </c>
      <c r="F1435">
        <v>4287</v>
      </c>
      <c r="G1435">
        <v>4291</v>
      </c>
      <c r="H1435">
        <v>39400</v>
      </c>
    </row>
    <row r="1436" spans="2:8">
      <c r="B1436" t="s">
        <v>587</v>
      </c>
      <c r="C1436" t="s">
        <v>271</v>
      </c>
      <c r="D1436">
        <v>4291</v>
      </c>
      <c r="E1436">
        <v>4294</v>
      </c>
      <c r="F1436">
        <v>4289</v>
      </c>
      <c r="G1436">
        <v>4292</v>
      </c>
      <c r="H1436">
        <v>35900</v>
      </c>
    </row>
    <row r="1437" spans="2:8">
      <c r="B1437" t="s">
        <v>587</v>
      </c>
      <c r="C1437" t="s">
        <v>272</v>
      </c>
      <c r="D1437">
        <v>4292</v>
      </c>
      <c r="E1437">
        <v>4301</v>
      </c>
      <c r="F1437">
        <v>4292</v>
      </c>
      <c r="G1437">
        <v>4300</v>
      </c>
      <c r="H1437">
        <v>107000</v>
      </c>
    </row>
    <row r="1438" spans="2:8">
      <c r="B1438" t="s">
        <v>587</v>
      </c>
      <c r="C1438" t="s">
        <v>273</v>
      </c>
      <c r="D1438">
        <v>4300</v>
      </c>
      <c r="E1438">
        <v>4301</v>
      </c>
      <c r="F1438">
        <v>4297</v>
      </c>
      <c r="G1438">
        <v>4297</v>
      </c>
      <c r="H1438">
        <v>37900</v>
      </c>
    </row>
    <row r="1439" spans="2:8">
      <c r="B1439" t="s">
        <v>587</v>
      </c>
      <c r="C1439" t="s">
        <v>274</v>
      </c>
      <c r="D1439">
        <v>4297</v>
      </c>
      <c r="E1439">
        <v>4301</v>
      </c>
      <c r="F1439">
        <v>4296</v>
      </c>
      <c r="G1439">
        <v>4297</v>
      </c>
      <c r="H1439">
        <v>65500</v>
      </c>
    </row>
    <row r="1440" spans="2:8">
      <c r="B1440" t="s">
        <v>587</v>
      </c>
      <c r="C1440" t="s">
        <v>275</v>
      </c>
      <c r="D1440">
        <v>4296</v>
      </c>
      <c r="E1440">
        <v>4299</v>
      </c>
      <c r="F1440">
        <v>4293</v>
      </c>
      <c r="G1440">
        <v>4296</v>
      </c>
      <c r="H1440">
        <v>50200</v>
      </c>
    </row>
    <row r="1441" spans="2:8">
      <c r="B1441" t="s">
        <v>587</v>
      </c>
      <c r="C1441" t="s">
        <v>276</v>
      </c>
      <c r="D1441">
        <v>4295</v>
      </c>
      <c r="E1441">
        <v>4299</v>
      </c>
      <c r="F1441">
        <v>4293</v>
      </c>
      <c r="G1441">
        <v>4298</v>
      </c>
      <c r="H1441">
        <v>31000</v>
      </c>
    </row>
    <row r="1442" spans="2:8">
      <c r="B1442" t="s">
        <v>587</v>
      </c>
      <c r="C1442" t="s">
        <v>277</v>
      </c>
      <c r="D1442">
        <v>4298</v>
      </c>
      <c r="E1442">
        <v>4299</v>
      </c>
      <c r="F1442">
        <v>4290</v>
      </c>
      <c r="G1442">
        <v>4291</v>
      </c>
      <c r="H1442">
        <v>69500</v>
      </c>
    </row>
    <row r="1443" spans="2:8">
      <c r="B1443" t="s">
        <v>587</v>
      </c>
      <c r="C1443" t="s">
        <v>278</v>
      </c>
      <c r="D1443">
        <v>4291</v>
      </c>
      <c r="E1443">
        <v>4298</v>
      </c>
      <c r="F1443">
        <v>4291</v>
      </c>
      <c r="G1443">
        <v>4296</v>
      </c>
      <c r="H1443">
        <v>37100</v>
      </c>
    </row>
    <row r="1444" spans="2:8">
      <c r="B1444" t="s">
        <v>587</v>
      </c>
      <c r="C1444" t="s">
        <v>279</v>
      </c>
      <c r="D1444">
        <v>4296</v>
      </c>
      <c r="E1444">
        <v>4299</v>
      </c>
      <c r="F1444">
        <v>4286</v>
      </c>
      <c r="G1444">
        <v>4293</v>
      </c>
      <c r="H1444">
        <v>181800</v>
      </c>
    </row>
    <row r="1445" spans="2:8">
      <c r="B1445" t="s">
        <v>587</v>
      </c>
      <c r="C1445" t="s">
        <v>280</v>
      </c>
      <c r="D1445">
        <v>4294</v>
      </c>
      <c r="E1445">
        <v>4294</v>
      </c>
      <c r="F1445">
        <v>4288</v>
      </c>
      <c r="G1445">
        <v>4292</v>
      </c>
      <c r="H1445">
        <v>39800</v>
      </c>
    </row>
    <row r="1446" spans="2:8">
      <c r="B1446" t="s">
        <v>587</v>
      </c>
      <c r="C1446" t="s">
        <v>281</v>
      </c>
      <c r="D1446">
        <v>4292</v>
      </c>
      <c r="E1446">
        <v>4292</v>
      </c>
      <c r="F1446">
        <v>4287</v>
      </c>
      <c r="G1446">
        <v>4289</v>
      </c>
      <c r="H1446">
        <v>64100</v>
      </c>
    </row>
    <row r="1447" spans="2:8">
      <c r="B1447" t="s">
        <v>587</v>
      </c>
      <c r="C1447" t="s">
        <v>282</v>
      </c>
      <c r="D1447">
        <v>4289</v>
      </c>
      <c r="E1447">
        <v>4293</v>
      </c>
      <c r="F1447">
        <v>4287</v>
      </c>
      <c r="G1447">
        <v>4293</v>
      </c>
      <c r="H1447">
        <v>48200</v>
      </c>
    </row>
    <row r="1448" spans="2:8">
      <c r="B1448" t="s">
        <v>587</v>
      </c>
      <c r="C1448" t="s">
        <v>283</v>
      </c>
      <c r="D1448">
        <v>4293</v>
      </c>
      <c r="E1448">
        <v>4294</v>
      </c>
      <c r="F1448">
        <v>4290</v>
      </c>
      <c r="G1448">
        <v>4292</v>
      </c>
      <c r="H1448">
        <v>37300</v>
      </c>
    </row>
    <row r="1449" spans="2:8">
      <c r="B1449" t="s">
        <v>587</v>
      </c>
      <c r="C1449" t="s">
        <v>284</v>
      </c>
      <c r="D1449">
        <v>4291</v>
      </c>
      <c r="E1449">
        <v>4291</v>
      </c>
      <c r="F1449">
        <v>4288</v>
      </c>
      <c r="G1449">
        <v>4290</v>
      </c>
      <c r="H1449">
        <v>67500</v>
      </c>
    </row>
    <row r="1450" spans="2:8">
      <c r="B1450" t="s">
        <v>587</v>
      </c>
      <c r="C1450" t="s">
        <v>285</v>
      </c>
      <c r="D1450">
        <v>4290</v>
      </c>
      <c r="E1450">
        <v>4299</v>
      </c>
      <c r="F1450">
        <v>4290</v>
      </c>
      <c r="G1450">
        <v>4295</v>
      </c>
      <c r="H1450">
        <v>53800</v>
      </c>
    </row>
    <row r="1451" spans="2:8">
      <c r="B1451" t="s">
        <v>587</v>
      </c>
      <c r="C1451" t="s">
        <v>286</v>
      </c>
      <c r="D1451">
        <v>4295</v>
      </c>
      <c r="E1451">
        <v>4304</v>
      </c>
      <c r="F1451">
        <v>4293</v>
      </c>
      <c r="G1451">
        <v>4304</v>
      </c>
      <c r="H1451">
        <v>82900</v>
      </c>
    </row>
    <row r="1452" spans="2:8">
      <c r="B1452" t="s">
        <v>587</v>
      </c>
      <c r="C1452" t="s">
        <v>287</v>
      </c>
      <c r="D1452">
        <v>4303</v>
      </c>
      <c r="E1452">
        <v>4306</v>
      </c>
      <c r="F1452">
        <v>4300</v>
      </c>
      <c r="G1452">
        <v>4304</v>
      </c>
      <c r="H1452">
        <v>53600</v>
      </c>
    </row>
    <row r="1453" spans="2:8">
      <c r="B1453" t="s">
        <v>587</v>
      </c>
      <c r="C1453" t="s">
        <v>288</v>
      </c>
      <c r="D1453">
        <v>4302</v>
      </c>
      <c r="E1453">
        <v>4304</v>
      </c>
      <c r="F1453">
        <v>4300</v>
      </c>
      <c r="G1453">
        <v>4303</v>
      </c>
      <c r="H1453">
        <v>81000</v>
      </c>
    </row>
    <row r="1454" spans="2:8">
      <c r="B1454" t="s">
        <v>587</v>
      </c>
      <c r="C1454" t="s">
        <v>289</v>
      </c>
      <c r="D1454">
        <v>4304</v>
      </c>
      <c r="E1454">
        <v>4305</v>
      </c>
      <c r="F1454">
        <v>4300</v>
      </c>
      <c r="G1454">
        <v>4303</v>
      </c>
      <c r="H1454">
        <v>67900</v>
      </c>
    </row>
    <row r="1455" spans="2:8">
      <c r="B1455" t="s">
        <v>587</v>
      </c>
      <c r="C1455" t="s">
        <v>290</v>
      </c>
      <c r="D1455">
        <v>4301</v>
      </c>
      <c r="E1455">
        <v>4305</v>
      </c>
      <c r="F1455">
        <v>4301</v>
      </c>
      <c r="G1455">
        <v>4304</v>
      </c>
      <c r="H1455">
        <v>35300</v>
      </c>
    </row>
    <row r="1456" spans="2:8">
      <c r="B1456" t="s">
        <v>587</v>
      </c>
      <c r="C1456" t="s">
        <v>291</v>
      </c>
      <c r="D1456">
        <v>4303</v>
      </c>
      <c r="E1456">
        <v>4308</v>
      </c>
      <c r="F1456">
        <v>4302</v>
      </c>
      <c r="G1456">
        <v>4307</v>
      </c>
      <c r="H1456">
        <v>33300</v>
      </c>
    </row>
    <row r="1457" spans="2:8">
      <c r="B1457" t="s">
        <v>587</v>
      </c>
      <c r="C1457" t="s">
        <v>292</v>
      </c>
      <c r="D1457">
        <v>4307</v>
      </c>
      <c r="E1457">
        <v>4309</v>
      </c>
      <c r="F1457">
        <v>4306</v>
      </c>
      <c r="G1457">
        <v>4309</v>
      </c>
      <c r="H1457">
        <v>41200</v>
      </c>
    </row>
    <row r="1458" spans="2:8">
      <c r="B1458" t="s">
        <v>587</v>
      </c>
      <c r="C1458" t="s">
        <v>293</v>
      </c>
      <c r="D1458">
        <v>4308</v>
      </c>
      <c r="E1458">
        <v>4314</v>
      </c>
      <c r="F1458">
        <v>4306</v>
      </c>
      <c r="G1458">
        <v>4314</v>
      </c>
      <c r="H1458">
        <v>92300</v>
      </c>
    </row>
    <row r="1459" spans="2:8">
      <c r="B1459" t="s">
        <v>587</v>
      </c>
      <c r="C1459" t="s">
        <v>294</v>
      </c>
      <c r="D1459">
        <v>4314</v>
      </c>
      <c r="E1459">
        <v>4316</v>
      </c>
      <c r="F1459">
        <v>4313</v>
      </c>
      <c r="G1459">
        <v>4315</v>
      </c>
      <c r="H1459">
        <v>65700</v>
      </c>
    </row>
    <row r="1460" spans="2:8">
      <c r="B1460" t="s">
        <v>587</v>
      </c>
      <c r="C1460" t="s">
        <v>295</v>
      </c>
      <c r="D1460">
        <v>4315</v>
      </c>
      <c r="E1460">
        <v>4321</v>
      </c>
      <c r="F1460">
        <v>4314</v>
      </c>
      <c r="G1460">
        <v>4320</v>
      </c>
      <c r="H1460">
        <v>75100</v>
      </c>
    </row>
    <row r="1461" spans="2:8">
      <c r="B1461" t="s">
        <v>587</v>
      </c>
      <c r="C1461" t="s">
        <v>296</v>
      </c>
      <c r="D1461">
        <v>4319</v>
      </c>
      <c r="E1461">
        <v>4323</v>
      </c>
      <c r="F1461">
        <v>4318</v>
      </c>
      <c r="G1461">
        <v>4322</v>
      </c>
      <c r="H1461">
        <v>101000</v>
      </c>
    </row>
    <row r="1462" spans="2:8">
      <c r="B1462" t="s">
        <v>587</v>
      </c>
      <c r="C1462" t="s">
        <v>297</v>
      </c>
      <c r="D1462">
        <v>4323</v>
      </c>
      <c r="E1462">
        <v>4325</v>
      </c>
      <c r="F1462">
        <v>4321</v>
      </c>
      <c r="G1462">
        <v>4324</v>
      </c>
      <c r="H1462">
        <v>74800</v>
      </c>
    </row>
    <row r="1463" spans="2:8">
      <c r="B1463" t="s">
        <v>587</v>
      </c>
      <c r="C1463" t="s">
        <v>298</v>
      </c>
      <c r="D1463">
        <v>4323</v>
      </c>
      <c r="E1463">
        <v>4327</v>
      </c>
      <c r="F1463">
        <v>4322</v>
      </c>
      <c r="G1463">
        <v>4326</v>
      </c>
      <c r="H1463">
        <v>47500</v>
      </c>
    </row>
    <row r="1464" spans="2:8">
      <c r="B1464" t="s">
        <v>587</v>
      </c>
      <c r="C1464" t="s">
        <v>299</v>
      </c>
      <c r="D1464">
        <v>4327</v>
      </c>
      <c r="E1464">
        <v>4332</v>
      </c>
      <c r="F1464">
        <v>4323</v>
      </c>
      <c r="G1464">
        <v>4329</v>
      </c>
      <c r="H1464">
        <v>190900</v>
      </c>
    </row>
    <row r="1465" spans="2:8">
      <c r="B1465" t="s">
        <v>587</v>
      </c>
      <c r="C1465" t="s">
        <v>300</v>
      </c>
      <c r="D1465">
        <v>4329</v>
      </c>
      <c r="E1465">
        <v>4334</v>
      </c>
      <c r="F1465">
        <v>4327</v>
      </c>
      <c r="G1465">
        <v>4329</v>
      </c>
      <c r="H1465">
        <v>69200</v>
      </c>
    </row>
    <row r="1466" spans="2:8">
      <c r="B1466" t="s">
        <v>587</v>
      </c>
      <c r="C1466" t="s">
        <v>301</v>
      </c>
      <c r="D1466">
        <v>4329</v>
      </c>
      <c r="E1466">
        <v>4330</v>
      </c>
      <c r="F1466">
        <v>4323</v>
      </c>
      <c r="G1466">
        <v>4328</v>
      </c>
      <c r="H1466">
        <v>90100</v>
      </c>
    </row>
    <row r="1467" spans="2:8">
      <c r="B1467" t="s">
        <v>587</v>
      </c>
      <c r="C1467" t="s">
        <v>302</v>
      </c>
      <c r="D1467">
        <v>4328</v>
      </c>
      <c r="E1467">
        <v>4339</v>
      </c>
      <c r="F1467">
        <v>4326</v>
      </c>
      <c r="G1467">
        <v>4336</v>
      </c>
      <c r="H1467">
        <v>193500</v>
      </c>
    </row>
    <row r="1468" spans="2:8">
      <c r="B1468" t="s">
        <v>587</v>
      </c>
      <c r="C1468" t="s">
        <v>303</v>
      </c>
      <c r="D1468">
        <v>4336</v>
      </c>
      <c r="E1468">
        <v>4339</v>
      </c>
      <c r="F1468">
        <v>4331</v>
      </c>
      <c r="G1468">
        <v>4336</v>
      </c>
      <c r="H1468">
        <v>115400</v>
      </c>
    </row>
    <row r="1469" spans="2:8">
      <c r="B1469" t="s">
        <v>587</v>
      </c>
      <c r="C1469" t="s">
        <v>304</v>
      </c>
      <c r="D1469">
        <v>4335</v>
      </c>
      <c r="E1469">
        <v>4341</v>
      </c>
      <c r="F1469">
        <v>4333</v>
      </c>
      <c r="G1469">
        <v>4340</v>
      </c>
      <c r="H1469">
        <v>116500</v>
      </c>
    </row>
    <row r="1470" spans="2:8">
      <c r="B1470" t="s">
        <v>587</v>
      </c>
      <c r="C1470" t="s">
        <v>305</v>
      </c>
      <c r="D1470">
        <v>4339</v>
      </c>
      <c r="E1470">
        <v>4341</v>
      </c>
      <c r="F1470">
        <v>4334</v>
      </c>
      <c r="G1470">
        <v>4339</v>
      </c>
      <c r="H1470">
        <v>83900</v>
      </c>
    </row>
    <row r="1471" spans="2:8">
      <c r="B1471" t="s">
        <v>587</v>
      </c>
      <c r="C1471" t="s">
        <v>306</v>
      </c>
      <c r="D1471">
        <v>4339</v>
      </c>
      <c r="E1471">
        <v>4340</v>
      </c>
      <c r="F1471">
        <v>4332</v>
      </c>
      <c r="G1471">
        <v>4335</v>
      </c>
      <c r="H1471">
        <v>76000</v>
      </c>
    </row>
    <row r="1472" spans="2:8">
      <c r="B1472" t="s">
        <v>587</v>
      </c>
      <c r="C1472" t="s">
        <v>307</v>
      </c>
      <c r="D1472">
        <v>4335</v>
      </c>
      <c r="E1472">
        <v>4343</v>
      </c>
      <c r="F1472">
        <v>4335</v>
      </c>
      <c r="G1472">
        <v>4342</v>
      </c>
      <c r="H1472">
        <v>92800</v>
      </c>
    </row>
    <row r="1473" spans="2:8">
      <c r="B1473" t="s">
        <v>587</v>
      </c>
      <c r="C1473" t="s">
        <v>308</v>
      </c>
      <c r="D1473">
        <v>4342</v>
      </c>
      <c r="E1473">
        <v>4344</v>
      </c>
      <c r="F1473">
        <v>4338</v>
      </c>
      <c r="G1473">
        <v>4340</v>
      </c>
      <c r="H1473">
        <v>97100</v>
      </c>
    </row>
    <row r="1474" spans="2:8">
      <c r="B1474" t="s">
        <v>587</v>
      </c>
      <c r="C1474" t="s">
        <v>309</v>
      </c>
      <c r="D1474">
        <v>4338</v>
      </c>
      <c r="E1474">
        <v>4340</v>
      </c>
      <c r="F1474">
        <v>4330</v>
      </c>
      <c r="G1474">
        <v>4335</v>
      </c>
      <c r="H1474">
        <v>117100</v>
      </c>
    </row>
    <row r="1475" spans="2:8">
      <c r="B1475" t="s">
        <v>587</v>
      </c>
      <c r="C1475" t="s">
        <v>310</v>
      </c>
      <c r="D1475">
        <v>4334</v>
      </c>
      <c r="E1475">
        <v>4336</v>
      </c>
      <c r="F1475">
        <v>4332</v>
      </c>
      <c r="G1475">
        <v>4332</v>
      </c>
      <c r="H1475">
        <v>31900</v>
      </c>
    </row>
    <row r="1476" spans="2:8">
      <c r="B1476" t="s">
        <v>587</v>
      </c>
      <c r="C1476" t="s">
        <v>311</v>
      </c>
      <c r="D1476">
        <v>4333</v>
      </c>
      <c r="E1476">
        <v>4336</v>
      </c>
      <c r="F1476">
        <v>4329</v>
      </c>
      <c r="G1476">
        <v>4332</v>
      </c>
      <c r="H1476">
        <v>60200</v>
      </c>
    </row>
    <row r="1477" spans="2:8">
      <c r="B1477" t="s">
        <v>587</v>
      </c>
      <c r="C1477" t="s">
        <v>312</v>
      </c>
      <c r="D1477">
        <v>4331</v>
      </c>
      <c r="E1477">
        <v>4335</v>
      </c>
      <c r="F1477">
        <v>4328</v>
      </c>
      <c r="G1477">
        <v>4333</v>
      </c>
      <c r="H1477">
        <v>58700</v>
      </c>
    </row>
    <row r="1478" spans="2:8">
      <c r="B1478" t="s">
        <v>587</v>
      </c>
      <c r="C1478" t="s">
        <v>313</v>
      </c>
      <c r="D1478">
        <v>4334</v>
      </c>
      <c r="E1478">
        <v>4345</v>
      </c>
      <c r="F1478">
        <v>4333</v>
      </c>
      <c r="G1478">
        <v>4338</v>
      </c>
      <c r="H1478">
        <v>140300</v>
      </c>
    </row>
    <row r="1479" spans="2:8">
      <c r="B1479" t="s">
        <v>587</v>
      </c>
      <c r="C1479" t="s">
        <v>314</v>
      </c>
      <c r="D1479">
        <v>4338</v>
      </c>
      <c r="E1479">
        <v>4343</v>
      </c>
      <c r="F1479">
        <v>4336</v>
      </c>
      <c r="G1479">
        <v>4341</v>
      </c>
      <c r="H1479">
        <v>43200</v>
      </c>
    </row>
    <row r="1480" spans="2:8">
      <c r="B1480" t="s">
        <v>587</v>
      </c>
      <c r="C1480" t="s">
        <v>315</v>
      </c>
      <c r="D1480">
        <v>4340</v>
      </c>
      <c r="E1480">
        <v>4347</v>
      </c>
      <c r="F1480">
        <v>4339</v>
      </c>
      <c r="G1480">
        <v>4342</v>
      </c>
      <c r="H1480">
        <v>99400</v>
      </c>
    </row>
    <row r="1481" spans="2:8">
      <c r="B1481" t="s">
        <v>587</v>
      </c>
      <c r="C1481" t="s">
        <v>316</v>
      </c>
      <c r="D1481">
        <v>4342</v>
      </c>
      <c r="E1481">
        <v>4342</v>
      </c>
      <c r="F1481">
        <v>4342</v>
      </c>
      <c r="G1481">
        <v>4342</v>
      </c>
      <c r="H1481">
        <v>30500</v>
      </c>
    </row>
    <row r="1482" spans="2:8">
      <c r="B1482" t="s">
        <v>587</v>
      </c>
      <c r="C1482" t="s">
        <v>317</v>
      </c>
      <c r="D1482">
        <v>4369</v>
      </c>
      <c r="E1482">
        <v>4369</v>
      </c>
      <c r="F1482">
        <v>4344</v>
      </c>
      <c r="G1482">
        <v>4356</v>
      </c>
      <c r="H1482">
        <v>881800</v>
      </c>
    </row>
    <row r="1483" spans="2:8">
      <c r="B1483" t="s">
        <v>587</v>
      </c>
      <c r="C1483" t="s">
        <v>318</v>
      </c>
      <c r="D1483">
        <v>4356</v>
      </c>
      <c r="E1483">
        <v>4357</v>
      </c>
      <c r="F1483">
        <v>4346</v>
      </c>
      <c r="G1483">
        <v>4351</v>
      </c>
      <c r="H1483">
        <v>117000</v>
      </c>
    </row>
    <row r="1484" spans="2:8">
      <c r="B1484" t="s">
        <v>587</v>
      </c>
      <c r="C1484" t="s">
        <v>319</v>
      </c>
      <c r="D1484">
        <v>4350</v>
      </c>
      <c r="E1484">
        <v>4357</v>
      </c>
      <c r="F1484">
        <v>4346</v>
      </c>
      <c r="G1484">
        <v>4356</v>
      </c>
      <c r="H1484">
        <v>80700</v>
      </c>
    </row>
    <row r="1485" spans="2:8">
      <c r="B1485" t="s">
        <v>587</v>
      </c>
      <c r="C1485" t="s">
        <v>320</v>
      </c>
      <c r="D1485">
        <v>4355</v>
      </c>
      <c r="E1485">
        <v>4358</v>
      </c>
      <c r="F1485">
        <v>4345</v>
      </c>
      <c r="G1485">
        <v>4354</v>
      </c>
      <c r="H1485">
        <v>117900</v>
      </c>
    </row>
    <row r="1486" spans="2:8">
      <c r="B1486" t="s">
        <v>587</v>
      </c>
      <c r="C1486" t="s">
        <v>321</v>
      </c>
      <c r="D1486">
        <v>4354</v>
      </c>
      <c r="E1486">
        <v>4354</v>
      </c>
      <c r="F1486">
        <v>4347</v>
      </c>
      <c r="G1486">
        <v>4348</v>
      </c>
      <c r="H1486">
        <v>64800</v>
      </c>
    </row>
    <row r="1487" spans="2:8">
      <c r="B1487" t="s">
        <v>587</v>
      </c>
      <c r="C1487" t="s">
        <v>322</v>
      </c>
      <c r="D1487">
        <v>4347</v>
      </c>
      <c r="E1487">
        <v>4350</v>
      </c>
      <c r="F1487">
        <v>4343</v>
      </c>
      <c r="G1487">
        <v>4347</v>
      </c>
      <c r="H1487">
        <v>88300</v>
      </c>
    </row>
    <row r="1488" spans="2:8">
      <c r="B1488" t="s">
        <v>587</v>
      </c>
      <c r="C1488" t="s">
        <v>323</v>
      </c>
      <c r="D1488">
        <v>4345</v>
      </c>
      <c r="E1488">
        <v>4351</v>
      </c>
      <c r="F1488">
        <v>4345</v>
      </c>
      <c r="G1488">
        <v>4349</v>
      </c>
      <c r="H1488">
        <v>72200</v>
      </c>
    </row>
    <row r="1489" spans="2:8">
      <c r="B1489" t="s">
        <v>587</v>
      </c>
      <c r="C1489" t="s">
        <v>324</v>
      </c>
      <c r="D1489">
        <v>4349</v>
      </c>
      <c r="E1489">
        <v>4357</v>
      </c>
      <c r="F1489">
        <v>4348</v>
      </c>
      <c r="G1489">
        <v>4357</v>
      </c>
      <c r="H1489">
        <v>121400</v>
      </c>
    </row>
    <row r="1490" spans="2:8">
      <c r="B1490" t="s">
        <v>587</v>
      </c>
      <c r="C1490" t="s">
        <v>325</v>
      </c>
      <c r="D1490">
        <v>4356</v>
      </c>
      <c r="E1490">
        <v>4356</v>
      </c>
      <c r="F1490">
        <v>4344</v>
      </c>
      <c r="G1490">
        <v>4346</v>
      </c>
      <c r="H1490">
        <v>113400</v>
      </c>
    </row>
    <row r="1491" spans="2:8">
      <c r="B1491" t="s">
        <v>587</v>
      </c>
      <c r="C1491" t="s">
        <v>326</v>
      </c>
      <c r="D1491">
        <v>4345</v>
      </c>
      <c r="E1491">
        <v>4350</v>
      </c>
      <c r="F1491">
        <v>4341</v>
      </c>
      <c r="G1491">
        <v>4347</v>
      </c>
      <c r="H1491">
        <v>111700</v>
      </c>
    </row>
    <row r="1492" spans="2:8">
      <c r="B1492" t="s">
        <v>587</v>
      </c>
      <c r="C1492" t="s">
        <v>327</v>
      </c>
      <c r="D1492">
        <v>4347</v>
      </c>
      <c r="E1492">
        <v>4352</v>
      </c>
      <c r="F1492">
        <v>4345</v>
      </c>
      <c r="G1492">
        <v>4348</v>
      </c>
      <c r="H1492">
        <v>82800</v>
      </c>
    </row>
    <row r="1493" spans="2:8">
      <c r="B1493" t="s">
        <v>587</v>
      </c>
      <c r="C1493" t="s">
        <v>328</v>
      </c>
      <c r="D1493">
        <v>4348</v>
      </c>
      <c r="E1493">
        <v>4349</v>
      </c>
      <c r="F1493">
        <v>4340</v>
      </c>
      <c r="G1493">
        <v>4341</v>
      </c>
      <c r="H1493">
        <v>87600</v>
      </c>
    </row>
    <row r="1494" spans="2:8">
      <c r="B1494" t="s">
        <v>587</v>
      </c>
      <c r="C1494" t="s">
        <v>329</v>
      </c>
      <c r="D1494">
        <v>4341</v>
      </c>
      <c r="E1494">
        <v>4342</v>
      </c>
      <c r="F1494">
        <v>4336</v>
      </c>
      <c r="G1494">
        <v>4339</v>
      </c>
      <c r="H1494">
        <v>114800</v>
      </c>
    </row>
    <row r="1495" spans="2:8">
      <c r="B1495" t="s">
        <v>587</v>
      </c>
      <c r="C1495" t="s">
        <v>330</v>
      </c>
      <c r="D1495">
        <v>4340</v>
      </c>
      <c r="E1495">
        <v>4340</v>
      </c>
      <c r="F1495">
        <v>4336</v>
      </c>
      <c r="G1495">
        <v>4338</v>
      </c>
      <c r="H1495">
        <v>29000</v>
      </c>
    </row>
    <row r="1496" spans="2:8">
      <c r="B1496" t="s">
        <v>587</v>
      </c>
      <c r="C1496" t="s">
        <v>331</v>
      </c>
      <c r="D1496">
        <v>4339</v>
      </c>
      <c r="E1496">
        <v>4339</v>
      </c>
      <c r="F1496">
        <v>4333</v>
      </c>
      <c r="G1496">
        <v>4337</v>
      </c>
      <c r="H1496">
        <v>83000</v>
      </c>
    </row>
    <row r="1497" spans="2:8">
      <c r="B1497" t="s">
        <v>587</v>
      </c>
      <c r="C1497" t="s">
        <v>332</v>
      </c>
      <c r="D1497">
        <v>4335</v>
      </c>
      <c r="E1497">
        <v>4336</v>
      </c>
      <c r="F1497">
        <v>4333</v>
      </c>
      <c r="G1497">
        <v>4336</v>
      </c>
      <c r="H1497">
        <v>33000</v>
      </c>
    </row>
    <row r="1498" spans="2:8">
      <c r="B1498" t="s">
        <v>587</v>
      </c>
      <c r="C1498" t="s">
        <v>333</v>
      </c>
      <c r="D1498">
        <v>4335</v>
      </c>
      <c r="E1498">
        <v>4338</v>
      </c>
      <c r="F1498">
        <v>4334</v>
      </c>
      <c r="G1498">
        <v>4337</v>
      </c>
      <c r="H1498">
        <v>40300</v>
      </c>
    </row>
    <row r="1499" spans="2:8">
      <c r="B1499" t="s">
        <v>587</v>
      </c>
      <c r="C1499" t="s">
        <v>334</v>
      </c>
      <c r="D1499">
        <v>4337</v>
      </c>
      <c r="E1499">
        <v>4338</v>
      </c>
      <c r="F1499">
        <v>4334</v>
      </c>
      <c r="G1499">
        <v>4336</v>
      </c>
      <c r="H1499">
        <v>41100</v>
      </c>
    </row>
    <row r="1500" spans="2:8">
      <c r="B1500" t="s">
        <v>587</v>
      </c>
      <c r="C1500" t="s">
        <v>335</v>
      </c>
      <c r="D1500">
        <v>4336</v>
      </c>
      <c r="E1500">
        <v>4338</v>
      </c>
      <c r="F1500">
        <v>4334</v>
      </c>
      <c r="G1500">
        <v>4337</v>
      </c>
      <c r="H1500">
        <v>55500</v>
      </c>
    </row>
    <row r="1501" spans="2:8">
      <c r="B1501" t="s">
        <v>587</v>
      </c>
      <c r="C1501" t="s">
        <v>336</v>
      </c>
      <c r="D1501">
        <v>4338</v>
      </c>
      <c r="E1501">
        <v>4344</v>
      </c>
      <c r="F1501">
        <v>4338</v>
      </c>
      <c r="G1501">
        <v>4342</v>
      </c>
      <c r="H1501">
        <v>41000</v>
      </c>
    </row>
    <row r="1502" spans="2:8">
      <c r="B1502" t="s">
        <v>587</v>
      </c>
      <c r="C1502" t="s">
        <v>337</v>
      </c>
      <c r="D1502">
        <v>4341</v>
      </c>
      <c r="E1502">
        <v>4351</v>
      </c>
      <c r="F1502">
        <v>4335</v>
      </c>
      <c r="G1502">
        <v>4343</v>
      </c>
      <c r="H1502">
        <v>211500</v>
      </c>
    </row>
    <row r="1503" spans="2:8">
      <c r="B1503" t="s">
        <v>587</v>
      </c>
      <c r="C1503" t="s">
        <v>338</v>
      </c>
      <c r="D1503">
        <v>4344</v>
      </c>
      <c r="E1503">
        <v>4344</v>
      </c>
      <c r="F1503">
        <v>4337</v>
      </c>
      <c r="G1503">
        <v>4338</v>
      </c>
      <c r="H1503">
        <v>37500</v>
      </c>
    </row>
    <row r="1504" spans="2:8">
      <c r="B1504" t="s">
        <v>587</v>
      </c>
      <c r="C1504" t="s">
        <v>339</v>
      </c>
      <c r="D1504">
        <v>4338</v>
      </c>
      <c r="E1504">
        <v>4339</v>
      </c>
      <c r="F1504">
        <v>4330</v>
      </c>
      <c r="G1504">
        <v>4332</v>
      </c>
      <c r="H1504">
        <v>107200</v>
      </c>
    </row>
    <row r="1505" spans="2:8">
      <c r="B1505" t="s">
        <v>587</v>
      </c>
      <c r="C1505" t="s">
        <v>340</v>
      </c>
      <c r="D1505">
        <v>4332</v>
      </c>
      <c r="E1505">
        <v>4332</v>
      </c>
      <c r="F1505">
        <v>4326</v>
      </c>
      <c r="G1505">
        <v>4329</v>
      </c>
      <c r="H1505">
        <v>125500</v>
      </c>
    </row>
    <row r="1506" spans="2:8">
      <c r="B1506" t="s">
        <v>587</v>
      </c>
      <c r="C1506" t="s">
        <v>341</v>
      </c>
      <c r="D1506">
        <v>4329</v>
      </c>
      <c r="E1506">
        <v>4332</v>
      </c>
      <c r="F1506">
        <v>4328</v>
      </c>
      <c r="G1506">
        <v>4329</v>
      </c>
      <c r="H1506">
        <v>36900</v>
      </c>
    </row>
    <row r="1507" spans="2:8">
      <c r="B1507" t="s">
        <v>587</v>
      </c>
      <c r="C1507" t="s">
        <v>342</v>
      </c>
      <c r="D1507">
        <v>4329</v>
      </c>
      <c r="E1507">
        <v>4329</v>
      </c>
      <c r="F1507">
        <v>4323</v>
      </c>
      <c r="G1507">
        <v>4326</v>
      </c>
      <c r="H1507">
        <v>73600</v>
      </c>
    </row>
    <row r="1508" spans="2:8">
      <c r="B1508" t="s">
        <v>587</v>
      </c>
      <c r="C1508" t="s">
        <v>343</v>
      </c>
      <c r="D1508">
        <v>4326</v>
      </c>
      <c r="E1508">
        <v>4327</v>
      </c>
      <c r="F1508">
        <v>4320</v>
      </c>
      <c r="G1508">
        <v>4321</v>
      </c>
      <c r="H1508">
        <v>54600</v>
      </c>
    </row>
    <row r="1509" spans="2:8">
      <c r="B1509" t="s">
        <v>587</v>
      </c>
      <c r="C1509" t="s">
        <v>344</v>
      </c>
      <c r="D1509">
        <v>4321</v>
      </c>
      <c r="E1509">
        <v>4321</v>
      </c>
      <c r="F1509">
        <v>4312</v>
      </c>
      <c r="G1509">
        <v>4317</v>
      </c>
      <c r="H1509">
        <v>150400</v>
      </c>
    </row>
    <row r="1510" spans="2:8">
      <c r="B1510" t="s">
        <v>587</v>
      </c>
      <c r="C1510" t="s">
        <v>345</v>
      </c>
      <c r="D1510">
        <v>4317</v>
      </c>
      <c r="E1510">
        <v>4317</v>
      </c>
      <c r="F1510">
        <v>4314</v>
      </c>
      <c r="G1510">
        <v>4314</v>
      </c>
      <c r="H1510">
        <v>48600</v>
      </c>
    </row>
    <row r="1511" spans="2:8">
      <c r="B1511" t="s">
        <v>587</v>
      </c>
      <c r="C1511" t="s">
        <v>346</v>
      </c>
      <c r="D1511">
        <v>4316</v>
      </c>
      <c r="E1511">
        <v>4316</v>
      </c>
      <c r="F1511">
        <v>4310</v>
      </c>
      <c r="G1511">
        <v>4312</v>
      </c>
      <c r="H1511">
        <v>109500</v>
      </c>
    </row>
    <row r="1512" spans="2:8">
      <c r="B1512" t="s">
        <v>587</v>
      </c>
      <c r="C1512" t="s">
        <v>347</v>
      </c>
      <c r="D1512">
        <v>4313</v>
      </c>
      <c r="E1512">
        <v>4313</v>
      </c>
      <c r="F1512">
        <v>4302</v>
      </c>
      <c r="G1512">
        <v>4307</v>
      </c>
      <c r="H1512">
        <v>151600</v>
      </c>
    </row>
    <row r="1513" spans="2:8">
      <c r="B1513" t="s">
        <v>587</v>
      </c>
      <c r="C1513" t="s">
        <v>348</v>
      </c>
      <c r="D1513">
        <v>4308</v>
      </c>
      <c r="E1513">
        <v>4313</v>
      </c>
      <c r="F1513">
        <v>4307</v>
      </c>
      <c r="G1513">
        <v>4313</v>
      </c>
      <c r="H1513">
        <v>72500</v>
      </c>
    </row>
    <row r="1514" spans="2:8">
      <c r="B1514" t="s">
        <v>587</v>
      </c>
      <c r="C1514" t="s">
        <v>349</v>
      </c>
      <c r="D1514">
        <v>4313</v>
      </c>
      <c r="E1514">
        <v>4314</v>
      </c>
      <c r="F1514">
        <v>4310</v>
      </c>
      <c r="G1514">
        <v>4313</v>
      </c>
      <c r="H1514">
        <v>45600</v>
      </c>
    </row>
    <row r="1515" spans="2:8">
      <c r="B1515" t="s">
        <v>587</v>
      </c>
      <c r="C1515" t="s">
        <v>350</v>
      </c>
      <c r="D1515">
        <v>4313</v>
      </c>
      <c r="E1515">
        <v>4315</v>
      </c>
      <c r="F1515">
        <v>4313</v>
      </c>
      <c r="G1515">
        <v>4314</v>
      </c>
      <c r="H1515">
        <v>29800</v>
      </c>
    </row>
    <row r="1516" spans="2:8">
      <c r="B1516" t="s">
        <v>587</v>
      </c>
      <c r="C1516" t="s">
        <v>351</v>
      </c>
      <c r="D1516">
        <v>4315</v>
      </c>
      <c r="E1516">
        <v>4318</v>
      </c>
      <c r="F1516">
        <v>4312</v>
      </c>
      <c r="G1516">
        <v>4317</v>
      </c>
      <c r="H1516">
        <v>37200</v>
      </c>
    </row>
    <row r="1517" spans="2:8">
      <c r="B1517" t="s">
        <v>587</v>
      </c>
      <c r="C1517" t="s">
        <v>352</v>
      </c>
      <c r="D1517">
        <v>4317</v>
      </c>
      <c r="E1517">
        <v>4318</v>
      </c>
      <c r="F1517">
        <v>4315</v>
      </c>
      <c r="G1517">
        <v>4317</v>
      </c>
      <c r="H1517">
        <v>24300</v>
      </c>
    </row>
    <row r="1518" spans="2:8">
      <c r="B1518" t="s">
        <v>587</v>
      </c>
      <c r="C1518" t="s">
        <v>353</v>
      </c>
      <c r="D1518">
        <v>4317</v>
      </c>
      <c r="E1518">
        <v>4317</v>
      </c>
      <c r="F1518">
        <v>4310</v>
      </c>
      <c r="G1518">
        <v>4312</v>
      </c>
      <c r="H1518">
        <v>55400</v>
      </c>
    </row>
    <row r="1519" spans="2:8">
      <c r="B1519" t="s">
        <v>587</v>
      </c>
      <c r="C1519" t="s">
        <v>354</v>
      </c>
      <c r="D1519">
        <v>4313</v>
      </c>
      <c r="E1519">
        <v>4318</v>
      </c>
      <c r="F1519">
        <v>4313</v>
      </c>
      <c r="G1519">
        <v>4317</v>
      </c>
      <c r="H1519">
        <v>24300</v>
      </c>
    </row>
    <row r="1520" spans="2:8">
      <c r="B1520" t="s">
        <v>587</v>
      </c>
      <c r="C1520" t="s">
        <v>355</v>
      </c>
      <c r="D1520">
        <v>4317</v>
      </c>
      <c r="E1520">
        <v>4317</v>
      </c>
      <c r="F1520">
        <v>4316</v>
      </c>
      <c r="G1520">
        <v>4316</v>
      </c>
      <c r="H1520">
        <v>14900</v>
      </c>
    </row>
    <row r="1521" spans="2:8">
      <c r="B1521" t="s">
        <v>587</v>
      </c>
      <c r="C1521" t="s">
        <v>356</v>
      </c>
      <c r="D1521">
        <v>4317</v>
      </c>
      <c r="E1521">
        <v>4321</v>
      </c>
      <c r="F1521">
        <v>4316</v>
      </c>
      <c r="G1521">
        <v>4317</v>
      </c>
      <c r="H1521">
        <v>42000</v>
      </c>
    </row>
    <row r="1522" spans="2:8">
      <c r="B1522" t="s">
        <v>587</v>
      </c>
      <c r="C1522" t="s">
        <v>357</v>
      </c>
      <c r="D1522">
        <v>4317</v>
      </c>
      <c r="E1522">
        <v>4319</v>
      </c>
      <c r="F1522">
        <v>4316</v>
      </c>
      <c r="G1522">
        <v>4319</v>
      </c>
      <c r="H1522">
        <v>21300</v>
      </c>
    </row>
    <row r="1523" spans="2:8">
      <c r="B1523" t="s">
        <v>587</v>
      </c>
      <c r="C1523" t="s">
        <v>358</v>
      </c>
      <c r="D1523">
        <v>4319</v>
      </c>
      <c r="E1523">
        <v>4321</v>
      </c>
      <c r="F1523">
        <v>4319</v>
      </c>
      <c r="G1523">
        <v>4321</v>
      </c>
      <c r="H1523">
        <v>33500</v>
      </c>
    </row>
    <row r="1524" spans="2:8">
      <c r="B1524" t="s">
        <v>587</v>
      </c>
      <c r="C1524" t="s">
        <v>359</v>
      </c>
      <c r="D1524">
        <v>4321</v>
      </c>
      <c r="E1524">
        <v>4324</v>
      </c>
      <c r="F1524">
        <v>4320</v>
      </c>
      <c r="G1524">
        <v>4324</v>
      </c>
      <c r="H1524">
        <v>34400</v>
      </c>
    </row>
    <row r="1525" spans="2:8">
      <c r="B1525" t="s">
        <v>587</v>
      </c>
      <c r="C1525" t="s">
        <v>360</v>
      </c>
      <c r="D1525">
        <v>4325</v>
      </c>
      <c r="E1525">
        <v>4327</v>
      </c>
      <c r="F1525">
        <v>4324</v>
      </c>
      <c r="G1525">
        <v>4325</v>
      </c>
      <c r="H1525">
        <v>35600</v>
      </c>
    </row>
    <row r="1526" spans="2:8">
      <c r="B1526" t="s">
        <v>587</v>
      </c>
      <c r="C1526" t="s">
        <v>361</v>
      </c>
      <c r="D1526">
        <v>4325</v>
      </c>
      <c r="E1526">
        <v>4328</v>
      </c>
      <c r="F1526">
        <v>4325</v>
      </c>
      <c r="G1526">
        <v>4328</v>
      </c>
      <c r="H1526">
        <v>20700</v>
      </c>
    </row>
    <row r="1527" spans="2:8">
      <c r="B1527" t="s">
        <v>587</v>
      </c>
      <c r="C1527" t="s">
        <v>362</v>
      </c>
      <c r="D1527">
        <v>4328</v>
      </c>
      <c r="E1527">
        <v>4331</v>
      </c>
      <c r="F1527">
        <v>4327</v>
      </c>
      <c r="G1527">
        <v>4330</v>
      </c>
      <c r="H1527">
        <v>68300</v>
      </c>
    </row>
    <row r="1528" spans="2:8">
      <c r="B1528" t="s">
        <v>587</v>
      </c>
      <c r="C1528" t="s">
        <v>363</v>
      </c>
      <c r="D1528">
        <v>4331</v>
      </c>
      <c r="E1528">
        <v>4332</v>
      </c>
      <c r="F1528">
        <v>4328</v>
      </c>
      <c r="G1528">
        <v>4328</v>
      </c>
      <c r="H1528">
        <v>31800</v>
      </c>
    </row>
    <row r="1529" spans="2:8">
      <c r="B1529" t="s">
        <v>587</v>
      </c>
      <c r="C1529" t="s">
        <v>364</v>
      </c>
      <c r="D1529">
        <v>4329</v>
      </c>
      <c r="E1529">
        <v>4330</v>
      </c>
      <c r="F1529">
        <v>4326</v>
      </c>
      <c r="G1529">
        <v>4326</v>
      </c>
      <c r="H1529">
        <v>54500</v>
      </c>
    </row>
    <row r="1530" spans="2:8">
      <c r="B1530" t="s">
        <v>587</v>
      </c>
      <c r="C1530" t="s">
        <v>365</v>
      </c>
      <c r="D1530">
        <v>4327</v>
      </c>
      <c r="E1530">
        <v>4328</v>
      </c>
      <c r="F1530">
        <v>4326</v>
      </c>
      <c r="G1530">
        <v>4326</v>
      </c>
      <c r="H1530">
        <v>32400</v>
      </c>
    </row>
    <row r="1531" spans="2:8">
      <c r="B1531" t="s">
        <v>587</v>
      </c>
      <c r="C1531" t="s">
        <v>366</v>
      </c>
      <c r="D1531">
        <v>4327</v>
      </c>
      <c r="E1531">
        <v>4329</v>
      </c>
      <c r="F1531">
        <v>4326</v>
      </c>
      <c r="G1531">
        <v>4327</v>
      </c>
      <c r="H1531">
        <v>21500</v>
      </c>
    </row>
    <row r="1532" spans="2:8">
      <c r="B1532" t="s">
        <v>587</v>
      </c>
      <c r="C1532" t="s">
        <v>367</v>
      </c>
      <c r="D1532">
        <v>4328</v>
      </c>
      <c r="E1532">
        <v>4332</v>
      </c>
      <c r="F1532">
        <v>4326</v>
      </c>
      <c r="G1532">
        <v>4329</v>
      </c>
      <c r="H1532">
        <v>38100</v>
      </c>
    </row>
    <row r="1533" spans="2:8">
      <c r="B1533" t="s">
        <v>587</v>
      </c>
      <c r="C1533" t="s">
        <v>368</v>
      </c>
      <c r="D1533">
        <v>4329</v>
      </c>
      <c r="E1533">
        <v>4335</v>
      </c>
      <c r="F1533">
        <v>4329</v>
      </c>
      <c r="G1533">
        <v>4333</v>
      </c>
      <c r="H1533">
        <v>30100</v>
      </c>
    </row>
    <row r="1534" spans="2:8">
      <c r="B1534" t="s">
        <v>587</v>
      </c>
      <c r="C1534" t="s">
        <v>369</v>
      </c>
      <c r="D1534">
        <v>4333</v>
      </c>
      <c r="E1534">
        <v>4333</v>
      </c>
      <c r="F1534">
        <v>4330</v>
      </c>
      <c r="G1534">
        <v>4332</v>
      </c>
      <c r="H1534">
        <v>15900</v>
      </c>
    </row>
    <row r="1535" spans="2:8">
      <c r="B1535" t="s">
        <v>587</v>
      </c>
      <c r="C1535" t="s">
        <v>370</v>
      </c>
      <c r="D1535">
        <v>4331</v>
      </c>
      <c r="E1535">
        <v>4340</v>
      </c>
      <c r="F1535">
        <v>4331</v>
      </c>
      <c r="G1535">
        <v>4336</v>
      </c>
      <c r="H1535">
        <v>81300</v>
      </c>
    </row>
    <row r="1536" spans="2:8">
      <c r="B1536" t="s">
        <v>587</v>
      </c>
      <c r="C1536" t="s">
        <v>371</v>
      </c>
      <c r="D1536">
        <v>4336</v>
      </c>
      <c r="E1536">
        <v>4336</v>
      </c>
      <c r="F1536">
        <v>4332</v>
      </c>
      <c r="G1536">
        <v>4336</v>
      </c>
      <c r="H1536">
        <v>36500</v>
      </c>
    </row>
    <row r="1537" spans="2:8">
      <c r="B1537" t="s">
        <v>587</v>
      </c>
      <c r="C1537" t="s">
        <v>372</v>
      </c>
      <c r="D1537">
        <v>4336</v>
      </c>
      <c r="E1537">
        <v>4336</v>
      </c>
      <c r="F1537">
        <v>4333</v>
      </c>
      <c r="G1537">
        <v>4333</v>
      </c>
      <c r="H1537">
        <v>26800</v>
      </c>
    </row>
    <row r="1538" spans="2:8">
      <c r="B1538" t="s">
        <v>587</v>
      </c>
      <c r="C1538" t="s">
        <v>373</v>
      </c>
      <c r="D1538">
        <v>4334</v>
      </c>
      <c r="E1538">
        <v>4337</v>
      </c>
      <c r="F1538">
        <v>4334</v>
      </c>
      <c r="G1538">
        <v>4335</v>
      </c>
      <c r="H1538">
        <v>31300</v>
      </c>
    </row>
    <row r="1539" spans="2:8">
      <c r="B1539" t="s">
        <v>587</v>
      </c>
      <c r="C1539" t="s">
        <v>374</v>
      </c>
      <c r="D1539">
        <v>4336</v>
      </c>
      <c r="E1539">
        <v>4336</v>
      </c>
      <c r="F1539">
        <v>4333</v>
      </c>
      <c r="G1539">
        <v>4333</v>
      </c>
      <c r="H1539">
        <v>33900</v>
      </c>
    </row>
    <row r="1540" spans="2:8">
      <c r="B1540" t="s">
        <v>587</v>
      </c>
      <c r="C1540" t="s">
        <v>375</v>
      </c>
      <c r="D1540">
        <v>4333</v>
      </c>
      <c r="E1540">
        <v>4334</v>
      </c>
      <c r="F1540">
        <v>4331</v>
      </c>
      <c r="G1540">
        <v>4333</v>
      </c>
      <c r="H1540">
        <v>28300</v>
      </c>
    </row>
    <row r="1541" spans="2:8">
      <c r="B1541" t="s">
        <v>587</v>
      </c>
      <c r="C1541" t="s">
        <v>376</v>
      </c>
      <c r="D1541">
        <v>4333</v>
      </c>
      <c r="E1541">
        <v>4337</v>
      </c>
      <c r="F1541">
        <v>4332</v>
      </c>
      <c r="G1541">
        <v>4336</v>
      </c>
      <c r="H1541">
        <v>35400</v>
      </c>
    </row>
    <row r="1542" spans="2:8">
      <c r="B1542" t="s">
        <v>587</v>
      </c>
      <c r="C1542" t="s">
        <v>377</v>
      </c>
      <c r="D1542">
        <v>4337</v>
      </c>
      <c r="E1542">
        <v>4343</v>
      </c>
      <c r="F1542">
        <v>4337</v>
      </c>
      <c r="G1542">
        <v>4343</v>
      </c>
      <c r="H1542">
        <v>74600</v>
      </c>
    </row>
    <row r="1543" spans="2:8">
      <c r="B1543" t="s">
        <v>587</v>
      </c>
      <c r="C1543" t="s">
        <v>378</v>
      </c>
      <c r="D1543">
        <v>4344</v>
      </c>
      <c r="E1543">
        <v>4345</v>
      </c>
      <c r="F1543">
        <v>4343</v>
      </c>
      <c r="G1543">
        <v>4344</v>
      </c>
      <c r="H1543">
        <v>31000</v>
      </c>
    </row>
    <row r="1544" spans="2:8">
      <c r="B1544" t="s">
        <v>587</v>
      </c>
      <c r="C1544" t="s">
        <v>379</v>
      </c>
      <c r="D1544">
        <v>4345</v>
      </c>
      <c r="E1544">
        <v>4345</v>
      </c>
      <c r="F1544">
        <v>4343</v>
      </c>
      <c r="G1544">
        <v>4344</v>
      </c>
      <c r="H1544">
        <v>14500</v>
      </c>
    </row>
    <row r="1545" spans="2:8">
      <c r="B1545" t="s">
        <v>587</v>
      </c>
      <c r="C1545" t="s">
        <v>380</v>
      </c>
      <c r="D1545">
        <v>4344</v>
      </c>
      <c r="E1545">
        <v>4345</v>
      </c>
      <c r="F1545">
        <v>4339</v>
      </c>
      <c r="G1545">
        <v>4339</v>
      </c>
      <c r="H1545">
        <v>70800</v>
      </c>
    </row>
    <row r="1546" spans="2:8">
      <c r="B1546" t="s">
        <v>587</v>
      </c>
      <c r="C1546" t="s">
        <v>381</v>
      </c>
      <c r="D1546">
        <v>4340</v>
      </c>
      <c r="E1546">
        <v>4341</v>
      </c>
      <c r="F1546">
        <v>4338</v>
      </c>
      <c r="G1546">
        <v>4339</v>
      </c>
      <c r="H1546">
        <v>22900</v>
      </c>
    </row>
    <row r="1547" spans="2:8">
      <c r="B1547" t="s">
        <v>587</v>
      </c>
      <c r="C1547" t="s">
        <v>382</v>
      </c>
      <c r="D1547">
        <v>4339</v>
      </c>
      <c r="E1547">
        <v>4340</v>
      </c>
      <c r="F1547">
        <v>4338</v>
      </c>
      <c r="G1547">
        <v>4339</v>
      </c>
      <c r="H1547">
        <v>16800</v>
      </c>
    </row>
    <row r="1548" spans="2:8">
      <c r="B1548" t="s">
        <v>587</v>
      </c>
      <c r="C1548" t="s">
        <v>383</v>
      </c>
      <c r="D1548">
        <v>4339</v>
      </c>
      <c r="E1548">
        <v>4342</v>
      </c>
      <c r="F1548">
        <v>4339</v>
      </c>
      <c r="G1548">
        <v>4342</v>
      </c>
      <c r="H1548">
        <v>20500</v>
      </c>
    </row>
    <row r="1549" spans="2:8">
      <c r="B1549" t="s">
        <v>587</v>
      </c>
      <c r="C1549" t="s">
        <v>384</v>
      </c>
      <c r="D1549">
        <v>4342</v>
      </c>
      <c r="E1549">
        <v>4344</v>
      </c>
      <c r="F1549">
        <v>4342</v>
      </c>
      <c r="G1549">
        <v>4342</v>
      </c>
      <c r="H1549">
        <v>37100</v>
      </c>
    </row>
    <row r="1550" spans="2:8">
      <c r="B1550" t="s">
        <v>587</v>
      </c>
      <c r="C1550" t="s">
        <v>385</v>
      </c>
      <c r="D1550">
        <v>4342</v>
      </c>
      <c r="E1550">
        <v>4343</v>
      </c>
      <c r="F1550">
        <v>4339</v>
      </c>
      <c r="G1550">
        <v>4340</v>
      </c>
      <c r="H1550">
        <v>34100</v>
      </c>
    </row>
    <row r="1551" spans="2:8">
      <c r="B1551" t="s">
        <v>587</v>
      </c>
      <c r="C1551" t="s">
        <v>386</v>
      </c>
      <c r="D1551">
        <v>4340</v>
      </c>
      <c r="E1551">
        <v>4344</v>
      </c>
      <c r="F1551">
        <v>4340</v>
      </c>
      <c r="G1551">
        <v>4342</v>
      </c>
      <c r="H1551">
        <v>42100</v>
      </c>
    </row>
    <row r="1552" spans="2:8">
      <c r="B1552" t="s">
        <v>587</v>
      </c>
      <c r="C1552" t="s">
        <v>387</v>
      </c>
      <c r="D1552">
        <v>4341</v>
      </c>
      <c r="E1552">
        <v>4342</v>
      </c>
      <c r="F1552">
        <v>4337</v>
      </c>
      <c r="G1552">
        <v>4337</v>
      </c>
      <c r="H1552">
        <v>57800</v>
      </c>
    </row>
    <row r="1553" spans="2:8">
      <c r="B1553" t="s">
        <v>587</v>
      </c>
      <c r="C1553" t="s">
        <v>388</v>
      </c>
      <c r="D1553">
        <v>4337</v>
      </c>
      <c r="E1553">
        <v>4339</v>
      </c>
      <c r="F1553">
        <v>4337</v>
      </c>
      <c r="G1553">
        <v>4337</v>
      </c>
      <c r="H1553">
        <v>17800</v>
      </c>
    </row>
    <row r="1554" spans="2:8">
      <c r="B1554" t="s">
        <v>587</v>
      </c>
      <c r="C1554" t="s">
        <v>389</v>
      </c>
      <c r="D1554">
        <v>4338</v>
      </c>
      <c r="E1554">
        <v>4339</v>
      </c>
      <c r="F1554">
        <v>4336</v>
      </c>
      <c r="G1554">
        <v>4337</v>
      </c>
      <c r="H1554">
        <v>18300</v>
      </c>
    </row>
    <row r="1555" spans="2:8">
      <c r="B1555" t="s">
        <v>587</v>
      </c>
      <c r="C1555" t="s">
        <v>390</v>
      </c>
      <c r="D1555">
        <v>4338</v>
      </c>
      <c r="E1555">
        <v>4338</v>
      </c>
      <c r="F1555">
        <v>4332</v>
      </c>
      <c r="G1555">
        <v>4333</v>
      </c>
      <c r="H1555">
        <v>71000</v>
      </c>
    </row>
    <row r="1556" spans="2:8">
      <c r="B1556" t="s">
        <v>587</v>
      </c>
      <c r="C1556" t="s">
        <v>391</v>
      </c>
      <c r="D1556">
        <v>4334</v>
      </c>
      <c r="E1556">
        <v>4337</v>
      </c>
      <c r="F1556">
        <v>4333</v>
      </c>
      <c r="G1556">
        <v>4337</v>
      </c>
      <c r="H1556">
        <v>29600</v>
      </c>
    </row>
    <row r="1557" spans="2:8">
      <c r="B1557" t="s">
        <v>587</v>
      </c>
      <c r="C1557" t="s">
        <v>392</v>
      </c>
      <c r="D1557">
        <v>4336</v>
      </c>
      <c r="E1557">
        <v>4338</v>
      </c>
      <c r="F1557">
        <v>4333</v>
      </c>
      <c r="G1557">
        <v>4336</v>
      </c>
      <c r="H1557">
        <v>47600</v>
      </c>
    </row>
    <row r="1558" spans="2:8">
      <c r="B1558" t="s">
        <v>587</v>
      </c>
      <c r="C1558" t="s">
        <v>393</v>
      </c>
      <c r="D1558">
        <v>4336</v>
      </c>
      <c r="E1558">
        <v>4338</v>
      </c>
      <c r="F1558">
        <v>4334</v>
      </c>
      <c r="G1558">
        <v>4336</v>
      </c>
      <c r="H1558">
        <v>16800</v>
      </c>
    </row>
    <row r="1559" spans="2:8">
      <c r="B1559" t="s">
        <v>587</v>
      </c>
      <c r="C1559" t="s">
        <v>394</v>
      </c>
      <c r="D1559">
        <v>4337</v>
      </c>
      <c r="E1559">
        <v>4337</v>
      </c>
      <c r="F1559">
        <v>4334</v>
      </c>
      <c r="G1559">
        <v>4337</v>
      </c>
      <c r="H1559">
        <v>33900</v>
      </c>
    </row>
    <row r="1560" spans="2:8">
      <c r="B1560" t="s">
        <v>587</v>
      </c>
      <c r="C1560" t="s">
        <v>395</v>
      </c>
      <c r="D1560">
        <v>4337</v>
      </c>
      <c r="E1560">
        <v>4338</v>
      </c>
      <c r="F1560">
        <v>4336</v>
      </c>
      <c r="G1560">
        <v>4336</v>
      </c>
      <c r="H1560">
        <v>14100</v>
      </c>
    </row>
    <row r="1561" spans="2:8">
      <c r="B1561" t="s">
        <v>587</v>
      </c>
      <c r="C1561" t="s">
        <v>396</v>
      </c>
      <c r="D1561">
        <v>4336</v>
      </c>
      <c r="E1561">
        <v>4340</v>
      </c>
      <c r="F1561">
        <v>4333</v>
      </c>
      <c r="G1561">
        <v>4333</v>
      </c>
      <c r="H1561">
        <v>39000</v>
      </c>
    </row>
    <row r="1562" spans="2:8">
      <c r="B1562" t="s">
        <v>587</v>
      </c>
      <c r="C1562" t="s">
        <v>397</v>
      </c>
      <c r="D1562">
        <v>4334</v>
      </c>
      <c r="E1562">
        <v>4334</v>
      </c>
      <c r="F1562">
        <v>4331</v>
      </c>
      <c r="G1562">
        <v>4333</v>
      </c>
      <c r="H1562">
        <v>38500</v>
      </c>
    </row>
    <row r="1563" spans="2:8">
      <c r="B1563" t="s">
        <v>587</v>
      </c>
      <c r="C1563" t="s">
        <v>398</v>
      </c>
      <c r="D1563">
        <v>4333</v>
      </c>
      <c r="E1563">
        <v>4334</v>
      </c>
      <c r="F1563">
        <v>4330</v>
      </c>
      <c r="G1563">
        <v>4331</v>
      </c>
      <c r="H1563">
        <v>28800</v>
      </c>
    </row>
    <row r="1564" spans="2:8">
      <c r="B1564" t="s">
        <v>587</v>
      </c>
      <c r="C1564" t="s">
        <v>399</v>
      </c>
      <c r="D1564">
        <v>4331</v>
      </c>
      <c r="E1564">
        <v>4332</v>
      </c>
      <c r="F1564">
        <v>4331</v>
      </c>
      <c r="G1564">
        <v>4332</v>
      </c>
      <c r="H1564">
        <v>10700</v>
      </c>
    </row>
    <row r="1565" spans="2:8">
      <c r="B1565" t="s">
        <v>587</v>
      </c>
      <c r="C1565" t="s">
        <v>400</v>
      </c>
      <c r="D1565">
        <v>4331</v>
      </c>
      <c r="E1565">
        <v>4334</v>
      </c>
      <c r="F1565">
        <v>4331</v>
      </c>
      <c r="G1565">
        <v>4332</v>
      </c>
      <c r="H1565">
        <v>42800</v>
      </c>
    </row>
    <row r="1566" spans="2:8">
      <c r="B1566" t="s">
        <v>587</v>
      </c>
      <c r="C1566" t="s">
        <v>401</v>
      </c>
      <c r="D1566">
        <v>4333</v>
      </c>
      <c r="E1566">
        <v>4335</v>
      </c>
      <c r="F1566">
        <v>4332</v>
      </c>
      <c r="G1566">
        <v>4334</v>
      </c>
      <c r="H1566">
        <v>52900</v>
      </c>
    </row>
    <row r="1567" spans="2:8">
      <c r="B1567" t="s">
        <v>587</v>
      </c>
      <c r="C1567" t="s">
        <v>402</v>
      </c>
      <c r="D1567">
        <v>4335</v>
      </c>
      <c r="E1567">
        <v>4335</v>
      </c>
      <c r="F1567">
        <v>4330</v>
      </c>
      <c r="G1567">
        <v>4332</v>
      </c>
      <c r="H1567">
        <v>80400</v>
      </c>
    </row>
    <row r="1568" spans="2:8">
      <c r="B1568" t="s">
        <v>587</v>
      </c>
      <c r="C1568" t="s">
        <v>403</v>
      </c>
      <c r="D1568">
        <v>4332</v>
      </c>
      <c r="E1568">
        <v>4332</v>
      </c>
      <c r="F1568">
        <v>4330</v>
      </c>
      <c r="G1568">
        <v>4332</v>
      </c>
      <c r="H1568">
        <v>105300</v>
      </c>
    </row>
    <row r="1569" spans="2:8">
      <c r="B1569" t="s">
        <v>587</v>
      </c>
      <c r="C1569" t="s">
        <v>404</v>
      </c>
      <c r="D1569">
        <v>4332</v>
      </c>
      <c r="E1569">
        <v>4332</v>
      </c>
      <c r="F1569">
        <v>4330</v>
      </c>
      <c r="G1569">
        <v>4331</v>
      </c>
      <c r="H1569">
        <v>27200</v>
      </c>
    </row>
    <row r="1570" spans="2:8">
      <c r="B1570" t="s">
        <v>587</v>
      </c>
      <c r="C1570" t="s">
        <v>405</v>
      </c>
      <c r="D1570">
        <v>4332</v>
      </c>
      <c r="E1570">
        <v>4332</v>
      </c>
      <c r="F1570">
        <v>4325</v>
      </c>
      <c r="G1570">
        <v>4326</v>
      </c>
      <c r="H1570">
        <v>83400</v>
      </c>
    </row>
    <row r="1571" spans="2:8">
      <c r="B1571" t="s">
        <v>587</v>
      </c>
      <c r="C1571" t="s">
        <v>406</v>
      </c>
      <c r="D1571">
        <v>4327</v>
      </c>
      <c r="E1571">
        <v>4327</v>
      </c>
      <c r="F1571">
        <v>4321</v>
      </c>
      <c r="G1571">
        <v>4321</v>
      </c>
      <c r="H1571">
        <v>57800</v>
      </c>
    </row>
    <row r="1572" spans="2:8">
      <c r="B1572" t="s">
        <v>587</v>
      </c>
      <c r="C1572" t="s">
        <v>407</v>
      </c>
      <c r="D1572">
        <v>4321</v>
      </c>
      <c r="E1572">
        <v>4321</v>
      </c>
      <c r="F1572">
        <v>4315</v>
      </c>
      <c r="G1572">
        <v>4316</v>
      </c>
      <c r="H1572">
        <v>118300</v>
      </c>
    </row>
    <row r="1573" spans="2:8">
      <c r="B1573" t="s">
        <v>587</v>
      </c>
      <c r="C1573" t="s">
        <v>408</v>
      </c>
      <c r="D1573">
        <v>4317</v>
      </c>
      <c r="E1573">
        <v>4317</v>
      </c>
      <c r="F1573">
        <v>4313</v>
      </c>
      <c r="G1573">
        <v>4313</v>
      </c>
      <c r="H1573">
        <v>46000</v>
      </c>
    </row>
    <row r="1574" spans="2:8">
      <c r="B1574" t="s">
        <v>587</v>
      </c>
      <c r="C1574" t="s">
        <v>409</v>
      </c>
      <c r="D1574">
        <v>4313</v>
      </c>
      <c r="E1574">
        <v>4317</v>
      </c>
      <c r="F1574">
        <v>4313</v>
      </c>
      <c r="G1574">
        <v>4317</v>
      </c>
      <c r="H1574">
        <v>54700</v>
      </c>
    </row>
    <row r="1575" spans="2:8">
      <c r="B1575" t="s">
        <v>587</v>
      </c>
      <c r="C1575" t="s">
        <v>410</v>
      </c>
      <c r="D1575">
        <v>4317</v>
      </c>
      <c r="E1575">
        <v>4317</v>
      </c>
      <c r="F1575">
        <v>4314</v>
      </c>
      <c r="G1575">
        <v>4315</v>
      </c>
      <c r="H1575">
        <v>33200</v>
      </c>
    </row>
    <row r="1576" spans="2:8">
      <c r="B1576" t="s">
        <v>587</v>
      </c>
      <c r="C1576" t="s">
        <v>411</v>
      </c>
      <c r="D1576">
        <v>4315</v>
      </c>
      <c r="E1576">
        <v>4315</v>
      </c>
      <c r="F1576">
        <v>4310</v>
      </c>
      <c r="G1576">
        <v>4312</v>
      </c>
      <c r="H1576">
        <v>78400</v>
      </c>
    </row>
    <row r="1577" spans="2:8">
      <c r="B1577" t="s">
        <v>587</v>
      </c>
      <c r="C1577" t="s">
        <v>412</v>
      </c>
      <c r="D1577">
        <v>4312</v>
      </c>
      <c r="E1577">
        <v>4313</v>
      </c>
      <c r="F1577">
        <v>4308</v>
      </c>
      <c r="G1577">
        <v>4308</v>
      </c>
      <c r="H1577">
        <v>109800</v>
      </c>
    </row>
    <row r="1578" spans="2:8">
      <c r="B1578" t="s">
        <v>587</v>
      </c>
      <c r="C1578" t="s">
        <v>413</v>
      </c>
      <c r="D1578">
        <v>4308</v>
      </c>
      <c r="E1578">
        <v>4309</v>
      </c>
      <c r="F1578">
        <v>4301</v>
      </c>
      <c r="G1578">
        <v>4304</v>
      </c>
      <c r="H1578">
        <v>167500</v>
      </c>
    </row>
    <row r="1579" spans="2:8">
      <c r="B1579" t="s">
        <v>587</v>
      </c>
      <c r="C1579" t="s">
        <v>414</v>
      </c>
      <c r="D1579">
        <v>4304</v>
      </c>
      <c r="E1579">
        <v>4305</v>
      </c>
      <c r="F1579">
        <v>4303</v>
      </c>
      <c r="G1579">
        <v>4304</v>
      </c>
      <c r="H1579">
        <v>33200</v>
      </c>
    </row>
    <row r="1580" spans="2:8">
      <c r="B1580" t="s">
        <v>587</v>
      </c>
      <c r="C1580" t="s">
        <v>415</v>
      </c>
      <c r="D1580">
        <v>4304</v>
      </c>
      <c r="E1580">
        <v>4304</v>
      </c>
      <c r="F1580">
        <v>4302</v>
      </c>
      <c r="G1580">
        <v>4304</v>
      </c>
      <c r="H1580">
        <v>28700</v>
      </c>
    </row>
    <row r="1581" spans="2:8">
      <c r="B1581" t="s">
        <v>587</v>
      </c>
      <c r="C1581" t="s">
        <v>416</v>
      </c>
      <c r="D1581">
        <v>4303</v>
      </c>
      <c r="E1581">
        <v>4304</v>
      </c>
      <c r="F1581">
        <v>4292</v>
      </c>
      <c r="G1581">
        <v>4301</v>
      </c>
      <c r="H1581">
        <v>506100</v>
      </c>
    </row>
    <row r="1582" spans="2:8">
      <c r="B1582" t="s">
        <v>587</v>
      </c>
      <c r="C1582" t="s">
        <v>417</v>
      </c>
      <c r="D1582">
        <v>4301</v>
      </c>
      <c r="E1582">
        <v>4301</v>
      </c>
      <c r="F1582">
        <v>4295</v>
      </c>
      <c r="G1582">
        <v>4296</v>
      </c>
      <c r="H1582">
        <v>70200</v>
      </c>
    </row>
    <row r="1583" spans="2:8">
      <c r="B1583" t="s">
        <v>587</v>
      </c>
      <c r="C1583" t="s">
        <v>418</v>
      </c>
      <c r="D1583">
        <v>4296</v>
      </c>
      <c r="E1583">
        <v>4298</v>
      </c>
      <c r="F1583">
        <v>4291</v>
      </c>
      <c r="G1583">
        <v>4291</v>
      </c>
      <c r="H1583">
        <v>104000</v>
      </c>
    </row>
    <row r="1584" spans="2:8">
      <c r="B1584" t="s">
        <v>587</v>
      </c>
      <c r="C1584" t="s">
        <v>419</v>
      </c>
      <c r="D1584">
        <v>4292</v>
      </c>
      <c r="E1584">
        <v>4295</v>
      </c>
      <c r="F1584">
        <v>4290</v>
      </c>
      <c r="G1584">
        <v>4293</v>
      </c>
      <c r="H1584">
        <v>77000</v>
      </c>
    </row>
    <row r="1585" spans="2:8">
      <c r="B1585" t="s">
        <v>587</v>
      </c>
      <c r="C1585" t="s">
        <v>420</v>
      </c>
      <c r="D1585">
        <v>4292</v>
      </c>
      <c r="E1585">
        <v>4293</v>
      </c>
      <c r="F1585">
        <v>4291</v>
      </c>
      <c r="G1585">
        <v>4292</v>
      </c>
      <c r="H1585">
        <v>36300</v>
      </c>
    </row>
    <row r="1586" spans="2:8">
      <c r="B1586" t="s">
        <v>587</v>
      </c>
      <c r="C1586" t="s">
        <v>421</v>
      </c>
      <c r="D1586">
        <v>4292</v>
      </c>
      <c r="E1586">
        <v>4296</v>
      </c>
      <c r="F1586">
        <v>4292</v>
      </c>
      <c r="G1586">
        <v>4296</v>
      </c>
      <c r="H1586">
        <v>55100</v>
      </c>
    </row>
    <row r="1587" spans="2:8">
      <c r="B1587" t="s">
        <v>587</v>
      </c>
      <c r="C1587" t="s">
        <v>422</v>
      </c>
      <c r="D1587">
        <v>4296</v>
      </c>
      <c r="E1587">
        <v>4296</v>
      </c>
      <c r="F1587">
        <v>4292</v>
      </c>
      <c r="G1587">
        <v>4295</v>
      </c>
      <c r="H1587">
        <v>35300</v>
      </c>
    </row>
    <row r="1588" spans="2:8">
      <c r="B1588" t="s">
        <v>587</v>
      </c>
      <c r="C1588" t="s">
        <v>423</v>
      </c>
      <c r="D1588">
        <v>4295</v>
      </c>
      <c r="E1588">
        <v>4298</v>
      </c>
      <c r="F1588">
        <v>4294</v>
      </c>
      <c r="G1588">
        <v>4296</v>
      </c>
      <c r="H1588">
        <v>43100</v>
      </c>
    </row>
    <row r="1589" spans="2:8">
      <c r="B1589" t="s">
        <v>587</v>
      </c>
      <c r="C1589" t="s">
        <v>424</v>
      </c>
      <c r="D1589">
        <v>4295</v>
      </c>
      <c r="E1589">
        <v>4295</v>
      </c>
      <c r="F1589">
        <v>4293</v>
      </c>
      <c r="G1589">
        <v>4294</v>
      </c>
      <c r="H1589">
        <v>29900</v>
      </c>
    </row>
    <row r="1590" spans="2:8">
      <c r="B1590" t="s">
        <v>587</v>
      </c>
      <c r="C1590" t="s">
        <v>425</v>
      </c>
      <c r="D1590">
        <v>4294</v>
      </c>
      <c r="E1590">
        <v>4294</v>
      </c>
      <c r="F1590">
        <v>4286</v>
      </c>
      <c r="G1590">
        <v>4288</v>
      </c>
      <c r="H1590">
        <v>182100</v>
      </c>
    </row>
    <row r="1591" spans="2:8">
      <c r="B1591" t="s">
        <v>587</v>
      </c>
      <c r="C1591" t="s">
        <v>426</v>
      </c>
      <c r="D1591">
        <v>4287</v>
      </c>
      <c r="E1591">
        <v>4291</v>
      </c>
      <c r="F1591">
        <v>4286</v>
      </c>
      <c r="G1591">
        <v>4291</v>
      </c>
      <c r="H1591">
        <v>48400</v>
      </c>
    </row>
    <row r="1592" spans="2:8">
      <c r="B1592" t="s">
        <v>587</v>
      </c>
      <c r="C1592" t="s">
        <v>427</v>
      </c>
      <c r="D1592">
        <v>4291</v>
      </c>
      <c r="E1592">
        <v>4293</v>
      </c>
      <c r="F1592">
        <v>4288</v>
      </c>
      <c r="G1592">
        <v>4289</v>
      </c>
      <c r="H1592">
        <v>42600</v>
      </c>
    </row>
    <row r="1593" spans="2:8">
      <c r="B1593" t="s">
        <v>587</v>
      </c>
      <c r="C1593" t="s">
        <v>428</v>
      </c>
      <c r="D1593">
        <v>4289</v>
      </c>
      <c r="E1593">
        <v>4293</v>
      </c>
      <c r="F1593">
        <v>4288</v>
      </c>
      <c r="G1593">
        <v>4291</v>
      </c>
      <c r="H1593">
        <v>33500</v>
      </c>
    </row>
    <row r="1594" spans="2:8">
      <c r="B1594" t="s">
        <v>587</v>
      </c>
      <c r="C1594" t="s">
        <v>429</v>
      </c>
      <c r="D1594">
        <v>4292</v>
      </c>
      <c r="E1594">
        <v>4295</v>
      </c>
      <c r="F1594">
        <v>4289</v>
      </c>
      <c r="G1594">
        <v>4294</v>
      </c>
      <c r="H1594">
        <v>72400</v>
      </c>
    </row>
    <row r="1595" spans="2:8">
      <c r="B1595" t="s">
        <v>587</v>
      </c>
      <c r="C1595" t="s">
        <v>430</v>
      </c>
      <c r="D1595">
        <v>4293</v>
      </c>
      <c r="E1595">
        <v>4294</v>
      </c>
      <c r="F1595">
        <v>4289</v>
      </c>
      <c r="G1595">
        <v>4291</v>
      </c>
      <c r="H1595">
        <v>40600</v>
      </c>
    </row>
    <row r="1596" spans="2:8">
      <c r="B1596" t="s">
        <v>587</v>
      </c>
      <c r="C1596" t="s">
        <v>431</v>
      </c>
      <c r="D1596">
        <v>4291</v>
      </c>
      <c r="E1596">
        <v>4293</v>
      </c>
      <c r="F1596">
        <v>4289</v>
      </c>
      <c r="G1596">
        <v>4292</v>
      </c>
      <c r="H1596">
        <v>32600</v>
      </c>
    </row>
    <row r="1597" spans="2:8">
      <c r="B1597" t="s">
        <v>587</v>
      </c>
      <c r="C1597" t="s">
        <v>9</v>
      </c>
      <c r="D1597">
        <v>4292</v>
      </c>
      <c r="E1597">
        <v>4293</v>
      </c>
      <c r="F1597">
        <v>4289</v>
      </c>
      <c r="G1597">
        <v>4290</v>
      </c>
      <c r="H1597">
        <v>29000</v>
      </c>
    </row>
    <row r="1598" spans="2:8">
      <c r="B1598" t="s">
        <v>587</v>
      </c>
      <c r="C1598" t="s">
        <v>10</v>
      </c>
      <c r="D1598">
        <v>4290</v>
      </c>
      <c r="E1598">
        <v>4293</v>
      </c>
      <c r="F1598">
        <v>4288</v>
      </c>
      <c r="G1598">
        <v>4288</v>
      </c>
      <c r="H1598">
        <v>68800</v>
      </c>
    </row>
    <row r="1599" spans="2:8">
      <c r="B1599" t="s">
        <v>587</v>
      </c>
      <c r="C1599" t="s">
        <v>11</v>
      </c>
      <c r="D1599">
        <v>4289</v>
      </c>
      <c r="E1599">
        <v>4291</v>
      </c>
      <c r="F1599">
        <v>4289</v>
      </c>
      <c r="G1599">
        <v>4290</v>
      </c>
      <c r="H1599">
        <v>36200</v>
      </c>
    </row>
    <row r="1600" spans="2:8">
      <c r="B1600" t="s">
        <v>587</v>
      </c>
      <c r="C1600" t="s">
        <v>12</v>
      </c>
      <c r="D1600">
        <v>4290</v>
      </c>
      <c r="E1600">
        <v>4294</v>
      </c>
      <c r="F1600">
        <v>4288</v>
      </c>
      <c r="G1600">
        <v>4291</v>
      </c>
      <c r="H1600">
        <v>93600</v>
      </c>
    </row>
    <row r="1601" spans="2:8">
      <c r="B1601" t="s">
        <v>587</v>
      </c>
      <c r="C1601" t="s">
        <v>13</v>
      </c>
      <c r="D1601">
        <v>4291</v>
      </c>
      <c r="E1601">
        <v>4291</v>
      </c>
      <c r="F1601">
        <v>4287</v>
      </c>
      <c r="G1601">
        <v>4290</v>
      </c>
      <c r="H1601">
        <v>50700</v>
      </c>
    </row>
    <row r="1602" spans="2:8">
      <c r="B1602" t="s">
        <v>587</v>
      </c>
      <c r="C1602" t="s">
        <v>14</v>
      </c>
      <c r="D1602">
        <v>4290</v>
      </c>
      <c r="E1602">
        <v>4297</v>
      </c>
      <c r="F1602">
        <v>4290</v>
      </c>
      <c r="G1602">
        <v>4296</v>
      </c>
      <c r="H1602">
        <v>52600</v>
      </c>
    </row>
    <row r="1603" spans="2:8">
      <c r="B1603" t="s">
        <v>587</v>
      </c>
      <c r="C1603" t="s">
        <v>15</v>
      </c>
      <c r="D1603">
        <v>4295</v>
      </c>
      <c r="E1603">
        <v>4296</v>
      </c>
      <c r="F1603">
        <v>4289</v>
      </c>
      <c r="G1603">
        <v>4290</v>
      </c>
      <c r="H1603">
        <v>38700</v>
      </c>
    </row>
    <row r="1604" spans="2:8">
      <c r="B1604" t="s">
        <v>587</v>
      </c>
      <c r="C1604" t="s">
        <v>16</v>
      </c>
      <c r="D1604">
        <v>4290</v>
      </c>
      <c r="E1604">
        <v>4297</v>
      </c>
      <c r="F1604">
        <v>4289</v>
      </c>
      <c r="G1604">
        <v>4296</v>
      </c>
      <c r="H1604">
        <v>63600</v>
      </c>
    </row>
    <row r="1605" spans="2:8">
      <c r="B1605" t="s">
        <v>587</v>
      </c>
      <c r="C1605" t="s">
        <v>17</v>
      </c>
      <c r="D1605">
        <v>4297</v>
      </c>
      <c r="E1605">
        <v>4301</v>
      </c>
      <c r="F1605">
        <v>4296</v>
      </c>
      <c r="G1605">
        <v>4300</v>
      </c>
      <c r="H1605">
        <v>80300</v>
      </c>
    </row>
    <row r="1606" spans="2:8">
      <c r="B1606" t="s">
        <v>587</v>
      </c>
      <c r="C1606" t="s">
        <v>18</v>
      </c>
      <c r="D1606">
        <v>4299</v>
      </c>
      <c r="E1606">
        <v>4300</v>
      </c>
      <c r="F1606">
        <v>4296</v>
      </c>
      <c r="G1606">
        <v>4300</v>
      </c>
      <c r="H1606">
        <v>45700</v>
      </c>
    </row>
    <row r="1607" spans="2:8">
      <c r="B1607" t="s">
        <v>587</v>
      </c>
      <c r="C1607" t="s">
        <v>19</v>
      </c>
      <c r="D1607">
        <v>4300</v>
      </c>
      <c r="E1607">
        <v>4300</v>
      </c>
      <c r="F1607">
        <v>4297</v>
      </c>
      <c r="G1607">
        <v>4300</v>
      </c>
      <c r="H1607">
        <v>30100</v>
      </c>
    </row>
    <row r="1608" spans="2:8">
      <c r="B1608" t="s">
        <v>587</v>
      </c>
      <c r="C1608" t="s">
        <v>20</v>
      </c>
      <c r="D1608">
        <v>4300</v>
      </c>
      <c r="E1608">
        <v>4302</v>
      </c>
      <c r="F1608">
        <v>4295</v>
      </c>
      <c r="G1608">
        <v>4295</v>
      </c>
      <c r="H1608">
        <v>47200</v>
      </c>
    </row>
    <row r="1609" spans="2:8">
      <c r="B1609" t="s">
        <v>587</v>
      </c>
      <c r="C1609" t="s">
        <v>21</v>
      </c>
      <c r="D1609">
        <v>4296</v>
      </c>
      <c r="E1609">
        <v>4300</v>
      </c>
      <c r="F1609">
        <v>4295</v>
      </c>
      <c r="G1609">
        <v>4298</v>
      </c>
      <c r="H1609">
        <v>32100</v>
      </c>
    </row>
    <row r="1610" spans="2:8">
      <c r="B1610" t="s">
        <v>587</v>
      </c>
      <c r="C1610" t="s">
        <v>22</v>
      </c>
      <c r="D1610">
        <v>4298</v>
      </c>
      <c r="E1610">
        <v>4303</v>
      </c>
      <c r="F1610">
        <v>4297</v>
      </c>
      <c r="G1610">
        <v>4299</v>
      </c>
      <c r="H1610">
        <v>99400</v>
      </c>
    </row>
    <row r="1611" spans="2:8">
      <c r="B1611" t="s">
        <v>587</v>
      </c>
      <c r="C1611" t="s">
        <v>23</v>
      </c>
      <c r="D1611">
        <v>4299</v>
      </c>
      <c r="E1611">
        <v>4301</v>
      </c>
      <c r="F1611">
        <v>4297</v>
      </c>
      <c r="G1611">
        <v>4300</v>
      </c>
      <c r="H1611">
        <v>27000</v>
      </c>
    </row>
    <row r="1612" spans="2:8">
      <c r="B1612" t="s">
        <v>587</v>
      </c>
      <c r="C1612" t="s">
        <v>24</v>
      </c>
      <c r="D1612">
        <v>4300</v>
      </c>
      <c r="E1612">
        <v>4300</v>
      </c>
      <c r="F1612">
        <v>4298</v>
      </c>
      <c r="G1612">
        <v>4299</v>
      </c>
      <c r="H1612">
        <v>24900</v>
      </c>
    </row>
    <row r="1613" spans="2:8">
      <c r="B1613" t="s">
        <v>587</v>
      </c>
      <c r="C1613" t="s">
        <v>25</v>
      </c>
      <c r="D1613">
        <v>4299</v>
      </c>
      <c r="E1613">
        <v>4302</v>
      </c>
      <c r="F1613">
        <v>4298</v>
      </c>
      <c r="G1613">
        <v>4301</v>
      </c>
      <c r="H1613">
        <v>36800</v>
      </c>
    </row>
    <row r="1614" spans="2:8">
      <c r="B1614" t="s">
        <v>587</v>
      </c>
      <c r="C1614" t="s">
        <v>26</v>
      </c>
      <c r="D1614">
        <v>4302</v>
      </c>
      <c r="E1614">
        <v>4302</v>
      </c>
      <c r="F1614">
        <v>4300</v>
      </c>
      <c r="G1614">
        <v>4301</v>
      </c>
      <c r="H1614">
        <v>34300</v>
      </c>
    </row>
    <row r="1615" spans="2:8">
      <c r="B1615" t="s">
        <v>587</v>
      </c>
      <c r="C1615" t="s">
        <v>27</v>
      </c>
      <c r="D1615">
        <v>4301</v>
      </c>
      <c r="E1615">
        <v>4304</v>
      </c>
      <c r="F1615">
        <v>4300</v>
      </c>
      <c r="G1615">
        <v>4304</v>
      </c>
      <c r="H1615">
        <v>40500</v>
      </c>
    </row>
    <row r="1616" spans="2:8">
      <c r="B1616" t="s">
        <v>587</v>
      </c>
      <c r="C1616" t="s">
        <v>28</v>
      </c>
      <c r="D1616">
        <v>4304</v>
      </c>
      <c r="E1616">
        <v>4304</v>
      </c>
      <c r="F1616">
        <v>4301</v>
      </c>
      <c r="G1616">
        <v>4302</v>
      </c>
      <c r="H1616">
        <v>28200</v>
      </c>
    </row>
    <row r="1617" spans="2:8">
      <c r="B1617" t="s">
        <v>587</v>
      </c>
      <c r="C1617" t="s">
        <v>29</v>
      </c>
      <c r="D1617">
        <v>4302</v>
      </c>
      <c r="E1617">
        <v>4303</v>
      </c>
      <c r="F1617">
        <v>4300</v>
      </c>
      <c r="G1617">
        <v>4302</v>
      </c>
      <c r="H1617">
        <v>29200</v>
      </c>
    </row>
    <row r="1618" spans="2:8">
      <c r="B1618" t="s">
        <v>587</v>
      </c>
      <c r="C1618" t="s">
        <v>30</v>
      </c>
      <c r="D1618">
        <v>4301</v>
      </c>
      <c r="E1618">
        <v>4303</v>
      </c>
      <c r="F1618">
        <v>4300</v>
      </c>
      <c r="G1618">
        <v>4302</v>
      </c>
      <c r="H1618">
        <v>52800</v>
      </c>
    </row>
    <row r="1619" spans="2:8">
      <c r="B1619" t="s">
        <v>587</v>
      </c>
      <c r="C1619" t="s">
        <v>31</v>
      </c>
      <c r="D1619">
        <v>4302</v>
      </c>
      <c r="E1619">
        <v>4304</v>
      </c>
      <c r="F1619">
        <v>4301</v>
      </c>
      <c r="G1619">
        <v>4303</v>
      </c>
      <c r="H1619">
        <v>31000</v>
      </c>
    </row>
    <row r="1620" spans="2:8">
      <c r="B1620" t="s">
        <v>587</v>
      </c>
      <c r="C1620" t="s">
        <v>32</v>
      </c>
      <c r="D1620">
        <v>4303</v>
      </c>
      <c r="E1620">
        <v>4304</v>
      </c>
      <c r="F1620">
        <v>4300</v>
      </c>
      <c r="G1620">
        <v>4304</v>
      </c>
      <c r="H1620">
        <v>56300</v>
      </c>
    </row>
    <row r="1621" spans="2:8">
      <c r="B1621" t="s">
        <v>587</v>
      </c>
      <c r="C1621" t="s">
        <v>33</v>
      </c>
      <c r="D1621">
        <v>4304</v>
      </c>
      <c r="E1621">
        <v>4308</v>
      </c>
      <c r="F1621">
        <v>4304</v>
      </c>
      <c r="G1621">
        <v>4307</v>
      </c>
      <c r="H1621">
        <v>48700</v>
      </c>
    </row>
    <row r="1622" spans="2:8">
      <c r="B1622" t="s">
        <v>587</v>
      </c>
      <c r="C1622" t="s">
        <v>34</v>
      </c>
      <c r="D1622">
        <v>4308</v>
      </c>
      <c r="E1622">
        <v>4309</v>
      </c>
      <c r="F1622">
        <v>4305</v>
      </c>
      <c r="G1622">
        <v>4307</v>
      </c>
      <c r="H1622">
        <v>40700</v>
      </c>
    </row>
    <row r="1623" spans="2:8">
      <c r="B1623" t="s">
        <v>587</v>
      </c>
      <c r="C1623" t="s">
        <v>35</v>
      </c>
      <c r="D1623">
        <v>4308</v>
      </c>
      <c r="E1623">
        <v>4310</v>
      </c>
      <c r="F1623">
        <v>4306</v>
      </c>
      <c r="G1623">
        <v>4309</v>
      </c>
      <c r="H1623">
        <v>35700</v>
      </c>
    </row>
    <row r="1624" spans="2:8">
      <c r="B1624" t="s">
        <v>587</v>
      </c>
      <c r="C1624" t="s">
        <v>36</v>
      </c>
      <c r="D1624">
        <v>4310</v>
      </c>
      <c r="E1624">
        <v>4318</v>
      </c>
      <c r="F1624">
        <v>4308</v>
      </c>
      <c r="G1624">
        <v>4318</v>
      </c>
      <c r="H1624">
        <v>94500</v>
      </c>
    </row>
    <row r="1625" spans="2:8">
      <c r="B1625" t="s">
        <v>587</v>
      </c>
      <c r="C1625" t="s">
        <v>37</v>
      </c>
      <c r="D1625">
        <v>4317</v>
      </c>
      <c r="E1625">
        <v>4317</v>
      </c>
      <c r="F1625">
        <v>4313</v>
      </c>
      <c r="G1625">
        <v>4315</v>
      </c>
      <c r="H1625">
        <v>60700</v>
      </c>
    </row>
    <row r="1626" spans="2:8">
      <c r="B1626" t="s">
        <v>587</v>
      </c>
      <c r="C1626" t="s">
        <v>38</v>
      </c>
      <c r="D1626">
        <v>4314</v>
      </c>
      <c r="E1626">
        <v>4315</v>
      </c>
      <c r="F1626">
        <v>4312</v>
      </c>
      <c r="G1626">
        <v>4314</v>
      </c>
      <c r="H1626">
        <v>28200</v>
      </c>
    </row>
    <row r="1627" spans="2:8">
      <c r="B1627" t="s">
        <v>587</v>
      </c>
      <c r="C1627" t="s">
        <v>39</v>
      </c>
      <c r="D1627">
        <v>4314</v>
      </c>
      <c r="E1627">
        <v>4314</v>
      </c>
      <c r="F1627">
        <v>4308</v>
      </c>
      <c r="G1627">
        <v>4309</v>
      </c>
      <c r="H1627">
        <v>56000</v>
      </c>
    </row>
    <row r="1628" spans="2:8">
      <c r="B1628" t="s">
        <v>587</v>
      </c>
      <c r="C1628" t="s">
        <v>40</v>
      </c>
      <c r="D1628">
        <v>4308</v>
      </c>
      <c r="E1628">
        <v>4308</v>
      </c>
      <c r="F1628">
        <v>4302</v>
      </c>
      <c r="G1628">
        <v>4307</v>
      </c>
      <c r="H1628">
        <v>57700</v>
      </c>
    </row>
    <row r="1629" spans="2:8">
      <c r="B1629" t="s">
        <v>587</v>
      </c>
      <c r="C1629" t="s">
        <v>41</v>
      </c>
      <c r="D1629">
        <v>4308</v>
      </c>
      <c r="E1629">
        <v>4309</v>
      </c>
      <c r="F1629">
        <v>4306</v>
      </c>
      <c r="G1629">
        <v>4308</v>
      </c>
      <c r="H1629">
        <v>37800</v>
      </c>
    </row>
    <row r="1630" spans="2:8">
      <c r="B1630" t="s">
        <v>587</v>
      </c>
      <c r="C1630" t="s">
        <v>42</v>
      </c>
      <c r="D1630">
        <v>4308</v>
      </c>
      <c r="E1630">
        <v>4309</v>
      </c>
      <c r="F1630">
        <v>4306</v>
      </c>
      <c r="G1630">
        <v>4308</v>
      </c>
      <c r="H1630">
        <v>31900</v>
      </c>
    </row>
    <row r="1631" spans="2:8">
      <c r="B1631" t="s">
        <v>587</v>
      </c>
      <c r="C1631" t="s">
        <v>43</v>
      </c>
      <c r="D1631">
        <v>4308</v>
      </c>
      <c r="E1631">
        <v>4311</v>
      </c>
      <c r="F1631">
        <v>4307</v>
      </c>
      <c r="G1631">
        <v>4309</v>
      </c>
      <c r="H1631">
        <v>38400</v>
      </c>
    </row>
    <row r="1632" spans="2:8">
      <c r="B1632" t="s">
        <v>587</v>
      </c>
      <c r="C1632" t="s">
        <v>44</v>
      </c>
      <c r="D1632">
        <v>4310</v>
      </c>
      <c r="E1632">
        <v>4312</v>
      </c>
      <c r="F1632">
        <v>4308</v>
      </c>
      <c r="G1632">
        <v>4311</v>
      </c>
      <c r="H1632">
        <v>47200</v>
      </c>
    </row>
    <row r="1633" spans="2:8">
      <c r="B1633" t="s">
        <v>587</v>
      </c>
      <c r="C1633" t="s">
        <v>45</v>
      </c>
      <c r="D1633">
        <v>4312</v>
      </c>
      <c r="E1633">
        <v>4312</v>
      </c>
      <c r="F1633">
        <v>4308</v>
      </c>
      <c r="G1633">
        <v>4311</v>
      </c>
      <c r="H1633">
        <v>36700</v>
      </c>
    </row>
    <row r="1634" spans="2:8">
      <c r="B1634" t="s">
        <v>587</v>
      </c>
      <c r="C1634" t="s">
        <v>46</v>
      </c>
      <c r="D1634">
        <v>4311</v>
      </c>
      <c r="E1634">
        <v>4312</v>
      </c>
      <c r="F1634">
        <v>4308</v>
      </c>
      <c r="G1634">
        <v>4309</v>
      </c>
      <c r="H1634">
        <v>42100</v>
      </c>
    </row>
    <row r="1635" spans="2:8">
      <c r="B1635" t="s">
        <v>587</v>
      </c>
      <c r="C1635" t="s">
        <v>47</v>
      </c>
      <c r="D1635">
        <v>4309</v>
      </c>
      <c r="E1635">
        <v>4310</v>
      </c>
      <c r="F1635">
        <v>4307</v>
      </c>
      <c r="G1635">
        <v>4309</v>
      </c>
      <c r="H1635">
        <v>32900</v>
      </c>
    </row>
    <row r="1636" spans="2:8">
      <c r="B1636" t="s">
        <v>587</v>
      </c>
      <c r="C1636" t="s">
        <v>48</v>
      </c>
      <c r="D1636">
        <v>4308</v>
      </c>
      <c r="E1636">
        <v>4309</v>
      </c>
      <c r="F1636">
        <v>4305</v>
      </c>
      <c r="G1636">
        <v>4306</v>
      </c>
      <c r="H1636">
        <v>64200</v>
      </c>
    </row>
    <row r="1637" spans="2:8">
      <c r="B1637" t="s">
        <v>587</v>
      </c>
      <c r="C1637" t="s">
        <v>49</v>
      </c>
      <c r="D1637">
        <v>4305</v>
      </c>
      <c r="E1637">
        <v>4306</v>
      </c>
      <c r="F1637">
        <v>4301</v>
      </c>
      <c r="G1637">
        <v>4302</v>
      </c>
      <c r="H1637">
        <v>67600</v>
      </c>
    </row>
    <row r="1638" spans="2:8">
      <c r="B1638" t="s">
        <v>587</v>
      </c>
      <c r="C1638" t="s">
        <v>50</v>
      </c>
      <c r="D1638">
        <v>4302</v>
      </c>
      <c r="E1638">
        <v>4305</v>
      </c>
      <c r="F1638">
        <v>4301</v>
      </c>
      <c r="G1638">
        <v>4302</v>
      </c>
      <c r="H1638">
        <v>49700</v>
      </c>
    </row>
    <row r="1639" spans="2:8">
      <c r="B1639" t="s">
        <v>587</v>
      </c>
      <c r="C1639" t="s">
        <v>51</v>
      </c>
      <c r="D1639">
        <v>4302</v>
      </c>
      <c r="E1639">
        <v>4304</v>
      </c>
      <c r="F1639">
        <v>4300</v>
      </c>
      <c r="G1639">
        <v>4301</v>
      </c>
      <c r="H1639">
        <v>70600</v>
      </c>
    </row>
    <row r="1640" spans="2:8">
      <c r="B1640" t="s">
        <v>587</v>
      </c>
      <c r="C1640" t="s">
        <v>52</v>
      </c>
      <c r="D1640">
        <v>4301</v>
      </c>
      <c r="E1640">
        <v>4306</v>
      </c>
      <c r="F1640">
        <v>4300</v>
      </c>
      <c r="G1640">
        <v>4304</v>
      </c>
      <c r="H1640">
        <v>75800</v>
      </c>
    </row>
    <row r="1641" spans="2:8">
      <c r="B1641" t="s">
        <v>587</v>
      </c>
      <c r="C1641" t="s">
        <v>53</v>
      </c>
      <c r="D1641">
        <v>4305</v>
      </c>
      <c r="E1641">
        <v>4305</v>
      </c>
      <c r="F1641">
        <v>4302</v>
      </c>
      <c r="G1641">
        <v>4303</v>
      </c>
      <c r="H1641">
        <v>45200</v>
      </c>
    </row>
    <row r="1642" spans="2:8">
      <c r="B1642" t="s">
        <v>587</v>
      </c>
      <c r="C1642" t="s">
        <v>54</v>
      </c>
      <c r="D1642">
        <v>4302</v>
      </c>
      <c r="E1642">
        <v>4303</v>
      </c>
      <c r="F1642">
        <v>4300</v>
      </c>
      <c r="G1642">
        <v>4301</v>
      </c>
      <c r="H1642">
        <v>70800</v>
      </c>
    </row>
    <row r="1643" spans="2:8">
      <c r="B1643" t="s">
        <v>587</v>
      </c>
      <c r="C1643" t="s">
        <v>55</v>
      </c>
      <c r="D1643">
        <v>4301</v>
      </c>
      <c r="E1643">
        <v>4301</v>
      </c>
      <c r="F1643">
        <v>4296</v>
      </c>
      <c r="G1643">
        <v>4297</v>
      </c>
      <c r="H1643">
        <v>150100</v>
      </c>
    </row>
    <row r="1644" spans="2:8">
      <c r="B1644" t="s">
        <v>587</v>
      </c>
      <c r="C1644" t="s">
        <v>56</v>
      </c>
      <c r="D1644">
        <v>4297</v>
      </c>
      <c r="E1644">
        <v>4300</v>
      </c>
      <c r="F1644">
        <v>4296</v>
      </c>
      <c r="G1644">
        <v>4299</v>
      </c>
      <c r="H1644">
        <v>60500</v>
      </c>
    </row>
    <row r="1645" spans="2:8">
      <c r="B1645" t="s">
        <v>587</v>
      </c>
      <c r="C1645" t="s">
        <v>57</v>
      </c>
      <c r="D1645">
        <v>4299</v>
      </c>
      <c r="E1645">
        <v>4301</v>
      </c>
      <c r="F1645">
        <v>4298</v>
      </c>
      <c r="G1645">
        <v>4301</v>
      </c>
      <c r="H1645">
        <v>49800</v>
      </c>
    </row>
    <row r="1646" spans="2:8">
      <c r="B1646" t="s">
        <v>587</v>
      </c>
      <c r="C1646" t="s">
        <v>58</v>
      </c>
      <c r="D1646">
        <v>4300</v>
      </c>
      <c r="E1646">
        <v>4301</v>
      </c>
      <c r="F1646">
        <v>4295</v>
      </c>
      <c r="G1646">
        <v>4298</v>
      </c>
      <c r="H1646">
        <v>78800</v>
      </c>
    </row>
    <row r="1647" spans="2:8">
      <c r="B1647" t="s">
        <v>587</v>
      </c>
      <c r="C1647" t="s">
        <v>59</v>
      </c>
      <c r="D1647">
        <v>4298</v>
      </c>
      <c r="E1647">
        <v>4300</v>
      </c>
      <c r="F1647">
        <v>4297</v>
      </c>
      <c r="G1647">
        <v>4299</v>
      </c>
      <c r="H1647">
        <v>49700</v>
      </c>
    </row>
    <row r="1648" spans="2:8">
      <c r="B1648" t="s">
        <v>587</v>
      </c>
      <c r="C1648" t="s">
        <v>60</v>
      </c>
      <c r="D1648">
        <v>4299</v>
      </c>
      <c r="E1648">
        <v>4300</v>
      </c>
      <c r="F1648">
        <v>4297</v>
      </c>
      <c r="G1648">
        <v>4299</v>
      </c>
      <c r="H1648">
        <v>56000</v>
      </c>
    </row>
    <row r="1649" spans="1:8">
      <c r="B1649" t="s">
        <v>587</v>
      </c>
      <c r="C1649" t="s">
        <v>61</v>
      </c>
      <c r="D1649">
        <v>4299</v>
      </c>
      <c r="E1649">
        <v>4299</v>
      </c>
      <c r="F1649">
        <v>4297</v>
      </c>
      <c r="G1649">
        <v>4298</v>
      </c>
      <c r="H1649">
        <v>28400</v>
      </c>
    </row>
    <row r="1650" spans="1:8">
      <c r="B1650" t="s">
        <v>587</v>
      </c>
      <c r="C1650" t="s">
        <v>62</v>
      </c>
      <c r="D1650">
        <v>4299</v>
      </c>
      <c r="E1650">
        <v>4301</v>
      </c>
      <c r="F1650">
        <v>4297</v>
      </c>
      <c r="G1650">
        <v>4298</v>
      </c>
      <c r="H1650">
        <v>57100</v>
      </c>
    </row>
    <row r="1651" spans="1:8">
      <c r="B1651" t="s">
        <v>587</v>
      </c>
      <c r="C1651" t="s">
        <v>63</v>
      </c>
      <c r="D1651">
        <v>4297</v>
      </c>
      <c r="E1651">
        <v>4300</v>
      </c>
      <c r="F1651">
        <v>4296</v>
      </c>
      <c r="G1651">
        <v>4298</v>
      </c>
      <c r="H1651">
        <v>60700</v>
      </c>
    </row>
    <row r="1652" spans="1:8">
      <c r="B1652" t="s">
        <v>587</v>
      </c>
      <c r="C1652" t="s">
        <v>64</v>
      </c>
      <c r="D1652">
        <v>4298</v>
      </c>
      <c r="E1652">
        <v>4298</v>
      </c>
      <c r="F1652">
        <v>4295</v>
      </c>
      <c r="G1652">
        <v>4297</v>
      </c>
      <c r="H1652">
        <v>83000</v>
      </c>
    </row>
    <row r="1653" spans="1:8">
      <c r="B1653" t="s">
        <v>587</v>
      </c>
      <c r="C1653" t="s">
        <v>65</v>
      </c>
      <c r="D1653">
        <v>4297</v>
      </c>
      <c r="E1653">
        <v>4300</v>
      </c>
      <c r="F1653">
        <v>4296</v>
      </c>
      <c r="G1653">
        <v>4300</v>
      </c>
      <c r="H1653">
        <v>72400</v>
      </c>
    </row>
    <row r="1654" spans="1:8">
      <c r="B1654" t="s">
        <v>587</v>
      </c>
      <c r="C1654" t="s">
        <v>66</v>
      </c>
      <c r="D1654">
        <v>4299</v>
      </c>
      <c r="E1654">
        <v>4301</v>
      </c>
      <c r="F1654">
        <v>4297</v>
      </c>
      <c r="G1654">
        <v>4298</v>
      </c>
      <c r="H1654">
        <v>86300</v>
      </c>
    </row>
    <row r="1655" spans="1:8">
      <c r="B1655" t="s">
        <v>587</v>
      </c>
      <c r="C1655" t="s">
        <v>164</v>
      </c>
      <c r="D1655">
        <v>4300</v>
      </c>
      <c r="E1655">
        <v>4300</v>
      </c>
      <c r="F1655">
        <v>4297</v>
      </c>
      <c r="G1655">
        <v>4298</v>
      </c>
      <c r="H1655">
        <v>66000</v>
      </c>
    </row>
    <row r="1656" spans="1:8">
      <c r="B1656" t="s">
        <v>587</v>
      </c>
      <c r="C1656" t="s">
        <v>165</v>
      </c>
      <c r="D1656">
        <v>4298</v>
      </c>
      <c r="E1656">
        <v>4300</v>
      </c>
      <c r="F1656">
        <v>4297</v>
      </c>
      <c r="G1656">
        <v>4297</v>
      </c>
      <c r="H1656">
        <v>76900</v>
      </c>
    </row>
    <row r="1657" spans="1:8">
      <c r="B1657" t="s">
        <v>587</v>
      </c>
      <c r="C1657" t="s">
        <v>67</v>
      </c>
      <c r="D1657" t="s">
        <v>8</v>
      </c>
      <c r="E1657" t="s">
        <v>8</v>
      </c>
      <c r="F1657" t="s">
        <v>8</v>
      </c>
      <c r="G1657" t="s">
        <v>8</v>
      </c>
      <c r="H1657">
        <v>0</v>
      </c>
    </row>
    <row r="1658" spans="1:8">
      <c r="B1658" t="s">
        <v>587</v>
      </c>
      <c r="C1658" t="s">
        <v>68</v>
      </c>
      <c r="D1658" t="s">
        <v>8</v>
      </c>
      <c r="E1658" t="s">
        <v>8</v>
      </c>
      <c r="F1658" t="s">
        <v>8</v>
      </c>
      <c r="G1658" t="s">
        <v>8</v>
      </c>
      <c r="H1658">
        <v>0</v>
      </c>
    </row>
    <row r="1659" spans="1:8">
      <c r="B1659" t="s">
        <v>587</v>
      </c>
      <c r="C1659" t="s">
        <v>69</v>
      </c>
      <c r="D1659" t="s">
        <v>8</v>
      </c>
      <c r="E1659" t="s">
        <v>8</v>
      </c>
      <c r="F1659" t="s">
        <v>8</v>
      </c>
      <c r="G1659" t="s">
        <v>8</v>
      </c>
      <c r="H1659">
        <v>0</v>
      </c>
    </row>
    <row r="1660" spans="1:8">
      <c r="B1660" t="s">
        <v>587</v>
      </c>
      <c r="C1660" t="s">
        <v>70</v>
      </c>
      <c r="D1660" t="s">
        <v>8</v>
      </c>
      <c r="E1660" t="s">
        <v>8</v>
      </c>
      <c r="F1660" t="s">
        <v>8</v>
      </c>
      <c r="G1660" t="s">
        <v>8</v>
      </c>
      <c r="H1660">
        <v>0</v>
      </c>
    </row>
    <row r="1661" spans="1:8">
      <c r="B1661" t="s">
        <v>587</v>
      </c>
      <c r="C1661" t="s">
        <v>71</v>
      </c>
      <c r="D1661" t="s">
        <v>8</v>
      </c>
      <c r="E1661" t="s">
        <v>8</v>
      </c>
      <c r="F1661" t="s">
        <v>8</v>
      </c>
      <c r="G1661" t="s">
        <v>8</v>
      </c>
      <c r="H1661">
        <v>0</v>
      </c>
    </row>
    <row r="1662" spans="1:8">
      <c r="B1662" t="s">
        <v>587</v>
      </c>
      <c r="C1662" t="s">
        <v>72</v>
      </c>
      <c r="D1662">
        <v>4283</v>
      </c>
      <c r="E1662">
        <v>4283</v>
      </c>
      <c r="F1662">
        <v>4283</v>
      </c>
      <c r="G1662">
        <v>4283</v>
      </c>
      <c r="H1662">
        <v>3373400</v>
      </c>
    </row>
    <row r="1663" spans="1:8">
      <c r="A1663" s="1" t="s">
        <v>588</v>
      </c>
      <c r="B1663" s="1" t="s">
        <v>588</v>
      </c>
      <c r="C1663" s="1" t="s">
        <v>588</v>
      </c>
      <c r="D1663" s="1" t="s">
        <v>588</v>
      </c>
      <c r="E1663" s="1" t="s">
        <v>588</v>
      </c>
      <c r="F1663" s="1" t="s">
        <v>588</v>
      </c>
      <c r="G1663" s="1" t="s">
        <v>588</v>
      </c>
      <c r="H1663" s="1" t="s">
        <v>588</v>
      </c>
    </row>
    <row r="1664" spans="1:8">
      <c r="A1664" s="1"/>
      <c r="B1664" s="1" t="s">
        <v>587</v>
      </c>
      <c r="C1664" s="1" t="s">
        <v>167</v>
      </c>
      <c r="D1664" s="1" t="s">
        <v>8</v>
      </c>
      <c r="E1664" s="1" t="s">
        <v>8</v>
      </c>
      <c r="F1664" s="1" t="s">
        <v>8</v>
      </c>
      <c r="G1664" s="1" t="s">
        <v>8</v>
      </c>
      <c r="H1664" s="1">
        <v>0</v>
      </c>
    </row>
    <row r="1665" spans="1:8">
      <c r="A1665" s="1"/>
      <c r="B1665" s="1" t="s">
        <v>587</v>
      </c>
      <c r="C1665" s="1" t="s">
        <v>168</v>
      </c>
      <c r="D1665" s="1" t="s">
        <v>8</v>
      </c>
      <c r="E1665" s="1" t="s">
        <v>8</v>
      </c>
      <c r="F1665" s="1" t="s">
        <v>8</v>
      </c>
      <c r="G1665" s="1" t="s">
        <v>8</v>
      </c>
      <c r="H1665" s="1">
        <v>0</v>
      </c>
    </row>
    <row r="1666" spans="1:8">
      <c r="A1666" s="1"/>
      <c r="B1666" s="1" t="s">
        <v>587</v>
      </c>
      <c r="C1666" s="1" t="s">
        <v>169</v>
      </c>
      <c r="D1666" s="1" t="s">
        <v>8</v>
      </c>
      <c r="E1666" s="1" t="s">
        <v>8</v>
      </c>
      <c r="F1666" s="1" t="s">
        <v>8</v>
      </c>
      <c r="G1666" s="1" t="s">
        <v>8</v>
      </c>
      <c r="H1666" s="1">
        <v>0</v>
      </c>
    </row>
    <row r="1667" spans="1:8">
      <c r="A1667" s="1"/>
      <c r="B1667" s="1" t="s">
        <v>587</v>
      </c>
      <c r="C1667" s="1" t="s">
        <v>170</v>
      </c>
      <c r="D1667" s="1" t="s">
        <v>8</v>
      </c>
      <c r="E1667" s="1" t="s">
        <v>8</v>
      </c>
      <c r="F1667" s="1" t="s">
        <v>8</v>
      </c>
      <c r="G1667" s="1" t="s">
        <v>8</v>
      </c>
      <c r="H1667" s="1">
        <v>0</v>
      </c>
    </row>
    <row r="1668" spans="1:8">
      <c r="A1668" s="1"/>
      <c r="B1668" s="1" t="s">
        <v>587</v>
      </c>
      <c r="C1668" s="1" t="s">
        <v>171</v>
      </c>
      <c r="D1668" s="1" t="s">
        <v>8</v>
      </c>
      <c r="E1668" s="1" t="s">
        <v>8</v>
      </c>
      <c r="F1668" s="1" t="s">
        <v>8</v>
      </c>
      <c r="G1668" s="1" t="s">
        <v>8</v>
      </c>
      <c r="H1668" s="1">
        <v>0</v>
      </c>
    </row>
    <row r="1669" spans="1:8">
      <c r="A1669" s="1"/>
      <c r="B1669" s="1" t="s">
        <v>587</v>
      </c>
      <c r="C1669" s="1" t="s">
        <v>172</v>
      </c>
      <c r="D1669" s="1" t="s">
        <v>8</v>
      </c>
      <c r="E1669" s="1" t="s">
        <v>8</v>
      </c>
      <c r="F1669" s="1" t="s">
        <v>8</v>
      </c>
      <c r="G1669" s="1" t="s">
        <v>8</v>
      </c>
      <c r="H1669" s="1">
        <v>0</v>
      </c>
    </row>
    <row r="1670" spans="1:8">
      <c r="A1670" s="1"/>
      <c r="B1670" s="1" t="s">
        <v>587</v>
      </c>
      <c r="C1670" s="1" t="s">
        <v>173</v>
      </c>
      <c r="D1670" s="1" t="s">
        <v>8</v>
      </c>
      <c r="E1670" s="1" t="s">
        <v>8</v>
      </c>
      <c r="F1670" s="1" t="s">
        <v>8</v>
      </c>
      <c r="G1670" s="1" t="s">
        <v>8</v>
      </c>
      <c r="H1670" s="1">
        <v>0</v>
      </c>
    </row>
    <row r="1671" spans="1:8">
      <c r="A1671" s="1"/>
      <c r="B1671" s="1" t="s">
        <v>587</v>
      </c>
      <c r="C1671" s="1" t="s">
        <v>174</v>
      </c>
      <c r="D1671" s="1" t="s">
        <v>8</v>
      </c>
      <c r="E1671" s="1" t="s">
        <v>8</v>
      </c>
      <c r="F1671" s="1" t="s">
        <v>8</v>
      </c>
      <c r="G1671" s="1" t="s">
        <v>8</v>
      </c>
      <c r="H1671" s="1">
        <v>0</v>
      </c>
    </row>
    <row r="1672" spans="1:8">
      <c r="A1672" s="1"/>
      <c r="B1672" s="1" t="s">
        <v>587</v>
      </c>
      <c r="C1672" s="1" t="s">
        <v>175</v>
      </c>
      <c r="D1672" s="1" t="s">
        <v>8</v>
      </c>
      <c r="E1672" s="1" t="s">
        <v>8</v>
      </c>
      <c r="F1672" s="1" t="s">
        <v>8</v>
      </c>
      <c r="G1672" s="1" t="s">
        <v>8</v>
      </c>
      <c r="H1672" s="1">
        <v>0</v>
      </c>
    </row>
    <row r="1673" spans="1:8">
      <c r="A1673" s="1"/>
      <c r="B1673" s="1" t="s">
        <v>587</v>
      </c>
      <c r="C1673" s="1" t="s">
        <v>176</v>
      </c>
      <c r="D1673" s="1" t="s">
        <v>8</v>
      </c>
      <c r="E1673" s="1" t="s">
        <v>8</v>
      </c>
      <c r="F1673" s="1" t="s">
        <v>8</v>
      </c>
      <c r="G1673" s="1" t="s">
        <v>8</v>
      </c>
      <c r="H1673" s="1">
        <v>0</v>
      </c>
    </row>
    <row r="1674" spans="1:8">
      <c r="A1674" s="1"/>
      <c r="B1674" s="1" t="s">
        <v>587</v>
      </c>
      <c r="C1674" s="1" t="s">
        <v>177</v>
      </c>
      <c r="D1674" s="1" t="s">
        <v>8</v>
      </c>
      <c r="E1674" s="1" t="s">
        <v>8</v>
      </c>
      <c r="F1674" s="1" t="s">
        <v>8</v>
      </c>
      <c r="G1674" s="1" t="s">
        <v>8</v>
      </c>
      <c r="H1674" s="1">
        <v>0</v>
      </c>
    </row>
    <row r="1675" spans="1:8">
      <c r="A1675" s="1"/>
      <c r="B1675" s="1" t="s">
        <v>586</v>
      </c>
      <c r="C1675" s="1" t="s">
        <v>447</v>
      </c>
      <c r="D1675" s="1">
        <v>4368</v>
      </c>
      <c r="E1675" s="1">
        <v>4378</v>
      </c>
      <c r="F1675" s="1">
        <v>4301</v>
      </c>
      <c r="G1675" s="1">
        <v>4337</v>
      </c>
      <c r="H1675" s="1">
        <v>3433100</v>
      </c>
    </row>
    <row r="1676" spans="1:8">
      <c r="A1676" s="1"/>
      <c r="B1676" s="1" t="s">
        <v>586</v>
      </c>
      <c r="C1676" s="1" t="s">
        <v>448</v>
      </c>
      <c r="D1676" s="1">
        <v>4337</v>
      </c>
      <c r="E1676" s="1">
        <v>4368</v>
      </c>
      <c r="F1676" s="1">
        <v>4324</v>
      </c>
      <c r="G1676" s="1">
        <v>4363</v>
      </c>
      <c r="H1676" s="1">
        <v>447300</v>
      </c>
    </row>
    <row r="1677" spans="1:8">
      <c r="A1677" s="1"/>
      <c r="B1677" s="1" t="s">
        <v>586</v>
      </c>
      <c r="C1677" s="1" t="s">
        <v>449</v>
      </c>
      <c r="D1677" s="1">
        <v>4363</v>
      </c>
      <c r="E1677" s="1">
        <v>4374</v>
      </c>
      <c r="F1677" s="1">
        <v>4345</v>
      </c>
      <c r="G1677" s="1">
        <v>4359</v>
      </c>
      <c r="H1677" s="1">
        <v>447800</v>
      </c>
    </row>
    <row r="1678" spans="1:8">
      <c r="A1678" s="1"/>
      <c r="B1678" s="1" t="s">
        <v>586</v>
      </c>
      <c r="C1678" s="1" t="s">
        <v>450</v>
      </c>
      <c r="D1678" s="1">
        <v>4360</v>
      </c>
      <c r="E1678" s="1">
        <v>4365</v>
      </c>
      <c r="F1678" s="1">
        <v>4323</v>
      </c>
      <c r="G1678" s="1">
        <v>4331</v>
      </c>
      <c r="H1678" s="1">
        <v>488000</v>
      </c>
    </row>
    <row r="1679" spans="1:8">
      <c r="A1679" s="1"/>
      <c r="B1679" s="1" t="s">
        <v>586</v>
      </c>
      <c r="C1679" s="1" t="s">
        <v>451</v>
      </c>
      <c r="D1679" s="1">
        <v>4331</v>
      </c>
      <c r="E1679" s="1">
        <v>4348</v>
      </c>
      <c r="F1679" s="1">
        <v>4319</v>
      </c>
      <c r="G1679" s="1">
        <v>4338</v>
      </c>
      <c r="H1679" s="1">
        <v>331600</v>
      </c>
    </row>
    <row r="1680" spans="1:8">
      <c r="A1680" s="1"/>
      <c r="B1680" s="1" t="s">
        <v>586</v>
      </c>
      <c r="C1680" s="1" t="s">
        <v>452</v>
      </c>
      <c r="D1680" s="1">
        <v>4339</v>
      </c>
      <c r="E1680" s="1">
        <v>4342</v>
      </c>
      <c r="F1680" s="1">
        <v>4326</v>
      </c>
      <c r="G1680" s="1">
        <v>4331</v>
      </c>
      <c r="H1680" s="1">
        <v>225600</v>
      </c>
    </row>
    <row r="1681" spans="1:8">
      <c r="A1681" s="1"/>
      <c r="B1681" s="1" t="s">
        <v>586</v>
      </c>
      <c r="C1681" s="1" t="s">
        <v>453</v>
      </c>
      <c r="D1681" s="1">
        <v>4330</v>
      </c>
      <c r="E1681" s="1">
        <v>4343</v>
      </c>
      <c r="F1681" s="1">
        <v>4315</v>
      </c>
      <c r="G1681" s="1">
        <v>4319</v>
      </c>
      <c r="H1681" s="1">
        <v>391100</v>
      </c>
    </row>
    <row r="1682" spans="1:8">
      <c r="A1682" s="1"/>
      <c r="B1682" s="1" t="s">
        <v>586</v>
      </c>
      <c r="C1682" s="1" t="s">
        <v>454</v>
      </c>
      <c r="D1682" s="1">
        <v>4319</v>
      </c>
      <c r="E1682" s="1">
        <v>4342</v>
      </c>
      <c r="F1682" s="1">
        <v>4305</v>
      </c>
      <c r="G1682" s="1">
        <v>4336</v>
      </c>
      <c r="H1682" s="1">
        <v>438600</v>
      </c>
    </row>
    <row r="1683" spans="1:8">
      <c r="A1683" s="1"/>
      <c r="B1683" s="1" t="s">
        <v>586</v>
      </c>
      <c r="C1683" s="1" t="s">
        <v>455</v>
      </c>
      <c r="D1683" s="1">
        <v>4336</v>
      </c>
      <c r="E1683" s="1">
        <v>4336</v>
      </c>
      <c r="F1683" s="1">
        <v>4326</v>
      </c>
      <c r="G1683" s="1">
        <v>4329</v>
      </c>
      <c r="H1683" s="1">
        <v>178600</v>
      </c>
    </row>
    <row r="1684" spans="1:8">
      <c r="A1684" s="1"/>
      <c r="B1684" s="1" t="s">
        <v>586</v>
      </c>
      <c r="C1684" s="1" t="s">
        <v>456</v>
      </c>
      <c r="D1684" s="1">
        <v>4330</v>
      </c>
      <c r="E1684" s="1">
        <v>4340</v>
      </c>
      <c r="F1684" s="1">
        <v>4327</v>
      </c>
      <c r="G1684" s="1">
        <v>4337</v>
      </c>
      <c r="H1684" s="1">
        <v>165700</v>
      </c>
    </row>
    <row r="1685" spans="1:8">
      <c r="A1685" s="1"/>
      <c r="B1685" s="1" t="s">
        <v>586</v>
      </c>
      <c r="C1685" s="1" t="s">
        <v>457</v>
      </c>
      <c r="D1685" s="1">
        <v>4337</v>
      </c>
      <c r="E1685" s="1">
        <v>4337</v>
      </c>
      <c r="F1685" s="1">
        <v>4321</v>
      </c>
      <c r="G1685" s="1">
        <v>4327</v>
      </c>
      <c r="H1685" s="1">
        <v>236600</v>
      </c>
    </row>
    <row r="1686" spans="1:8">
      <c r="A1686" s="1"/>
      <c r="B1686" s="1" t="s">
        <v>586</v>
      </c>
      <c r="C1686" s="1" t="s">
        <v>458</v>
      </c>
      <c r="D1686" s="1">
        <v>4326</v>
      </c>
      <c r="E1686" s="1">
        <v>4344</v>
      </c>
      <c r="F1686" s="1">
        <v>4323</v>
      </c>
      <c r="G1686" s="1">
        <v>4339</v>
      </c>
      <c r="H1686" s="1">
        <v>174200</v>
      </c>
    </row>
    <row r="1687" spans="1:8">
      <c r="A1687" s="1"/>
      <c r="B1687" s="1" t="s">
        <v>586</v>
      </c>
      <c r="C1687" s="1" t="s">
        <v>459</v>
      </c>
      <c r="D1687" s="1">
        <v>4338</v>
      </c>
      <c r="E1687" s="1">
        <v>4340</v>
      </c>
      <c r="F1687" s="1">
        <v>4322</v>
      </c>
      <c r="G1687" s="1">
        <v>4326</v>
      </c>
      <c r="H1687" s="1">
        <v>206600</v>
      </c>
    </row>
    <row r="1688" spans="1:8">
      <c r="A1688" s="1"/>
      <c r="B1688" s="1" t="s">
        <v>586</v>
      </c>
      <c r="C1688" s="1" t="s">
        <v>460</v>
      </c>
      <c r="D1688" s="1">
        <v>4327</v>
      </c>
      <c r="E1688" s="1">
        <v>4327</v>
      </c>
      <c r="F1688" s="1">
        <v>4308</v>
      </c>
      <c r="G1688" s="1">
        <v>4311</v>
      </c>
      <c r="H1688" s="1">
        <v>352300</v>
      </c>
    </row>
    <row r="1689" spans="1:8">
      <c r="A1689" s="1"/>
      <c r="B1689" s="1" t="s">
        <v>586</v>
      </c>
      <c r="C1689" s="1" t="s">
        <v>461</v>
      </c>
      <c r="D1689" s="1">
        <v>4312</v>
      </c>
      <c r="E1689" s="1">
        <v>4313</v>
      </c>
      <c r="F1689" s="1">
        <v>4286</v>
      </c>
      <c r="G1689" s="1">
        <v>4289</v>
      </c>
      <c r="H1689" s="1">
        <v>575400</v>
      </c>
    </row>
    <row r="1690" spans="1:8">
      <c r="A1690" s="1"/>
      <c r="B1690" s="1" t="s">
        <v>586</v>
      </c>
      <c r="C1690" s="1" t="s">
        <v>462</v>
      </c>
      <c r="D1690" s="1">
        <v>4289</v>
      </c>
      <c r="E1690" s="1">
        <v>4293</v>
      </c>
      <c r="F1690" s="1">
        <v>4280</v>
      </c>
      <c r="G1690" s="1">
        <v>4286</v>
      </c>
      <c r="H1690" s="1">
        <v>191700</v>
      </c>
    </row>
    <row r="1691" spans="1:8">
      <c r="A1691" s="1"/>
      <c r="B1691" s="1" t="s">
        <v>586</v>
      </c>
      <c r="C1691" s="1" t="s">
        <v>464</v>
      </c>
      <c r="D1691" s="1">
        <v>4287</v>
      </c>
      <c r="E1691" s="1">
        <v>4299</v>
      </c>
      <c r="F1691" s="1">
        <v>4284</v>
      </c>
      <c r="G1691" s="1">
        <v>4289</v>
      </c>
      <c r="H1691" s="1">
        <v>123800</v>
      </c>
    </row>
    <row r="1692" spans="1:8">
      <c r="A1692" s="1"/>
      <c r="B1692" s="1" t="s">
        <v>586</v>
      </c>
      <c r="C1692" s="1" t="s">
        <v>465</v>
      </c>
      <c r="D1692" s="1">
        <v>4291</v>
      </c>
      <c r="E1692" s="1">
        <v>4298</v>
      </c>
      <c r="F1692" s="1">
        <v>4284</v>
      </c>
      <c r="G1692" s="1">
        <v>4293</v>
      </c>
      <c r="H1692" s="1">
        <v>125500</v>
      </c>
    </row>
    <row r="1693" spans="1:8">
      <c r="A1693" s="1"/>
      <c r="B1693" s="1" t="s">
        <v>586</v>
      </c>
      <c r="C1693" s="1" t="s">
        <v>466</v>
      </c>
      <c r="D1693" s="1">
        <v>4293</v>
      </c>
      <c r="E1693" s="1">
        <v>4295</v>
      </c>
      <c r="F1693" s="1">
        <v>4285</v>
      </c>
      <c r="G1693" s="1">
        <v>4288</v>
      </c>
      <c r="H1693" s="1">
        <v>160100</v>
      </c>
    </row>
    <row r="1694" spans="1:8">
      <c r="A1694" s="1"/>
      <c r="B1694" s="1" t="s">
        <v>586</v>
      </c>
      <c r="C1694" s="1" t="s">
        <v>467</v>
      </c>
      <c r="D1694" s="1">
        <v>4288</v>
      </c>
      <c r="E1694" s="1">
        <v>4297</v>
      </c>
      <c r="F1694" s="1">
        <v>4283</v>
      </c>
      <c r="G1694" s="1">
        <v>4291</v>
      </c>
      <c r="H1694" s="1">
        <v>149000</v>
      </c>
    </row>
    <row r="1695" spans="1:8">
      <c r="A1695" s="1"/>
      <c r="B1695" s="1" t="s">
        <v>586</v>
      </c>
      <c r="C1695" s="1" t="s">
        <v>468</v>
      </c>
      <c r="D1695" s="1">
        <v>4291</v>
      </c>
      <c r="E1695" s="1">
        <v>4297</v>
      </c>
      <c r="F1695" s="1">
        <v>4290</v>
      </c>
      <c r="G1695" s="1">
        <v>4294</v>
      </c>
      <c r="H1695" s="1">
        <v>86000</v>
      </c>
    </row>
    <row r="1696" spans="1:8">
      <c r="A1696" s="1"/>
      <c r="B1696" s="1" t="s">
        <v>586</v>
      </c>
      <c r="C1696" s="1" t="s">
        <v>469</v>
      </c>
      <c r="D1696" s="1">
        <v>4294</v>
      </c>
      <c r="E1696" s="1">
        <v>4308</v>
      </c>
      <c r="F1696" s="1">
        <v>4294</v>
      </c>
      <c r="G1696" s="1">
        <v>4306</v>
      </c>
      <c r="H1696" s="1">
        <v>139300</v>
      </c>
    </row>
    <row r="1697" spans="1:8">
      <c r="A1697" s="1"/>
      <c r="B1697" s="1" t="s">
        <v>586</v>
      </c>
      <c r="C1697" s="1" t="s">
        <v>470</v>
      </c>
      <c r="D1697" s="1">
        <v>4307</v>
      </c>
      <c r="E1697" s="1">
        <v>4310</v>
      </c>
      <c r="F1697" s="1">
        <v>4298</v>
      </c>
      <c r="G1697" s="1">
        <v>4300</v>
      </c>
      <c r="H1697" s="1">
        <v>200900</v>
      </c>
    </row>
    <row r="1698" spans="1:8">
      <c r="A1698" s="1"/>
      <c r="B1698" s="1" t="s">
        <v>586</v>
      </c>
      <c r="C1698" s="1" t="s">
        <v>471</v>
      </c>
      <c r="D1698" s="1">
        <v>4300</v>
      </c>
      <c r="E1698" s="1">
        <v>4307</v>
      </c>
      <c r="F1698" s="1">
        <v>4292</v>
      </c>
      <c r="G1698" s="1">
        <v>4305</v>
      </c>
      <c r="H1698" s="1">
        <v>157600</v>
      </c>
    </row>
    <row r="1699" spans="1:8">
      <c r="A1699" s="1"/>
      <c r="B1699" s="1" t="s">
        <v>586</v>
      </c>
      <c r="C1699" s="1" t="s">
        <v>472</v>
      </c>
      <c r="D1699" s="1">
        <v>4305</v>
      </c>
      <c r="E1699" s="1">
        <v>4308</v>
      </c>
      <c r="F1699" s="1">
        <v>4302</v>
      </c>
      <c r="G1699" s="1">
        <v>4306</v>
      </c>
      <c r="H1699" s="1">
        <v>90000</v>
      </c>
    </row>
    <row r="1700" spans="1:8">
      <c r="A1700" s="1"/>
      <c r="B1700" s="1" t="s">
        <v>586</v>
      </c>
      <c r="C1700" s="1" t="s">
        <v>473</v>
      </c>
      <c r="D1700" s="1">
        <v>4306</v>
      </c>
      <c r="E1700" s="1">
        <v>4310</v>
      </c>
      <c r="F1700" s="1">
        <v>4298</v>
      </c>
      <c r="G1700" s="1">
        <v>4299</v>
      </c>
      <c r="H1700" s="1">
        <v>157200</v>
      </c>
    </row>
    <row r="1701" spans="1:8">
      <c r="A1701" s="1"/>
      <c r="B1701" s="1" t="s">
        <v>586</v>
      </c>
      <c r="C1701" s="1" t="s">
        <v>474</v>
      </c>
      <c r="D1701" s="1">
        <v>4298</v>
      </c>
      <c r="E1701" s="1">
        <v>4309</v>
      </c>
      <c r="F1701" s="1">
        <v>4296</v>
      </c>
      <c r="G1701" s="1">
        <v>4307</v>
      </c>
      <c r="H1701" s="1">
        <v>143000</v>
      </c>
    </row>
    <row r="1702" spans="1:8">
      <c r="A1702" s="1"/>
      <c r="B1702" s="1" t="s">
        <v>586</v>
      </c>
      <c r="C1702" s="1" t="s">
        <v>475</v>
      </c>
      <c r="D1702" s="1">
        <v>4308</v>
      </c>
      <c r="E1702" s="1">
        <v>4310</v>
      </c>
      <c r="F1702" s="1">
        <v>4301</v>
      </c>
      <c r="G1702" s="1">
        <v>4310</v>
      </c>
      <c r="H1702" s="1">
        <v>98500</v>
      </c>
    </row>
    <row r="1703" spans="1:8">
      <c r="A1703" s="1"/>
      <c r="B1703" s="1" t="s">
        <v>586</v>
      </c>
      <c r="C1703" s="1" t="s">
        <v>476</v>
      </c>
      <c r="D1703" s="1">
        <v>4311</v>
      </c>
      <c r="E1703" s="1">
        <v>4315</v>
      </c>
      <c r="F1703" s="1">
        <v>4308</v>
      </c>
      <c r="G1703" s="1">
        <v>4314</v>
      </c>
      <c r="H1703" s="1">
        <v>81200</v>
      </c>
    </row>
    <row r="1704" spans="1:8">
      <c r="A1704" s="1"/>
      <c r="B1704" s="1" t="s">
        <v>586</v>
      </c>
      <c r="C1704" s="1" t="s">
        <v>477</v>
      </c>
      <c r="D1704" s="1">
        <v>4314</v>
      </c>
      <c r="E1704" s="1">
        <v>4320</v>
      </c>
      <c r="F1704" s="1">
        <v>4302</v>
      </c>
      <c r="G1704" s="1">
        <v>4307</v>
      </c>
      <c r="H1704" s="1">
        <v>165200</v>
      </c>
    </row>
    <row r="1705" spans="1:8">
      <c r="A1705" s="1"/>
      <c r="B1705" s="1" t="s">
        <v>586</v>
      </c>
      <c r="C1705" s="1" t="s">
        <v>478</v>
      </c>
      <c r="D1705" s="1">
        <v>4308</v>
      </c>
      <c r="E1705" s="1">
        <v>4314</v>
      </c>
      <c r="F1705" s="1">
        <v>4305</v>
      </c>
      <c r="G1705" s="1">
        <v>4312</v>
      </c>
      <c r="H1705" s="1">
        <v>50400</v>
      </c>
    </row>
    <row r="1706" spans="1:8">
      <c r="A1706" s="1"/>
      <c r="B1706" s="1" t="s">
        <v>586</v>
      </c>
      <c r="C1706" s="1" t="s">
        <v>479</v>
      </c>
      <c r="D1706" s="1">
        <v>4312</v>
      </c>
      <c r="E1706" s="1">
        <v>4319</v>
      </c>
      <c r="F1706" s="1">
        <v>4310</v>
      </c>
      <c r="G1706" s="1">
        <v>4317</v>
      </c>
      <c r="H1706" s="1">
        <v>95200</v>
      </c>
    </row>
    <row r="1707" spans="1:8">
      <c r="A1707" s="1"/>
      <c r="B1707" s="1" t="s">
        <v>586</v>
      </c>
      <c r="C1707" s="1" t="s">
        <v>480</v>
      </c>
      <c r="D1707" s="1">
        <v>4317</v>
      </c>
      <c r="E1707" s="1">
        <v>4317</v>
      </c>
      <c r="F1707" s="1">
        <v>4294</v>
      </c>
      <c r="G1707" s="1">
        <v>4294</v>
      </c>
      <c r="H1707" s="1">
        <v>322100</v>
      </c>
    </row>
    <row r="1708" spans="1:8">
      <c r="A1708" s="1"/>
      <c r="B1708" s="1" t="s">
        <v>586</v>
      </c>
      <c r="C1708" s="1" t="s">
        <v>481</v>
      </c>
      <c r="D1708" s="1">
        <v>4293</v>
      </c>
      <c r="E1708" s="1">
        <v>4299</v>
      </c>
      <c r="F1708" s="1">
        <v>4292</v>
      </c>
      <c r="G1708" s="1">
        <v>4294</v>
      </c>
      <c r="H1708" s="1">
        <v>125900</v>
      </c>
    </row>
    <row r="1709" spans="1:8">
      <c r="A1709" s="1"/>
      <c r="B1709" s="1" t="s">
        <v>586</v>
      </c>
      <c r="C1709" s="1" t="s">
        <v>482</v>
      </c>
      <c r="D1709" s="1">
        <v>4293</v>
      </c>
      <c r="E1709" s="1">
        <v>4294</v>
      </c>
      <c r="F1709" s="1">
        <v>4281</v>
      </c>
      <c r="G1709" s="1">
        <v>4291</v>
      </c>
      <c r="H1709" s="1">
        <v>367700</v>
      </c>
    </row>
    <row r="1710" spans="1:8">
      <c r="A1710" s="1"/>
      <c r="B1710" s="1" t="s">
        <v>586</v>
      </c>
      <c r="C1710" s="1" t="s">
        <v>483</v>
      </c>
      <c r="D1710" s="1">
        <v>4291</v>
      </c>
      <c r="E1710" s="1">
        <v>4292</v>
      </c>
      <c r="F1710" s="1">
        <v>4276</v>
      </c>
      <c r="G1710" s="1">
        <v>4276</v>
      </c>
      <c r="H1710" s="1">
        <v>388200</v>
      </c>
    </row>
    <row r="1711" spans="1:8">
      <c r="A1711" s="1"/>
      <c r="B1711" s="1" t="s">
        <v>586</v>
      </c>
      <c r="C1711" s="1" t="s">
        <v>484</v>
      </c>
      <c r="D1711" s="1">
        <v>4276</v>
      </c>
      <c r="E1711" s="1">
        <v>4280</v>
      </c>
      <c r="F1711" s="1">
        <v>4272</v>
      </c>
      <c r="G1711" s="1">
        <v>4272</v>
      </c>
      <c r="H1711" s="1">
        <v>221500</v>
      </c>
    </row>
    <row r="1712" spans="1:8">
      <c r="A1712" s="1"/>
      <c r="B1712" s="1" t="s">
        <v>586</v>
      </c>
      <c r="C1712" s="1" t="s">
        <v>485</v>
      </c>
      <c r="D1712" s="1">
        <v>4272</v>
      </c>
      <c r="E1712" s="1">
        <v>4278</v>
      </c>
      <c r="F1712" s="1">
        <v>4265</v>
      </c>
      <c r="G1712" s="1">
        <v>4278</v>
      </c>
      <c r="H1712" s="1">
        <v>328000</v>
      </c>
    </row>
    <row r="1713" spans="1:8">
      <c r="A1713" s="1"/>
      <c r="B1713" s="1" t="s">
        <v>586</v>
      </c>
      <c r="C1713" s="1" t="s">
        <v>486</v>
      </c>
      <c r="D1713" s="1">
        <v>4278</v>
      </c>
      <c r="E1713" s="1">
        <v>4280</v>
      </c>
      <c r="F1713" s="1">
        <v>4273</v>
      </c>
      <c r="G1713" s="1">
        <v>4278</v>
      </c>
      <c r="H1713" s="1">
        <v>72000</v>
      </c>
    </row>
    <row r="1714" spans="1:8">
      <c r="A1714" s="1"/>
      <c r="B1714" s="1" t="s">
        <v>586</v>
      </c>
      <c r="C1714" s="1" t="s">
        <v>487</v>
      </c>
      <c r="D1714" s="1">
        <v>4280</v>
      </c>
      <c r="E1714" s="1">
        <v>4283</v>
      </c>
      <c r="F1714" s="1">
        <v>4278</v>
      </c>
      <c r="G1714" s="1">
        <v>4282</v>
      </c>
      <c r="H1714" s="1">
        <v>57300</v>
      </c>
    </row>
    <row r="1715" spans="1:8">
      <c r="A1715" s="1"/>
      <c r="B1715" s="1" t="s">
        <v>586</v>
      </c>
      <c r="C1715" s="1" t="s">
        <v>488</v>
      </c>
      <c r="D1715" s="1">
        <v>4281</v>
      </c>
      <c r="E1715" s="1">
        <v>4282</v>
      </c>
      <c r="F1715" s="1">
        <v>4270</v>
      </c>
      <c r="G1715" s="1">
        <v>4271</v>
      </c>
      <c r="H1715" s="1">
        <v>172600</v>
      </c>
    </row>
    <row r="1716" spans="1:8">
      <c r="A1716" s="1"/>
      <c r="B1716" s="1" t="s">
        <v>586</v>
      </c>
      <c r="C1716" s="1" t="s">
        <v>489</v>
      </c>
      <c r="D1716" s="1">
        <v>4271</v>
      </c>
      <c r="E1716" s="1">
        <v>4271</v>
      </c>
      <c r="F1716" s="1">
        <v>4260</v>
      </c>
      <c r="G1716" s="1">
        <v>4268</v>
      </c>
      <c r="H1716" s="1">
        <v>220800</v>
      </c>
    </row>
    <row r="1717" spans="1:8">
      <c r="A1717" s="1"/>
      <c r="B1717" s="1" t="s">
        <v>586</v>
      </c>
      <c r="C1717" s="1" t="s">
        <v>490</v>
      </c>
      <c r="D1717" s="1">
        <v>4267</v>
      </c>
      <c r="E1717" s="1">
        <v>4274</v>
      </c>
      <c r="F1717" s="1">
        <v>4267</v>
      </c>
      <c r="G1717" s="1">
        <v>4270</v>
      </c>
      <c r="H1717" s="1">
        <v>93000</v>
      </c>
    </row>
    <row r="1718" spans="1:8">
      <c r="A1718" s="1"/>
      <c r="B1718" s="1" t="s">
        <v>586</v>
      </c>
      <c r="C1718" s="1" t="s">
        <v>491</v>
      </c>
      <c r="D1718" s="1">
        <v>4269</v>
      </c>
      <c r="E1718" s="1">
        <v>4274</v>
      </c>
      <c r="F1718" s="1">
        <v>4266</v>
      </c>
      <c r="G1718" s="1">
        <v>4269</v>
      </c>
      <c r="H1718" s="1">
        <v>144000</v>
      </c>
    </row>
    <row r="1719" spans="1:8">
      <c r="A1719" s="1"/>
      <c r="B1719" s="1" t="s">
        <v>586</v>
      </c>
      <c r="C1719" s="1" t="s">
        <v>492</v>
      </c>
      <c r="D1719" s="1">
        <v>4270</v>
      </c>
      <c r="E1719" s="1">
        <v>4277</v>
      </c>
      <c r="F1719" s="1">
        <v>4268</v>
      </c>
      <c r="G1719" s="1">
        <v>4277</v>
      </c>
      <c r="H1719" s="1">
        <v>88400</v>
      </c>
    </row>
    <row r="1720" spans="1:8">
      <c r="A1720" s="1"/>
      <c r="B1720" s="1" t="s">
        <v>586</v>
      </c>
      <c r="C1720" s="1" t="s">
        <v>493</v>
      </c>
      <c r="D1720" s="1">
        <v>4277</v>
      </c>
      <c r="E1720" s="1">
        <v>4277</v>
      </c>
      <c r="F1720" s="1">
        <v>4262</v>
      </c>
      <c r="G1720" s="1">
        <v>4270</v>
      </c>
      <c r="H1720" s="1">
        <v>136700</v>
      </c>
    </row>
    <row r="1721" spans="1:8">
      <c r="A1721" s="1"/>
      <c r="B1721" s="1" t="s">
        <v>586</v>
      </c>
      <c r="C1721" s="1" t="s">
        <v>494</v>
      </c>
      <c r="D1721" s="1">
        <v>4269</v>
      </c>
      <c r="E1721" s="1">
        <v>4278</v>
      </c>
      <c r="F1721" s="1">
        <v>4268</v>
      </c>
      <c r="G1721" s="1">
        <v>4276</v>
      </c>
      <c r="H1721" s="1">
        <v>124600</v>
      </c>
    </row>
    <row r="1722" spans="1:8">
      <c r="A1722" s="1"/>
      <c r="B1722" s="1" t="s">
        <v>586</v>
      </c>
      <c r="C1722" s="1" t="s">
        <v>495</v>
      </c>
      <c r="D1722" s="1">
        <v>4276</v>
      </c>
      <c r="E1722" s="1">
        <v>4282</v>
      </c>
      <c r="F1722" s="1">
        <v>4274</v>
      </c>
      <c r="G1722" s="1">
        <v>4274</v>
      </c>
      <c r="H1722" s="1">
        <v>141400</v>
      </c>
    </row>
    <row r="1723" spans="1:8">
      <c r="A1723" s="1"/>
      <c r="B1723" s="1" t="s">
        <v>586</v>
      </c>
      <c r="C1723" s="1" t="s">
        <v>496</v>
      </c>
      <c r="D1723" s="1">
        <v>4274</v>
      </c>
      <c r="E1723" s="1">
        <v>4284</v>
      </c>
      <c r="F1723" s="1">
        <v>4271</v>
      </c>
      <c r="G1723" s="1">
        <v>4282</v>
      </c>
      <c r="H1723" s="1">
        <v>155300</v>
      </c>
    </row>
    <row r="1724" spans="1:8">
      <c r="A1724" s="1"/>
      <c r="B1724" s="1" t="s">
        <v>586</v>
      </c>
      <c r="C1724" s="1" t="s">
        <v>497</v>
      </c>
      <c r="D1724" s="1">
        <v>4282</v>
      </c>
      <c r="E1724" s="1">
        <v>4284</v>
      </c>
      <c r="F1724" s="1">
        <v>4272</v>
      </c>
      <c r="G1724" s="1">
        <v>4277</v>
      </c>
      <c r="H1724" s="1">
        <v>131500</v>
      </c>
    </row>
    <row r="1725" spans="1:8">
      <c r="A1725" s="1"/>
      <c r="B1725" s="1" t="s">
        <v>586</v>
      </c>
      <c r="C1725" s="1" t="s">
        <v>498</v>
      </c>
      <c r="D1725" s="1">
        <v>4278</v>
      </c>
      <c r="E1725" s="1">
        <v>4290</v>
      </c>
      <c r="F1725" s="1">
        <v>4277</v>
      </c>
      <c r="G1725" s="1">
        <v>4290</v>
      </c>
      <c r="H1725" s="1">
        <v>136600</v>
      </c>
    </row>
    <row r="1726" spans="1:8">
      <c r="A1726" s="1"/>
      <c r="B1726" s="1" t="s">
        <v>586</v>
      </c>
      <c r="C1726" s="1" t="s">
        <v>499</v>
      </c>
      <c r="D1726" s="1">
        <v>4290</v>
      </c>
      <c r="E1726" s="1">
        <v>4290</v>
      </c>
      <c r="F1726" s="1">
        <v>4283</v>
      </c>
      <c r="G1726" s="1">
        <v>4286</v>
      </c>
      <c r="H1726" s="1">
        <v>84100</v>
      </c>
    </row>
    <row r="1727" spans="1:8">
      <c r="A1727" s="1"/>
      <c r="B1727" s="1" t="s">
        <v>586</v>
      </c>
      <c r="C1727" s="1" t="s">
        <v>500</v>
      </c>
      <c r="D1727" s="1">
        <v>4288</v>
      </c>
      <c r="E1727" s="1">
        <v>4289</v>
      </c>
      <c r="F1727" s="1">
        <v>4280</v>
      </c>
      <c r="G1727" s="1">
        <v>4289</v>
      </c>
      <c r="H1727" s="1">
        <v>84800</v>
      </c>
    </row>
    <row r="1728" spans="1:8">
      <c r="A1728" s="1"/>
      <c r="B1728" s="1" t="s">
        <v>586</v>
      </c>
      <c r="C1728" s="1" t="s">
        <v>501</v>
      </c>
      <c r="D1728" s="1">
        <v>4289</v>
      </c>
      <c r="E1728" s="1">
        <v>4293</v>
      </c>
      <c r="F1728" s="1">
        <v>4286</v>
      </c>
      <c r="G1728" s="1">
        <v>4291</v>
      </c>
      <c r="H1728" s="1">
        <v>61900</v>
      </c>
    </row>
    <row r="1729" spans="1:8">
      <c r="A1729" s="1"/>
      <c r="B1729" s="1" t="s">
        <v>586</v>
      </c>
      <c r="C1729" s="1" t="s">
        <v>502</v>
      </c>
      <c r="D1729" s="1">
        <v>4290</v>
      </c>
      <c r="E1729" s="1">
        <v>4293</v>
      </c>
      <c r="F1729" s="1">
        <v>4287</v>
      </c>
      <c r="G1729" s="1">
        <v>4292</v>
      </c>
      <c r="H1729" s="1">
        <v>73400</v>
      </c>
    </row>
    <row r="1730" spans="1:8">
      <c r="A1730" s="1"/>
      <c r="B1730" s="1" t="s">
        <v>586</v>
      </c>
      <c r="C1730" s="1" t="s">
        <v>503</v>
      </c>
      <c r="D1730" s="1">
        <v>4292</v>
      </c>
      <c r="E1730" s="1">
        <v>4297</v>
      </c>
      <c r="F1730" s="1">
        <v>4286</v>
      </c>
      <c r="G1730" s="1">
        <v>4297</v>
      </c>
      <c r="H1730" s="1">
        <v>120700</v>
      </c>
    </row>
    <row r="1731" spans="1:8">
      <c r="A1731" s="1"/>
      <c r="B1731" s="1" t="s">
        <v>586</v>
      </c>
      <c r="C1731" s="1" t="s">
        <v>504</v>
      </c>
      <c r="D1731" s="1">
        <v>4297</v>
      </c>
      <c r="E1731" s="1">
        <v>4300</v>
      </c>
      <c r="F1731" s="1">
        <v>4292</v>
      </c>
      <c r="G1731" s="1">
        <v>4293</v>
      </c>
      <c r="H1731" s="1">
        <v>121000</v>
      </c>
    </row>
    <row r="1732" spans="1:8">
      <c r="A1732" s="1"/>
      <c r="B1732" s="1" t="s">
        <v>586</v>
      </c>
      <c r="C1732" s="1" t="s">
        <v>505</v>
      </c>
      <c r="D1732" s="1">
        <v>4291</v>
      </c>
      <c r="E1732" s="1">
        <v>4295</v>
      </c>
      <c r="F1732" s="1">
        <v>4287</v>
      </c>
      <c r="G1732" s="1">
        <v>4293</v>
      </c>
      <c r="H1732" s="1">
        <v>87900</v>
      </c>
    </row>
    <row r="1733" spans="1:8">
      <c r="A1733" s="1"/>
      <c r="B1733" s="1" t="s">
        <v>586</v>
      </c>
      <c r="C1733" s="1" t="s">
        <v>506</v>
      </c>
      <c r="D1733" s="1">
        <v>4293</v>
      </c>
      <c r="E1733" s="1">
        <v>4293</v>
      </c>
      <c r="F1733" s="1">
        <v>4272</v>
      </c>
      <c r="G1733" s="1">
        <v>4272</v>
      </c>
      <c r="H1733" s="1">
        <v>235100</v>
      </c>
    </row>
    <row r="1734" spans="1:8">
      <c r="A1734" s="1"/>
      <c r="B1734" s="1" t="s">
        <v>586</v>
      </c>
      <c r="C1734" s="1" t="s">
        <v>507</v>
      </c>
      <c r="D1734" s="1">
        <v>4271</v>
      </c>
      <c r="E1734" s="1">
        <v>4277</v>
      </c>
      <c r="F1734" s="1">
        <v>4271</v>
      </c>
      <c r="G1734" s="1">
        <v>4277</v>
      </c>
      <c r="H1734" s="1">
        <v>46100</v>
      </c>
    </row>
    <row r="1735" spans="1:8">
      <c r="A1735" s="1"/>
      <c r="B1735" s="1" t="s">
        <v>586</v>
      </c>
      <c r="C1735" s="1" t="s">
        <v>508</v>
      </c>
      <c r="D1735" s="1">
        <v>4276</v>
      </c>
      <c r="E1735" s="1">
        <v>4283</v>
      </c>
      <c r="F1735" s="1">
        <v>4271</v>
      </c>
      <c r="G1735" s="1">
        <v>4280</v>
      </c>
      <c r="H1735" s="1">
        <v>87700</v>
      </c>
    </row>
    <row r="1736" spans="1:8">
      <c r="A1736" s="1"/>
      <c r="B1736" s="1" t="s">
        <v>586</v>
      </c>
      <c r="C1736" s="1" t="s">
        <v>509</v>
      </c>
      <c r="D1736" s="1">
        <v>4279</v>
      </c>
      <c r="E1736" s="1">
        <v>4284</v>
      </c>
      <c r="F1736" s="1">
        <v>4277</v>
      </c>
      <c r="G1736" s="1">
        <v>4277</v>
      </c>
      <c r="H1736" s="1">
        <v>50100</v>
      </c>
    </row>
    <row r="1737" spans="1:8">
      <c r="A1737" s="1"/>
      <c r="B1737" s="1" t="s">
        <v>586</v>
      </c>
      <c r="C1737" s="1" t="s">
        <v>510</v>
      </c>
      <c r="D1737" s="1">
        <v>4278</v>
      </c>
      <c r="E1737" s="1">
        <v>4278</v>
      </c>
      <c r="F1737" s="1">
        <v>4267</v>
      </c>
      <c r="G1737" s="1">
        <v>4270</v>
      </c>
      <c r="H1737" s="1">
        <v>232200</v>
      </c>
    </row>
    <row r="1738" spans="1:8">
      <c r="A1738" s="1"/>
      <c r="B1738" s="1" t="s">
        <v>586</v>
      </c>
      <c r="C1738" s="1" t="s">
        <v>511</v>
      </c>
      <c r="D1738" s="1">
        <v>4271</v>
      </c>
      <c r="E1738" s="1">
        <v>4281</v>
      </c>
      <c r="F1738" s="1">
        <v>4267</v>
      </c>
      <c r="G1738" s="1">
        <v>4278</v>
      </c>
      <c r="H1738" s="1">
        <v>89600</v>
      </c>
    </row>
    <row r="1739" spans="1:8">
      <c r="A1739" s="1"/>
      <c r="B1739" s="1" t="s">
        <v>586</v>
      </c>
      <c r="C1739" s="1" t="s">
        <v>512</v>
      </c>
      <c r="D1739" s="1">
        <v>4277</v>
      </c>
      <c r="E1739" s="1">
        <v>4279</v>
      </c>
      <c r="F1739" s="1">
        <v>4267</v>
      </c>
      <c r="G1739" s="1">
        <v>4269</v>
      </c>
      <c r="H1739" s="1">
        <v>71800</v>
      </c>
    </row>
    <row r="1740" spans="1:8">
      <c r="A1740" s="1"/>
      <c r="B1740" s="1" t="s">
        <v>586</v>
      </c>
      <c r="C1740" s="1" t="s">
        <v>513</v>
      </c>
      <c r="D1740" s="1">
        <v>4269</v>
      </c>
      <c r="E1740" s="1">
        <v>4273</v>
      </c>
      <c r="F1740" s="1">
        <v>4269</v>
      </c>
      <c r="G1740" s="1">
        <v>4271</v>
      </c>
      <c r="H1740" s="1">
        <v>50200</v>
      </c>
    </row>
    <row r="1741" spans="1:8">
      <c r="A1741" s="1"/>
      <c r="B1741" s="1" t="s">
        <v>586</v>
      </c>
      <c r="C1741" s="1" t="s">
        <v>514</v>
      </c>
      <c r="D1741" s="1">
        <v>4271</v>
      </c>
      <c r="E1741" s="1">
        <v>4276</v>
      </c>
      <c r="F1741" s="1">
        <v>4270</v>
      </c>
      <c r="G1741" s="1">
        <v>4275</v>
      </c>
      <c r="H1741" s="1">
        <v>55300</v>
      </c>
    </row>
    <row r="1742" spans="1:8">
      <c r="A1742" s="1"/>
      <c r="B1742" s="1" t="s">
        <v>586</v>
      </c>
      <c r="C1742" s="1" t="s">
        <v>515</v>
      </c>
      <c r="D1742" s="1">
        <v>4275</v>
      </c>
      <c r="E1742" s="1">
        <v>4281</v>
      </c>
      <c r="F1742" s="1">
        <v>4273</v>
      </c>
      <c r="G1742" s="1">
        <v>4281</v>
      </c>
      <c r="H1742" s="1">
        <v>53400</v>
      </c>
    </row>
    <row r="1743" spans="1:8">
      <c r="A1743" s="1"/>
      <c r="B1743" s="1" t="s">
        <v>586</v>
      </c>
      <c r="C1743" s="1" t="s">
        <v>516</v>
      </c>
      <c r="D1743" s="1">
        <v>4281</v>
      </c>
      <c r="E1743" s="1">
        <v>4285</v>
      </c>
      <c r="F1743" s="1">
        <v>4280</v>
      </c>
      <c r="G1743" s="1">
        <v>4283</v>
      </c>
      <c r="H1743" s="1">
        <v>48400</v>
      </c>
    </row>
    <row r="1744" spans="1:8">
      <c r="A1744" s="1"/>
      <c r="B1744" s="1" t="s">
        <v>586</v>
      </c>
      <c r="C1744" s="1" t="s">
        <v>517</v>
      </c>
      <c r="D1744" s="1">
        <v>4283</v>
      </c>
      <c r="E1744" s="1">
        <v>4303</v>
      </c>
      <c r="F1744" s="1">
        <v>4282</v>
      </c>
      <c r="G1744" s="1">
        <v>4301</v>
      </c>
      <c r="H1744" s="1">
        <v>124100</v>
      </c>
    </row>
    <row r="1745" spans="1:8">
      <c r="A1745" s="1"/>
      <c r="B1745" s="1" t="s">
        <v>586</v>
      </c>
      <c r="C1745" s="1" t="s">
        <v>518</v>
      </c>
      <c r="D1745" s="1">
        <v>4301</v>
      </c>
      <c r="E1745" s="1">
        <v>4304</v>
      </c>
      <c r="F1745" s="1">
        <v>4296</v>
      </c>
      <c r="G1745" s="1">
        <v>4299</v>
      </c>
      <c r="H1745" s="1">
        <v>92000</v>
      </c>
    </row>
    <row r="1746" spans="1:8">
      <c r="A1746" s="1"/>
      <c r="B1746" s="1" t="s">
        <v>586</v>
      </c>
      <c r="C1746" s="1" t="s">
        <v>519</v>
      </c>
      <c r="D1746" s="1">
        <v>4299</v>
      </c>
      <c r="E1746" s="1">
        <v>4300</v>
      </c>
      <c r="F1746" s="1">
        <v>4291</v>
      </c>
      <c r="G1746" s="1">
        <v>4291</v>
      </c>
      <c r="H1746" s="1">
        <v>79000</v>
      </c>
    </row>
    <row r="1747" spans="1:8">
      <c r="A1747" s="1"/>
      <c r="B1747" s="1" t="s">
        <v>586</v>
      </c>
      <c r="C1747" s="1" t="s">
        <v>520</v>
      </c>
      <c r="D1747" s="1">
        <v>4291</v>
      </c>
      <c r="E1747" s="1">
        <v>4291</v>
      </c>
      <c r="F1747" s="1">
        <v>4285</v>
      </c>
      <c r="G1747" s="1">
        <v>4286</v>
      </c>
      <c r="H1747" s="1">
        <v>86600</v>
      </c>
    </row>
    <row r="1748" spans="1:8">
      <c r="A1748" s="1"/>
      <c r="B1748" s="1" t="s">
        <v>586</v>
      </c>
      <c r="C1748" s="1" t="s">
        <v>521</v>
      </c>
      <c r="D1748" s="1">
        <v>4286</v>
      </c>
      <c r="E1748" s="1">
        <v>4286</v>
      </c>
      <c r="F1748" s="1">
        <v>4277</v>
      </c>
      <c r="G1748" s="1">
        <v>4278</v>
      </c>
      <c r="H1748" s="1">
        <v>84100</v>
      </c>
    </row>
    <row r="1749" spans="1:8">
      <c r="A1749" s="1"/>
      <c r="B1749" s="1" t="s">
        <v>586</v>
      </c>
      <c r="C1749" s="1" t="s">
        <v>522</v>
      </c>
      <c r="D1749" s="1">
        <v>4278</v>
      </c>
      <c r="E1749" s="1">
        <v>4280</v>
      </c>
      <c r="F1749" s="1">
        <v>4270</v>
      </c>
      <c r="G1749" s="1">
        <v>4277</v>
      </c>
      <c r="H1749" s="1">
        <v>173500</v>
      </c>
    </row>
    <row r="1750" spans="1:8">
      <c r="A1750" s="1"/>
      <c r="B1750" s="1" t="s">
        <v>586</v>
      </c>
      <c r="C1750" s="1" t="s">
        <v>523</v>
      </c>
      <c r="D1750" s="1">
        <v>4278</v>
      </c>
      <c r="E1750" s="1">
        <v>4279</v>
      </c>
      <c r="F1750" s="1">
        <v>4274</v>
      </c>
      <c r="G1750" s="1">
        <v>4277</v>
      </c>
      <c r="H1750" s="1">
        <v>59800</v>
      </c>
    </row>
    <row r="1751" spans="1:8">
      <c r="A1751" s="1"/>
      <c r="B1751" s="1" t="s">
        <v>586</v>
      </c>
      <c r="C1751" s="1" t="s">
        <v>524</v>
      </c>
      <c r="D1751" s="1">
        <v>4279</v>
      </c>
      <c r="E1751" s="1">
        <v>4282</v>
      </c>
      <c r="F1751" s="1">
        <v>4275</v>
      </c>
      <c r="G1751" s="1">
        <v>4280</v>
      </c>
      <c r="H1751" s="1">
        <v>44600</v>
      </c>
    </row>
    <row r="1752" spans="1:8">
      <c r="A1752" s="1"/>
      <c r="B1752" s="1" t="s">
        <v>586</v>
      </c>
      <c r="C1752" s="1" t="s">
        <v>525</v>
      </c>
      <c r="D1752" s="1">
        <v>4280</v>
      </c>
      <c r="E1752" s="1">
        <v>4282</v>
      </c>
      <c r="F1752" s="1">
        <v>4278</v>
      </c>
      <c r="G1752" s="1">
        <v>4281</v>
      </c>
      <c r="H1752" s="1">
        <v>56000</v>
      </c>
    </row>
    <row r="1753" spans="1:8">
      <c r="A1753" s="1"/>
      <c r="B1753" s="1" t="s">
        <v>586</v>
      </c>
      <c r="C1753" s="1" t="s">
        <v>526</v>
      </c>
      <c r="D1753" s="1">
        <v>4280</v>
      </c>
      <c r="E1753" s="1">
        <v>4290</v>
      </c>
      <c r="F1753" s="1">
        <v>4280</v>
      </c>
      <c r="G1753" s="1">
        <v>4287</v>
      </c>
      <c r="H1753" s="1">
        <v>74700</v>
      </c>
    </row>
    <row r="1754" spans="1:8">
      <c r="A1754" s="1"/>
      <c r="B1754" s="1" t="s">
        <v>586</v>
      </c>
      <c r="C1754" s="1" t="s">
        <v>527</v>
      </c>
      <c r="D1754" s="1">
        <v>4287</v>
      </c>
      <c r="E1754" s="1">
        <v>4290</v>
      </c>
      <c r="F1754" s="1">
        <v>4282</v>
      </c>
      <c r="G1754" s="1">
        <v>4286</v>
      </c>
      <c r="H1754" s="1">
        <v>66500</v>
      </c>
    </row>
    <row r="1755" spans="1:8">
      <c r="A1755" s="1"/>
      <c r="B1755" s="1" t="s">
        <v>586</v>
      </c>
      <c r="C1755" s="1" t="s">
        <v>528</v>
      </c>
      <c r="D1755" s="1">
        <v>4285</v>
      </c>
      <c r="E1755" s="1">
        <v>4286</v>
      </c>
      <c r="F1755" s="1">
        <v>4280</v>
      </c>
      <c r="G1755" s="1">
        <v>4280</v>
      </c>
      <c r="H1755" s="1">
        <v>54100</v>
      </c>
    </row>
    <row r="1756" spans="1:8">
      <c r="A1756" s="1"/>
      <c r="B1756" s="1" t="s">
        <v>586</v>
      </c>
      <c r="C1756" s="1" t="s">
        <v>529</v>
      </c>
      <c r="D1756" s="1">
        <v>4281</v>
      </c>
      <c r="E1756" s="1">
        <v>4282</v>
      </c>
      <c r="F1756" s="1">
        <v>4274</v>
      </c>
      <c r="G1756" s="1">
        <v>4276</v>
      </c>
      <c r="H1756" s="1">
        <v>101800</v>
      </c>
    </row>
    <row r="1757" spans="1:8">
      <c r="A1757" s="1"/>
      <c r="B1757" s="1" t="s">
        <v>586</v>
      </c>
      <c r="C1757" s="1" t="s">
        <v>530</v>
      </c>
      <c r="D1757" s="1">
        <v>4275</v>
      </c>
      <c r="E1757" s="1">
        <v>4281</v>
      </c>
      <c r="F1757" s="1">
        <v>4275</v>
      </c>
      <c r="G1757" s="1">
        <v>4278</v>
      </c>
      <c r="H1757" s="1">
        <v>48700</v>
      </c>
    </row>
    <row r="1758" spans="1:8">
      <c r="A1758" s="1"/>
      <c r="B1758" s="1" t="s">
        <v>586</v>
      </c>
      <c r="C1758" s="1" t="s">
        <v>531</v>
      </c>
      <c r="D1758" s="1">
        <v>4278</v>
      </c>
      <c r="E1758" s="1">
        <v>4280</v>
      </c>
      <c r="F1758" s="1">
        <v>4275</v>
      </c>
      <c r="G1758" s="1">
        <v>4280</v>
      </c>
      <c r="H1758" s="1">
        <v>48800</v>
      </c>
    </row>
    <row r="1759" spans="1:8">
      <c r="A1759" s="1"/>
      <c r="B1759" s="1" t="s">
        <v>586</v>
      </c>
      <c r="C1759" s="1" t="s">
        <v>532</v>
      </c>
      <c r="D1759" s="1">
        <v>4280</v>
      </c>
      <c r="E1759" s="1">
        <v>4281</v>
      </c>
      <c r="F1759" s="1">
        <v>4277</v>
      </c>
      <c r="G1759" s="1">
        <v>4281</v>
      </c>
      <c r="H1759" s="1">
        <v>80400</v>
      </c>
    </row>
    <row r="1760" spans="1:8">
      <c r="A1760" s="1"/>
      <c r="B1760" s="1" t="s">
        <v>586</v>
      </c>
      <c r="C1760" s="1" t="s">
        <v>533</v>
      </c>
      <c r="D1760" s="1">
        <v>4280</v>
      </c>
      <c r="E1760" s="1">
        <v>4284</v>
      </c>
      <c r="F1760" s="1">
        <v>4280</v>
      </c>
      <c r="G1760" s="1">
        <v>4282</v>
      </c>
      <c r="H1760" s="1">
        <v>49400</v>
      </c>
    </row>
    <row r="1761" spans="1:8">
      <c r="A1761" s="1"/>
      <c r="B1761" s="1" t="s">
        <v>586</v>
      </c>
      <c r="C1761" s="1" t="s">
        <v>534</v>
      </c>
      <c r="D1761" s="1">
        <v>4282</v>
      </c>
      <c r="E1761" s="1">
        <v>4291</v>
      </c>
      <c r="F1761" s="1">
        <v>4281</v>
      </c>
      <c r="G1761" s="1">
        <v>4290</v>
      </c>
      <c r="H1761" s="1">
        <v>59800</v>
      </c>
    </row>
    <row r="1762" spans="1:8">
      <c r="A1762" s="1"/>
      <c r="B1762" s="1" t="s">
        <v>586</v>
      </c>
      <c r="C1762" s="1" t="s">
        <v>535</v>
      </c>
      <c r="D1762" s="1">
        <v>4291</v>
      </c>
      <c r="E1762" s="1">
        <v>4295</v>
      </c>
      <c r="F1762" s="1">
        <v>4289</v>
      </c>
      <c r="G1762" s="1">
        <v>4294</v>
      </c>
      <c r="H1762" s="1">
        <v>58600</v>
      </c>
    </row>
    <row r="1763" spans="1:8">
      <c r="A1763" s="1"/>
      <c r="B1763" s="1" t="s">
        <v>586</v>
      </c>
      <c r="C1763" s="1" t="s">
        <v>536</v>
      </c>
      <c r="D1763" s="1">
        <v>4294</v>
      </c>
      <c r="E1763" s="1">
        <v>4296</v>
      </c>
      <c r="F1763" s="1">
        <v>4288</v>
      </c>
      <c r="G1763" s="1">
        <v>4288</v>
      </c>
      <c r="H1763" s="1">
        <v>59000</v>
      </c>
    </row>
    <row r="1764" spans="1:8">
      <c r="A1764" s="1"/>
      <c r="B1764" s="1" t="s">
        <v>586</v>
      </c>
      <c r="C1764" s="1" t="s">
        <v>537</v>
      </c>
      <c r="D1764" s="1">
        <v>4288</v>
      </c>
      <c r="E1764" s="1">
        <v>4293</v>
      </c>
      <c r="F1764" s="1">
        <v>4288</v>
      </c>
      <c r="G1764" s="1">
        <v>4292</v>
      </c>
      <c r="H1764" s="1">
        <v>45900</v>
      </c>
    </row>
    <row r="1765" spans="1:8">
      <c r="A1765" s="1"/>
      <c r="B1765" s="1" t="s">
        <v>586</v>
      </c>
      <c r="C1765" s="1" t="s">
        <v>538</v>
      </c>
      <c r="D1765" s="1">
        <v>4291</v>
      </c>
      <c r="E1765" s="1">
        <v>4294</v>
      </c>
      <c r="F1765" s="1">
        <v>4286</v>
      </c>
      <c r="G1765" s="1">
        <v>4294</v>
      </c>
      <c r="H1765" s="1">
        <v>69500</v>
      </c>
    </row>
    <row r="1766" spans="1:8">
      <c r="A1766" s="1"/>
      <c r="B1766" s="1" t="s">
        <v>586</v>
      </c>
      <c r="C1766" s="1" t="s">
        <v>539</v>
      </c>
      <c r="D1766" s="1">
        <v>4294</v>
      </c>
      <c r="E1766" s="1">
        <v>4295</v>
      </c>
      <c r="F1766" s="1">
        <v>4288</v>
      </c>
      <c r="G1766" s="1">
        <v>4289</v>
      </c>
      <c r="H1766" s="1">
        <v>65200</v>
      </c>
    </row>
    <row r="1767" spans="1:8">
      <c r="A1767" s="1"/>
      <c r="B1767" s="1" t="s">
        <v>586</v>
      </c>
      <c r="C1767" s="1" t="s">
        <v>540</v>
      </c>
      <c r="D1767" s="1">
        <v>4289</v>
      </c>
      <c r="E1767" s="1">
        <v>4293</v>
      </c>
      <c r="F1767" s="1">
        <v>4287</v>
      </c>
      <c r="G1767" s="1">
        <v>4291</v>
      </c>
      <c r="H1767" s="1">
        <v>39400</v>
      </c>
    </row>
    <row r="1768" spans="1:8">
      <c r="A1768" s="1"/>
      <c r="B1768" s="1" t="s">
        <v>586</v>
      </c>
      <c r="C1768" s="1" t="s">
        <v>541</v>
      </c>
      <c r="D1768" s="1">
        <v>4291</v>
      </c>
      <c r="E1768" s="1">
        <v>4294</v>
      </c>
      <c r="F1768" s="1">
        <v>4289</v>
      </c>
      <c r="G1768" s="1">
        <v>4292</v>
      </c>
      <c r="H1768" s="1">
        <v>35900</v>
      </c>
    </row>
    <row r="1769" spans="1:8">
      <c r="A1769" s="1"/>
      <c r="B1769" s="1" t="s">
        <v>586</v>
      </c>
      <c r="C1769" s="1" t="s">
        <v>542</v>
      </c>
      <c r="D1769" s="1">
        <v>4292</v>
      </c>
      <c r="E1769" s="1">
        <v>4301</v>
      </c>
      <c r="F1769" s="1">
        <v>4292</v>
      </c>
      <c r="G1769" s="1">
        <v>4300</v>
      </c>
      <c r="H1769" s="1">
        <v>107000</v>
      </c>
    </row>
    <row r="1770" spans="1:8">
      <c r="A1770" s="1"/>
      <c r="B1770" s="1" t="s">
        <v>586</v>
      </c>
      <c r="C1770" s="1" t="s">
        <v>543</v>
      </c>
      <c r="D1770" s="1">
        <v>4300</v>
      </c>
      <c r="E1770" s="1">
        <v>4301</v>
      </c>
      <c r="F1770" s="1">
        <v>4297</v>
      </c>
      <c r="G1770" s="1">
        <v>4297</v>
      </c>
      <c r="H1770" s="1">
        <v>37900</v>
      </c>
    </row>
    <row r="1771" spans="1:8">
      <c r="A1771" s="1"/>
      <c r="B1771" s="1" t="s">
        <v>586</v>
      </c>
      <c r="C1771" s="1" t="s">
        <v>544</v>
      </c>
      <c r="D1771" s="1">
        <v>4297</v>
      </c>
      <c r="E1771" s="1">
        <v>4301</v>
      </c>
      <c r="F1771" s="1">
        <v>4296</v>
      </c>
      <c r="G1771" s="1">
        <v>4297</v>
      </c>
      <c r="H1771" s="1">
        <v>65500</v>
      </c>
    </row>
    <row r="1772" spans="1:8">
      <c r="A1772" s="1"/>
      <c r="B1772" s="1" t="s">
        <v>586</v>
      </c>
      <c r="C1772" s="1" t="s">
        <v>545</v>
      </c>
      <c r="D1772" s="1">
        <v>4296</v>
      </c>
      <c r="E1772" s="1">
        <v>4299</v>
      </c>
      <c r="F1772" s="1">
        <v>4293</v>
      </c>
      <c r="G1772" s="1">
        <v>4296</v>
      </c>
      <c r="H1772" s="1">
        <v>50200</v>
      </c>
    </row>
    <row r="1773" spans="1:8">
      <c r="A1773" s="1"/>
      <c r="B1773" s="1" t="s">
        <v>586</v>
      </c>
      <c r="C1773" s="1" t="s">
        <v>546</v>
      </c>
      <c r="D1773" s="1">
        <v>4295</v>
      </c>
      <c r="E1773" s="1">
        <v>4299</v>
      </c>
      <c r="F1773" s="1">
        <v>4293</v>
      </c>
      <c r="G1773" s="1">
        <v>4298</v>
      </c>
      <c r="H1773" s="1">
        <v>31000</v>
      </c>
    </row>
    <row r="1774" spans="1:8">
      <c r="A1774" s="1"/>
      <c r="B1774" s="1" t="s">
        <v>586</v>
      </c>
      <c r="C1774" s="1" t="s">
        <v>547</v>
      </c>
      <c r="D1774" s="1">
        <v>4298</v>
      </c>
      <c r="E1774" s="1">
        <v>4299</v>
      </c>
      <c r="F1774" s="1">
        <v>4290</v>
      </c>
      <c r="G1774" s="1">
        <v>4291</v>
      </c>
      <c r="H1774" s="1">
        <v>69500</v>
      </c>
    </row>
    <row r="1775" spans="1:8">
      <c r="A1775" s="1"/>
      <c r="B1775" s="1" t="s">
        <v>586</v>
      </c>
      <c r="C1775" s="1" t="s">
        <v>548</v>
      </c>
      <c r="D1775" s="1">
        <v>4291</v>
      </c>
      <c r="E1775" s="1">
        <v>4298</v>
      </c>
      <c r="F1775" s="1">
        <v>4291</v>
      </c>
      <c r="G1775" s="1">
        <v>4296</v>
      </c>
      <c r="H1775" s="1">
        <v>37100</v>
      </c>
    </row>
    <row r="1776" spans="1:8">
      <c r="A1776" s="1"/>
      <c r="B1776" s="1" t="s">
        <v>586</v>
      </c>
      <c r="C1776" s="1" t="s">
        <v>549</v>
      </c>
      <c r="D1776" s="1">
        <v>4296</v>
      </c>
      <c r="E1776" s="1">
        <v>4299</v>
      </c>
      <c r="F1776" s="1">
        <v>4286</v>
      </c>
      <c r="G1776" s="1">
        <v>4293</v>
      </c>
      <c r="H1776" s="1">
        <v>181800</v>
      </c>
    </row>
    <row r="1777" spans="1:8">
      <c r="A1777" s="1"/>
      <c r="B1777" s="1" t="s">
        <v>586</v>
      </c>
      <c r="C1777" s="1" t="s">
        <v>550</v>
      </c>
      <c r="D1777" s="1">
        <v>4294</v>
      </c>
      <c r="E1777" s="1">
        <v>4294</v>
      </c>
      <c r="F1777" s="1">
        <v>4288</v>
      </c>
      <c r="G1777" s="1">
        <v>4292</v>
      </c>
      <c r="H1777" s="1">
        <v>39800</v>
      </c>
    </row>
    <row r="1778" spans="1:8">
      <c r="A1778" s="1"/>
      <c r="B1778" s="1" t="s">
        <v>586</v>
      </c>
      <c r="C1778" s="1" t="s">
        <v>551</v>
      </c>
      <c r="D1778" s="1">
        <v>4292</v>
      </c>
      <c r="E1778" s="1">
        <v>4292</v>
      </c>
      <c r="F1778" s="1">
        <v>4287</v>
      </c>
      <c r="G1778" s="1">
        <v>4289</v>
      </c>
      <c r="H1778" s="1">
        <v>64100</v>
      </c>
    </row>
    <row r="1779" spans="1:8">
      <c r="A1779" s="1"/>
      <c r="B1779" s="1" t="s">
        <v>586</v>
      </c>
      <c r="C1779" s="1" t="s">
        <v>552</v>
      </c>
      <c r="D1779" s="1">
        <v>4289</v>
      </c>
      <c r="E1779" s="1">
        <v>4293</v>
      </c>
      <c r="F1779" s="1">
        <v>4287</v>
      </c>
      <c r="G1779" s="1">
        <v>4293</v>
      </c>
      <c r="H1779" s="1">
        <v>48200</v>
      </c>
    </row>
    <row r="1780" spans="1:8">
      <c r="A1780" s="1"/>
      <c r="B1780" s="1" t="s">
        <v>586</v>
      </c>
      <c r="C1780" s="1" t="s">
        <v>553</v>
      </c>
      <c r="D1780" s="1">
        <v>4293</v>
      </c>
      <c r="E1780" s="1">
        <v>4294</v>
      </c>
      <c r="F1780" s="1">
        <v>4290</v>
      </c>
      <c r="G1780" s="1">
        <v>4292</v>
      </c>
      <c r="H1780" s="1">
        <v>37300</v>
      </c>
    </row>
    <row r="1781" spans="1:8">
      <c r="A1781" s="1"/>
      <c r="B1781" s="1" t="s">
        <v>586</v>
      </c>
      <c r="C1781" s="1" t="s">
        <v>554</v>
      </c>
      <c r="D1781" s="1">
        <v>4291</v>
      </c>
      <c r="E1781" s="1">
        <v>4291</v>
      </c>
      <c r="F1781" s="1">
        <v>4288</v>
      </c>
      <c r="G1781" s="1">
        <v>4290</v>
      </c>
      <c r="H1781" s="1">
        <v>67500</v>
      </c>
    </row>
    <row r="1782" spans="1:8">
      <c r="A1782" s="1"/>
      <c r="B1782" s="1" t="s">
        <v>586</v>
      </c>
      <c r="C1782" s="1" t="s">
        <v>555</v>
      </c>
      <c r="D1782" s="1">
        <v>4290</v>
      </c>
      <c r="E1782" s="1">
        <v>4299</v>
      </c>
      <c r="F1782" s="1">
        <v>4290</v>
      </c>
      <c r="G1782" s="1">
        <v>4295</v>
      </c>
      <c r="H1782" s="1">
        <v>53800</v>
      </c>
    </row>
    <row r="1783" spans="1:8">
      <c r="A1783" s="1"/>
      <c r="B1783" s="1" t="s">
        <v>586</v>
      </c>
      <c r="C1783" s="1" t="s">
        <v>556</v>
      </c>
      <c r="D1783" s="1">
        <v>4295</v>
      </c>
      <c r="E1783" s="1">
        <v>4304</v>
      </c>
      <c r="F1783" s="1">
        <v>4293</v>
      </c>
      <c r="G1783" s="1">
        <v>4304</v>
      </c>
      <c r="H1783" s="1">
        <v>82900</v>
      </c>
    </row>
    <row r="1784" spans="1:8">
      <c r="A1784" s="1"/>
      <c r="B1784" s="1" t="s">
        <v>586</v>
      </c>
      <c r="C1784" s="1" t="s">
        <v>557</v>
      </c>
      <c r="D1784" s="1">
        <v>4303</v>
      </c>
      <c r="E1784" s="1">
        <v>4306</v>
      </c>
      <c r="F1784" s="1">
        <v>4300</v>
      </c>
      <c r="G1784" s="1">
        <v>4304</v>
      </c>
      <c r="H1784" s="1">
        <v>53600</v>
      </c>
    </row>
    <row r="1785" spans="1:8">
      <c r="A1785" s="1"/>
      <c r="B1785" s="1" t="s">
        <v>586</v>
      </c>
      <c r="C1785" s="1" t="s">
        <v>558</v>
      </c>
      <c r="D1785" s="1">
        <v>4302</v>
      </c>
      <c r="E1785" s="1">
        <v>4304</v>
      </c>
      <c r="F1785" s="1">
        <v>4300</v>
      </c>
      <c r="G1785" s="1">
        <v>4303</v>
      </c>
      <c r="H1785" s="1">
        <v>81000</v>
      </c>
    </row>
    <row r="1786" spans="1:8">
      <c r="A1786" s="1"/>
      <c r="B1786" s="1" t="s">
        <v>586</v>
      </c>
      <c r="C1786" s="1" t="s">
        <v>559</v>
      </c>
      <c r="D1786" s="1">
        <v>4304</v>
      </c>
      <c r="E1786" s="1">
        <v>4305</v>
      </c>
      <c r="F1786" s="1">
        <v>4300</v>
      </c>
      <c r="G1786" s="1">
        <v>4303</v>
      </c>
      <c r="H1786" s="1">
        <v>67900</v>
      </c>
    </row>
    <row r="1787" spans="1:8">
      <c r="A1787" s="1"/>
      <c r="B1787" s="1" t="s">
        <v>586</v>
      </c>
      <c r="C1787" s="1" t="s">
        <v>560</v>
      </c>
      <c r="D1787" s="1">
        <v>4301</v>
      </c>
      <c r="E1787" s="1">
        <v>4305</v>
      </c>
      <c r="F1787" s="1">
        <v>4301</v>
      </c>
      <c r="G1787" s="1">
        <v>4304</v>
      </c>
      <c r="H1787" s="1">
        <v>35300</v>
      </c>
    </row>
    <row r="1788" spans="1:8">
      <c r="A1788" s="1"/>
      <c r="B1788" s="1" t="s">
        <v>586</v>
      </c>
      <c r="C1788" s="1" t="s">
        <v>561</v>
      </c>
      <c r="D1788" s="1">
        <v>4303</v>
      </c>
      <c r="E1788" s="1">
        <v>4308</v>
      </c>
      <c r="F1788" s="1">
        <v>4302</v>
      </c>
      <c r="G1788" s="1">
        <v>4307</v>
      </c>
      <c r="H1788" s="1">
        <v>33300</v>
      </c>
    </row>
    <row r="1789" spans="1:8">
      <c r="A1789" s="1"/>
      <c r="B1789" s="1" t="s">
        <v>586</v>
      </c>
      <c r="C1789" s="1" t="s">
        <v>562</v>
      </c>
      <c r="D1789" s="1">
        <v>4307</v>
      </c>
      <c r="E1789" s="1">
        <v>4309</v>
      </c>
      <c r="F1789" s="1">
        <v>4306</v>
      </c>
      <c r="G1789" s="1">
        <v>4309</v>
      </c>
      <c r="H1789" s="1">
        <v>41200</v>
      </c>
    </row>
    <row r="1790" spans="1:8">
      <c r="A1790" s="1"/>
      <c r="B1790" s="1" t="s">
        <v>586</v>
      </c>
      <c r="C1790" s="1" t="s">
        <v>563</v>
      </c>
      <c r="D1790" s="1">
        <v>4308</v>
      </c>
      <c r="E1790" s="1">
        <v>4314</v>
      </c>
      <c r="F1790" s="1">
        <v>4306</v>
      </c>
      <c r="G1790" s="1">
        <v>4314</v>
      </c>
      <c r="H1790" s="1">
        <v>92300</v>
      </c>
    </row>
    <row r="1791" spans="1:8">
      <c r="A1791" s="1"/>
      <c r="B1791" s="1" t="s">
        <v>586</v>
      </c>
      <c r="C1791" s="1" t="s">
        <v>564</v>
      </c>
      <c r="D1791" s="1">
        <v>4314</v>
      </c>
      <c r="E1791" s="1">
        <v>4316</v>
      </c>
      <c r="F1791" s="1">
        <v>4313</v>
      </c>
      <c r="G1791" s="1">
        <v>4315</v>
      </c>
      <c r="H1791" s="1">
        <v>65700</v>
      </c>
    </row>
    <row r="1792" spans="1:8">
      <c r="A1792" s="1"/>
      <c r="B1792" s="1" t="s">
        <v>586</v>
      </c>
      <c r="C1792" s="1" t="s">
        <v>565</v>
      </c>
      <c r="D1792" s="1">
        <v>4315</v>
      </c>
      <c r="E1792" s="1">
        <v>4321</v>
      </c>
      <c r="F1792" s="1">
        <v>4314</v>
      </c>
      <c r="G1792" s="1">
        <v>4320</v>
      </c>
      <c r="H1792" s="1">
        <v>75100</v>
      </c>
    </row>
    <row r="1793" spans="1:8">
      <c r="A1793" s="1"/>
      <c r="B1793" s="1" t="s">
        <v>586</v>
      </c>
      <c r="C1793" s="1" t="s">
        <v>566</v>
      </c>
      <c r="D1793" s="1">
        <v>4319</v>
      </c>
      <c r="E1793" s="1">
        <v>4323</v>
      </c>
      <c r="F1793" s="1">
        <v>4318</v>
      </c>
      <c r="G1793" s="1">
        <v>4322</v>
      </c>
      <c r="H1793" s="1">
        <v>101000</v>
      </c>
    </row>
    <row r="1794" spans="1:8">
      <c r="A1794" s="1"/>
      <c r="B1794" s="1" t="s">
        <v>586</v>
      </c>
      <c r="C1794" s="1" t="s">
        <v>567</v>
      </c>
      <c r="D1794" s="1">
        <v>4323</v>
      </c>
      <c r="E1794" s="1">
        <v>4325</v>
      </c>
      <c r="F1794" s="1">
        <v>4321</v>
      </c>
      <c r="G1794" s="1">
        <v>4324</v>
      </c>
      <c r="H1794" s="1">
        <v>74800</v>
      </c>
    </row>
    <row r="1795" spans="1:8">
      <c r="A1795" s="1"/>
      <c r="B1795" s="1" t="s">
        <v>586</v>
      </c>
      <c r="C1795" s="1" t="s">
        <v>568</v>
      </c>
      <c r="D1795" s="1">
        <v>4323</v>
      </c>
      <c r="E1795" s="1">
        <v>4327</v>
      </c>
      <c r="F1795" s="1">
        <v>4322</v>
      </c>
      <c r="G1795" s="1">
        <v>4326</v>
      </c>
      <c r="H1795" s="1">
        <v>47500</v>
      </c>
    </row>
    <row r="1796" spans="1:8">
      <c r="A1796" s="1"/>
      <c r="B1796" s="1" t="s">
        <v>586</v>
      </c>
      <c r="C1796" s="1" t="s">
        <v>569</v>
      </c>
      <c r="D1796" s="1">
        <v>4327</v>
      </c>
      <c r="E1796" s="1">
        <v>4332</v>
      </c>
      <c r="F1796" s="1">
        <v>4323</v>
      </c>
      <c r="G1796" s="1">
        <v>4329</v>
      </c>
      <c r="H1796" s="1">
        <v>190900</v>
      </c>
    </row>
    <row r="1797" spans="1:8">
      <c r="A1797" s="1"/>
      <c r="B1797" s="1" t="s">
        <v>586</v>
      </c>
      <c r="C1797" s="1" t="s">
        <v>570</v>
      </c>
      <c r="D1797" s="1">
        <v>4329</v>
      </c>
      <c r="E1797" s="1">
        <v>4334</v>
      </c>
      <c r="F1797" s="1">
        <v>4327</v>
      </c>
      <c r="G1797" s="1">
        <v>4329</v>
      </c>
      <c r="H1797" s="1">
        <v>69200</v>
      </c>
    </row>
    <row r="1798" spans="1:8">
      <c r="A1798" s="1"/>
      <c r="B1798" s="1" t="s">
        <v>586</v>
      </c>
      <c r="C1798" s="1" t="s">
        <v>571</v>
      </c>
      <c r="D1798" s="1">
        <v>4329</v>
      </c>
      <c r="E1798" s="1">
        <v>4330</v>
      </c>
      <c r="F1798" s="1">
        <v>4323</v>
      </c>
      <c r="G1798" s="1">
        <v>4328</v>
      </c>
      <c r="H1798" s="1">
        <v>90100</v>
      </c>
    </row>
    <row r="1799" spans="1:8">
      <c r="A1799" s="1"/>
      <c r="B1799" s="1" t="s">
        <v>586</v>
      </c>
      <c r="C1799" s="1" t="s">
        <v>572</v>
      </c>
      <c r="D1799" s="1">
        <v>4328</v>
      </c>
      <c r="E1799" s="1">
        <v>4339</v>
      </c>
      <c r="F1799" s="1">
        <v>4326</v>
      </c>
      <c r="G1799" s="1">
        <v>4336</v>
      </c>
      <c r="H1799" s="1">
        <v>193500</v>
      </c>
    </row>
    <row r="1800" spans="1:8">
      <c r="A1800" s="1"/>
      <c r="B1800" s="1" t="s">
        <v>586</v>
      </c>
      <c r="C1800" s="1" t="s">
        <v>573</v>
      </c>
      <c r="D1800" s="1">
        <v>4336</v>
      </c>
      <c r="E1800" s="1">
        <v>4339</v>
      </c>
      <c r="F1800" s="1">
        <v>4331</v>
      </c>
      <c r="G1800" s="1">
        <v>4336</v>
      </c>
      <c r="H1800" s="1">
        <v>115400</v>
      </c>
    </row>
    <row r="1801" spans="1:8">
      <c r="A1801" s="1"/>
      <c r="B1801" s="1" t="s">
        <v>586</v>
      </c>
      <c r="C1801" s="1" t="s">
        <v>574</v>
      </c>
      <c r="D1801" s="1">
        <v>4335</v>
      </c>
      <c r="E1801" s="1">
        <v>4341</v>
      </c>
      <c r="F1801" s="1">
        <v>4333</v>
      </c>
      <c r="G1801" s="1">
        <v>4340</v>
      </c>
      <c r="H1801" s="1">
        <v>116500</v>
      </c>
    </row>
    <row r="1802" spans="1:8">
      <c r="A1802" s="1"/>
      <c r="B1802" s="1" t="s">
        <v>586</v>
      </c>
      <c r="C1802" s="1" t="s">
        <v>575</v>
      </c>
      <c r="D1802" s="1">
        <v>4339</v>
      </c>
      <c r="E1802" s="1">
        <v>4341</v>
      </c>
      <c r="F1802" s="1">
        <v>4334</v>
      </c>
      <c r="G1802" s="1">
        <v>4339</v>
      </c>
      <c r="H1802" s="1">
        <v>83900</v>
      </c>
    </row>
    <row r="1803" spans="1:8">
      <c r="A1803" s="1"/>
      <c r="B1803" s="1" t="s">
        <v>586</v>
      </c>
      <c r="C1803" s="1" t="s">
        <v>576</v>
      </c>
      <c r="D1803" s="1">
        <v>4339</v>
      </c>
      <c r="E1803" s="1">
        <v>4340</v>
      </c>
      <c r="F1803" s="1">
        <v>4332</v>
      </c>
      <c r="G1803" s="1">
        <v>4335</v>
      </c>
      <c r="H1803" s="1">
        <v>76000</v>
      </c>
    </row>
    <row r="1804" spans="1:8">
      <c r="A1804" s="1"/>
      <c r="B1804" s="1" t="s">
        <v>586</v>
      </c>
      <c r="C1804" s="1" t="s">
        <v>577</v>
      </c>
      <c r="D1804" s="1">
        <v>4335</v>
      </c>
      <c r="E1804" s="1">
        <v>4343</v>
      </c>
      <c r="F1804" s="1">
        <v>4335</v>
      </c>
      <c r="G1804" s="1">
        <v>4342</v>
      </c>
      <c r="H1804" s="1">
        <v>92800</v>
      </c>
    </row>
    <row r="1805" spans="1:8">
      <c r="A1805" s="1"/>
      <c r="B1805" s="1" t="s">
        <v>586</v>
      </c>
      <c r="C1805" s="1" t="s">
        <v>578</v>
      </c>
      <c r="D1805" s="1">
        <v>4342</v>
      </c>
      <c r="E1805" s="1">
        <v>4344</v>
      </c>
      <c r="F1805" s="1">
        <v>4338</v>
      </c>
      <c r="G1805" s="1">
        <v>4340</v>
      </c>
      <c r="H1805" s="1">
        <v>97100</v>
      </c>
    </row>
    <row r="1806" spans="1:8">
      <c r="A1806" s="1"/>
      <c r="B1806" s="1" t="s">
        <v>586</v>
      </c>
      <c r="C1806" s="1" t="s">
        <v>579</v>
      </c>
      <c r="D1806" s="1">
        <v>4338</v>
      </c>
      <c r="E1806" s="1">
        <v>4340</v>
      </c>
      <c r="F1806" s="1">
        <v>4330</v>
      </c>
      <c r="G1806" s="1">
        <v>4335</v>
      </c>
      <c r="H1806" s="1">
        <v>117100</v>
      </c>
    </row>
    <row r="1807" spans="1:8">
      <c r="A1807" s="1"/>
      <c r="B1807" s="1" t="s">
        <v>586</v>
      </c>
      <c r="C1807" s="1" t="s">
        <v>580</v>
      </c>
      <c r="D1807" s="1">
        <v>4334</v>
      </c>
      <c r="E1807" s="1">
        <v>4336</v>
      </c>
      <c r="F1807" s="1">
        <v>4332</v>
      </c>
      <c r="G1807" s="1">
        <v>4332</v>
      </c>
      <c r="H1807" s="1">
        <v>31900</v>
      </c>
    </row>
    <row r="1808" spans="1:8">
      <c r="A1808" s="1"/>
      <c r="B1808" s="1" t="s">
        <v>586</v>
      </c>
      <c r="C1808" s="1" t="s">
        <v>581</v>
      </c>
      <c r="D1808" s="1">
        <v>4333</v>
      </c>
      <c r="E1808" s="1">
        <v>4336</v>
      </c>
      <c r="F1808" s="1">
        <v>4329</v>
      </c>
      <c r="G1808" s="1">
        <v>4332</v>
      </c>
      <c r="H1808" s="1">
        <v>60200</v>
      </c>
    </row>
    <row r="1809" spans="1:8">
      <c r="A1809" s="1"/>
      <c r="B1809" s="1" t="s">
        <v>586</v>
      </c>
      <c r="C1809" s="1" t="s">
        <v>582</v>
      </c>
      <c r="D1809" s="1">
        <v>4331</v>
      </c>
      <c r="E1809" s="1">
        <v>4335</v>
      </c>
      <c r="F1809" s="1">
        <v>4328</v>
      </c>
      <c r="G1809" s="1">
        <v>4333</v>
      </c>
      <c r="H1809" s="1">
        <v>58700</v>
      </c>
    </row>
    <row r="1810" spans="1:8">
      <c r="A1810" s="1"/>
      <c r="B1810" s="1" t="s">
        <v>586</v>
      </c>
      <c r="C1810" s="1" t="s">
        <v>583</v>
      </c>
      <c r="D1810" s="1">
        <v>4334</v>
      </c>
      <c r="E1810" s="1">
        <v>4345</v>
      </c>
      <c r="F1810" s="1">
        <v>4333</v>
      </c>
      <c r="G1810" s="1">
        <v>4338</v>
      </c>
      <c r="H1810" s="1">
        <v>140300</v>
      </c>
    </row>
    <row r="1811" spans="1:8">
      <c r="A1811" s="1"/>
      <c r="B1811" s="1" t="s">
        <v>586</v>
      </c>
      <c r="C1811" s="1" t="s">
        <v>584</v>
      </c>
      <c r="D1811" s="1">
        <v>4338</v>
      </c>
      <c r="E1811" s="1">
        <v>4343</v>
      </c>
      <c r="F1811" s="1">
        <v>4336</v>
      </c>
      <c r="G1811" s="1">
        <v>4341</v>
      </c>
      <c r="H1811" s="1">
        <v>43200</v>
      </c>
    </row>
    <row r="1812" spans="1:8">
      <c r="A1812" s="1"/>
      <c r="B1812" s="1" t="s">
        <v>586</v>
      </c>
      <c r="C1812" s="1" t="s">
        <v>585</v>
      </c>
      <c r="D1812" s="1">
        <v>4340</v>
      </c>
      <c r="E1812" s="1">
        <v>4347</v>
      </c>
      <c r="F1812" s="1">
        <v>4339</v>
      </c>
      <c r="G1812" s="1">
        <v>4342</v>
      </c>
      <c r="H1812" s="1">
        <v>99400</v>
      </c>
    </row>
    <row r="1813" spans="1:8">
      <c r="A1813" s="1"/>
      <c r="B1813" s="1" t="s">
        <v>587</v>
      </c>
      <c r="C1813" s="1" t="s">
        <v>316</v>
      </c>
      <c r="D1813" s="1">
        <v>4342</v>
      </c>
      <c r="E1813" s="1">
        <v>4342</v>
      </c>
      <c r="F1813" s="1">
        <v>4342</v>
      </c>
      <c r="G1813" s="1">
        <v>4342</v>
      </c>
      <c r="H1813" s="1">
        <v>30500</v>
      </c>
    </row>
    <row r="1814" spans="1:8">
      <c r="A1814" s="1" t="s">
        <v>79</v>
      </c>
      <c r="B1814" s="1" t="s">
        <v>79</v>
      </c>
      <c r="C1814" s="1" t="s">
        <v>79</v>
      </c>
      <c r="D1814" s="1" t="s">
        <v>79</v>
      </c>
      <c r="E1814" s="1" t="s">
        <v>79</v>
      </c>
      <c r="F1814" s="1" t="s">
        <v>79</v>
      </c>
      <c r="G1814" s="1" t="s">
        <v>79</v>
      </c>
      <c r="H1814" s="1" t="s">
        <v>79</v>
      </c>
    </row>
    <row r="2327" spans="1:8">
      <c r="A2327" s="1"/>
      <c r="B2327" s="1"/>
      <c r="C2327" s="1"/>
      <c r="D2327" s="1"/>
      <c r="E2327" s="1"/>
      <c r="F2327" s="1"/>
      <c r="G2327" s="1"/>
      <c r="H2327" s="1"/>
    </row>
    <row r="2328" spans="1:8">
      <c r="A2328" s="1"/>
      <c r="B2328" s="1" t="s">
        <v>143</v>
      </c>
      <c r="C2328" s="1" t="s">
        <v>145</v>
      </c>
      <c r="D2328" s="1">
        <v>4656</v>
      </c>
      <c r="E2328" s="1">
        <v>4658</v>
      </c>
      <c r="F2328" s="1">
        <v>4655</v>
      </c>
      <c r="G2328" s="1">
        <v>4657</v>
      </c>
      <c r="H2328" s="1">
        <v>15200</v>
      </c>
    </row>
    <row r="2329" spans="1:8">
      <c r="A2329" s="1"/>
      <c r="B2329" s="1" t="s">
        <v>143</v>
      </c>
      <c r="C2329" s="1" t="s">
        <v>146</v>
      </c>
      <c r="D2329" s="1">
        <v>4656</v>
      </c>
      <c r="E2329" s="1">
        <v>4658</v>
      </c>
      <c r="F2329" s="1">
        <v>4655</v>
      </c>
      <c r="G2329" s="1">
        <v>4657</v>
      </c>
      <c r="H2329" s="1">
        <v>16600</v>
      </c>
    </row>
    <row r="2330" spans="1:8">
      <c r="A2330" s="1"/>
      <c r="B2330" s="1" t="s">
        <v>143</v>
      </c>
      <c r="C2330" s="1" t="s">
        <v>147</v>
      </c>
      <c r="D2330" s="1">
        <v>4656</v>
      </c>
      <c r="E2330" s="1">
        <v>4658</v>
      </c>
      <c r="F2330" s="1">
        <v>4655</v>
      </c>
      <c r="G2330" s="1">
        <v>4656</v>
      </c>
      <c r="H2330" s="1">
        <v>18500</v>
      </c>
    </row>
    <row r="2331" spans="1:8">
      <c r="A2331" s="1"/>
      <c r="B2331" s="1" t="s">
        <v>143</v>
      </c>
      <c r="C2331" s="1" t="s">
        <v>148</v>
      </c>
      <c r="D2331" s="1">
        <v>4657</v>
      </c>
      <c r="E2331" s="1">
        <v>4657</v>
      </c>
      <c r="F2331" s="1">
        <v>4653</v>
      </c>
      <c r="G2331" s="1">
        <v>4654</v>
      </c>
      <c r="H2331" s="1">
        <v>13800</v>
      </c>
    </row>
    <row r="2332" spans="1:8">
      <c r="A2332" s="1"/>
      <c r="B2332" s="1" t="s">
        <v>143</v>
      </c>
      <c r="C2332" s="1" t="s">
        <v>149</v>
      </c>
      <c r="D2332" s="1">
        <v>4655</v>
      </c>
      <c r="E2332" s="1">
        <v>4655</v>
      </c>
      <c r="F2332" s="1">
        <v>4653</v>
      </c>
      <c r="G2332" s="1">
        <v>4655</v>
      </c>
      <c r="H2332" s="1">
        <v>11500</v>
      </c>
    </row>
    <row r="2333" spans="1:8">
      <c r="A2333" s="1"/>
      <c r="B2333" s="1" t="s">
        <v>143</v>
      </c>
      <c r="C2333" s="1" t="s">
        <v>150</v>
      </c>
      <c r="D2333" s="1">
        <v>4654</v>
      </c>
      <c r="E2333" s="1">
        <v>4654</v>
      </c>
      <c r="F2333" s="1">
        <v>4650</v>
      </c>
      <c r="G2333" s="1">
        <v>4651</v>
      </c>
      <c r="H2333" s="1">
        <v>27600</v>
      </c>
    </row>
    <row r="2334" spans="1:8">
      <c r="A2334" s="1"/>
      <c r="B2334" s="1" t="s">
        <v>143</v>
      </c>
      <c r="C2334" s="1" t="s">
        <v>151</v>
      </c>
      <c r="D2334" s="1">
        <v>4651</v>
      </c>
      <c r="E2334" s="1">
        <v>4653</v>
      </c>
      <c r="F2334" s="1">
        <v>4649</v>
      </c>
      <c r="G2334" s="1">
        <v>4651</v>
      </c>
      <c r="H2334" s="1">
        <v>15800</v>
      </c>
    </row>
    <row r="2335" spans="1:8">
      <c r="A2335" s="1"/>
      <c r="B2335" s="1" t="s">
        <v>143</v>
      </c>
      <c r="C2335" s="1" t="s">
        <v>152</v>
      </c>
      <c r="D2335" s="1">
        <v>4651</v>
      </c>
      <c r="E2335" s="1">
        <v>4652</v>
      </c>
      <c r="F2335" s="1">
        <v>4649</v>
      </c>
      <c r="G2335" s="1">
        <v>4651</v>
      </c>
      <c r="H2335" s="1">
        <v>15400</v>
      </c>
    </row>
    <row r="2336" spans="1:8">
      <c r="A2336" s="1"/>
      <c r="B2336" s="1" t="s">
        <v>143</v>
      </c>
      <c r="C2336" s="1" t="s">
        <v>153</v>
      </c>
      <c r="D2336" s="1">
        <v>4651</v>
      </c>
      <c r="E2336" s="1">
        <v>4653</v>
      </c>
      <c r="F2336" s="1">
        <v>4650</v>
      </c>
      <c r="G2336" s="1">
        <v>4652</v>
      </c>
      <c r="H2336" s="1">
        <v>18000</v>
      </c>
    </row>
    <row r="2337" spans="1:8">
      <c r="A2337" s="1"/>
      <c r="B2337" s="1" t="s">
        <v>143</v>
      </c>
      <c r="C2337" s="1" t="s">
        <v>154</v>
      </c>
      <c r="D2337" s="1">
        <v>4652</v>
      </c>
      <c r="E2337" s="1">
        <v>4653</v>
      </c>
      <c r="F2337" s="1">
        <v>4649</v>
      </c>
      <c r="G2337" s="1">
        <v>4651</v>
      </c>
      <c r="H2337" s="1">
        <v>23600</v>
      </c>
    </row>
    <row r="2338" spans="1:8">
      <c r="A2338" s="1"/>
      <c r="B2338" s="1" t="s">
        <v>143</v>
      </c>
      <c r="C2338" s="1" t="s">
        <v>155</v>
      </c>
      <c r="D2338" s="1">
        <v>4651</v>
      </c>
      <c r="E2338" s="1">
        <v>4652</v>
      </c>
      <c r="F2338" s="1">
        <v>4649</v>
      </c>
      <c r="G2338" s="1">
        <v>4651</v>
      </c>
      <c r="H2338" s="1">
        <v>10400</v>
      </c>
    </row>
    <row r="2339" spans="1:8">
      <c r="A2339" s="1"/>
      <c r="B2339" s="1" t="s">
        <v>143</v>
      </c>
      <c r="C2339" s="1" t="s">
        <v>156</v>
      </c>
      <c r="D2339" s="1">
        <v>4652</v>
      </c>
      <c r="E2339" s="1">
        <v>4652</v>
      </c>
      <c r="F2339" s="1">
        <v>4649</v>
      </c>
      <c r="G2339" s="1">
        <v>4651</v>
      </c>
      <c r="H2339" s="1">
        <v>17300</v>
      </c>
    </row>
    <row r="2340" spans="1:8">
      <c r="A2340" s="1"/>
      <c r="B2340" s="1" t="s">
        <v>143</v>
      </c>
      <c r="C2340" s="1" t="s">
        <v>157</v>
      </c>
      <c r="D2340" s="1">
        <v>4651</v>
      </c>
      <c r="E2340" s="1">
        <v>4652</v>
      </c>
      <c r="F2340" s="1">
        <v>4651</v>
      </c>
      <c r="G2340" s="1">
        <v>4651</v>
      </c>
      <c r="H2340" s="1">
        <v>10200</v>
      </c>
    </row>
    <row r="2341" spans="1:8">
      <c r="A2341" s="1"/>
      <c r="B2341" s="1" t="s">
        <v>143</v>
      </c>
      <c r="C2341" s="1" t="s">
        <v>158</v>
      </c>
      <c r="D2341" s="1">
        <v>4651</v>
      </c>
      <c r="E2341" s="1">
        <v>4651</v>
      </c>
      <c r="F2341" s="1">
        <v>4650</v>
      </c>
      <c r="G2341" s="1">
        <v>4651</v>
      </c>
      <c r="H2341" s="1">
        <v>20800</v>
      </c>
    </row>
    <row r="2342" spans="1:8">
      <c r="A2342" s="1"/>
      <c r="B2342" s="1" t="s">
        <v>143</v>
      </c>
      <c r="C2342" s="1" t="s">
        <v>159</v>
      </c>
      <c r="D2342" s="1">
        <v>4651</v>
      </c>
      <c r="E2342" s="1">
        <v>4652</v>
      </c>
      <c r="F2342" s="1">
        <v>4647</v>
      </c>
      <c r="G2342" s="1">
        <v>4650</v>
      </c>
      <c r="H2342" s="1">
        <v>20500</v>
      </c>
    </row>
    <row r="2343" spans="1:8">
      <c r="A2343" s="1"/>
      <c r="B2343" s="1" t="s">
        <v>143</v>
      </c>
      <c r="C2343" s="1" t="s">
        <v>160</v>
      </c>
      <c r="D2343" s="1">
        <v>4650</v>
      </c>
      <c r="E2343" s="1">
        <v>4650</v>
      </c>
      <c r="F2343" s="1">
        <v>4648</v>
      </c>
      <c r="G2343" s="1">
        <v>4648</v>
      </c>
      <c r="H2343" s="1">
        <v>16000</v>
      </c>
    </row>
    <row r="2344" spans="1:8">
      <c r="A2344" s="1"/>
      <c r="B2344" s="1" t="s">
        <v>143</v>
      </c>
      <c r="C2344" s="1" t="s">
        <v>161</v>
      </c>
      <c r="D2344" s="1">
        <v>4648</v>
      </c>
      <c r="E2344" s="1">
        <v>4651</v>
      </c>
      <c r="F2344" s="1">
        <v>4646</v>
      </c>
      <c r="G2344" s="1">
        <v>4648</v>
      </c>
      <c r="H2344" s="1">
        <v>38700</v>
      </c>
    </row>
    <row r="2345" spans="1:8">
      <c r="A2345" s="1"/>
      <c r="B2345" s="1" t="s">
        <v>143</v>
      </c>
      <c r="C2345" s="1" t="s">
        <v>162</v>
      </c>
      <c r="D2345" s="1">
        <v>4647</v>
      </c>
      <c r="E2345" s="1">
        <v>4648</v>
      </c>
      <c r="F2345" s="1">
        <v>4641</v>
      </c>
      <c r="G2345" s="1">
        <v>4645</v>
      </c>
      <c r="H2345" s="1">
        <v>36100</v>
      </c>
    </row>
    <row r="2346" spans="1:8">
      <c r="A2346" s="1"/>
      <c r="B2346" s="1" t="s">
        <v>143</v>
      </c>
      <c r="C2346" s="1" t="s">
        <v>163</v>
      </c>
      <c r="D2346" s="1">
        <v>4645</v>
      </c>
      <c r="E2346" s="1">
        <v>4646</v>
      </c>
      <c r="F2346" s="1">
        <v>4643</v>
      </c>
      <c r="G2346" s="1">
        <v>4645</v>
      </c>
      <c r="H2346" s="1">
        <v>23100</v>
      </c>
    </row>
    <row r="2347" spans="1:8">
      <c r="A2347" s="1"/>
      <c r="B2347" s="1" t="s">
        <v>143</v>
      </c>
      <c r="C2347" s="1" t="s">
        <v>81</v>
      </c>
      <c r="D2347" s="1">
        <v>4645</v>
      </c>
      <c r="E2347" s="1">
        <v>4645</v>
      </c>
      <c r="F2347" s="1">
        <v>4643</v>
      </c>
      <c r="G2347" s="1">
        <v>4644</v>
      </c>
      <c r="H2347" s="1">
        <v>14400</v>
      </c>
    </row>
    <row r="2348" spans="1:8">
      <c r="A2348" s="1"/>
      <c r="B2348" s="1" t="s">
        <v>143</v>
      </c>
      <c r="C2348" s="1" t="s">
        <v>82</v>
      </c>
      <c r="D2348" s="1">
        <v>4643</v>
      </c>
      <c r="E2348" s="1">
        <v>4645</v>
      </c>
      <c r="F2348" s="1">
        <v>4643</v>
      </c>
      <c r="G2348" s="1">
        <v>4643</v>
      </c>
      <c r="H2348" s="1">
        <v>15200</v>
      </c>
    </row>
    <row r="2349" spans="1:8">
      <c r="A2349" s="1"/>
      <c r="B2349" s="1" t="s">
        <v>143</v>
      </c>
      <c r="C2349" s="1" t="s">
        <v>83</v>
      </c>
      <c r="D2349" s="1">
        <v>4643</v>
      </c>
      <c r="E2349" s="1">
        <v>4646</v>
      </c>
      <c r="F2349" s="1">
        <v>4643</v>
      </c>
      <c r="G2349" s="1">
        <v>4644</v>
      </c>
      <c r="H2349" s="1">
        <v>19600</v>
      </c>
    </row>
    <row r="2350" spans="1:8">
      <c r="A2350" s="1"/>
      <c r="B2350" s="1" t="s">
        <v>143</v>
      </c>
      <c r="C2350" s="1" t="s">
        <v>84</v>
      </c>
      <c r="D2350" s="1">
        <v>4643</v>
      </c>
      <c r="E2350" s="1">
        <v>4643</v>
      </c>
      <c r="F2350" s="1">
        <v>4640</v>
      </c>
      <c r="G2350" s="1">
        <v>4643</v>
      </c>
      <c r="H2350" s="1">
        <v>33100</v>
      </c>
    </row>
    <row r="2351" spans="1:8">
      <c r="A2351" s="1"/>
      <c r="B2351" s="1" t="s">
        <v>143</v>
      </c>
      <c r="C2351" s="1" t="s">
        <v>85</v>
      </c>
      <c r="D2351" s="1">
        <v>4642</v>
      </c>
      <c r="E2351" s="1">
        <v>4642</v>
      </c>
      <c r="F2351" s="1">
        <v>4638</v>
      </c>
      <c r="G2351" s="1">
        <v>4640</v>
      </c>
      <c r="H2351" s="1">
        <v>28000</v>
      </c>
    </row>
    <row r="2352" spans="1:8">
      <c r="A2352" s="1"/>
      <c r="B2352" s="1" t="s">
        <v>143</v>
      </c>
      <c r="C2352" s="1" t="s">
        <v>86</v>
      </c>
      <c r="D2352" s="1">
        <v>4640</v>
      </c>
      <c r="E2352" s="1">
        <v>4641</v>
      </c>
      <c r="F2352" s="1">
        <v>4634</v>
      </c>
      <c r="G2352" s="1">
        <v>4635</v>
      </c>
      <c r="H2352" s="1">
        <v>60700</v>
      </c>
    </row>
    <row r="2353" spans="1:8">
      <c r="A2353" s="1"/>
      <c r="B2353" s="1" t="s">
        <v>143</v>
      </c>
      <c r="C2353" s="1" t="s">
        <v>87</v>
      </c>
      <c r="D2353" s="1">
        <v>4635</v>
      </c>
      <c r="E2353" s="1">
        <v>4637</v>
      </c>
      <c r="F2353" s="1">
        <v>4634</v>
      </c>
      <c r="G2353" s="1">
        <v>4634</v>
      </c>
      <c r="H2353" s="1">
        <v>22500</v>
      </c>
    </row>
    <row r="2354" spans="1:8">
      <c r="A2354" s="1"/>
      <c r="B2354" s="1" t="s">
        <v>143</v>
      </c>
      <c r="C2354" s="1" t="s">
        <v>88</v>
      </c>
      <c r="D2354" s="1">
        <v>4634</v>
      </c>
      <c r="E2354" s="1">
        <v>4634</v>
      </c>
      <c r="F2354" s="1">
        <v>4630</v>
      </c>
      <c r="G2354" s="1">
        <v>4633</v>
      </c>
      <c r="H2354" s="1">
        <v>34800</v>
      </c>
    </row>
    <row r="2355" spans="1:8">
      <c r="A2355" s="1"/>
      <c r="B2355" s="1" t="s">
        <v>143</v>
      </c>
      <c r="C2355" s="1" t="s">
        <v>89</v>
      </c>
      <c r="D2355" s="1">
        <v>4634</v>
      </c>
      <c r="E2355" s="1">
        <v>4634</v>
      </c>
      <c r="F2355" s="1">
        <v>4622</v>
      </c>
      <c r="G2355" s="1">
        <v>4622</v>
      </c>
      <c r="H2355" s="1">
        <v>42300</v>
      </c>
    </row>
    <row r="2356" spans="1:8">
      <c r="A2356" s="1"/>
      <c r="B2356" s="1" t="s">
        <v>143</v>
      </c>
      <c r="C2356" s="1" t="s">
        <v>90</v>
      </c>
      <c r="D2356" s="1">
        <v>4622</v>
      </c>
      <c r="E2356" s="1">
        <v>4625</v>
      </c>
      <c r="F2356" s="1">
        <v>4621</v>
      </c>
      <c r="G2356" s="1">
        <v>4622</v>
      </c>
      <c r="H2356" s="1">
        <v>14800</v>
      </c>
    </row>
    <row r="2357" spans="1:8">
      <c r="A2357" s="1"/>
      <c r="B2357" s="1" t="s">
        <v>143</v>
      </c>
      <c r="C2357" s="1" t="s">
        <v>91</v>
      </c>
      <c r="D2357" s="1">
        <v>4622</v>
      </c>
      <c r="E2357" s="1">
        <v>4623</v>
      </c>
      <c r="F2357" s="1">
        <v>4617</v>
      </c>
      <c r="G2357" s="1">
        <v>4620</v>
      </c>
      <c r="H2357" s="1">
        <v>19900</v>
      </c>
    </row>
    <row r="2358" spans="1:8">
      <c r="A2358" s="1"/>
      <c r="B2358" s="1" t="s">
        <v>143</v>
      </c>
      <c r="C2358" s="1" t="s">
        <v>92</v>
      </c>
      <c r="D2358" s="1">
        <v>4619</v>
      </c>
      <c r="E2358" s="1">
        <v>4622</v>
      </c>
      <c r="F2358" s="1">
        <v>4617</v>
      </c>
      <c r="G2358" s="1">
        <v>4620</v>
      </c>
      <c r="H2358" s="1">
        <v>25500</v>
      </c>
    </row>
    <row r="2359" spans="1:8">
      <c r="A2359" s="1"/>
      <c r="B2359" s="1" t="s">
        <v>143</v>
      </c>
      <c r="C2359" s="1" t="s">
        <v>93</v>
      </c>
      <c r="D2359" s="1">
        <v>4621</v>
      </c>
      <c r="E2359" s="1">
        <v>4626</v>
      </c>
      <c r="F2359" s="1">
        <v>4620</v>
      </c>
      <c r="G2359" s="1">
        <v>4624</v>
      </c>
      <c r="H2359" s="1">
        <v>27900</v>
      </c>
    </row>
    <row r="2360" spans="1:8">
      <c r="A2360" s="1"/>
      <c r="B2360" s="1" t="s">
        <v>143</v>
      </c>
      <c r="C2360" s="1" t="s">
        <v>94</v>
      </c>
      <c r="D2360" s="1">
        <v>4623</v>
      </c>
      <c r="E2360" s="1">
        <v>4624</v>
      </c>
      <c r="F2360" s="1">
        <v>4621</v>
      </c>
      <c r="G2360" s="1">
        <v>4624</v>
      </c>
      <c r="H2360" s="1">
        <v>11400</v>
      </c>
    </row>
    <row r="2361" spans="1:8">
      <c r="A2361" s="1"/>
      <c r="B2361" s="1" t="s">
        <v>143</v>
      </c>
      <c r="C2361" s="1" t="s">
        <v>95</v>
      </c>
      <c r="D2361" s="1">
        <v>4624</v>
      </c>
      <c r="E2361" s="1">
        <v>4625</v>
      </c>
      <c r="F2361" s="1">
        <v>4621</v>
      </c>
      <c r="G2361" s="1">
        <v>4622</v>
      </c>
      <c r="H2361" s="1">
        <v>30400</v>
      </c>
    </row>
    <row r="2362" spans="1:8">
      <c r="A2362" s="1"/>
      <c r="B2362" s="1" t="s">
        <v>143</v>
      </c>
      <c r="C2362" s="1" t="s">
        <v>96</v>
      </c>
      <c r="D2362" s="1">
        <v>4622</v>
      </c>
      <c r="E2362" s="1">
        <v>4622</v>
      </c>
      <c r="F2362" s="1">
        <v>4620</v>
      </c>
      <c r="G2362" s="1">
        <v>4621</v>
      </c>
      <c r="H2362" s="1">
        <v>17900</v>
      </c>
    </row>
    <row r="2363" spans="1:8">
      <c r="A2363" s="1"/>
      <c r="B2363" s="1" t="s">
        <v>143</v>
      </c>
      <c r="C2363" s="1" t="s">
        <v>97</v>
      </c>
      <c r="D2363" s="1">
        <v>4621</v>
      </c>
      <c r="E2363" s="1">
        <v>4624</v>
      </c>
      <c r="F2363" s="1">
        <v>4620</v>
      </c>
      <c r="G2363" s="1">
        <v>4622</v>
      </c>
      <c r="H2363" s="1">
        <v>17400</v>
      </c>
    </row>
    <row r="2364" spans="1:8">
      <c r="A2364" s="1"/>
      <c r="B2364" s="1" t="s">
        <v>143</v>
      </c>
      <c r="C2364" s="1" t="s">
        <v>98</v>
      </c>
      <c r="D2364" s="1">
        <v>4623</v>
      </c>
      <c r="E2364" s="1">
        <v>4623</v>
      </c>
      <c r="F2364" s="1">
        <v>4617</v>
      </c>
      <c r="G2364" s="1">
        <v>4617</v>
      </c>
      <c r="H2364" s="1">
        <v>25000</v>
      </c>
    </row>
    <row r="2365" spans="1:8">
      <c r="A2365" s="1"/>
      <c r="B2365" s="1" t="s">
        <v>143</v>
      </c>
      <c r="C2365" s="1" t="s">
        <v>99</v>
      </c>
      <c r="D2365" s="1">
        <v>4618</v>
      </c>
      <c r="E2365" s="1">
        <v>4620</v>
      </c>
      <c r="F2365" s="1">
        <v>4616</v>
      </c>
      <c r="G2365" s="1">
        <v>4617</v>
      </c>
      <c r="H2365" s="1">
        <v>16200</v>
      </c>
    </row>
    <row r="2366" spans="1:8">
      <c r="A2366" s="1"/>
      <c r="B2366" s="1" t="s">
        <v>143</v>
      </c>
      <c r="C2366" s="1" t="s">
        <v>100</v>
      </c>
      <c r="D2366" s="1">
        <v>4617</v>
      </c>
      <c r="E2366" s="1">
        <v>4620</v>
      </c>
      <c r="F2366" s="1">
        <v>4616</v>
      </c>
      <c r="G2366" s="1">
        <v>4619</v>
      </c>
      <c r="H2366" s="1">
        <v>26700</v>
      </c>
    </row>
    <row r="2367" spans="1:8">
      <c r="A2367" s="1"/>
      <c r="B2367" s="1" t="s">
        <v>143</v>
      </c>
      <c r="C2367" s="1" t="s">
        <v>101</v>
      </c>
      <c r="D2367" s="1">
        <v>4619</v>
      </c>
      <c r="E2367" s="1">
        <v>4620</v>
      </c>
      <c r="F2367" s="1">
        <v>4614</v>
      </c>
      <c r="G2367" s="1">
        <v>4616</v>
      </c>
      <c r="H2367" s="1">
        <v>31800</v>
      </c>
    </row>
    <row r="2368" spans="1:8">
      <c r="A2368" s="1"/>
      <c r="B2368" s="1" t="s">
        <v>143</v>
      </c>
      <c r="C2368" s="1" t="s">
        <v>102</v>
      </c>
      <c r="D2368" s="1">
        <v>4615</v>
      </c>
      <c r="E2368" s="1">
        <v>4619</v>
      </c>
      <c r="F2368" s="1">
        <v>4615</v>
      </c>
      <c r="G2368" s="1">
        <v>4619</v>
      </c>
      <c r="H2368" s="1">
        <v>13800</v>
      </c>
    </row>
    <row r="2369" spans="1:8">
      <c r="A2369" s="1"/>
      <c r="B2369" s="1" t="s">
        <v>143</v>
      </c>
      <c r="C2369" s="1" t="s">
        <v>103</v>
      </c>
      <c r="D2369" s="1">
        <v>4617</v>
      </c>
      <c r="E2369" s="1">
        <v>4618</v>
      </c>
      <c r="F2369" s="1">
        <v>4616</v>
      </c>
      <c r="G2369" s="1">
        <v>4618</v>
      </c>
      <c r="H2369" s="1">
        <v>18100</v>
      </c>
    </row>
    <row r="2370" spans="1:8">
      <c r="A2370" s="1"/>
      <c r="B2370" s="1" t="s">
        <v>143</v>
      </c>
      <c r="C2370" s="1" t="s">
        <v>104</v>
      </c>
      <c r="D2370" s="1">
        <v>4619</v>
      </c>
      <c r="E2370" s="1">
        <v>4619</v>
      </c>
      <c r="F2370" s="1">
        <v>4616</v>
      </c>
      <c r="G2370" s="1">
        <v>4616</v>
      </c>
      <c r="H2370" s="1">
        <v>13300</v>
      </c>
    </row>
    <row r="2371" spans="1:8">
      <c r="A2371" s="1"/>
      <c r="B2371" s="1" t="s">
        <v>143</v>
      </c>
      <c r="C2371" s="1" t="s">
        <v>105</v>
      </c>
      <c r="D2371" s="1">
        <v>4617</v>
      </c>
      <c r="E2371" s="1">
        <v>4617</v>
      </c>
      <c r="F2371" s="1">
        <v>4616</v>
      </c>
      <c r="G2371" s="1">
        <v>4617</v>
      </c>
      <c r="H2371" s="1">
        <v>16500</v>
      </c>
    </row>
    <row r="2372" spans="1:8">
      <c r="A2372" s="1"/>
      <c r="B2372" s="1" t="s">
        <v>143</v>
      </c>
      <c r="C2372" s="1" t="s">
        <v>106</v>
      </c>
      <c r="D2372" s="1">
        <v>4617</v>
      </c>
      <c r="E2372" s="1">
        <v>4621</v>
      </c>
      <c r="F2372" s="1">
        <v>4617</v>
      </c>
      <c r="G2372" s="1">
        <v>4618</v>
      </c>
      <c r="H2372" s="1">
        <v>31900</v>
      </c>
    </row>
    <row r="2373" spans="1:8">
      <c r="A2373" s="1"/>
      <c r="B2373" s="1" t="s">
        <v>143</v>
      </c>
      <c r="C2373" s="1" t="s">
        <v>107</v>
      </c>
      <c r="D2373" s="1">
        <v>4617</v>
      </c>
      <c r="E2373" s="1">
        <v>4618</v>
      </c>
      <c r="F2373" s="1">
        <v>4613</v>
      </c>
      <c r="G2373" s="1">
        <v>4615</v>
      </c>
      <c r="H2373" s="1">
        <v>31400</v>
      </c>
    </row>
    <row r="2374" spans="1:8">
      <c r="A2374" s="1"/>
      <c r="B2374" s="1" t="s">
        <v>143</v>
      </c>
      <c r="C2374" s="1" t="s">
        <v>108</v>
      </c>
      <c r="D2374" s="1">
        <v>4614</v>
      </c>
      <c r="E2374" s="1">
        <v>4615</v>
      </c>
      <c r="F2374" s="1">
        <v>4613</v>
      </c>
      <c r="G2374" s="1">
        <v>4614</v>
      </c>
      <c r="H2374" s="1">
        <v>22300</v>
      </c>
    </row>
    <row r="2375" spans="1:8">
      <c r="A2375" s="1"/>
      <c r="B2375" s="1" t="s">
        <v>143</v>
      </c>
      <c r="C2375" s="1" t="s">
        <v>109</v>
      </c>
      <c r="D2375" s="1">
        <v>4614</v>
      </c>
      <c r="E2375" s="1">
        <v>4616</v>
      </c>
      <c r="F2375" s="1">
        <v>4614</v>
      </c>
      <c r="G2375" s="1">
        <v>4615</v>
      </c>
      <c r="H2375" s="1">
        <v>34600</v>
      </c>
    </row>
    <row r="2376" spans="1:8">
      <c r="A2376" s="1"/>
      <c r="B2376" s="1" t="s">
        <v>143</v>
      </c>
      <c r="C2376" s="1" t="s">
        <v>110</v>
      </c>
      <c r="D2376" s="1">
        <v>4614</v>
      </c>
      <c r="E2376" s="1">
        <v>4615</v>
      </c>
      <c r="F2376" s="1">
        <v>4611</v>
      </c>
      <c r="G2376" s="1">
        <v>4611</v>
      </c>
      <c r="H2376" s="1">
        <v>22500</v>
      </c>
    </row>
    <row r="2377" spans="1:8">
      <c r="A2377" s="1"/>
      <c r="B2377" s="1" t="s">
        <v>143</v>
      </c>
      <c r="C2377" s="1" t="s">
        <v>111</v>
      </c>
      <c r="D2377" s="1">
        <v>4610</v>
      </c>
      <c r="E2377" s="1">
        <v>4613</v>
      </c>
      <c r="F2377" s="1">
        <v>4610</v>
      </c>
      <c r="G2377" s="1">
        <v>4611</v>
      </c>
      <c r="H2377" s="1">
        <v>50000</v>
      </c>
    </row>
    <row r="2378" spans="1:8">
      <c r="A2378" s="1"/>
      <c r="B2378" s="1" t="s">
        <v>143</v>
      </c>
      <c r="C2378" s="1" t="s">
        <v>112</v>
      </c>
      <c r="D2378" s="1">
        <v>4611</v>
      </c>
      <c r="E2378" s="1">
        <v>4613</v>
      </c>
      <c r="F2378" s="1">
        <v>4610</v>
      </c>
      <c r="G2378" s="1">
        <v>4613</v>
      </c>
      <c r="H2378" s="1">
        <v>46700</v>
      </c>
    </row>
    <row r="2379" spans="1:8">
      <c r="A2379" s="1"/>
      <c r="B2379" s="1" t="s">
        <v>143</v>
      </c>
      <c r="C2379" s="1" t="s">
        <v>113</v>
      </c>
      <c r="D2379" s="1">
        <v>4613</v>
      </c>
      <c r="E2379" s="1">
        <v>4617</v>
      </c>
      <c r="F2379" s="1">
        <v>4612</v>
      </c>
      <c r="G2379" s="1">
        <v>4614</v>
      </c>
      <c r="H2379" s="1">
        <v>31500</v>
      </c>
    </row>
    <row r="2380" spans="1:8">
      <c r="A2380" s="1"/>
      <c r="B2380" s="1" t="s">
        <v>143</v>
      </c>
      <c r="C2380" s="1" t="s">
        <v>114</v>
      </c>
      <c r="D2380" s="1">
        <v>4614</v>
      </c>
      <c r="E2380" s="1">
        <v>4616</v>
      </c>
      <c r="F2380" s="1">
        <v>4614</v>
      </c>
      <c r="G2380" s="1">
        <v>4614</v>
      </c>
      <c r="H2380" s="1">
        <v>34100</v>
      </c>
    </row>
    <row r="2381" spans="1:8">
      <c r="A2381" s="1"/>
      <c r="B2381" s="1" t="s">
        <v>143</v>
      </c>
      <c r="C2381" s="1" t="s">
        <v>115</v>
      </c>
      <c r="D2381" s="1">
        <v>4613</v>
      </c>
      <c r="E2381" s="1">
        <v>4614</v>
      </c>
      <c r="F2381" s="1">
        <v>4611</v>
      </c>
      <c r="G2381" s="1">
        <v>4612</v>
      </c>
      <c r="H2381" s="1">
        <v>34300</v>
      </c>
    </row>
    <row r="2382" spans="1:8">
      <c r="A2382" s="1"/>
      <c r="B2382" s="1" t="s">
        <v>143</v>
      </c>
      <c r="C2382" s="1" t="s">
        <v>116</v>
      </c>
      <c r="D2382" s="1">
        <v>4613</v>
      </c>
      <c r="E2382" s="1">
        <v>4614</v>
      </c>
      <c r="F2382" s="1">
        <v>4612</v>
      </c>
      <c r="G2382" s="1">
        <v>4613</v>
      </c>
      <c r="H2382" s="1">
        <v>15400</v>
      </c>
    </row>
    <row r="2383" spans="1:8">
      <c r="A2383" s="1"/>
      <c r="B2383" s="1" t="s">
        <v>143</v>
      </c>
      <c r="C2383" s="1" t="s">
        <v>117</v>
      </c>
      <c r="D2383" s="1">
        <v>4613</v>
      </c>
      <c r="E2383" s="1">
        <v>4613</v>
      </c>
      <c r="F2383" s="1">
        <v>4611</v>
      </c>
      <c r="G2383" s="1">
        <v>4611</v>
      </c>
      <c r="H2383" s="1">
        <v>25800</v>
      </c>
    </row>
    <row r="2384" spans="1:8">
      <c r="A2384" s="1"/>
      <c r="B2384" s="1" t="s">
        <v>143</v>
      </c>
      <c r="C2384" s="1" t="s">
        <v>118</v>
      </c>
      <c r="D2384" s="1">
        <v>4612</v>
      </c>
      <c r="E2384" s="1">
        <v>4613</v>
      </c>
      <c r="F2384" s="1">
        <v>4608</v>
      </c>
      <c r="G2384" s="1">
        <v>4610</v>
      </c>
      <c r="H2384" s="1">
        <v>45000</v>
      </c>
    </row>
    <row r="2385" spans="1:8">
      <c r="A2385" s="1"/>
      <c r="B2385" s="1" t="s">
        <v>144</v>
      </c>
      <c r="C2385" s="1" t="s">
        <v>67</v>
      </c>
      <c r="D2385" s="1" t="s">
        <v>8</v>
      </c>
      <c r="E2385" s="1" t="s">
        <v>8</v>
      </c>
      <c r="F2385" s="1" t="s">
        <v>8</v>
      </c>
      <c r="G2385" s="1" t="s">
        <v>8</v>
      </c>
      <c r="H2385" s="1">
        <v>0</v>
      </c>
    </row>
    <row r="2386" spans="1:8">
      <c r="A2386" s="1"/>
      <c r="B2386" s="1" t="s">
        <v>144</v>
      </c>
      <c r="C2386" s="1" t="s">
        <v>68</v>
      </c>
      <c r="D2386" s="1" t="s">
        <v>8</v>
      </c>
      <c r="E2386" s="1" t="s">
        <v>8</v>
      </c>
      <c r="F2386" s="1" t="s">
        <v>8</v>
      </c>
      <c r="G2386" s="1" t="s">
        <v>8</v>
      </c>
      <c r="H2386" s="1">
        <v>0</v>
      </c>
    </row>
    <row r="2387" spans="1:8">
      <c r="A2387" s="1"/>
      <c r="B2387" s="1" t="s">
        <v>144</v>
      </c>
      <c r="C2387" s="1" t="s">
        <v>69</v>
      </c>
      <c r="D2387" s="1" t="s">
        <v>8</v>
      </c>
      <c r="E2387" s="1" t="s">
        <v>8</v>
      </c>
      <c r="F2387" s="1" t="s">
        <v>8</v>
      </c>
      <c r="G2387" s="1" t="s">
        <v>8</v>
      </c>
      <c r="H2387" s="1">
        <v>0</v>
      </c>
    </row>
    <row r="2388" spans="1:8">
      <c r="A2388" s="1"/>
      <c r="B2388" s="1" t="s">
        <v>144</v>
      </c>
      <c r="C2388" s="1" t="s">
        <v>70</v>
      </c>
      <c r="D2388" s="1" t="s">
        <v>8</v>
      </c>
      <c r="E2388" s="1" t="s">
        <v>8</v>
      </c>
      <c r="F2388" s="1" t="s">
        <v>8</v>
      </c>
      <c r="G2388" s="1" t="s">
        <v>8</v>
      </c>
      <c r="H2388" s="1">
        <v>0</v>
      </c>
    </row>
    <row r="2389" spans="1:8">
      <c r="A2389" s="1"/>
      <c r="B2389" s="1" t="s">
        <v>144</v>
      </c>
      <c r="C2389" s="1" t="s">
        <v>71</v>
      </c>
      <c r="D2389" s="1" t="s">
        <v>8</v>
      </c>
      <c r="E2389" s="1" t="s">
        <v>8</v>
      </c>
      <c r="F2389" s="1" t="s">
        <v>8</v>
      </c>
      <c r="G2389" s="1" t="s">
        <v>8</v>
      </c>
      <c r="H2389" s="1">
        <v>0</v>
      </c>
    </row>
    <row r="2390" spans="1:8">
      <c r="A2390" s="1"/>
      <c r="B2390" s="1" t="s">
        <v>144</v>
      </c>
      <c r="C2390" s="1" t="s">
        <v>72</v>
      </c>
      <c r="D2390" s="1">
        <v>4614</v>
      </c>
      <c r="E2390" s="1">
        <v>4614</v>
      </c>
      <c r="F2390" s="1">
        <v>4614</v>
      </c>
      <c r="G2390" s="1">
        <v>4614</v>
      </c>
      <c r="H2390" s="1">
        <v>2144200</v>
      </c>
    </row>
    <row r="2391" spans="1:8">
      <c r="A2391" s="1" t="s">
        <v>79</v>
      </c>
      <c r="B2391" s="1" t="s">
        <v>79</v>
      </c>
      <c r="C2391" s="1" t="s">
        <v>79</v>
      </c>
      <c r="D2391" s="1" t="s">
        <v>79</v>
      </c>
      <c r="E2391" s="1" t="s">
        <v>79</v>
      </c>
      <c r="F2391" s="1" t="s">
        <v>79</v>
      </c>
      <c r="G2391" s="1" t="s">
        <v>79</v>
      </c>
      <c r="H2391" s="1" t="s">
        <v>79</v>
      </c>
    </row>
    <row r="2392" spans="1:8">
      <c r="A2392" s="1"/>
      <c r="B2392" s="1" t="s">
        <v>78</v>
      </c>
      <c r="C2392" s="1" t="s">
        <v>107</v>
      </c>
      <c r="D2392" s="1">
        <v>4349</v>
      </c>
      <c r="E2392" s="1">
        <v>4350</v>
      </c>
      <c r="F2392" s="1">
        <v>4349</v>
      </c>
      <c r="G2392" s="1">
        <v>4349</v>
      </c>
      <c r="H2392" s="1">
        <v>8500</v>
      </c>
    </row>
    <row r="2393" spans="1:8">
      <c r="A2393" s="1"/>
      <c r="B2393" s="1" t="s">
        <v>78</v>
      </c>
      <c r="C2393" s="1" t="s">
        <v>108</v>
      </c>
      <c r="D2393" s="1">
        <v>4349</v>
      </c>
      <c r="E2393" s="1">
        <v>4350</v>
      </c>
      <c r="F2393" s="1">
        <v>4348</v>
      </c>
      <c r="G2393" s="1">
        <v>4348</v>
      </c>
      <c r="H2393" s="1">
        <v>24600</v>
      </c>
    </row>
    <row r="2394" spans="1:8">
      <c r="A2394" s="1"/>
      <c r="B2394" s="1" t="s">
        <v>78</v>
      </c>
      <c r="C2394" s="1" t="s">
        <v>109</v>
      </c>
      <c r="D2394" s="1">
        <v>4348</v>
      </c>
      <c r="E2394" s="1">
        <v>4349</v>
      </c>
      <c r="F2394" s="1">
        <v>4348</v>
      </c>
      <c r="G2394" s="1">
        <v>4348</v>
      </c>
      <c r="H2394" s="1">
        <v>9300</v>
      </c>
    </row>
    <row r="2395" spans="1:8">
      <c r="A2395" s="1"/>
      <c r="B2395" s="1" t="s">
        <v>78</v>
      </c>
      <c r="C2395" s="1" t="s">
        <v>110</v>
      </c>
      <c r="D2395" s="1">
        <v>4349</v>
      </c>
      <c r="E2395" s="1">
        <v>4349</v>
      </c>
      <c r="F2395" s="1">
        <v>4346</v>
      </c>
      <c r="G2395" s="1">
        <v>4348</v>
      </c>
      <c r="H2395" s="1">
        <v>40100</v>
      </c>
    </row>
    <row r="2396" spans="1:8">
      <c r="A2396" s="1"/>
      <c r="B2396" s="1" t="s">
        <v>78</v>
      </c>
      <c r="C2396" s="1" t="s">
        <v>111</v>
      </c>
      <c r="D2396" s="1">
        <v>4348</v>
      </c>
      <c r="E2396" s="1">
        <v>4349</v>
      </c>
      <c r="F2396" s="1">
        <v>4348</v>
      </c>
      <c r="G2396" s="1">
        <v>4348</v>
      </c>
      <c r="H2396" s="1">
        <v>4100</v>
      </c>
    </row>
    <row r="2397" spans="1:8">
      <c r="A2397" s="1"/>
      <c r="B2397" s="1" t="s">
        <v>78</v>
      </c>
      <c r="C2397" s="1" t="s">
        <v>112</v>
      </c>
      <c r="D2397" s="1">
        <v>4348</v>
      </c>
      <c r="E2397" s="1">
        <v>4351</v>
      </c>
      <c r="F2397" s="1">
        <v>4348</v>
      </c>
      <c r="G2397" s="1">
        <v>4350</v>
      </c>
      <c r="H2397" s="1">
        <v>87400</v>
      </c>
    </row>
    <row r="2398" spans="1:8">
      <c r="A2398" s="1"/>
      <c r="B2398" s="1" t="s">
        <v>78</v>
      </c>
      <c r="C2398" s="1" t="s">
        <v>113</v>
      </c>
      <c r="D2398" s="1">
        <v>4350</v>
      </c>
      <c r="E2398" s="1">
        <v>4350</v>
      </c>
      <c r="F2398" s="1">
        <v>4348</v>
      </c>
      <c r="G2398" s="1">
        <v>4349</v>
      </c>
      <c r="H2398" s="1">
        <v>13900</v>
      </c>
    </row>
    <row r="2399" spans="1:8">
      <c r="A2399" s="1"/>
      <c r="B2399" s="1" t="s">
        <v>78</v>
      </c>
      <c r="C2399" s="1" t="s">
        <v>114</v>
      </c>
      <c r="D2399" s="1">
        <v>4349</v>
      </c>
      <c r="E2399" s="1">
        <v>4350</v>
      </c>
      <c r="F2399" s="1">
        <v>4349</v>
      </c>
      <c r="G2399" s="1">
        <v>4349</v>
      </c>
      <c r="H2399" s="1">
        <v>16200</v>
      </c>
    </row>
    <row r="2400" spans="1:8">
      <c r="A2400" s="1"/>
      <c r="B2400" s="1" t="s">
        <v>78</v>
      </c>
      <c r="C2400" s="1" t="s">
        <v>115</v>
      </c>
      <c r="D2400" s="1">
        <v>4349</v>
      </c>
      <c r="E2400" s="1">
        <v>4351</v>
      </c>
      <c r="F2400" s="1">
        <v>4349</v>
      </c>
      <c r="G2400" s="1">
        <v>4350</v>
      </c>
      <c r="H2400" s="1">
        <v>34600</v>
      </c>
    </row>
    <row r="2401" spans="1:8">
      <c r="A2401" s="1"/>
      <c r="B2401" s="1" t="s">
        <v>78</v>
      </c>
      <c r="C2401" s="1" t="s">
        <v>116</v>
      </c>
      <c r="D2401" s="1">
        <v>4350</v>
      </c>
      <c r="E2401" s="1">
        <v>4352</v>
      </c>
      <c r="F2401" s="1">
        <v>4348</v>
      </c>
      <c r="G2401" s="1">
        <v>4349</v>
      </c>
      <c r="H2401" s="1">
        <v>53200</v>
      </c>
    </row>
    <row r="2402" spans="1:8">
      <c r="A2402" s="1"/>
      <c r="B2402" s="1" t="s">
        <v>78</v>
      </c>
      <c r="C2402" s="1" t="s">
        <v>117</v>
      </c>
      <c r="D2402" s="1">
        <v>4350</v>
      </c>
      <c r="E2402" s="1">
        <v>4350</v>
      </c>
      <c r="F2402" s="1">
        <v>4349</v>
      </c>
      <c r="G2402" s="1">
        <v>4350</v>
      </c>
      <c r="H2402" s="1">
        <v>11400</v>
      </c>
    </row>
    <row r="2403" spans="1:8">
      <c r="A2403" s="1"/>
      <c r="B2403" s="1" t="s">
        <v>78</v>
      </c>
      <c r="C2403" s="1" t="s">
        <v>118</v>
      </c>
      <c r="D2403" s="1">
        <v>4349</v>
      </c>
      <c r="E2403" s="1">
        <v>4351</v>
      </c>
      <c r="F2403" s="1">
        <v>4348</v>
      </c>
      <c r="G2403" s="1">
        <v>4349</v>
      </c>
      <c r="H2403" s="1">
        <v>40700</v>
      </c>
    </row>
    <row r="2404" spans="1:8">
      <c r="A2404" s="1" t="s">
        <v>79</v>
      </c>
      <c r="B2404" s="1" t="s">
        <v>79</v>
      </c>
      <c r="C2404" s="1" t="s">
        <v>79</v>
      </c>
      <c r="D2404" s="1" t="s">
        <v>79</v>
      </c>
      <c r="E2404" s="1" t="s">
        <v>79</v>
      </c>
      <c r="F2404" s="1" t="s">
        <v>79</v>
      </c>
      <c r="G2404" s="1" t="s">
        <v>79</v>
      </c>
      <c r="H2404" s="1" t="s">
        <v>79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7B983-44B3-40FF-80E1-E795A4E4BDA4}">
  <sheetPr codeName="Sheet25"/>
  <dimension ref="A1:Y2405"/>
  <sheetViews>
    <sheetView workbookViewId="0">
      <selection activeCell="A2" sqref="A2"/>
    </sheetView>
  </sheetViews>
  <sheetFormatPr defaultRowHeight="18.75"/>
  <cols>
    <col min="11" max="11" width="3" customWidth="1"/>
    <col min="13" max="13" width="3" customWidth="1"/>
  </cols>
  <sheetData>
    <row r="1" spans="1:25">
      <c r="A1" t="str">
        <f>_xll.RssChart($A$2:$H$2, "6645.T", "1M", 332)</f>
        <v>=RssChart($A$2:$H$2, "6645.T", "1M", 332) =&gt; 配信中</v>
      </c>
    </row>
    <row r="2" spans="1: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J2" t="s">
        <v>73</v>
      </c>
      <c r="L2" t="s">
        <v>74</v>
      </c>
      <c r="N2" t="s">
        <v>75</v>
      </c>
      <c r="P2" t="s">
        <v>119</v>
      </c>
      <c r="Q2">
        <f>_xll.RssMarket("6645.T", "現在値")</f>
        <v>3981</v>
      </c>
      <c r="R2" t="str">
        <f>_xll.RssMarket("6645.T", "現在値時刻")</f>
        <v>15:30</v>
      </c>
      <c r="T2" t="s">
        <v>131</v>
      </c>
      <c r="U2">
        <f>_xll.RssMarket("6645.T", "出来高")</f>
        <v>1597900</v>
      </c>
      <c r="X2" t="s">
        <v>138</v>
      </c>
      <c r="Y2">
        <f>_xll.RssMarket("6645.T", "信用売残")</f>
        <v>87500</v>
      </c>
    </row>
    <row r="3" spans="1:25">
      <c r="A3" t="s">
        <v>440</v>
      </c>
      <c r="B3" t="s">
        <v>587</v>
      </c>
      <c r="C3" t="s">
        <v>166</v>
      </c>
      <c r="D3">
        <v>3933</v>
      </c>
      <c r="E3">
        <v>3946</v>
      </c>
      <c r="F3">
        <v>3924</v>
      </c>
      <c r="G3">
        <v>3930</v>
      </c>
      <c r="H3">
        <v>68100</v>
      </c>
      <c r="J3">
        <f>_xll.RssMarket("6645.T", "売成行数量")</f>
        <v>0</v>
      </c>
      <c r="L3" t="s">
        <v>76</v>
      </c>
      <c r="N3">
        <f>_xll.RssMarket("6645.T", "買成行数量")</f>
        <v>0</v>
      </c>
      <c r="P3" t="s">
        <v>121</v>
      </c>
      <c r="Q3">
        <f>_xll.RssMarket("6645.T", "前日比")</f>
        <v>62</v>
      </c>
      <c r="R3">
        <f>_xll.RssMarket("6645.T", "前日比率")</f>
        <v>1.58</v>
      </c>
      <c r="S3" t="s">
        <v>122</v>
      </c>
      <c r="T3" t="s">
        <v>132</v>
      </c>
      <c r="U3">
        <f>_xll.RssMarket("6645.T", "売買代金")</f>
        <v>6355306</v>
      </c>
      <c r="X3" t="s">
        <v>139</v>
      </c>
      <c r="Y3">
        <f>_xll.RssMarket("6645.T", "信用買残")</f>
        <v>1102800</v>
      </c>
    </row>
    <row r="4" spans="1:25">
      <c r="B4" t="s">
        <v>587</v>
      </c>
      <c r="C4" t="s">
        <v>167</v>
      </c>
      <c r="D4">
        <v>3931</v>
      </c>
      <c r="E4">
        <v>3942</v>
      </c>
      <c r="F4">
        <v>3929</v>
      </c>
      <c r="G4">
        <v>3932</v>
      </c>
      <c r="H4">
        <v>6700</v>
      </c>
      <c r="J4">
        <f>_xll.RssMarket("6645.T", "OVER気配数量")</f>
        <v>297900</v>
      </c>
      <c r="L4" t="s">
        <v>77</v>
      </c>
      <c r="P4" t="s">
        <v>123</v>
      </c>
      <c r="Q4">
        <f>_xll.RssMarket("6645.T", "高値")</f>
        <v>4010</v>
      </c>
      <c r="T4" t="s">
        <v>137</v>
      </c>
      <c r="U4">
        <f>_xll.RssMarket("6645.T", "前場出来高")</f>
        <v>597100</v>
      </c>
      <c r="X4" t="s">
        <v>140</v>
      </c>
      <c r="Y4">
        <f>_xll.RssMarket("6645.T", "信用倍率")</f>
        <v>12.6</v>
      </c>
    </row>
    <row r="5" spans="1:25">
      <c r="B5" t="s">
        <v>587</v>
      </c>
      <c r="C5" t="s">
        <v>168</v>
      </c>
      <c r="D5">
        <v>3930</v>
      </c>
      <c r="E5">
        <v>3938</v>
      </c>
      <c r="F5">
        <v>3928</v>
      </c>
      <c r="G5">
        <v>3938</v>
      </c>
      <c r="H5">
        <v>6000</v>
      </c>
      <c r="J5">
        <f>_xll.RssMarket("6645.T", "最良売気配数量10")</f>
        <v>200</v>
      </c>
      <c r="L5">
        <f>_xll.RssMarket("6645.T", "最良売気配値10")</f>
        <v>3996</v>
      </c>
      <c r="P5" t="s">
        <v>124</v>
      </c>
      <c r="Q5">
        <f>_xll.RssMarket("6645.T", "安値")</f>
        <v>3919</v>
      </c>
    </row>
    <row r="6" spans="1:25">
      <c r="B6" t="s">
        <v>587</v>
      </c>
      <c r="C6" t="s">
        <v>169</v>
      </c>
      <c r="D6">
        <v>3938</v>
      </c>
      <c r="E6">
        <v>3938</v>
      </c>
      <c r="F6">
        <v>3926</v>
      </c>
      <c r="G6">
        <v>3928</v>
      </c>
      <c r="H6">
        <v>5400</v>
      </c>
      <c r="J6">
        <f>_xll.RssMarket("6645.T", "最良売気配数量9")</f>
        <v>400</v>
      </c>
      <c r="L6">
        <f>_xll.RssMarket("6645.T", "最良売気配値9")</f>
        <v>3995</v>
      </c>
      <c r="P6" t="s">
        <v>125</v>
      </c>
      <c r="Q6">
        <f>_xll.RssMarket("6645.T", "始値")</f>
        <v>3933</v>
      </c>
      <c r="T6" t="s">
        <v>133</v>
      </c>
      <c r="U6">
        <f>_xll.RssMarket("6645.T", "歩み1")</f>
        <v>3980</v>
      </c>
      <c r="V6" t="str">
        <f>_xll.RssMarket("6645.T", "歩み1詳細時刻")</f>
        <v>15:24:58</v>
      </c>
      <c r="X6" t="s">
        <v>141</v>
      </c>
      <c r="Y6">
        <f>_xll.RssMarket("6645.T", "逆日歩")</f>
        <v>0</v>
      </c>
    </row>
    <row r="7" spans="1:25">
      <c r="B7" t="s">
        <v>587</v>
      </c>
      <c r="C7" t="s">
        <v>170</v>
      </c>
      <c r="D7">
        <v>3929</v>
      </c>
      <c r="E7">
        <v>3931</v>
      </c>
      <c r="F7">
        <v>3927</v>
      </c>
      <c r="G7">
        <v>3928</v>
      </c>
      <c r="H7">
        <v>2600</v>
      </c>
      <c r="J7">
        <f>_xll.RssMarket("6645.T", "最良売気配数量8")</f>
        <v>7900</v>
      </c>
      <c r="L7">
        <f>_xll.RssMarket("6645.T", "最良売気配値8")</f>
        <v>3994</v>
      </c>
      <c r="P7" t="s">
        <v>120</v>
      </c>
      <c r="Q7">
        <f>_xll.RssMarket("6645.T", "前日終値")</f>
        <v>3919</v>
      </c>
      <c r="T7" t="s">
        <v>134</v>
      </c>
      <c r="U7">
        <f>_xll.RssMarket("6645.T", "歩み2")</f>
        <v>3981</v>
      </c>
      <c r="V7" t="str">
        <f>_xll.RssMarket("6645.T", "歩み2詳細時刻")</f>
        <v>15:24:56</v>
      </c>
      <c r="X7" t="s">
        <v>142</v>
      </c>
      <c r="Y7">
        <f>_xll.RssMarket("6645.T", "貸借倍率")</f>
        <v>25.5</v>
      </c>
    </row>
    <row r="8" spans="1:25">
      <c r="B8" t="s">
        <v>587</v>
      </c>
      <c r="C8" t="s">
        <v>171</v>
      </c>
      <c r="D8">
        <v>3927</v>
      </c>
      <c r="E8">
        <v>3927</v>
      </c>
      <c r="F8">
        <v>3924</v>
      </c>
      <c r="G8">
        <v>3924</v>
      </c>
      <c r="H8">
        <v>2900</v>
      </c>
      <c r="J8">
        <f>_xll.RssMarket("6645.T", "最良売気配数量7")</f>
        <v>2800</v>
      </c>
      <c r="L8">
        <f>_xll.RssMarket("6645.T", "最良売気配値7")</f>
        <v>3993</v>
      </c>
      <c r="P8" t="s">
        <v>126</v>
      </c>
      <c r="Q8">
        <f>_xll.RssMarket("6645.T", "出来高加重平均")</f>
        <v>3977.2864</v>
      </c>
      <c r="T8" t="s">
        <v>135</v>
      </c>
      <c r="U8">
        <f>_xll.RssMarket("6645.T", "歩み3")</f>
        <v>3982</v>
      </c>
      <c r="V8" t="str">
        <f>_xll.RssMarket("6645.T", "歩み3詳細時刻")</f>
        <v>15:24:53</v>
      </c>
    </row>
    <row r="9" spans="1:25">
      <c r="B9" t="s">
        <v>587</v>
      </c>
      <c r="C9" t="s">
        <v>172</v>
      </c>
      <c r="D9">
        <v>3925</v>
      </c>
      <c r="E9">
        <v>3925</v>
      </c>
      <c r="F9">
        <v>3921</v>
      </c>
      <c r="G9">
        <v>3922</v>
      </c>
      <c r="H9">
        <v>3400</v>
      </c>
      <c r="J9">
        <f>_xll.RssMarket("6645.T", "最良売気配数量6")</f>
        <v>100</v>
      </c>
      <c r="L9">
        <f>_xll.RssMarket("6645.T", "最良売気配値6")</f>
        <v>3992</v>
      </c>
      <c r="P9" t="s">
        <v>127</v>
      </c>
      <c r="Q9">
        <f>_xll.RssMarket("6645.T", "年初来高値")</f>
        <v>5336</v>
      </c>
      <c r="R9" t="str">
        <f>_xll.RssMarket("6645.T", "年初来高値日付")</f>
        <v>2025/01/06</v>
      </c>
      <c r="T9" t="s">
        <v>136</v>
      </c>
      <c r="U9">
        <f>_xll.RssMarket("6645.T", "歩み4")</f>
        <v>3985</v>
      </c>
      <c r="V9" t="str">
        <f>_xll.RssMarket("6645.T", "歩み4詳細時刻")</f>
        <v>15:24:49</v>
      </c>
    </row>
    <row r="10" spans="1:25">
      <c r="B10" t="s">
        <v>587</v>
      </c>
      <c r="C10" t="s">
        <v>173</v>
      </c>
      <c r="D10">
        <v>3922</v>
      </c>
      <c r="E10">
        <v>3924</v>
      </c>
      <c r="F10">
        <v>3919</v>
      </c>
      <c r="G10">
        <v>3924</v>
      </c>
      <c r="H10">
        <v>6800</v>
      </c>
      <c r="J10">
        <f>_xll.RssMarket("6645.T", "最良売気配数量5")</f>
        <v>600</v>
      </c>
      <c r="L10">
        <f>_xll.RssMarket("6645.T", "最良売気配値5")</f>
        <v>3991</v>
      </c>
      <c r="P10" t="s">
        <v>128</v>
      </c>
      <c r="Q10">
        <f>_xll.RssMarket("6645.T", "年初来安値")</f>
        <v>3503</v>
      </c>
      <c r="R10" t="str">
        <f>_xll.RssMarket("6645.T", "年初来安値日付")</f>
        <v>2025/07/07</v>
      </c>
    </row>
    <row r="11" spans="1:25">
      <c r="B11" t="s">
        <v>587</v>
      </c>
      <c r="C11" t="s">
        <v>174</v>
      </c>
      <c r="D11">
        <v>3924</v>
      </c>
      <c r="E11">
        <v>3930</v>
      </c>
      <c r="F11">
        <v>3924</v>
      </c>
      <c r="G11">
        <v>3928</v>
      </c>
      <c r="H11">
        <v>4100</v>
      </c>
      <c r="J11">
        <f>_xll.RssMarket("6645.T", "最良売気配数量4")</f>
        <v>300</v>
      </c>
      <c r="L11">
        <f>_xll.RssMarket("6645.T", "最良売気配値4")</f>
        <v>3990</v>
      </c>
      <c r="P11" t="s">
        <v>129</v>
      </c>
      <c r="Q11">
        <f>_xll.RssMarket("6645.T", "上場来高値")</f>
        <v>12115</v>
      </c>
      <c r="R11" t="str">
        <f>_xll.RssMarket("6645.T", "上場来高値日付")</f>
        <v>2021/12/16</v>
      </c>
    </row>
    <row r="12" spans="1:25">
      <c r="B12" t="s">
        <v>587</v>
      </c>
      <c r="C12" t="s">
        <v>175</v>
      </c>
      <c r="D12">
        <v>3928</v>
      </c>
      <c r="E12">
        <v>3928</v>
      </c>
      <c r="F12">
        <v>3923</v>
      </c>
      <c r="G12">
        <v>3923</v>
      </c>
      <c r="H12">
        <v>4000</v>
      </c>
      <c r="J12">
        <f>_xll.RssMarket("6645.T", "最良売気配数量3")</f>
        <v>100</v>
      </c>
      <c r="L12">
        <f>_xll.RssMarket("6645.T", "最良売気配値3")</f>
        <v>3986</v>
      </c>
      <c r="P12" t="s">
        <v>130</v>
      </c>
      <c r="Q12">
        <f>_xll.RssMarket("6645.T", "上場来安値")</f>
        <v>120</v>
      </c>
      <c r="R12" t="str">
        <f>_xll.RssMarket("6645.T", "上場来安値日付")</f>
        <v/>
      </c>
    </row>
    <row r="13" spans="1:25">
      <c r="B13" t="s">
        <v>587</v>
      </c>
      <c r="C13" t="s">
        <v>176</v>
      </c>
      <c r="D13">
        <v>3922</v>
      </c>
      <c r="E13">
        <v>3936</v>
      </c>
      <c r="F13">
        <v>3922</v>
      </c>
      <c r="G13">
        <v>3933</v>
      </c>
      <c r="H13">
        <v>9000</v>
      </c>
      <c r="J13">
        <f>_xll.RssMarket("6645.T", "最良売気配数量2")</f>
        <v>6000</v>
      </c>
      <c r="L13">
        <f>_xll.RssMarket("6645.T", "最良売気配値2")</f>
        <v>3985</v>
      </c>
    </row>
    <row r="14" spans="1:25">
      <c r="B14" t="s">
        <v>587</v>
      </c>
      <c r="C14" t="s">
        <v>177</v>
      </c>
      <c r="D14">
        <v>3933</v>
      </c>
      <c r="E14">
        <v>3933</v>
      </c>
      <c r="F14">
        <v>3927</v>
      </c>
      <c r="G14">
        <v>3929</v>
      </c>
      <c r="H14">
        <v>4300</v>
      </c>
      <c r="J14">
        <f>_xll.RssMarket("6645.T", "最良売気配数量1")</f>
        <v>100</v>
      </c>
      <c r="K14" t="str">
        <f>_xll.RssMarket("6645.T", "特別売気配フラグ")</f>
        <v xml:space="preserve"> </v>
      </c>
      <c r="L14">
        <f>_xll.RssMarket("6645.T", "最良売気配値1")</f>
        <v>3981</v>
      </c>
    </row>
    <row r="15" spans="1:25">
      <c r="B15" t="s">
        <v>587</v>
      </c>
      <c r="C15" t="s">
        <v>178</v>
      </c>
      <c r="D15">
        <v>3927</v>
      </c>
      <c r="E15">
        <v>3933</v>
      </c>
      <c r="F15">
        <v>3926</v>
      </c>
      <c r="G15">
        <v>3929</v>
      </c>
      <c r="H15">
        <v>3600</v>
      </c>
      <c r="L15">
        <f>_xll.RssMarket("6645.T", "最良買気配値1")</f>
        <v>3980</v>
      </c>
      <c r="M15" t="str">
        <f>_xll.RssMarket("6645.T", "特別買気配フラグ")</f>
        <v xml:space="preserve"> </v>
      </c>
      <c r="N15">
        <f>_xll.RssMarket("6645.T", "最良買気配数量1")</f>
        <v>400</v>
      </c>
    </row>
    <row r="16" spans="1:25">
      <c r="B16" t="s">
        <v>587</v>
      </c>
      <c r="C16" t="s">
        <v>179</v>
      </c>
      <c r="D16">
        <v>3931</v>
      </c>
      <c r="E16">
        <v>3935</v>
      </c>
      <c r="F16">
        <v>3930</v>
      </c>
      <c r="G16">
        <v>3933</v>
      </c>
      <c r="H16">
        <v>2500</v>
      </c>
      <c r="L16">
        <f>_xll.RssMarket("6645.T", "最良買気配値2")</f>
        <v>3978</v>
      </c>
      <c r="N16">
        <f>_xll.RssMarket("6645.T", "最良買気配数量2")</f>
        <v>1000</v>
      </c>
    </row>
    <row r="17" spans="2:14">
      <c r="B17" t="s">
        <v>587</v>
      </c>
      <c r="C17" t="s">
        <v>180</v>
      </c>
      <c r="D17">
        <v>3934</v>
      </c>
      <c r="E17">
        <v>3941</v>
      </c>
      <c r="F17">
        <v>3932</v>
      </c>
      <c r="G17">
        <v>3939</v>
      </c>
      <c r="H17">
        <v>9700</v>
      </c>
      <c r="L17">
        <f>_xll.RssMarket("6645.T", "最良買気配値3")</f>
        <v>3976</v>
      </c>
      <c r="N17">
        <f>_xll.RssMarket("6645.T", "最良買気配数量3")</f>
        <v>4200</v>
      </c>
    </row>
    <row r="18" spans="2:14">
      <c r="B18" t="s">
        <v>587</v>
      </c>
      <c r="C18" t="s">
        <v>181</v>
      </c>
      <c r="D18">
        <v>3938</v>
      </c>
      <c r="E18">
        <v>3940</v>
      </c>
      <c r="F18">
        <v>3933</v>
      </c>
      <c r="G18">
        <v>3933</v>
      </c>
      <c r="H18">
        <v>5300</v>
      </c>
      <c r="L18">
        <f>_xll.RssMarket("6645.T", "最良買気配値4")</f>
        <v>3975</v>
      </c>
      <c r="N18">
        <f>_xll.RssMarket("6645.T", "最良買気配数量4")</f>
        <v>2000</v>
      </c>
    </row>
    <row r="19" spans="2:14">
      <c r="B19" t="s">
        <v>587</v>
      </c>
      <c r="C19" t="s">
        <v>182</v>
      </c>
      <c r="D19">
        <v>3932</v>
      </c>
      <c r="E19">
        <v>3932</v>
      </c>
      <c r="F19">
        <v>3927</v>
      </c>
      <c r="G19">
        <v>3931</v>
      </c>
      <c r="H19">
        <v>4100</v>
      </c>
      <c r="L19">
        <f>_xll.RssMarket("6645.T", "最良買気配値5")</f>
        <v>3972</v>
      </c>
      <c r="N19">
        <f>_xll.RssMarket("6645.T", "最良買気配数量5")</f>
        <v>100</v>
      </c>
    </row>
    <row r="20" spans="2:14">
      <c r="B20" t="s">
        <v>587</v>
      </c>
      <c r="C20" t="s">
        <v>183</v>
      </c>
      <c r="D20">
        <v>3931</v>
      </c>
      <c r="E20">
        <v>3936</v>
      </c>
      <c r="F20">
        <v>3931</v>
      </c>
      <c r="G20">
        <v>3934</v>
      </c>
      <c r="H20">
        <v>6500</v>
      </c>
      <c r="L20">
        <f>_xll.RssMarket("6645.T", "最良買気配値6")</f>
        <v>3971</v>
      </c>
      <c r="N20">
        <f>_xll.RssMarket("6645.T", "最良買気配数量6")</f>
        <v>6600</v>
      </c>
    </row>
    <row r="21" spans="2:14">
      <c r="B21" t="s">
        <v>587</v>
      </c>
      <c r="C21" t="s">
        <v>184</v>
      </c>
      <c r="D21">
        <v>3937</v>
      </c>
      <c r="E21">
        <v>3942</v>
      </c>
      <c r="F21">
        <v>3937</v>
      </c>
      <c r="G21">
        <v>3939</v>
      </c>
      <c r="H21">
        <v>3400</v>
      </c>
      <c r="L21">
        <f>_xll.RssMarket("6645.T", "最良買気配値7")</f>
        <v>3970</v>
      </c>
      <c r="N21">
        <f>_xll.RssMarket("6645.T", "最良買気配数量7")</f>
        <v>800</v>
      </c>
    </row>
    <row r="22" spans="2:14">
      <c r="B22" t="s">
        <v>587</v>
      </c>
      <c r="C22" t="s">
        <v>185</v>
      </c>
      <c r="D22">
        <v>3940</v>
      </c>
      <c r="E22">
        <v>3954</v>
      </c>
      <c r="F22">
        <v>3940</v>
      </c>
      <c r="G22">
        <v>3952</v>
      </c>
      <c r="H22">
        <v>10700</v>
      </c>
      <c r="L22">
        <f>_xll.RssMarket("6645.T", "最良買気配値8")</f>
        <v>3969</v>
      </c>
      <c r="N22">
        <f>_xll.RssMarket("6645.T", "最良買気配数量8")</f>
        <v>200</v>
      </c>
    </row>
    <row r="23" spans="2:14">
      <c r="B23" t="s">
        <v>587</v>
      </c>
      <c r="C23" t="s">
        <v>186</v>
      </c>
      <c r="D23">
        <v>3951</v>
      </c>
      <c r="E23">
        <v>3954</v>
      </c>
      <c r="F23">
        <v>3947</v>
      </c>
      <c r="G23">
        <v>3949</v>
      </c>
      <c r="H23">
        <v>4700</v>
      </c>
      <c r="L23">
        <f>_xll.RssMarket("6645.T", "最良買気配値9")</f>
        <v>3968</v>
      </c>
      <c r="N23">
        <f>_xll.RssMarket("6645.T", "最良買気配数量9")</f>
        <v>1200</v>
      </c>
    </row>
    <row r="24" spans="2:14">
      <c r="B24" t="s">
        <v>587</v>
      </c>
      <c r="C24" t="s">
        <v>187</v>
      </c>
      <c r="D24">
        <v>3949</v>
      </c>
      <c r="E24">
        <v>3953</v>
      </c>
      <c r="F24">
        <v>3948</v>
      </c>
      <c r="G24">
        <v>3953</v>
      </c>
      <c r="H24">
        <v>5800</v>
      </c>
      <c r="L24">
        <f>_xll.RssMarket("6645.T", "最良買気配値10")</f>
        <v>3967</v>
      </c>
      <c r="N24">
        <f>_xll.RssMarket("6645.T", "最良買気配数量10")</f>
        <v>7200</v>
      </c>
    </row>
    <row r="25" spans="2:14">
      <c r="B25" t="s">
        <v>587</v>
      </c>
      <c r="C25" t="s">
        <v>188</v>
      </c>
      <c r="D25">
        <v>3953</v>
      </c>
      <c r="E25">
        <v>3953</v>
      </c>
      <c r="F25">
        <v>3952</v>
      </c>
      <c r="G25">
        <v>3952</v>
      </c>
      <c r="H25">
        <v>1600</v>
      </c>
      <c r="L25" t="s">
        <v>80</v>
      </c>
      <c r="N25">
        <f>_xll.RssMarket("6645.T", "UNDER気配数量")</f>
        <v>242900</v>
      </c>
    </row>
    <row r="26" spans="2:14">
      <c r="B26" t="s">
        <v>587</v>
      </c>
      <c r="C26" t="s">
        <v>189</v>
      </c>
      <c r="D26">
        <v>3950</v>
      </c>
      <c r="E26">
        <v>3954</v>
      </c>
      <c r="F26">
        <v>3948</v>
      </c>
      <c r="G26">
        <v>3948</v>
      </c>
      <c r="H26">
        <v>1900</v>
      </c>
    </row>
    <row r="27" spans="2:14">
      <c r="B27" t="s">
        <v>587</v>
      </c>
      <c r="C27" t="s">
        <v>190</v>
      </c>
      <c r="D27">
        <v>3949</v>
      </c>
      <c r="E27">
        <v>3950</v>
      </c>
      <c r="F27">
        <v>3947</v>
      </c>
      <c r="G27">
        <v>3950</v>
      </c>
      <c r="H27">
        <v>900</v>
      </c>
    </row>
    <row r="28" spans="2:14">
      <c r="B28" t="s">
        <v>587</v>
      </c>
      <c r="C28" t="s">
        <v>191</v>
      </c>
      <c r="D28">
        <v>3950</v>
      </c>
      <c r="E28">
        <v>3952</v>
      </c>
      <c r="F28">
        <v>3949</v>
      </c>
      <c r="G28">
        <v>3952</v>
      </c>
      <c r="H28">
        <v>1100</v>
      </c>
    </row>
    <row r="29" spans="2:14">
      <c r="B29" t="s">
        <v>587</v>
      </c>
      <c r="C29" t="s">
        <v>192</v>
      </c>
      <c r="D29">
        <v>3951</v>
      </c>
      <c r="E29">
        <v>3952</v>
      </c>
      <c r="F29">
        <v>3946</v>
      </c>
      <c r="G29">
        <v>3946</v>
      </c>
      <c r="H29">
        <v>4100</v>
      </c>
    </row>
    <row r="30" spans="2:14">
      <c r="B30" t="s">
        <v>587</v>
      </c>
      <c r="C30" t="s">
        <v>193</v>
      </c>
      <c r="D30">
        <v>3944</v>
      </c>
      <c r="E30">
        <v>3944</v>
      </c>
      <c r="F30">
        <v>3940</v>
      </c>
      <c r="G30">
        <v>3944</v>
      </c>
      <c r="H30">
        <v>4300</v>
      </c>
    </row>
    <row r="31" spans="2:14">
      <c r="B31" t="s">
        <v>587</v>
      </c>
      <c r="C31" t="s">
        <v>194</v>
      </c>
      <c r="D31">
        <v>3945</v>
      </c>
      <c r="E31">
        <v>3946</v>
      </c>
      <c r="F31">
        <v>3942</v>
      </c>
      <c r="G31">
        <v>3942</v>
      </c>
      <c r="H31">
        <v>1600</v>
      </c>
    </row>
    <row r="32" spans="2:14">
      <c r="B32" t="s">
        <v>587</v>
      </c>
      <c r="C32" t="s">
        <v>195</v>
      </c>
      <c r="D32">
        <v>3943</v>
      </c>
      <c r="E32">
        <v>3943</v>
      </c>
      <c r="F32">
        <v>3939</v>
      </c>
      <c r="G32">
        <v>3940</v>
      </c>
      <c r="H32">
        <v>1700</v>
      </c>
    </row>
    <row r="33" spans="2:8">
      <c r="B33" t="s">
        <v>587</v>
      </c>
      <c r="C33" t="s">
        <v>196</v>
      </c>
      <c r="D33">
        <v>3940</v>
      </c>
      <c r="E33">
        <v>3949</v>
      </c>
      <c r="F33">
        <v>3940</v>
      </c>
      <c r="G33">
        <v>3948</v>
      </c>
      <c r="H33">
        <v>6500</v>
      </c>
    </row>
    <row r="34" spans="2:8">
      <c r="B34" t="s">
        <v>587</v>
      </c>
      <c r="C34" t="s">
        <v>197</v>
      </c>
      <c r="D34">
        <v>3946</v>
      </c>
      <c r="E34">
        <v>3949</v>
      </c>
      <c r="F34">
        <v>3945</v>
      </c>
      <c r="G34">
        <v>3945</v>
      </c>
      <c r="H34">
        <v>2000</v>
      </c>
    </row>
    <row r="35" spans="2:8">
      <c r="B35" t="s">
        <v>587</v>
      </c>
      <c r="C35" t="s">
        <v>198</v>
      </c>
      <c r="D35">
        <v>3946</v>
      </c>
      <c r="E35">
        <v>3951</v>
      </c>
      <c r="F35">
        <v>3945</v>
      </c>
      <c r="G35">
        <v>3951</v>
      </c>
      <c r="H35">
        <v>3900</v>
      </c>
    </row>
    <row r="36" spans="2:8">
      <c r="B36" t="s">
        <v>587</v>
      </c>
      <c r="C36" t="s">
        <v>199</v>
      </c>
      <c r="D36">
        <v>3952</v>
      </c>
      <c r="E36">
        <v>3959</v>
      </c>
      <c r="F36">
        <v>3952</v>
      </c>
      <c r="G36">
        <v>3959</v>
      </c>
      <c r="H36">
        <v>8600</v>
      </c>
    </row>
    <row r="37" spans="2:8">
      <c r="B37" t="s">
        <v>587</v>
      </c>
      <c r="C37" t="s">
        <v>200</v>
      </c>
      <c r="D37">
        <v>3959</v>
      </c>
      <c r="E37">
        <v>3970</v>
      </c>
      <c r="F37">
        <v>3959</v>
      </c>
      <c r="G37">
        <v>3968</v>
      </c>
      <c r="H37">
        <v>16600</v>
      </c>
    </row>
    <row r="38" spans="2:8">
      <c r="B38" t="s">
        <v>587</v>
      </c>
      <c r="C38" t="s">
        <v>201</v>
      </c>
      <c r="D38">
        <v>3966</v>
      </c>
      <c r="E38">
        <v>3966</v>
      </c>
      <c r="F38">
        <v>3965</v>
      </c>
      <c r="G38">
        <v>3965</v>
      </c>
      <c r="H38">
        <v>1200</v>
      </c>
    </row>
    <row r="39" spans="2:8">
      <c r="B39" t="s">
        <v>587</v>
      </c>
      <c r="C39" t="s">
        <v>202</v>
      </c>
      <c r="D39">
        <v>3965</v>
      </c>
      <c r="E39">
        <v>3968</v>
      </c>
      <c r="F39">
        <v>3965</v>
      </c>
      <c r="G39">
        <v>3967</v>
      </c>
      <c r="H39">
        <v>2600</v>
      </c>
    </row>
    <row r="40" spans="2:8">
      <c r="B40" t="s">
        <v>587</v>
      </c>
      <c r="C40" t="s">
        <v>203</v>
      </c>
      <c r="D40">
        <v>3968</v>
      </c>
      <c r="E40">
        <v>3970</v>
      </c>
      <c r="F40">
        <v>3966</v>
      </c>
      <c r="G40">
        <v>3969</v>
      </c>
      <c r="H40">
        <v>2200</v>
      </c>
    </row>
    <row r="41" spans="2:8">
      <c r="B41" t="s">
        <v>587</v>
      </c>
      <c r="C41" t="s">
        <v>204</v>
      </c>
      <c r="D41">
        <v>3968</v>
      </c>
      <c r="E41">
        <v>3972</v>
      </c>
      <c r="F41">
        <v>3968</v>
      </c>
      <c r="G41">
        <v>3969</v>
      </c>
      <c r="H41">
        <v>3100</v>
      </c>
    </row>
    <row r="42" spans="2:8">
      <c r="B42" t="s">
        <v>587</v>
      </c>
      <c r="C42" t="s">
        <v>205</v>
      </c>
      <c r="D42">
        <v>3970</v>
      </c>
      <c r="E42">
        <v>3973</v>
      </c>
      <c r="F42">
        <v>3968</v>
      </c>
      <c r="G42">
        <v>3973</v>
      </c>
      <c r="H42">
        <v>5900</v>
      </c>
    </row>
    <row r="43" spans="2:8">
      <c r="B43" t="s">
        <v>587</v>
      </c>
      <c r="C43" t="s">
        <v>206</v>
      </c>
      <c r="D43">
        <v>3973</v>
      </c>
      <c r="E43">
        <v>3973</v>
      </c>
      <c r="F43">
        <v>3971</v>
      </c>
      <c r="G43">
        <v>3973</v>
      </c>
      <c r="H43">
        <v>900</v>
      </c>
    </row>
    <row r="44" spans="2:8">
      <c r="B44" t="s">
        <v>587</v>
      </c>
      <c r="C44" t="s">
        <v>207</v>
      </c>
      <c r="D44">
        <v>3971</v>
      </c>
      <c r="E44">
        <v>3971</v>
      </c>
      <c r="F44">
        <v>3967</v>
      </c>
      <c r="G44">
        <v>3969</v>
      </c>
      <c r="H44">
        <v>3500</v>
      </c>
    </row>
    <row r="45" spans="2:8">
      <c r="B45" t="s">
        <v>587</v>
      </c>
      <c r="C45" t="s">
        <v>208</v>
      </c>
      <c r="D45">
        <v>3968</v>
      </c>
      <c r="E45">
        <v>3968</v>
      </c>
      <c r="F45">
        <v>3966</v>
      </c>
      <c r="G45">
        <v>3966</v>
      </c>
      <c r="H45">
        <v>1300</v>
      </c>
    </row>
    <row r="46" spans="2:8">
      <c r="B46" t="s">
        <v>587</v>
      </c>
      <c r="C46" t="s">
        <v>209</v>
      </c>
      <c r="D46">
        <v>3967</v>
      </c>
      <c r="E46">
        <v>3974</v>
      </c>
      <c r="F46">
        <v>3967</v>
      </c>
      <c r="G46">
        <v>3972</v>
      </c>
      <c r="H46">
        <v>7200</v>
      </c>
    </row>
    <row r="47" spans="2:8">
      <c r="B47" t="s">
        <v>587</v>
      </c>
      <c r="C47" t="s">
        <v>210</v>
      </c>
      <c r="D47">
        <v>3971</v>
      </c>
      <c r="E47">
        <v>3971</v>
      </c>
      <c r="F47">
        <v>3966</v>
      </c>
      <c r="G47">
        <v>3968</v>
      </c>
      <c r="H47">
        <v>2000</v>
      </c>
    </row>
    <row r="48" spans="2:8">
      <c r="B48" t="s">
        <v>587</v>
      </c>
      <c r="C48" t="s">
        <v>211</v>
      </c>
      <c r="D48">
        <v>3967</v>
      </c>
      <c r="E48">
        <v>3969</v>
      </c>
      <c r="F48">
        <v>3966</v>
      </c>
      <c r="G48">
        <v>3968</v>
      </c>
      <c r="H48">
        <v>8400</v>
      </c>
    </row>
    <row r="49" spans="2:8">
      <c r="B49" t="s">
        <v>587</v>
      </c>
      <c r="C49" t="s">
        <v>212</v>
      </c>
      <c r="D49">
        <v>3966</v>
      </c>
      <c r="E49">
        <v>3966</v>
      </c>
      <c r="F49">
        <v>3962</v>
      </c>
      <c r="G49">
        <v>3966</v>
      </c>
      <c r="H49">
        <v>2700</v>
      </c>
    </row>
    <row r="50" spans="2:8">
      <c r="B50" t="s">
        <v>587</v>
      </c>
      <c r="C50" t="s">
        <v>213</v>
      </c>
      <c r="D50">
        <v>3964</v>
      </c>
      <c r="E50">
        <v>3965</v>
      </c>
      <c r="F50">
        <v>3964</v>
      </c>
      <c r="G50">
        <v>3965</v>
      </c>
      <c r="H50">
        <v>1000</v>
      </c>
    </row>
    <row r="51" spans="2:8">
      <c r="B51" t="s">
        <v>587</v>
      </c>
      <c r="C51" t="s">
        <v>214</v>
      </c>
      <c r="D51">
        <v>3964</v>
      </c>
      <c r="E51">
        <v>3969</v>
      </c>
      <c r="F51">
        <v>3964</v>
      </c>
      <c r="G51">
        <v>3969</v>
      </c>
      <c r="H51">
        <v>1800</v>
      </c>
    </row>
    <row r="52" spans="2:8">
      <c r="B52" t="s">
        <v>587</v>
      </c>
      <c r="C52" t="s">
        <v>215</v>
      </c>
      <c r="D52">
        <v>3968</v>
      </c>
      <c r="E52">
        <v>3974</v>
      </c>
      <c r="F52">
        <v>3968</v>
      </c>
      <c r="G52">
        <v>3974</v>
      </c>
      <c r="H52">
        <v>5900</v>
      </c>
    </row>
    <row r="53" spans="2:8">
      <c r="B53" t="s">
        <v>587</v>
      </c>
      <c r="C53" t="s">
        <v>216</v>
      </c>
      <c r="D53">
        <v>3973</v>
      </c>
      <c r="E53">
        <v>3973</v>
      </c>
      <c r="F53">
        <v>3972</v>
      </c>
      <c r="G53">
        <v>3972</v>
      </c>
      <c r="H53">
        <v>900</v>
      </c>
    </row>
    <row r="54" spans="2:8">
      <c r="B54" t="s">
        <v>587</v>
      </c>
      <c r="C54" t="s">
        <v>217</v>
      </c>
      <c r="D54">
        <v>3971</v>
      </c>
      <c r="E54">
        <v>3973</v>
      </c>
      <c r="F54">
        <v>3971</v>
      </c>
      <c r="G54">
        <v>3971</v>
      </c>
      <c r="H54">
        <v>800</v>
      </c>
    </row>
    <row r="55" spans="2:8">
      <c r="B55" t="s">
        <v>587</v>
      </c>
      <c r="C55" t="s">
        <v>218</v>
      </c>
      <c r="D55">
        <v>3970</v>
      </c>
      <c r="E55">
        <v>3970</v>
      </c>
      <c r="F55">
        <v>3965</v>
      </c>
      <c r="G55">
        <v>3965</v>
      </c>
      <c r="H55">
        <v>2200</v>
      </c>
    </row>
    <row r="56" spans="2:8">
      <c r="B56" t="s">
        <v>587</v>
      </c>
      <c r="C56" t="s">
        <v>219</v>
      </c>
      <c r="D56">
        <v>3964</v>
      </c>
      <c r="E56">
        <v>3966</v>
      </c>
      <c r="F56">
        <v>3958</v>
      </c>
      <c r="G56">
        <v>3964</v>
      </c>
      <c r="H56">
        <v>19000</v>
      </c>
    </row>
    <row r="57" spans="2:8">
      <c r="B57" t="s">
        <v>587</v>
      </c>
      <c r="C57" t="s">
        <v>220</v>
      </c>
      <c r="D57">
        <v>3963</v>
      </c>
      <c r="E57">
        <v>3963</v>
      </c>
      <c r="F57">
        <v>3960</v>
      </c>
      <c r="G57">
        <v>3960</v>
      </c>
      <c r="H57">
        <v>1200</v>
      </c>
    </row>
    <row r="58" spans="2:8">
      <c r="B58" t="s">
        <v>587</v>
      </c>
      <c r="C58" t="s">
        <v>221</v>
      </c>
      <c r="D58">
        <v>3961</v>
      </c>
      <c r="E58">
        <v>3965</v>
      </c>
      <c r="F58">
        <v>3961</v>
      </c>
      <c r="G58">
        <v>3965</v>
      </c>
      <c r="H58">
        <v>1600</v>
      </c>
    </row>
    <row r="59" spans="2:8">
      <c r="B59" t="s">
        <v>587</v>
      </c>
      <c r="C59" t="s">
        <v>222</v>
      </c>
      <c r="D59">
        <v>3964</v>
      </c>
      <c r="E59">
        <v>3968</v>
      </c>
      <c r="F59">
        <v>3964</v>
      </c>
      <c r="G59">
        <v>3968</v>
      </c>
      <c r="H59">
        <v>1900</v>
      </c>
    </row>
    <row r="60" spans="2:8">
      <c r="B60" t="s">
        <v>587</v>
      </c>
      <c r="C60" t="s">
        <v>223</v>
      </c>
      <c r="D60" t="s">
        <v>8</v>
      </c>
      <c r="E60" t="s">
        <v>8</v>
      </c>
      <c r="F60" t="s">
        <v>8</v>
      </c>
      <c r="G60" t="s">
        <v>8</v>
      </c>
      <c r="H60">
        <v>0</v>
      </c>
    </row>
    <row r="61" spans="2:8">
      <c r="B61" t="s">
        <v>587</v>
      </c>
      <c r="C61" t="s">
        <v>224</v>
      </c>
      <c r="D61">
        <v>3968</v>
      </c>
      <c r="E61">
        <v>3968</v>
      </c>
      <c r="F61">
        <v>3968</v>
      </c>
      <c r="G61">
        <v>3968</v>
      </c>
      <c r="H61">
        <v>300</v>
      </c>
    </row>
    <row r="62" spans="2:8">
      <c r="B62" t="s">
        <v>587</v>
      </c>
      <c r="C62" t="s">
        <v>225</v>
      </c>
      <c r="D62">
        <v>3969</v>
      </c>
      <c r="E62">
        <v>3975</v>
      </c>
      <c r="F62">
        <v>3969</v>
      </c>
      <c r="G62">
        <v>3975</v>
      </c>
      <c r="H62">
        <v>2900</v>
      </c>
    </row>
    <row r="63" spans="2:8">
      <c r="B63" t="s">
        <v>587</v>
      </c>
      <c r="C63" t="s">
        <v>226</v>
      </c>
      <c r="D63">
        <v>3975</v>
      </c>
      <c r="E63">
        <v>3982</v>
      </c>
      <c r="F63">
        <v>3973</v>
      </c>
      <c r="G63">
        <v>3982</v>
      </c>
      <c r="H63">
        <v>17100</v>
      </c>
    </row>
    <row r="64" spans="2:8">
      <c r="B64" t="s">
        <v>587</v>
      </c>
      <c r="C64" t="s">
        <v>227</v>
      </c>
      <c r="D64">
        <v>3980</v>
      </c>
      <c r="E64">
        <v>3984</v>
      </c>
      <c r="F64">
        <v>3980</v>
      </c>
      <c r="G64">
        <v>3984</v>
      </c>
      <c r="H64">
        <v>1500</v>
      </c>
    </row>
    <row r="65" spans="2:8">
      <c r="B65" t="s">
        <v>587</v>
      </c>
      <c r="C65" t="s">
        <v>228</v>
      </c>
      <c r="D65">
        <v>3984</v>
      </c>
      <c r="E65">
        <v>3985</v>
      </c>
      <c r="F65">
        <v>3984</v>
      </c>
      <c r="G65">
        <v>3985</v>
      </c>
      <c r="H65">
        <v>800</v>
      </c>
    </row>
    <row r="66" spans="2:8">
      <c r="B66" t="s">
        <v>587</v>
      </c>
      <c r="C66" t="s">
        <v>229</v>
      </c>
      <c r="D66">
        <v>3983</v>
      </c>
      <c r="E66">
        <v>3986</v>
      </c>
      <c r="F66">
        <v>3983</v>
      </c>
      <c r="G66">
        <v>3985</v>
      </c>
      <c r="H66">
        <v>2400</v>
      </c>
    </row>
    <row r="67" spans="2:8">
      <c r="B67" t="s">
        <v>587</v>
      </c>
      <c r="C67" t="s">
        <v>230</v>
      </c>
      <c r="D67">
        <v>3986</v>
      </c>
      <c r="E67">
        <v>3986</v>
      </c>
      <c r="F67">
        <v>3984</v>
      </c>
      <c r="G67">
        <v>3984</v>
      </c>
      <c r="H67">
        <v>800</v>
      </c>
    </row>
    <row r="68" spans="2:8">
      <c r="B68" t="s">
        <v>587</v>
      </c>
      <c r="C68" t="s">
        <v>231</v>
      </c>
      <c r="D68">
        <v>3986</v>
      </c>
      <c r="E68">
        <v>3986</v>
      </c>
      <c r="F68">
        <v>3983</v>
      </c>
      <c r="G68">
        <v>3983</v>
      </c>
      <c r="H68">
        <v>4100</v>
      </c>
    </row>
    <row r="69" spans="2:8">
      <c r="B69" t="s">
        <v>587</v>
      </c>
      <c r="C69" t="s">
        <v>232</v>
      </c>
      <c r="D69">
        <v>3984</v>
      </c>
      <c r="E69">
        <v>3984</v>
      </c>
      <c r="F69">
        <v>3978</v>
      </c>
      <c r="G69">
        <v>3978</v>
      </c>
      <c r="H69">
        <v>2300</v>
      </c>
    </row>
    <row r="70" spans="2:8">
      <c r="B70" t="s">
        <v>587</v>
      </c>
      <c r="C70" t="s">
        <v>233</v>
      </c>
      <c r="D70">
        <v>3979</v>
      </c>
      <c r="E70">
        <v>3979</v>
      </c>
      <c r="F70">
        <v>3979</v>
      </c>
      <c r="G70">
        <v>3979</v>
      </c>
      <c r="H70">
        <v>500</v>
      </c>
    </row>
    <row r="71" spans="2:8">
      <c r="B71" t="s">
        <v>587</v>
      </c>
      <c r="C71" t="s">
        <v>234</v>
      </c>
      <c r="D71">
        <v>3979</v>
      </c>
      <c r="E71">
        <v>3979</v>
      </c>
      <c r="F71">
        <v>3973</v>
      </c>
      <c r="G71">
        <v>3973</v>
      </c>
      <c r="H71">
        <v>2600</v>
      </c>
    </row>
    <row r="72" spans="2:8">
      <c r="B72" t="s">
        <v>587</v>
      </c>
      <c r="C72" t="s">
        <v>235</v>
      </c>
      <c r="D72">
        <v>3974</v>
      </c>
      <c r="E72">
        <v>3977</v>
      </c>
      <c r="F72">
        <v>3973</v>
      </c>
      <c r="G72">
        <v>3977</v>
      </c>
      <c r="H72">
        <v>2700</v>
      </c>
    </row>
    <row r="73" spans="2:8">
      <c r="B73" t="s">
        <v>587</v>
      </c>
      <c r="C73" t="s">
        <v>236</v>
      </c>
      <c r="D73">
        <v>3976</v>
      </c>
      <c r="E73">
        <v>3978</v>
      </c>
      <c r="F73">
        <v>3974</v>
      </c>
      <c r="G73">
        <v>3977</v>
      </c>
      <c r="H73">
        <v>3800</v>
      </c>
    </row>
    <row r="74" spans="2:8">
      <c r="B74" t="s">
        <v>587</v>
      </c>
      <c r="C74" t="s">
        <v>237</v>
      </c>
      <c r="D74">
        <v>3977</v>
      </c>
      <c r="E74">
        <v>3977</v>
      </c>
      <c r="F74">
        <v>3977</v>
      </c>
      <c r="G74">
        <v>3977</v>
      </c>
      <c r="H74">
        <v>300</v>
      </c>
    </row>
    <row r="75" spans="2:8">
      <c r="B75" t="s">
        <v>587</v>
      </c>
      <c r="C75" t="s">
        <v>238</v>
      </c>
      <c r="D75">
        <v>3977</v>
      </c>
      <c r="E75">
        <v>3978</v>
      </c>
      <c r="F75">
        <v>3969</v>
      </c>
      <c r="G75">
        <v>3969</v>
      </c>
      <c r="H75">
        <v>3100</v>
      </c>
    </row>
    <row r="76" spans="2:8">
      <c r="B76" t="s">
        <v>587</v>
      </c>
      <c r="C76" t="s">
        <v>239</v>
      </c>
      <c r="D76">
        <v>3970</v>
      </c>
      <c r="E76">
        <v>3975</v>
      </c>
      <c r="F76">
        <v>3968</v>
      </c>
      <c r="G76">
        <v>3975</v>
      </c>
      <c r="H76">
        <v>2800</v>
      </c>
    </row>
    <row r="77" spans="2:8">
      <c r="B77" t="s">
        <v>587</v>
      </c>
      <c r="C77" t="s">
        <v>240</v>
      </c>
      <c r="D77">
        <v>3975</v>
      </c>
      <c r="E77">
        <v>3976</v>
      </c>
      <c r="F77">
        <v>3971</v>
      </c>
      <c r="G77">
        <v>3971</v>
      </c>
      <c r="H77">
        <v>1700</v>
      </c>
    </row>
    <row r="78" spans="2:8">
      <c r="B78" t="s">
        <v>587</v>
      </c>
      <c r="C78" t="s">
        <v>241</v>
      </c>
      <c r="D78">
        <v>3969</v>
      </c>
      <c r="E78">
        <v>3973</v>
      </c>
      <c r="F78">
        <v>3969</v>
      </c>
      <c r="G78">
        <v>3973</v>
      </c>
      <c r="H78">
        <v>2600</v>
      </c>
    </row>
    <row r="79" spans="2:8">
      <c r="B79" t="s">
        <v>587</v>
      </c>
      <c r="C79" t="s">
        <v>242</v>
      </c>
      <c r="D79">
        <v>3973</v>
      </c>
      <c r="E79">
        <v>3973</v>
      </c>
      <c r="F79">
        <v>3968</v>
      </c>
      <c r="G79">
        <v>3968</v>
      </c>
      <c r="H79">
        <v>2500</v>
      </c>
    </row>
    <row r="80" spans="2:8">
      <c r="B80" t="s">
        <v>587</v>
      </c>
      <c r="C80" t="s">
        <v>243</v>
      </c>
      <c r="D80">
        <v>3967</v>
      </c>
      <c r="E80">
        <v>3967</v>
      </c>
      <c r="F80">
        <v>3962</v>
      </c>
      <c r="G80">
        <v>3962</v>
      </c>
      <c r="H80">
        <v>4500</v>
      </c>
    </row>
    <row r="81" spans="2:8">
      <c r="B81" t="s">
        <v>587</v>
      </c>
      <c r="C81" t="s">
        <v>244</v>
      </c>
      <c r="D81">
        <v>3962</v>
      </c>
      <c r="E81">
        <v>3964</v>
      </c>
      <c r="F81">
        <v>3962</v>
      </c>
      <c r="G81">
        <v>3964</v>
      </c>
      <c r="H81">
        <v>3100</v>
      </c>
    </row>
    <row r="82" spans="2:8">
      <c r="B82" t="s">
        <v>587</v>
      </c>
      <c r="C82" t="s">
        <v>245</v>
      </c>
      <c r="D82">
        <v>3963</v>
      </c>
      <c r="E82">
        <v>3968</v>
      </c>
      <c r="F82">
        <v>3962</v>
      </c>
      <c r="G82">
        <v>3968</v>
      </c>
      <c r="H82">
        <v>2800</v>
      </c>
    </row>
    <row r="83" spans="2:8">
      <c r="B83" t="s">
        <v>587</v>
      </c>
      <c r="C83" t="s">
        <v>246</v>
      </c>
      <c r="D83">
        <v>3968</v>
      </c>
      <c r="E83">
        <v>3970</v>
      </c>
      <c r="F83">
        <v>3968</v>
      </c>
      <c r="G83">
        <v>3970</v>
      </c>
      <c r="H83">
        <v>1100</v>
      </c>
    </row>
    <row r="84" spans="2:8">
      <c r="B84" t="s">
        <v>587</v>
      </c>
      <c r="C84" t="s">
        <v>247</v>
      </c>
      <c r="D84">
        <v>3969</v>
      </c>
      <c r="E84">
        <v>3977</v>
      </c>
      <c r="F84">
        <v>3969</v>
      </c>
      <c r="G84">
        <v>3977</v>
      </c>
      <c r="H84">
        <v>5500</v>
      </c>
    </row>
    <row r="85" spans="2:8">
      <c r="B85" t="s">
        <v>587</v>
      </c>
      <c r="C85" t="s">
        <v>248</v>
      </c>
      <c r="D85">
        <v>3978</v>
      </c>
      <c r="E85">
        <v>3980</v>
      </c>
      <c r="F85">
        <v>3978</v>
      </c>
      <c r="G85">
        <v>3980</v>
      </c>
      <c r="H85">
        <v>1500</v>
      </c>
    </row>
    <row r="86" spans="2:8">
      <c r="B86" t="s">
        <v>587</v>
      </c>
      <c r="C86" t="s">
        <v>249</v>
      </c>
      <c r="D86">
        <v>3980</v>
      </c>
      <c r="E86">
        <v>3983</v>
      </c>
      <c r="F86">
        <v>3977</v>
      </c>
      <c r="G86">
        <v>3979</v>
      </c>
      <c r="H86">
        <v>4800</v>
      </c>
    </row>
    <row r="87" spans="2:8">
      <c r="B87" t="s">
        <v>587</v>
      </c>
      <c r="C87" t="s">
        <v>250</v>
      </c>
      <c r="D87">
        <v>3981</v>
      </c>
      <c r="E87">
        <v>3993</v>
      </c>
      <c r="F87">
        <v>3981</v>
      </c>
      <c r="G87">
        <v>3993</v>
      </c>
      <c r="H87">
        <v>11900</v>
      </c>
    </row>
    <row r="88" spans="2:8">
      <c r="B88" t="s">
        <v>587</v>
      </c>
      <c r="C88" t="s">
        <v>251</v>
      </c>
      <c r="D88">
        <v>3993</v>
      </c>
      <c r="E88">
        <v>3996</v>
      </c>
      <c r="F88">
        <v>3990</v>
      </c>
      <c r="G88">
        <v>3995</v>
      </c>
      <c r="H88">
        <v>5700</v>
      </c>
    </row>
    <row r="89" spans="2:8">
      <c r="B89" t="s">
        <v>587</v>
      </c>
      <c r="C89" t="s">
        <v>252</v>
      </c>
      <c r="D89">
        <v>3996</v>
      </c>
      <c r="E89">
        <v>3996</v>
      </c>
      <c r="F89">
        <v>3993</v>
      </c>
      <c r="G89">
        <v>3995</v>
      </c>
      <c r="H89">
        <v>3700</v>
      </c>
    </row>
    <row r="90" spans="2:8">
      <c r="B90" t="s">
        <v>587</v>
      </c>
      <c r="C90" t="s">
        <v>253</v>
      </c>
      <c r="D90">
        <v>3995</v>
      </c>
      <c r="E90">
        <v>3996</v>
      </c>
      <c r="F90">
        <v>3995</v>
      </c>
      <c r="G90">
        <v>3995</v>
      </c>
      <c r="H90">
        <v>900</v>
      </c>
    </row>
    <row r="91" spans="2:8">
      <c r="B91" t="s">
        <v>587</v>
      </c>
      <c r="C91" t="s">
        <v>254</v>
      </c>
      <c r="D91">
        <v>3995</v>
      </c>
      <c r="E91">
        <v>3995</v>
      </c>
      <c r="F91">
        <v>3991</v>
      </c>
      <c r="G91">
        <v>3993</v>
      </c>
      <c r="H91">
        <v>4800</v>
      </c>
    </row>
    <row r="92" spans="2:8">
      <c r="B92" t="s">
        <v>587</v>
      </c>
      <c r="C92" t="s">
        <v>255</v>
      </c>
      <c r="D92">
        <v>3991</v>
      </c>
      <c r="E92">
        <v>3992</v>
      </c>
      <c r="F92">
        <v>3990</v>
      </c>
      <c r="G92">
        <v>3992</v>
      </c>
      <c r="H92">
        <v>800</v>
      </c>
    </row>
    <row r="93" spans="2:8">
      <c r="B93" t="s">
        <v>587</v>
      </c>
      <c r="C93" t="s">
        <v>256</v>
      </c>
      <c r="D93">
        <v>3992</v>
      </c>
      <c r="E93">
        <v>3993</v>
      </c>
      <c r="F93">
        <v>3992</v>
      </c>
      <c r="G93">
        <v>3993</v>
      </c>
      <c r="H93">
        <v>5000</v>
      </c>
    </row>
    <row r="94" spans="2:8">
      <c r="B94" t="s">
        <v>587</v>
      </c>
      <c r="C94" t="s">
        <v>257</v>
      </c>
      <c r="D94">
        <v>3994</v>
      </c>
      <c r="E94">
        <v>3995</v>
      </c>
      <c r="F94">
        <v>3994</v>
      </c>
      <c r="G94">
        <v>3995</v>
      </c>
      <c r="H94">
        <v>1200</v>
      </c>
    </row>
    <row r="95" spans="2:8">
      <c r="B95" t="s">
        <v>587</v>
      </c>
      <c r="C95" t="s">
        <v>258</v>
      </c>
      <c r="D95">
        <v>3996</v>
      </c>
      <c r="E95">
        <v>4003</v>
      </c>
      <c r="F95">
        <v>3995</v>
      </c>
      <c r="G95">
        <v>4003</v>
      </c>
      <c r="H95">
        <v>36800</v>
      </c>
    </row>
    <row r="96" spans="2:8">
      <c r="B96" t="s">
        <v>587</v>
      </c>
      <c r="C96" t="s">
        <v>259</v>
      </c>
      <c r="D96">
        <v>4003</v>
      </c>
      <c r="E96">
        <v>4004</v>
      </c>
      <c r="F96">
        <v>4003</v>
      </c>
      <c r="G96">
        <v>4003</v>
      </c>
      <c r="H96">
        <v>3200</v>
      </c>
    </row>
    <row r="97" spans="2:8">
      <c r="B97" t="s">
        <v>587</v>
      </c>
      <c r="C97" t="s">
        <v>260</v>
      </c>
      <c r="D97">
        <v>4002</v>
      </c>
      <c r="E97">
        <v>4002</v>
      </c>
      <c r="F97">
        <v>3998</v>
      </c>
      <c r="G97">
        <v>3998</v>
      </c>
      <c r="H97">
        <v>5300</v>
      </c>
    </row>
    <row r="98" spans="2:8">
      <c r="B98" t="s">
        <v>587</v>
      </c>
      <c r="C98" t="s">
        <v>261</v>
      </c>
      <c r="D98">
        <v>3998</v>
      </c>
      <c r="E98">
        <v>4000</v>
      </c>
      <c r="F98">
        <v>3996</v>
      </c>
      <c r="G98">
        <v>3996</v>
      </c>
      <c r="H98">
        <v>3300</v>
      </c>
    </row>
    <row r="99" spans="2:8">
      <c r="B99" t="s">
        <v>587</v>
      </c>
      <c r="C99" t="s">
        <v>262</v>
      </c>
      <c r="D99">
        <v>3996</v>
      </c>
      <c r="E99">
        <v>3996</v>
      </c>
      <c r="F99">
        <v>3992</v>
      </c>
      <c r="G99">
        <v>3992</v>
      </c>
      <c r="H99">
        <v>1900</v>
      </c>
    </row>
    <row r="100" spans="2:8">
      <c r="B100" t="s">
        <v>587</v>
      </c>
      <c r="C100" t="s">
        <v>263</v>
      </c>
      <c r="D100">
        <v>3991</v>
      </c>
      <c r="E100">
        <v>3991</v>
      </c>
      <c r="F100">
        <v>3989</v>
      </c>
      <c r="G100">
        <v>3991</v>
      </c>
      <c r="H100">
        <v>4100</v>
      </c>
    </row>
    <row r="101" spans="2:8">
      <c r="B101" t="s">
        <v>587</v>
      </c>
      <c r="C101" t="s">
        <v>264</v>
      </c>
      <c r="D101">
        <v>3992</v>
      </c>
      <c r="E101">
        <v>3993</v>
      </c>
      <c r="F101">
        <v>3992</v>
      </c>
      <c r="G101">
        <v>3992</v>
      </c>
      <c r="H101">
        <v>700</v>
      </c>
    </row>
    <row r="102" spans="2:8">
      <c r="B102" t="s">
        <v>587</v>
      </c>
      <c r="C102" t="s">
        <v>265</v>
      </c>
      <c r="D102">
        <v>3993</v>
      </c>
      <c r="E102">
        <v>3993</v>
      </c>
      <c r="F102">
        <v>3989</v>
      </c>
      <c r="G102">
        <v>3990</v>
      </c>
      <c r="H102">
        <v>1400</v>
      </c>
    </row>
    <row r="103" spans="2:8">
      <c r="B103" t="s">
        <v>587</v>
      </c>
      <c r="C103" t="s">
        <v>266</v>
      </c>
      <c r="D103">
        <v>3990</v>
      </c>
      <c r="E103">
        <v>3990</v>
      </c>
      <c r="F103">
        <v>3989</v>
      </c>
      <c r="G103">
        <v>3989</v>
      </c>
      <c r="H103">
        <v>1100</v>
      </c>
    </row>
    <row r="104" spans="2:8">
      <c r="B104" t="s">
        <v>587</v>
      </c>
      <c r="C104" t="s">
        <v>267</v>
      </c>
      <c r="D104">
        <v>3989</v>
      </c>
      <c r="E104">
        <v>3990</v>
      </c>
      <c r="F104">
        <v>3989</v>
      </c>
      <c r="G104">
        <v>3989</v>
      </c>
      <c r="H104">
        <v>800</v>
      </c>
    </row>
    <row r="105" spans="2:8">
      <c r="B105" t="s">
        <v>587</v>
      </c>
      <c r="C105" t="s">
        <v>268</v>
      </c>
      <c r="D105">
        <v>3989</v>
      </c>
      <c r="E105">
        <v>3989</v>
      </c>
      <c r="F105">
        <v>3989</v>
      </c>
      <c r="G105">
        <v>3989</v>
      </c>
      <c r="H105">
        <v>600</v>
      </c>
    </row>
    <row r="106" spans="2:8">
      <c r="B106" t="s">
        <v>587</v>
      </c>
      <c r="C106" t="s">
        <v>269</v>
      </c>
      <c r="D106">
        <v>3989</v>
      </c>
      <c r="E106">
        <v>3990</v>
      </c>
      <c r="F106">
        <v>3986</v>
      </c>
      <c r="G106">
        <v>3986</v>
      </c>
      <c r="H106">
        <v>3300</v>
      </c>
    </row>
    <row r="107" spans="2:8">
      <c r="B107" t="s">
        <v>587</v>
      </c>
      <c r="C107" t="s">
        <v>270</v>
      </c>
      <c r="D107">
        <v>3986</v>
      </c>
      <c r="E107">
        <v>3986</v>
      </c>
      <c r="F107">
        <v>3984</v>
      </c>
      <c r="G107">
        <v>3984</v>
      </c>
      <c r="H107">
        <v>1900</v>
      </c>
    </row>
    <row r="108" spans="2:8">
      <c r="B108" t="s">
        <v>587</v>
      </c>
      <c r="C108" t="s">
        <v>271</v>
      </c>
      <c r="D108">
        <v>3984</v>
      </c>
      <c r="E108">
        <v>3986</v>
      </c>
      <c r="F108">
        <v>3984</v>
      </c>
      <c r="G108">
        <v>3986</v>
      </c>
      <c r="H108">
        <v>1500</v>
      </c>
    </row>
    <row r="109" spans="2:8">
      <c r="B109" t="s">
        <v>587</v>
      </c>
      <c r="C109" t="s">
        <v>272</v>
      </c>
      <c r="D109">
        <v>3986</v>
      </c>
      <c r="E109">
        <v>3989</v>
      </c>
      <c r="F109">
        <v>3986</v>
      </c>
      <c r="G109">
        <v>3989</v>
      </c>
      <c r="H109">
        <v>1100</v>
      </c>
    </row>
    <row r="110" spans="2:8">
      <c r="B110" t="s">
        <v>587</v>
      </c>
      <c r="C110" t="s">
        <v>273</v>
      </c>
      <c r="D110">
        <v>3988</v>
      </c>
      <c r="E110">
        <v>3990</v>
      </c>
      <c r="F110">
        <v>3988</v>
      </c>
      <c r="G110">
        <v>3989</v>
      </c>
      <c r="H110">
        <v>3600</v>
      </c>
    </row>
    <row r="111" spans="2:8">
      <c r="B111" t="s">
        <v>587</v>
      </c>
      <c r="C111" t="s">
        <v>274</v>
      </c>
      <c r="D111">
        <v>3989</v>
      </c>
      <c r="E111">
        <v>3992</v>
      </c>
      <c r="F111">
        <v>3989</v>
      </c>
      <c r="G111">
        <v>3992</v>
      </c>
      <c r="H111">
        <v>700</v>
      </c>
    </row>
    <row r="112" spans="2:8">
      <c r="B112" t="s">
        <v>587</v>
      </c>
      <c r="C112" t="s">
        <v>275</v>
      </c>
      <c r="D112">
        <v>3991</v>
      </c>
      <c r="E112">
        <v>3993</v>
      </c>
      <c r="F112">
        <v>3991</v>
      </c>
      <c r="G112">
        <v>3993</v>
      </c>
      <c r="H112">
        <v>1100</v>
      </c>
    </row>
    <row r="113" spans="2:8">
      <c r="B113" t="s">
        <v>587</v>
      </c>
      <c r="C113" t="s">
        <v>276</v>
      </c>
      <c r="D113">
        <v>3991</v>
      </c>
      <c r="E113">
        <v>3992</v>
      </c>
      <c r="F113">
        <v>3991</v>
      </c>
      <c r="G113">
        <v>3992</v>
      </c>
      <c r="H113">
        <v>400</v>
      </c>
    </row>
    <row r="114" spans="2:8">
      <c r="B114" t="s">
        <v>587</v>
      </c>
      <c r="C114" t="s">
        <v>277</v>
      </c>
      <c r="D114">
        <v>3992</v>
      </c>
      <c r="E114">
        <v>3994</v>
      </c>
      <c r="F114">
        <v>3992</v>
      </c>
      <c r="G114">
        <v>3992</v>
      </c>
      <c r="H114">
        <v>2200</v>
      </c>
    </row>
    <row r="115" spans="2:8">
      <c r="B115" t="s">
        <v>587</v>
      </c>
      <c r="C115" t="s">
        <v>278</v>
      </c>
      <c r="D115">
        <v>3992</v>
      </c>
      <c r="E115">
        <v>3992</v>
      </c>
      <c r="F115">
        <v>3991</v>
      </c>
      <c r="G115">
        <v>3991</v>
      </c>
      <c r="H115">
        <v>400</v>
      </c>
    </row>
    <row r="116" spans="2:8">
      <c r="B116" t="s">
        <v>587</v>
      </c>
      <c r="C116" t="s">
        <v>279</v>
      </c>
      <c r="D116">
        <v>3993</v>
      </c>
      <c r="E116">
        <v>3993</v>
      </c>
      <c r="F116">
        <v>3991</v>
      </c>
      <c r="G116">
        <v>3992</v>
      </c>
      <c r="H116">
        <v>2300</v>
      </c>
    </row>
    <row r="117" spans="2:8">
      <c r="B117" t="s">
        <v>587</v>
      </c>
      <c r="C117" t="s">
        <v>280</v>
      </c>
      <c r="D117">
        <v>3992</v>
      </c>
      <c r="E117">
        <v>3992</v>
      </c>
      <c r="F117">
        <v>3990</v>
      </c>
      <c r="G117">
        <v>3990</v>
      </c>
      <c r="H117">
        <v>2000</v>
      </c>
    </row>
    <row r="118" spans="2:8">
      <c r="B118" t="s">
        <v>587</v>
      </c>
      <c r="C118" t="s">
        <v>281</v>
      </c>
      <c r="D118">
        <v>3991</v>
      </c>
      <c r="E118">
        <v>3991</v>
      </c>
      <c r="F118">
        <v>3990</v>
      </c>
      <c r="G118">
        <v>3990</v>
      </c>
      <c r="H118">
        <v>1700</v>
      </c>
    </row>
    <row r="119" spans="2:8">
      <c r="B119" t="s">
        <v>587</v>
      </c>
      <c r="C119" t="s">
        <v>282</v>
      </c>
      <c r="D119">
        <v>3988</v>
      </c>
      <c r="E119">
        <v>3988</v>
      </c>
      <c r="F119">
        <v>3987</v>
      </c>
      <c r="G119">
        <v>3987</v>
      </c>
      <c r="H119">
        <v>3600</v>
      </c>
    </row>
    <row r="120" spans="2:8">
      <c r="B120" t="s">
        <v>587</v>
      </c>
      <c r="C120" t="s">
        <v>283</v>
      </c>
      <c r="D120">
        <v>3987</v>
      </c>
      <c r="E120">
        <v>3988</v>
      </c>
      <c r="F120">
        <v>3987</v>
      </c>
      <c r="G120">
        <v>3987</v>
      </c>
      <c r="H120">
        <v>500</v>
      </c>
    </row>
    <row r="121" spans="2:8">
      <c r="B121" t="s">
        <v>587</v>
      </c>
      <c r="C121" t="s">
        <v>284</v>
      </c>
      <c r="D121">
        <v>3986</v>
      </c>
      <c r="E121">
        <v>3991</v>
      </c>
      <c r="F121">
        <v>3986</v>
      </c>
      <c r="G121">
        <v>3991</v>
      </c>
      <c r="H121">
        <v>2600</v>
      </c>
    </row>
    <row r="122" spans="2:8">
      <c r="B122" t="s">
        <v>587</v>
      </c>
      <c r="C122" t="s">
        <v>285</v>
      </c>
      <c r="D122">
        <v>3991</v>
      </c>
      <c r="E122">
        <v>3993</v>
      </c>
      <c r="F122">
        <v>3991</v>
      </c>
      <c r="G122">
        <v>3991</v>
      </c>
      <c r="H122">
        <v>4000</v>
      </c>
    </row>
    <row r="123" spans="2:8">
      <c r="B123" t="s">
        <v>587</v>
      </c>
      <c r="C123" t="s">
        <v>286</v>
      </c>
      <c r="D123">
        <v>3990</v>
      </c>
      <c r="E123">
        <v>3991</v>
      </c>
      <c r="F123">
        <v>3989</v>
      </c>
      <c r="G123">
        <v>3991</v>
      </c>
      <c r="H123">
        <v>2400</v>
      </c>
    </row>
    <row r="124" spans="2:8">
      <c r="B124" t="s">
        <v>587</v>
      </c>
      <c r="C124" t="s">
        <v>287</v>
      </c>
      <c r="D124">
        <v>3991</v>
      </c>
      <c r="E124">
        <v>3993</v>
      </c>
      <c r="F124">
        <v>3991</v>
      </c>
      <c r="G124">
        <v>3993</v>
      </c>
      <c r="H124">
        <v>1200</v>
      </c>
    </row>
    <row r="125" spans="2:8">
      <c r="B125" t="s">
        <v>587</v>
      </c>
      <c r="C125" t="s">
        <v>288</v>
      </c>
      <c r="D125">
        <v>3993</v>
      </c>
      <c r="E125">
        <v>3993</v>
      </c>
      <c r="F125">
        <v>3992</v>
      </c>
      <c r="G125">
        <v>3992</v>
      </c>
      <c r="H125">
        <v>600</v>
      </c>
    </row>
    <row r="126" spans="2:8">
      <c r="B126" t="s">
        <v>587</v>
      </c>
      <c r="C126" t="s">
        <v>289</v>
      </c>
      <c r="D126">
        <v>3991</v>
      </c>
      <c r="E126">
        <v>3992</v>
      </c>
      <c r="F126">
        <v>3990</v>
      </c>
      <c r="G126">
        <v>3992</v>
      </c>
      <c r="H126">
        <v>1100</v>
      </c>
    </row>
    <row r="127" spans="2:8">
      <c r="B127" t="s">
        <v>587</v>
      </c>
      <c r="C127" t="s">
        <v>290</v>
      </c>
      <c r="D127">
        <v>3993</v>
      </c>
      <c r="E127">
        <v>4005</v>
      </c>
      <c r="F127">
        <v>3993</v>
      </c>
      <c r="G127">
        <v>4005</v>
      </c>
      <c r="H127">
        <v>17600</v>
      </c>
    </row>
    <row r="128" spans="2:8">
      <c r="B128" t="s">
        <v>587</v>
      </c>
      <c r="C128" t="s">
        <v>291</v>
      </c>
      <c r="D128">
        <v>4005</v>
      </c>
      <c r="E128">
        <v>4006</v>
      </c>
      <c r="F128">
        <v>4003</v>
      </c>
      <c r="G128">
        <v>4003</v>
      </c>
      <c r="H128">
        <v>4400</v>
      </c>
    </row>
    <row r="129" spans="2:8">
      <c r="B129" t="s">
        <v>587</v>
      </c>
      <c r="C129" t="s">
        <v>292</v>
      </c>
      <c r="D129">
        <v>4004</v>
      </c>
      <c r="E129">
        <v>4006</v>
      </c>
      <c r="F129">
        <v>4003</v>
      </c>
      <c r="G129">
        <v>4006</v>
      </c>
      <c r="H129">
        <v>2700</v>
      </c>
    </row>
    <row r="130" spans="2:8">
      <c r="B130" t="s">
        <v>587</v>
      </c>
      <c r="C130" t="s">
        <v>293</v>
      </c>
      <c r="D130">
        <v>4005</v>
      </c>
      <c r="E130">
        <v>4006</v>
      </c>
      <c r="F130">
        <v>4004</v>
      </c>
      <c r="G130">
        <v>4005</v>
      </c>
      <c r="H130">
        <v>1500</v>
      </c>
    </row>
    <row r="131" spans="2:8">
      <c r="B131" t="s">
        <v>587</v>
      </c>
      <c r="C131" t="s">
        <v>294</v>
      </c>
      <c r="D131">
        <v>4006</v>
      </c>
      <c r="E131">
        <v>4006</v>
      </c>
      <c r="F131">
        <v>4002</v>
      </c>
      <c r="G131">
        <v>4004</v>
      </c>
      <c r="H131">
        <v>3000</v>
      </c>
    </row>
    <row r="132" spans="2:8">
      <c r="B132" t="s">
        <v>587</v>
      </c>
      <c r="C132" t="s">
        <v>295</v>
      </c>
      <c r="D132">
        <v>4005</v>
      </c>
      <c r="E132">
        <v>4005</v>
      </c>
      <c r="F132">
        <v>4003</v>
      </c>
      <c r="G132">
        <v>4003</v>
      </c>
      <c r="H132">
        <v>1400</v>
      </c>
    </row>
    <row r="133" spans="2:8">
      <c r="B133" t="s">
        <v>587</v>
      </c>
      <c r="C133" t="s">
        <v>296</v>
      </c>
      <c r="D133">
        <v>4002</v>
      </c>
      <c r="E133">
        <v>4004</v>
      </c>
      <c r="F133">
        <v>4002</v>
      </c>
      <c r="G133">
        <v>4004</v>
      </c>
      <c r="H133">
        <v>1000</v>
      </c>
    </row>
    <row r="134" spans="2:8">
      <c r="B134" t="s">
        <v>587</v>
      </c>
      <c r="C134" t="s">
        <v>297</v>
      </c>
      <c r="D134">
        <v>4004</v>
      </c>
      <c r="E134">
        <v>4005</v>
      </c>
      <c r="F134">
        <v>4003</v>
      </c>
      <c r="G134">
        <v>4003</v>
      </c>
      <c r="H134">
        <v>2000</v>
      </c>
    </row>
    <row r="135" spans="2:8">
      <c r="B135" t="s">
        <v>587</v>
      </c>
      <c r="C135" t="s">
        <v>298</v>
      </c>
      <c r="D135">
        <v>4005</v>
      </c>
      <c r="E135">
        <v>4006</v>
      </c>
      <c r="F135">
        <v>4004</v>
      </c>
      <c r="G135">
        <v>4004</v>
      </c>
      <c r="H135">
        <v>2000</v>
      </c>
    </row>
    <row r="136" spans="2:8">
      <c r="B136" t="s">
        <v>587</v>
      </c>
      <c r="C136" t="s">
        <v>299</v>
      </c>
      <c r="D136">
        <v>4004</v>
      </c>
      <c r="E136">
        <v>4005</v>
      </c>
      <c r="F136">
        <v>4002</v>
      </c>
      <c r="G136">
        <v>4002</v>
      </c>
      <c r="H136">
        <v>4300</v>
      </c>
    </row>
    <row r="137" spans="2:8">
      <c r="B137" t="s">
        <v>587</v>
      </c>
      <c r="C137" t="s">
        <v>300</v>
      </c>
      <c r="D137">
        <v>4003</v>
      </c>
      <c r="E137">
        <v>4008</v>
      </c>
      <c r="F137">
        <v>4002</v>
      </c>
      <c r="G137">
        <v>4007</v>
      </c>
      <c r="H137">
        <v>8000</v>
      </c>
    </row>
    <row r="138" spans="2:8">
      <c r="B138" t="s">
        <v>587</v>
      </c>
      <c r="C138" t="s">
        <v>301</v>
      </c>
      <c r="D138">
        <v>4006</v>
      </c>
      <c r="E138">
        <v>4008</v>
      </c>
      <c r="F138">
        <v>4005</v>
      </c>
      <c r="G138">
        <v>4007</v>
      </c>
      <c r="H138">
        <v>2700</v>
      </c>
    </row>
    <row r="139" spans="2:8">
      <c r="B139" t="s">
        <v>587</v>
      </c>
      <c r="C139" t="s">
        <v>302</v>
      </c>
      <c r="D139">
        <v>4008</v>
      </c>
      <c r="E139">
        <v>4008</v>
      </c>
      <c r="F139">
        <v>4006</v>
      </c>
      <c r="G139">
        <v>4006</v>
      </c>
      <c r="H139">
        <v>400</v>
      </c>
    </row>
    <row r="140" spans="2:8">
      <c r="B140" t="s">
        <v>587</v>
      </c>
      <c r="C140" t="s">
        <v>303</v>
      </c>
      <c r="D140">
        <v>4005</v>
      </c>
      <c r="E140">
        <v>4005</v>
      </c>
      <c r="F140">
        <v>4002</v>
      </c>
      <c r="G140">
        <v>4002</v>
      </c>
      <c r="H140">
        <v>3200</v>
      </c>
    </row>
    <row r="141" spans="2:8">
      <c r="B141" t="s">
        <v>587</v>
      </c>
      <c r="C141" t="s">
        <v>304</v>
      </c>
      <c r="D141">
        <v>4004</v>
      </c>
      <c r="E141">
        <v>4007</v>
      </c>
      <c r="F141">
        <v>4004</v>
      </c>
      <c r="G141">
        <v>4006</v>
      </c>
      <c r="H141">
        <v>3400</v>
      </c>
    </row>
    <row r="142" spans="2:8">
      <c r="B142" t="s">
        <v>587</v>
      </c>
      <c r="C142" t="s">
        <v>305</v>
      </c>
      <c r="D142">
        <v>4006</v>
      </c>
      <c r="E142">
        <v>4007</v>
      </c>
      <c r="F142">
        <v>4005</v>
      </c>
      <c r="G142">
        <v>4005</v>
      </c>
      <c r="H142">
        <v>2100</v>
      </c>
    </row>
    <row r="143" spans="2:8">
      <c r="B143" t="s">
        <v>587</v>
      </c>
      <c r="C143" t="s">
        <v>306</v>
      </c>
      <c r="D143">
        <v>4006</v>
      </c>
      <c r="E143">
        <v>4007</v>
      </c>
      <c r="F143">
        <v>4005</v>
      </c>
      <c r="G143">
        <v>4007</v>
      </c>
      <c r="H143">
        <v>900</v>
      </c>
    </row>
    <row r="144" spans="2:8">
      <c r="B144" t="s">
        <v>587</v>
      </c>
      <c r="C144" t="s">
        <v>307</v>
      </c>
      <c r="D144">
        <v>4008</v>
      </c>
      <c r="E144">
        <v>4008</v>
      </c>
      <c r="F144">
        <v>4004</v>
      </c>
      <c r="G144">
        <v>4004</v>
      </c>
      <c r="H144">
        <v>2300</v>
      </c>
    </row>
    <row r="145" spans="2:8">
      <c r="B145" t="s">
        <v>587</v>
      </c>
      <c r="C145" t="s">
        <v>308</v>
      </c>
      <c r="D145">
        <v>4004</v>
      </c>
      <c r="E145">
        <v>4005</v>
      </c>
      <c r="F145">
        <v>4003</v>
      </c>
      <c r="G145">
        <v>4003</v>
      </c>
      <c r="H145">
        <v>1100</v>
      </c>
    </row>
    <row r="146" spans="2:8">
      <c r="B146" t="s">
        <v>587</v>
      </c>
      <c r="C146" t="s">
        <v>309</v>
      </c>
      <c r="D146">
        <v>4002</v>
      </c>
      <c r="E146">
        <v>4003</v>
      </c>
      <c r="F146">
        <v>4000</v>
      </c>
      <c r="G146">
        <v>4003</v>
      </c>
      <c r="H146">
        <v>2800</v>
      </c>
    </row>
    <row r="147" spans="2:8">
      <c r="B147" t="s">
        <v>587</v>
      </c>
      <c r="C147" t="s">
        <v>310</v>
      </c>
      <c r="D147">
        <v>4003</v>
      </c>
      <c r="E147">
        <v>4003</v>
      </c>
      <c r="F147">
        <v>4001</v>
      </c>
      <c r="G147">
        <v>4001</v>
      </c>
      <c r="H147">
        <v>1200</v>
      </c>
    </row>
    <row r="148" spans="2:8">
      <c r="B148" t="s">
        <v>587</v>
      </c>
      <c r="C148" t="s">
        <v>311</v>
      </c>
      <c r="D148">
        <v>3999</v>
      </c>
      <c r="E148">
        <v>4000</v>
      </c>
      <c r="F148">
        <v>3999</v>
      </c>
      <c r="G148">
        <v>3999</v>
      </c>
      <c r="H148">
        <v>900</v>
      </c>
    </row>
    <row r="149" spans="2:8">
      <c r="B149" t="s">
        <v>587</v>
      </c>
      <c r="C149" t="s">
        <v>312</v>
      </c>
      <c r="D149">
        <v>3998</v>
      </c>
      <c r="E149">
        <v>3999</v>
      </c>
      <c r="F149">
        <v>3997</v>
      </c>
      <c r="G149">
        <v>3998</v>
      </c>
      <c r="H149">
        <v>1200</v>
      </c>
    </row>
    <row r="150" spans="2:8">
      <c r="B150" t="s">
        <v>587</v>
      </c>
      <c r="C150" t="s">
        <v>313</v>
      </c>
      <c r="D150">
        <v>3999</v>
      </c>
      <c r="E150">
        <v>4000</v>
      </c>
      <c r="F150">
        <v>3999</v>
      </c>
      <c r="G150">
        <v>3999</v>
      </c>
      <c r="H150">
        <v>1800</v>
      </c>
    </row>
    <row r="151" spans="2:8">
      <c r="B151" t="s">
        <v>587</v>
      </c>
      <c r="C151" t="s">
        <v>314</v>
      </c>
      <c r="D151">
        <v>4000</v>
      </c>
      <c r="E151">
        <v>4003</v>
      </c>
      <c r="F151">
        <v>4000</v>
      </c>
      <c r="G151">
        <v>4002</v>
      </c>
      <c r="H151">
        <v>2600</v>
      </c>
    </row>
    <row r="152" spans="2:8">
      <c r="B152" t="s">
        <v>587</v>
      </c>
      <c r="C152" t="s">
        <v>315</v>
      </c>
      <c r="D152">
        <v>4001</v>
      </c>
      <c r="E152">
        <v>4001</v>
      </c>
      <c r="F152">
        <v>4000</v>
      </c>
      <c r="G152">
        <v>4001</v>
      </c>
      <c r="H152">
        <v>400</v>
      </c>
    </row>
    <row r="153" spans="2:8">
      <c r="B153" t="s">
        <v>587</v>
      </c>
      <c r="C153" t="s">
        <v>316</v>
      </c>
      <c r="D153">
        <v>4003</v>
      </c>
      <c r="E153">
        <v>4003</v>
      </c>
      <c r="F153">
        <v>4003</v>
      </c>
      <c r="G153">
        <v>4003</v>
      </c>
      <c r="H153">
        <v>1000</v>
      </c>
    </row>
    <row r="154" spans="2:8">
      <c r="B154" t="s">
        <v>587</v>
      </c>
      <c r="C154" t="s">
        <v>317</v>
      </c>
      <c r="D154">
        <v>4009</v>
      </c>
      <c r="E154">
        <v>4010</v>
      </c>
      <c r="F154">
        <v>4001</v>
      </c>
      <c r="G154">
        <v>4001</v>
      </c>
      <c r="H154">
        <v>38900</v>
      </c>
    </row>
    <row r="155" spans="2:8">
      <c r="B155" t="s">
        <v>587</v>
      </c>
      <c r="C155" t="s">
        <v>318</v>
      </c>
      <c r="D155">
        <v>4000</v>
      </c>
      <c r="E155">
        <v>4002</v>
      </c>
      <c r="F155">
        <v>3997</v>
      </c>
      <c r="G155">
        <v>4001</v>
      </c>
      <c r="H155">
        <v>4100</v>
      </c>
    </row>
    <row r="156" spans="2:8">
      <c r="B156" t="s">
        <v>587</v>
      </c>
      <c r="C156" t="s">
        <v>319</v>
      </c>
      <c r="D156">
        <v>4000</v>
      </c>
      <c r="E156">
        <v>4002</v>
      </c>
      <c r="F156">
        <v>3998</v>
      </c>
      <c r="G156">
        <v>3999</v>
      </c>
      <c r="H156">
        <v>3000</v>
      </c>
    </row>
    <row r="157" spans="2:8">
      <c r="B157" t="s">
        <v>587</v>
      </c>
      <c r="C157" t="s">
        <v>320</v>
      </c>
      <c r="D157">
        <v>3998</v>
      </c>
      <c r="E157">
        <v>3998</v>
      </c>
      <c r="F157">
        <v>3994</v>
      </c>
      <c r="G157">
        <v>3996</v>
      </c>
      <c r="H157">
        <v>1900</v>
      </c>
    </row>
    <row r="158" spans="2:8">
      <c r="B158" t="s">
        <v>587</v>
      </c>
      <c r="C158" t="s">
        <v>321</v>
      </c>
      <c r="D158">
        <v>3997</v>
      </c>
      <c r="E158">
        <v>3997</v>
      </c>
      <c r="F158">
        <v>3994</v>
      </c>
      <c r="G158">
        <v>3996</v>
      </c>
      <c r="H158">
        <v>3600</v>
      </c>
    </row>
    <row r="159" spans="2:8">
      <c r="B159" t="s">
        <v>587</v>
      </c>
      <c r="C159" t="s">
        <v>322</v>
      </c>
      <c r="D159">
        <v>3995</v>
      </c>
      <c r="E159">
        <v>3995</v>
      </c>
      <c r="F159">
        <v>3991</v>
      </c>
      <c r="G159">
        <v>3992</v>
      </c>
      <c r="H159">
        <v>4900</v>
      </c>
    </row>
    <row r="160" spans="2:8">
      <c r="B160" t="s">
        <v>587</v>
      </c>
      <c r="C160" t="s">
        <v>323</v>
      </c>
      <c r="D160">
        <v>3993</v>
      </c>
      <c r="E160">
        <v>3993</v>
      </c>
      <c r="F160">
        <v>3991</v>
      </c>
      <c r="G160">
        <v>3992</v>
      </c>
      <c r="H160">
        <v>1300</v>
      </c>
    </row>
    <row r="161" spans="2:8">
      <c r="B161" t="s">
        <v>587</v>
      </c>
      <c r="C161" t="s">
        <v>324</v>
      </c>
      <c r="D161">
        <v>3992</v>
      </c>
      <c r="E161">
        <v>3992</v>
      </c>
      <c r="F161">
        <v>3991</v>
      </c>
      <c r="G161">
        <v>3992</v>
      </c>
      <c r="H161">
        <v>4100</v>
      </c>
    </row>
    <row r="162" spans="2:8">
      <c r="B162" t="s">
        <v>587</v>
      </c>
      <c r="C162" t="s">
        <v>325</v>
      </c>
      <c r="D162">
        <v>3993</v>
      </c>
      <c r="E162">
        <v>3993</v>
      </c>
      <c r="F162">
        <v>3992</v>
      </c>
      <c r="G162">
        <v>3993</v>
      </c>
      <c r="H162">
        <v>4000</v>
      </c>
    </row>
    <row r="163" spans="2:8">
      <c r="B163" t="s">
        <v>587</v>
      </c>
      <c r="C163" t="s">
        <v>326</v>
      </c>
      <c r="D163">
        <v>3994</v>
      </c>
      <c r="E163">
        <v>3995</v>
      </c>
      <c r="F163">
        <v>3993</v>
      </c>
      <c r="G163">
        <v>3994</v>
      </c>
      <c r="H163">
        <v>1500</v>
      </c>
    </row>
    <row r="164" spans="2:8">
      <c r="B164" t="s">
        <v>587</v>
      </c>
      <c r="C164" t="s">
        <v>327</v>
      </c>
      <c r="D164">
        <v>3992</v>
      </c>
      <c r="E164">
        <v>3993</v>
      </c>
      <c r="F164">
        <v>3991</v>
      </c>
      <c r="G164">
        <v>3993</v>
      </c>
      <c r="H164">
        <v>4000</v>
      </c>
    </row>
    <row r="165" spans="2:8">
      <c r="B165" t="s">
        <v>587</v>
      </c>
      <c r="C165" t="s">
        <v>328</v>
      </c>
      <c r="D165">
        <v>3994</v>
      </c>
      <c r="E165">
        <v>3994</v>
      </c>
      <c r="F165">
        <v>3989</v>
      </c>
      <c r="G165">
        <v>3989</v>
      </c>
      <c r="H165">
        <v>5700</v>
      </c>
    </row>
    <row r="166" spans="2:8">
      <c r="B166" t="s">
        <v>587</v>
      </c>
      <c r="C166" t="s">
        <v>329</v>
      </c>
      <c r="D166">
        <v>3989</v>
      </c>
      <c r="E166">
        <v>3989</v>
      </c>
      <c r="F166">
        <v>3987</v>
      </c>
      <c r="G166">
        <v>3987</v>
      </c>
      <c r="H166">
        <v>1700</v>
      </c>
    </row>
    <row r="167" spans="2:8">
      <c r="B167" t="s">
        <v>587</v>
      </c>
      <c r="C167" t="s">
        <v>330</v>
      </c>
      <c r="D167">
        <v>3988</v>
      </c>
      <c r="E167">
        <v>3989</v>
      </c>
      <c r="F167">
        <v>3988</v>
      </c>
      <c r="G167">
        <v>3988</v>
      </c>
      <c r="H167">
        <v>1200</v>
      </c>
    </row>
    <row r="168" spans="2:8">
      <c r="B168" t="s">
        <v>587</v>
      </c>
      <c r="C168" t="s">
        <v>331</v>
      </c>
      <c r="D168">
        <v>3987</v>
      </c>
      <c r="E168">
        <v>3988</v>
      </c>
      <c r="F168">
        <v>3987</v>
      </c>
      <c r="G168">
        <v>3988</v>
      </c>
      <c r="H168">
        <v>300</v>
      </c>
    </row>
    <row r="169" spans="2:8">
      <c r="B169" t="s">
        <v>587</v>
      </c>
      <c r="C169" t="s">
        <v>332</v>
      </c>
      <c r="D169">
        <v>3988</v>
      </c>
      <c r="E169">
        <v>3992</v>
      </c>
      <c r="F169">
        <v>3988</v>
      </c>
      <c r="G169">
        <v>3991</v>
      </c>
      <c r="H169">
        <v>4600</v>
      </c>
    </row>
    <row r="170" spans="2:8">
      <c r="B170" t="s">
        <v>587</v>
      </c>
      <c r="C170" t="s">
        <v>333</v>
      </c>
      <c r="D170">
        <v>3992</v>
      </c>
      <c r="E170">
        <v>3994</v>
      </c>
      <c r="F170">
        <v>3992</v>
      </c>
      <c r="G170">
        <v>3994</v>
      </c>
      <c r="H170">
        <v>2000</v>
      </c>
    </row>
    <row r="171" spans="2:8">
      <c r="B171" t="s">
        <v>587</v>
      </c>
      <c r="C171" t="s">
        <v>334</v>
      </c>
      <c r="D171">
        <v>3993</v>
      </c>
      <c r="E171">
        <v>3993</v>
      </c>
      <c r="F171">
        <v>3993</v>
      </c>
      <c r="G171">
        <v>3993</v>
      </c>
      <c r="H171">
        <v>500</v>
      </c>
    </row>
    <row r="172" spans="2:8">
      <c r="B172" t="s">
        <v>587</v>
      </c>
      <c r="C172" t="s">
        <v>335</v>
      </c>
      <c r="D172">
        <v>3993</v>
      </c>
      <c r="E172">
        <v>3994</v>
      </c>
      <c r="F172">
        <v>3990</v>
      </c>
      <c r="G172">
        <v>3990</v>
      </c>
      <c r="H172">
        <v>4400</v>
      </c>
    </row>
    <row r="173" spans="2:8">
      <c r="B173" t="s">
        <v>587</v>
      </c>
      <c r="C173" t="s">
        <v>336</v>
      </c>
      <c r="D173">
        <v>3990</v>
      </c>
      <c r="E173">
        <v>3990</v>
      </c>
      <c r="F173">
        <v>3990</v>
      </c>
      <c r="G173">
        <v>3990</v>
      </c>
      <c r="H173">
        <v>100</v>
      </c>
    </row>
    <row r="174" spans="2:8">
      <c r="B174" t="s">
        <v>587</v>
      </c>
      <c r="C174" t="s">
        <v>337</v>
      </c>
      <c r="D174">
        <v>3990</v>
      </c>
      <c r="E174">
        <v>3990</v>
      </c>
      <c r="F174">
        <v>3989</v>
      </c>
      <c r="G174">
        <v>3989</v>
      </c>
      <c r="H174">
        <v>1600</v>
      </c>
    </row>
    <row r="175" spans="2:8">
      <c r="B175" t="s">
        <v>587</v>
      </c>
      <c r="C175" t="s">
        <v>338</v>
      </c>
      <c r="D175">
        <v>3988</v>
      </c>
      <c r="E175">
        <v>3991</v>
      </c>
      <c r="F175">
        <v>3988</v>
      </c>
      <c r="G175">
        <v>3991</v>
      </c>
      <c r="H175">
        <v>2300</v>
      </c>
    </row>
    <row r="176" spans="2:8">
      <c r="B176" t="s">
        <v>587</v>
      </c>
      <c r="C176" t="s">
        <v>339</v>
      </c>
      <c r="D176">
        <v>3991</v>
      </c>
      <c r="E176">
        <v>3992</v>
      </c>
      <c r="F176">
        <v>3991</v>
      </c>
      <c r="G176">
        <v>3992</v>
      </c>
      <c r="H176">
        <v>1100</v>
      </c>
    </row>
    <row r="177" spans="2:8">
      <c r="B177" t="s">
        <v>587</v>
      </c>
      <c r="C177" t="s">
        <v>340</v>
      </c>
      <c r="D177">
        <v>3993</v>
      </c>
      <c r="E177">
        <v>4000</v>
      </c>
      <c r="F177">
        <v>3993</v>
      </c>
      <c r="G177">
        <v>4000</v>
      </c>
      <c r="H177">
        <v>13100</v>
      </c>
    </row>
    <row r="178" spans="2:8">
      <c r="B178" t="s">
        <v>587</v>
      </c>
      <c r="C178" t="s">
        <v>341</v>
      </c>
      <c r="D178">
        <v>4000</v>
      </c>
      <c r="E178">
        <v>4003</v>
      </c>
      <c r="F178">
        <v>4000</v>
      </c>
      <c r="G178">
        <v>4002</v>
      </c>
      <c r="H178">
        <v>2600</v>
      </c>
    </row>
    <row r="179" spans="2:8">
      <c r="B179" t="s">
        <v>587</v>
      </c>
      <c r="C179" t="s">
        <v>342</v>
      </c>
      <c r="D179">
        <v>4001</v>
      </c>
      <c r="E179">
        <v>4001</v>
      </c>
      <c r="F179">
        <v>3996</v>
      </c>
      <c r="G179">
        <v>3996</v>
      </c>
      <c r="H179">
        <v>7200</v>
      </c>
    </row>
    <row r="180" spans="2:8">
      <c r="B180" t="s">
        <v>587</v>
      </c>
      <c r="C180" t="s">
        <v>343</v>
      </c>
      <c r="D180">
        <v>3996</v>
      </c>
      <c r="E180">
        <v>3996</v>
      </c>
      <c r="F180">
        <v>3995</v>
      </c>
      <c r="G180">
        <v>3995</v>
      </c>
      <c r="H180">
        <v>1000</v>
      </c>
    </row>
    <row r="181" spans="2:8">
      <c r="B181" t="s">
        <v>587</v>
      </c>
      <c r="C181" t="s">
        <v>344</v>
      </c>
      <c r="D181">
        <v>3994</v>
      </c>
      <c r="E181">
        <v>3995</v>
      </c>
      <c r="F181">
        <v>3992</v>
      </c>
      <c r="G181">
        <v>3995</v>
      </c>
      <c r="H181">
        <v>3800</v>
      </c>
    </row>
    <row r="182" spans="2:8">
      <c r="B182" t="s">
        <v>587</v>
      </c>
      <c r="C182" t="s">
        <v>345</v>
      </c>
      <c r="D182">
        <v>3996</v>
      </c>
      <c r="E182">
        <v>3997</v>
      </c>
      <c r="F182">
        <v>3995</v>
      </c>
      <c r="G182">
        <v>3995</v>
      </c>
      <c r="H182">
        <v>1800</v>
      </c>
    </row>
    <row r="183" spans="2:8">
      <c r="B183" t="s">
        <v>587</v>
      </c>
      <c r="C183" t="s">
        <v>346</v>
      </c>
      <c r="D183">
        <v>3995</v>
      </c>
      <c r="E183">
        <v>3997</v>
      </c>
      <c r="F183">
        <v>3995</v>
      </c>
      <c r="G183">
        <v>3997</v>
      </c>
      <c r="H183">
        <v>1400</v>
      </c>
    </row>
    <row r="184" spans="2:8">
      <c r="B184" t="s">
        <v>587</v>
      </c>
      <c r="C184" t="s">
        <v>347</v>
      </c>
      <c r="D184">
        <v>3997</v>
      </c>
      <c r="E184">
        <v>3998</v>
      </c>
      <c r="F184">
        <v>3993</v>
      </c>
      <c r="G184">
        <v>3995</v>
      </c>
      <c r="H184">
        <v>5000</v>
      </c>
    </row>
    <row r="185" spans="2:8">
      <c r="B185" t="s">
        <v>587</v>
      </c>
      <c r="C185" t="s">
        <v>348</v>
      </c>
      <c r="D185">
        <v>3994</v>
      </c>
      <c r="E185">
        <v>3995</v>
      </c>
      <c r="F185">
        <v>3994</v>
      </c>
      <c r="G185">
        <v>3995</v>
      </c>
      <c r="H185">
        <v>500</v>
      </c>
    </row>
    <row r="186" spans="2:8">
      <c r="B186" t="s">
        <v>587</v>
      </c>
      <c r="C186" t="s">
        <v>349</v>
      </c>
      <c r="D186">
        <v>3995</v>
      </c>
      <c r="E186">
        <v>3999</v>
      </c>
      <c r="F186">
        <v>3995</v>
      </c>
      <c r="G186">
        <v>3999</v>
      </c>
      <c r="H186">
        <v>3900</v>
      </c>
    </row>
    <row r="187" spans="2:8">
      <c r="B187" t="s">
        <v>587</v>
      </c>
      <c r="C187" t="s">
        <v>350</v>
      </c>
      <c r="D187">
        <v>3999</v>
      </c>
      <c r="E187">
        <v>4001</v>
      </c>
      <c r="F187">
        <v>3999</v>
      </c>
      <c r="G187">
        <v>3999</v>
      </c>
      <c r="H187">
        <v>2300</v>
      </c>
    </row>
    <row r="188" spans="2:8">
      <c r="B188" t="s">
        <v>587</v>
      </c>
      <c r="C188" t="s">
        <v>351</v>
      </c>
      <c r="D188">
        <v>3999</v>
      </c>
      <c r="E188">
        <v>3999</v>
      </c>
      <c r="F188">
        <v>3996</v>
      </c>
      <c r="G188">
        <v>3996</v>
      </c>
      <c r="H188">
        <v>1600</v>
      </c>
    </row>
    <row r="189" spans="2:8">
      <c r="B189" t="s">
        <v>587</v>
      </c>
      <c r="C189" t="s">
        <v>352</v>
      </c>
      <c r="D189">
        <v>3995</v>
      </c>
      <c r="E189">
        <v>3995</v>
      </c>
      <c r="F189">
        <v>3992</v>
      </c>
      <c r="G189">
        <v>3993</v>
      </c>
      <c r="H189">
        <v>5400</v>
      </c>
    </row>
    <row r="190" spans="2:8">
      <c r="B190" t="s">
        <v>587</v>
      </c>
      <c r="C190" t="s">
        <v>353</v>
      </c>
      <c r="D190">
        <v>3993</v>
      </c>
      <c r="E190">
        <v>3993</v>
      </c>
      <c r="F190">
        <v>3990</v>
      </c>
      <c r="G190">
        <v>3990</v>
      </c>
      <c r="H190">
        <v>4100</v>
      </c>
    </row>
    <row r="191" spans="2:8">
      <c r="B191" t="s">
        <v>587</v>
      </c>
      <c r="C191" t="s">
        <v>354</v>
      </c>
      <c r="D191">
        <v>3990</v>
      </c>
      <c r="E191">
        <v>3991</v>
      </c>
      <c r="F191">
        <v>3990</v>
      </c>
      <c r="G191">
        <v>3991</v>
      </c>
      <c r="H191">
        <v>1700</v>
      </c>
    </row>
    <row r="192" spans="2:8">
      <c r="B192" t="s">
        <v>587</v>
      </c>
      <c r="C192" t="s">
        <v>355</v>
      </c>
      <c r="D192">
        <v>3991</v>
      </c>
      <c r="E192">
        <v>3991</v>
      </c>
      <c r="F192">
        <v>3990</v>
      </c>
      <c r="G192">
        <v>3990</v>
      </c>
      <c r="H192">
        <v>600</v>
      </c>
    </row>
    <row r="193" spans="2:8">
      <c r="B193" t="s">
        <v>587</v>
      </c>
      <c r="C193" t="s">
        <v>356</v>
      </c>
      <c r="D193">
        <v>3990</v>
      </c>
      <c r="E193">
        <v>3990</v>
      </c>
      <c r="F193">
        <v>3988</v>
      </c>
      <c r="G193">
        <v>3988</v>
      </c>
      <c r="H193">
        <v>3300</v>
      </c>
    </row>
    <row r="194" spans="2:8">
      <c r="B194" t="s">
        <v>587</v>
      </c>
      <c r="C194" t="s">
        <v>357</v>
      </c>
      <c r="D194">
        <v>3988</v>
      </c>
      <c r="E194">
        <v>3991</v>
      </c>
      <c r="F194">
        <v>3986</v>
      </c>
      <c r="G194">
        <v>3991</v>
      </c>
      <c r="H194">
        <v>4200</v>
      </c>
    </row>
    <row r="195" spans="2:8">
      <c r="B195" t="s">
        <v>587</v>
      </c>
      <c r="C195" t="s">
        <v>358</v>
      </c>
      <c r="D195">
        <v>3991</v>
      </c>
      <c r="E195">
        <v>3991</v>
      </c>
      <c r="F195">
        <v>3989</v>
      </c>
      <c r="G195">
        <v>3990</v>
      </c>
      <c r="H195">
        <v>2700</v>
      </c>
    </row>
    <row r="196" spans="2:8">
      <c r="B196" t="s">
        <v>587</v>
      </c>
      <c r="C196" t="s">
        <v>359</v>
      </c>
      <c r="D196">
        <v>3991</v>
      </c>
      <c r="E196">
        <v>3993</v>
      </c>
      <c r="F196">
        <v>3991</v>
      </c>
      <c r="G196">
        <v>3993</v>
      </c>
      <c r="H196">
        <v>1900</v>
      </c>
    </row>
    <row r="197" spans="2:8">
      <c r="B197" t="s">
        <v>587</v>
      </c>
      <c r="C197" t="s">
        <v>360</v>
      </c>
      <c r="D197">
        <v>3994</v>
      </c>
      <c r="E197">
        <v>3994</v>
      </c>
      <c r="F197">
        <v>3991</v>
      </c>
      <c r="G197">
        <v>3991</v>
      </c>
      <c r="H197">
        <v>1800</v>
      </c>
    </row>
    <row r="198" spans="2:8">
      <c r="B198" t="s">
        <v>587</v>
      </c>
      <c r="C198" t="s">
        <v>361</v>
      </c>
      <c r="D198">
        <v>3992</v>
      </c>
      <c r="E198">
        <v>3992</v>
      </c>
      <c r="F198">
        <v>3992</v>
      </c>
      <c r="G198">
        <v>3992</v>
      </c>
      <c r="H198">
        <v>100</v>
      </c>
    </row>
    <row r="199" spans="2:8">
      <c r="B199" t="s">
        <v>587</v>
      </c>
      <c r="C199" t="s">
        <v>362</v>
      </c>
      <c r="D199">
        <v>3991</v>
      </c>
      <c r="E199">
        <v>3993</v>
      </c>
      <c r="F199">
        <v>3991</v>
      </c>
      <c r="G199">
        <v>3993</v>
      </c>
      <c r="H199">
        <v>1700</v>
      </c>
    </row>
    <row r="200" spans="2:8">
      <c r="B200" t="s">
        <v>587</v>
      </c>
      <c r="C200" t="s">
        <v>363</v>
      </c>
      <c r="D200">
        <v>3994</v>
      </c>
      <c r="E200">
        <v>3994</v>
      </c>
      <c r="F200">
        <v>3992</v>
      </c>
      <c r="G200">
        <v>3992</v>
      </c>
      <c r="H200">
        <v>700</v>
      </c>
    </row>
    <row r="201" spans="2:8">
      <c r="B201" t="s">
        <v>587</v>
      </c>
      <c r="C201" t="s">
        <v>364</v>
      </c>
      <c r="D201">
        <v>3994</v>
      </c>
      <c r="E201">
        <v>3994</v>
      </c>
      <c r="F201">
        <v>3993</v>
      </c>
      <c r="G201">
        <v>3994</v>
      </c>
      <c r="H201">
        <v>2300</v>
      </c>
    </row>
    <row r="202" spans="2:8">
      <c r="B202" t="s">
        <v>587</v>
      </c>
      <c r="C202" t="s">
        <v>365</v>
      </c>
      <c r="D202">
        <v>3994</v>
      </c>
      <c r="E202">
        <v>3994</v>
      </c>
      <c r="F202">
        <v>3994</v>
      </c>
      <c r="G202">
        <v>3994</v>
      </c>
      <c r="H202">
        <v>600</v>
      </c>
    </row>
    <row r="203" spans="2:8">
      <c r="B203" t="s">
        <v>587</v>
      </c>
      <c r="C203" t="s">
        <v>366</v>
      </c>
      <c r="D203">
        <v>3994</v>
      </c>
      <c r="E203">
        <v>3996</v>
      </c>
      <c r="F203">
        <v>3994</v>
      </c>
      <c r="G203">
        <v>3996</v>
      </c>
      <c r="H203">
        <v>1500</v>
      </c>
    </row>
    <row r="204" spans="2:8">
      <c r="B204" t="s">
        <v>587</v>
      </c>
      <c r="C204" t="s">
        <v>367</v>
      </c>
      <c r="D204">
        <v>3995</v>
      </c>
      <c r="E204">
        <v>3995</v>
      </c>
      <c r="F204">
        <v>3993</v>
      </c>
      <c r="G204">
        <v>3993</v>
      </c>
      <c r="H204">
        <v>2900</v>
      </c>
    </row>
    <row r="205" spans="2:8">
      <c r="B205" t="s">
        <v>587</v>
      </c>
      <c r="C205" t="s">
        <v>368</v>
      </c>
      <c r="D205">
        <v>3992</v>
      </c>
      <c r="E205">
        <v>3993</v>
      </c>
      <c r="F205">
        <v>3992</v>
      </c>
      <c r="G205">
        <v>3993</v>
      </c>
      <c r="H205">
        <v>1100</v>
      </c>
    </row>
    <row r="206" spans="2:8">
      <c r="B206" t="s">
        <v>587</v>
      </c>
      <c r="C206" t="s">
        <v>369</v>
      </c>
      <c r="D206">
        <v>3993</v>
      </c>
      <c r="E206">
        <v>3993</v>
      </c>
      <c r="F206">
        <v>3993</v>
      </c>
      <c r="G206">
        <v>3993</v>
      </c>
      <c r="H206">
        <v>500</v>
      </c>
    </row>
    <row r="207" spans="2:8">
      <c r="B207" t="s">
        <v>587</v>
      </c>
      <c r="C207" t="s">
        <v>370</v>
      </c>
      <c r="D207">
        <v>3994</v>
      </c>
      <c r="E207">
        <v>3994</v>
      </c>
      <c r="F207">
        <v>3994</v>
      </c>
      <c r="G207">
        <v>3994</v>
      </c>
      <c r="H207">
        <v>100</v>
      </c>
    </row>
    <row r="208" spans="2:8">
      <c r="B208" t="s">
        <v>587</v>
      </c>
      <c r="C208" t="s">
        <v>371</v>
      </c>
      <c r="D208">
        <v>3993</v>
      </c>
      <c r="E208">
        <v>3993</v>
      </c>
      <c r="F208">
        <v>3990</v>
      </c>
      <c r="G208">
        <v>3990</v>
      </c>
      <c r="H208">
        <v>1700</v>
      </c>
    </row>
    <row r="209" spans="2:8">
      <c r="B209" t="s">
        <v>587</v>
      </c>
      <c r="C209" t="s">
        <v>372</v>
      </c>
      <c r="D209">
        <v>3990</v>
      </c>
      <c r="E209">
        <v>3990</v>
      </c>
      <c r="F209">
        <v>3987</v>
      </c>
      <c r="G209">
        <v>3990</v>
      </c>
      <c r="H209">
        <v>5800</v>
      </c>
    </row>
    <row r="210" spans="2:8">
      <c r="B210" t="s">
        <v>587</v>
      </c>
      <c r="C210" t="s">
        <v>373</v>
      </c>
      <c r="D210">
        <v>3990</v>
      </c>
      <c r="E210">
        <v>3990</v>
      </c>
      <c r="F210">
        <v>3987</v>
      </c>
      <c r="G210">
        <v>3987</v>
      </c>
      <c r="H210">
        <v>1100</v>
      </c>
    </row>
    <row r="211" spans="2:8">
      <c r="B211" t="s">
        <v>587</v>
      </c>
      <c r="C211" t="s">
        <v>374</v>
      </c>
      <c r="D211">
        <v>3987</v>
      </c>
      <c r="E211">
        <v>3987</v>
      </c>
      <c r="F211">
        <v>3984</v>
      </c>
      <c r="G211">
        <v>3985</v>
      </c>
      <c r="H211">
        <v>3900</v>
      </c>
    </row>
    <row r="212" spans="2:8">
      <c r="B212" t="s">
        <v>587</v>
      </c>
      <c r="C212" t="s">
        <v>375</v>
      </c>
      <c r="D212">
        <v>3985</v>
      </c>
      <c r="E212">
        <v>3985</v>
      </c>
      <c r="F212">
        <v>3983</v>
      </c>
      <c r="G212">
        <v>3983</v>
      </c>
      <c r="H212">
        <v>1200</v>
      </c>
    </row>
    <row r="213" spans="2:8">
      <c r="B213" t="s">
        <v>587</v>
      </c>
      <c r="C213" t="s">
        <v>376</v>
      </c>
      <c r="D213">
        <v>3984</v>
      </c>
      <c r="E213">
        <v>3985</v>
      </c>
      <c r="F213">
        <v>3984</v>
      </c>
      <c r="G213">
        <v>3984</v>
      </c>
      <c r="H213">
        <v>600</v>
      </c>
    </row>
    <row r="214" spans="2:8">
      <c r="B214" t="s">
        <v>587</v>
      </c>
      <c r="C214" t="s">
        <v>377</v>
      </c>
      <c r="D214">
        <v>3984</v>
      </c>
      <c r="E214">
        <v>3984</v>
      </c>
      <c r="F214">
        <v>3983</v>
      </c>
      <c r="G214">
        <v>3984</v>
      </c>
      <c r="H214">
        <v>4500</v>
      </c>
    </row>
    <row r="215" spans="2:8">
      <c r="B215" t="s">
        <v>587</v>
      </c>
      <c r="C215" t="s">
        <v>378</v>
      </c>
      <c r="D215">
        <v>3984</v>
      </c>
      <c r="E215">
        <v>3985</v>
      </c>
      <c r="F215">
        <v>3984</v>
      </c>
      <c r="G215">
        <v>3984</v>
      </c>
      <c r="H215">
        <v>700</v>
      </c>
    </row>
    <row r="216" spans="2:8">
      <c r="B216" t="s">
        <v>587</v>
      </c>
      <c r="C216" t="s">
        <v>379</v>
      </c>
      <c r="D216">
        <v>3984</v>
      </c>
      <c r="E216">
        <v>3985</v>
      </c>
      <c r="F216">
        <v>3984</v>
      </c>
      <c r="G216">
        <v>3984</v>
      </c>
      <c r="H216">
        <v>2600</v>
      </c>
    </row>
    <row r="217" spans="2:8">
      <c r="B217" t="s">
        <v>587</v>
      </c>
      <c r="C217" t="s">
        <v>380</v>
      </c>
      <c r="D217">
        <v>3984</v>
      </c>
      <c r="E217">
        <v>3985</v>
      </c>
      <c r="F217">
        <v>3984</v>
      </c>
      <c r="G217">
        <v>3985</v>
      </c>
      <c r="H217">
        <v>2200</v>
      </c>
    </row>
    <row r="218" spans="2:8">
      <c r="B218" t="s">
        <v>587</v>
      </c>
      <c r="C218" t="s">
        <v>381</v>
      </c>
      <c r="D218">
        <v>3985</v>
      </c>
      <c r="E218">
        <v>3987</v>
      </c>
      <c r="F218">
        <v>3985</v>
      </c>
      <c r="G218">
        <v>3987</v>
      </c>
      <c r="H218">
        <v>1500</v>
      </c>
    </row>
    <row r="219" spans="2:8">
      <c r="B219" t="s">
        <v>587</v>
      </c>
      <c r="C219" t="s">
        <v>382</v>
      </c>
      <c r="D219">
        <v>3986</v>
      </c>
      <c r="E219">
        <v>3988</v>
      </c>
      <c r="F219">
        <v>3986</v>
      </c>
      <c r="G219">
        <v>3988</v>
      </c>
      <c r="H219">
        <v>700</v>
      </c>
    </row>
    <row r="220" spans="2:8">
      <c r="B220" t="s">
        <v>587</v>
      </c>
      <c r="C220" t="s">
        <v>383</v>
      </c>
      <c r="D220">
        <v>3988</v>
      </c>
      <c r="E220">
        <v>3990</v>
      </c>
      <c r="F220">
        <v>3988</v>
      </c>
      <c r="G220">
        <v>3990</v>
      </c>
      <c r="H220">
        <v>1300</v>
      </c>
    </row>
    <row r="221" spans="2:8">
      <c r="B221" t="s">
        <v>587</v>
      </c>
      <c r="C221" t="s">
        <v>384</v>
      </c>
      <c r="D221">
        <v>3989</v>
      </c>
      <c r="E221">
        <v>3989</v>
      </c>
      <c r="F221">
        <v>3985</v>
      </c>
      <c r="G221">
        <v>3985</v>
      </c>
      <c r="H221">
        <v>3600</v>
      </c>
    </row>
    <row r="222" spans="2:8">
      <c r="B222" t="s">
        <v>587</v>
      </c>
      <c r="C222" t="s">
        <v>385</v>
      </c>
      <c r="D222">
        <v>3985</v>
      </c>
      <c r="E222">
        <v>3985</v>
      </c>
      <c r="F222">
        <v>3983</v>
      </c>
      <c r="G222">
        <v>3984</v>
      </c>
      <c r="H222">
        <v>1800</v>
      </c>
    </row>
    <row r="223" spans="2:8">
      <c r="B223" t="s">
        <v>587</v>
      </c>
      <c r="C223" t="s">
        <v>386</v>
      </c>
      <c r="D223">
        <v>3984</v>
      </c>
      <c r="E223">
        <v>3985</v>
      </c>
      <c r="F223">
        <v>3983</v>
      </c>
      <c r="G223">
        <v>3983</v>
      </c>
      <c r="H223">
        <v>2500</v>
      </c>
    </row>
    <row r="224" spans="2:8">
      <c r="B224" t="s">
        <v>587</v>
      </c>
      <c r="C224" t="s">
        <v>387</v>
      </c>
      <c r="D224">
        <v>3982</v>
      </c>
      <c r="E224">
        <v>3982</v>
      </c>
      <c r="F224">
        <v>3981</v>
      </c>
      <c r="G224">
        <v>3981</v>
      </c>
      <c r="H224">
        <v>1300</v>
      </c>
    </row>
    <row r="225" spans="2:8">
      <c r="B225" t="s">
        <v>587</v>
      </c>
      <c r="C225" t="s">
        <v>388</v>
      </c>
      <c r="D225">
        <v>3982</v>
      </c>
      <c r="E225">
        <v>3982</v>
      </c>
      <c r="F225">
        <v>3981</v>
      </c>
      <c r="G225">
        <v>3981</v>
      </c>
      <c r="H225">
        <v>1700</v>
      </c>
    </row>
    <row r="226" spans="2:8">
      <c r="B226" t="s">
        <v>587</v>
      </c>
      <c r="C226" t="s">
        <v>389</v>
      </c>
      <c r="D226">
        <v>3982</v>
      </c>
      <c r="E226">
        <v>3983</v>
      </c>
      <c r="F226">
        <v>3982</v>
      </c>
      <c r="G226">
        <v>3982</v>
      </c>
      <c r="H226">
        <v>1900</v>
      </c>
    </row>
    <row r="227" spans="2:8">
      <c r="B227" t="s">
        <v>587</v>
      </c>
      <c r="C227" t="s">
        <v>390</v>
      </c>
      <c r="D227">
        <v>3981</v>
      </c>
      <c r="E227">
        <v>3982</v>
      </c>
      <c r="F227">
        <v>3981</v>
      </c>
      <c r="G227">
        <v>3982</v>
      </c>
      <c r="H227">
        <v>700</v>
      </c>
    </row>
    <row r="228" spans="2:8">
      <c r="B228" t="s">
        <v>587</v>
      </c>
      <c r="C228" t="s">
        <v>391</v>
      </c>
      <c r="D228">
        <v>3982</v>
      </c>
      <c r="E228">
        <v>3984</v>
      </c>
      <c r="F228">
        <v>3982</v>
      </c>
      <c r="G228">
        <v>3984</v>
      </c>
      <c r="H228">
        <v>1600</v>
      </c>
    </row>
    <row r="229" spans="2:8">
      <c r="B229" t="s">
        <v>587</v>
      </c>
      <c r="C229" t="s">
        <v>392</v>
      </c>
      <c r="D229">
        <v>3983</v>
      </c>
      <c r="E229">
        <v>3983</v>
      </c>
      <c r="F229">
        <v>3983</v>
      </c>
      <c r="G229">
        <v>3983</v>
      </c>
      <c r="H229">
        <v>700</v>
      </c>
    </row>
    <row r="230" spans="2:8">
      <c r="B230" t="s">
        <v>587</v>
      </c>
      <c r="C230" t="s">
        <v>393</v>
      </c>
      <c r="D230">
        <v>3984</v>
      </c>
      <c r="E230">
        <v>3984</v>
      </c>
      <c r="F230">
        <v>3984</v>
      </c>
      <c r="G230">
        <v>3984</v>
      </c>
      <c r="H230">
        <v>100</v>
      </c>
    </row>
    <row r="231" spans="2:8">
      <c r="B231" t="s">
        <v>587</v>
      </c>
      <c r="C231" t="s">
        <v>394</v>
      </c>
      <c r="D231">
        <v>3984</v>
      </c>
      <c r="E231">
        <v>3984</v>
      </c>
      <c r="F231">
        <v>3983</v>
      </c>
      <c r="G231">
        <v>3983</v>
      </c>
      <c r="H231">
        <v>1600</v>
      </c>
    </row>
    <row r="232" spans="2:8">
      <c r="B232" t="s">
        <v>587</v>
      </c>
      <c r="C232" t="s">
        <v>395</v>
      </c>
      <c r="D232">
        <v>3983</v>
      </c>
      <c r="E232">
        <v>3984</v>
      </c>
      <c r="F232">
        <v>3983</v>
      </c>
      <c r="G232">
        <v>3983</v>
      </c>
      <c r="H232">
        <v>3700</v>
      </c>
    </row>
    <row r="233" spans="2:8">
      <c r="B233" t="s">
        <v>587</v>
      </c>
      <c r="C233" t="s">
        <v>396</v>
      </c>
      <c r="D233">
        <v>3982</v>
      </c>
      <c r="E233">
        <v>3983</v>
      </c>
      <c r="F233">
        <v>3982</v>
      </c>
      <c r="G233">
        <v>3982</v>
      </c>
      <c r="H233">
        <v>2200</v>
      </c>
    </row>
    <row r="234" spans="2:8">
      <c r="B234" t="s">
        <v>587</v>
      </c>
      <c r="C234" t="s">
        <v>397</v>
      </c>
      <c r="D234">
        <v>3982</v>
      </c>
      <c r="E234">
        <v>3982</v>
      </c>
      <c r="F234">
        <v>3978</v>
      </c>
      <c r="G234">
        <v>3979</v>
      </c>
      <c r="H234">
        <v>6000</v>
      </c>
    </row>
    <row r="235" spans="2:8">
      <c r="B235" t="s">
        <v>587</v>
      </c>
      <c r="C235" t="s">
        <v>398</v>
      </c>
      <c r="D235">
        <v>3978</v>
      </c>
      <c r="E235">
        <v>3978</v>
      </c>
      <c r="F235">
        <v>3977</v>
      </c>
      <c r="G235">
        <v>3977</v>
      </c>
      <c r="H235">
        <v>1400</v>
      </c>
    </row>
    <row r="236" spans="2:8">
      <c r="B236" t="s">
        <v>587</v>
      </c>
      <c r="C236" t="s">
        <v>399</v>
      </c>
      <c r="D236">
        <v>3977</v>
      </c>
      <c r="E236">
        <v>3977</v>
      </c>
      <c r="F236">
        <v>3975</v>
      </c>
      <c r="G236">
        <v>3975</v>
      </c>
      <c r="H236">
        <v>2000</v>
      </c>
    </row>
    <row r="237" spans="2:8">
      <c r="B237" t="s">
        <v>587</v>
      </c>
      <c r="C237" t="s">
        <v>400</v>
      </c>
      <c r="D237">
        <v>3976</v>
      </c>
      <c r="E237">
        <v>3976</v>
      </c>
      <c r="F237">
        <v>3975</v>
      </c>
      <c r="G237">
        <v>3976</v>
      </c>
      <c r="H237">
        <v>900</v>
      </c>
    </row>
    <row r="238" spans="2:8">
      <c r="B238" t="s">
        <v>587</v>
      </c>
      <c r="C238" t="s">
        <v>401</v>
      </c>
      <c r="D238">
        <v>3976</v>
      </c>
      <c r="E238">
        <v>3976</v>
      </c>
      <c r="F238">
        <v>3976</v>
      </c>
      <c r="G238">
        <v>3976</v>
      </c>
      <c r="H238">
        <v>1100</v>
      </c>
    </row>
    <row r="239" spans="2:8">
      <c r="B239" t="s">
        <v>587</v>
      </c>
      <c r="C239" t="s">
        <v>402</v>
      </c>
      <c r="D239">
        <v>3975</v>
      </c>
      <c r="E239">
        <v>3976</v>
      </c>
      <c r="F239">
        <v>3973</v>
      </c>
      <c r="G239">
        <v>3975</v>
      </c>
      <c r="H239">
        <v>3100</v>
      </c>
    </row>
    <row r="240" spans="2:8">
      <c r="B240" t="s">
        <v>587</v>
      </c>
      <c r="C240" t="s">
        <v>403</v>
      </c>
      <c r="D240">
        <v>3973</v>
      </c>
      <c r="E240">
        <v>3974</v>
      </c>
      <c r="F240">
        <v>3973</v>
      </c>
      <c r="G240">
        <v>3973</v>
      </c>
      <c r="H240">
        <v>300</v>
      </c>
    </row>
    <row r="241" spans="2:8">
      <c r="B241" t="s">
        <v>587</v>
      </c>
      <c r="C241" t="s">
        <v>404</v>
      </c>
      <c r="D241">
        <v>3973</v>
      </c>
      <c r="E241">
        <v>3975</v>
      </c>
      <c r="F241">
        <v>3973</v>
      </c>
      <c r="G241">
        <v>3975</v>
      </c>
      <c r="H241">
        <v>8300</v>
      </c>
    </row>
    <row r="242" spans="2:8">
      <c r="B242" t="s">
        <v>587</v>
      </c>
      <c r="C242" t="s">
        <v>405</v>
      </c>
      <c r="D242">
        <v>3975</v>
      </c>
      <c r="E242">
        <v>3979</v>
      </c>
      <c r="F242">
        <v>3975</v>
      </c>
      <c r="G242">
        <v>3979</v>
      </c>
      <c r="H242">
        <v>4300</v>
      </c>
    </row>
    <row r="243" spans="2:8">
      <c r="B243" t="s">
        <v>587</v>
      </c>
      <c r="C243" t="s">
        <v>406</v>
      </c>
      <c r="D243">
        <v>3977</v>
      </c>
      <c r="E243">
        <v>3977</v>
      </c>
      <c r="F243">
        <v>3975</v>
      </c>
      <c r="G243">
        <v>3976</v>
      </c>
      <c r="H243">
        <v>4500</v>
      </c>
    </row>
    <row r="244" spans="2:8">
      <c r="B244" t="s">
        <v>587</v>
      </c>
      <c r="C244" t="s">
        <v>407</v>
      </c>
      <c r="D244">
        <v>3975</v>
      </c>
      <c r="E244">
        <v>3975</v>
      </c>
      <c r="F244">
        <v>3975</v>
      </c>
      <c r="G244">
        <v>3975</v>
      </c>
      <c r="H244">
        <v>200</v>
      </c>
    </row>
    <row r="245" spans="2:8">
      <c r="B245" t="s">
        <v>587</v>
      </c>
      <c r="C245" t="s">
        <v>408</v>
      </c>
      <c r="D245">
        <v>3976</v>
      </c>
      <c r="E245">
        <v>3976</v>
      </c>
      <c r="F245">
        <v>3975</v>
      </c>
      <c r="G245">
        <v>3975</v>
      </c>
      <c r="H245">
        <v>1700</v>
      </c>
    </row>
    <row r="246" spans="2:8">
      <c r="B246" t="s">
        <v>587</v>
      </c>
      <c r="C246" t="s">
        <v>409</v>
      </c>
      <c r="D246">
        <v>3975</v>
      </c>
      <c r="E246">
        <v>3975</v>
      </c>
      <c r="F246">
        <v>3972</v>
      </c>
      <c r="G246">
        <v>3972</v>
      </c>
      <c r="H246">
        <v>2600</v>
      </c>
    </row>
    <row r="247" spans="2:8">
      <c r="B247" t="s">
        <v>587</v>
      </c>
      <c r="C247" t="s">
        <v>410</v>
      </c>
      <c r="D247">
        <v>3972</v>
      </c>
      <c r="E247">
        <v>3973</v>
      </c>
      <c r="F247">
        <v>3971</v>
      </c>
      <c r="G247">
        <v>3973</v>
      </c>
      <c r="H247">
        <v>600</v>
      </c>
    </row>
    <row r="248" spans="2:8">
      <c r="B248" t="s">
        <v>587</v>
      </c>
      <c r="C248" t="s">
        <v>411</v>
      </c>
      <c r="D248">
        <v>3973</v>
      </c>
      <c r="E248">
        <v>3975</v>
      </c>
      <c r="F248">
        <v>3973</v>
      </c>
      <c r="G248">
        <v>3975</v>
      </c>
      <c r="H248">
        <v>8200</v>
      </c>
    </row>
    <row r="249" spans="2:8">
      <c r="B249" t="s">
        <v>587</v>
      </c>
      <c r="C249" t="s">
        <v>412</v>
      </c>
      <c r="D249">
        <v>3975</v>
      </c>
      <c r="E249">
        <v>3975</v>
      </c>
      <c r="F249">
        <v>3974</v>
      </c>
      <c r="G249">
        <v>3974</v>
      </c>
      <c r="H249">
        <v>1600</v>
      </c>
    </row>
    <row r="250" spans="2:8">
      <c r="B250" t="s">
        <v>587</v>
      </c>
      <c r="C250" t="s">
        <v>413</v>
      </c>
      <c r="D250">
        <v>3973</v>
      </c>
      <c r="E250">
        <v>3975</v>
      </c>
      <c r="F250">
        <v>3973</v>
      </c>
      <c r="G250">
        <v>3975</v>
      </c>
      <c r="H250">
        <v>5300</v>
      </c>
    </row>
    <row r="251" spans="2:8">
      <c r="B251" t="s">
        <v>587</v>
      </c>
      <c r="C251" t="s">
        <v>414</v>
      </c>
      <c r="D251">
        <v>3975</v>
      </c>
      <c r="E251">
        <v>3975</v>
      </c>
      <c r="F251">
        <v>3975</v>
      </c>
      <c r="G251">
        <v>3975</v>
      </c>
      <c r="H251">
        <v>900</v>
      </c>
    </row>
    <row r="252" spans="2:8">
      <c r="B252" t="s">
        <v>587</v>
      </c>
      <c r="C252" t="s">
        <v>415</v>
      </c>
      <c r="D252">
        <v>3974</v>
      </c>
      <c r="E252">
        <v>3974</v>
      </c>
      <c r="F252">
        <v>3974</v>
      </c>
      <c r="G252">
        <v>3974</v>
      </c>
      <c r="H252">
        <v>5300</v>
      </c>
    </row>
    <row r="253" spans="2:8">
      <c r="B253" t="s">
        <v>587</v>
      </c>
      <c r="C253" t="s">
        <v>416</v>
      </c>
      <c r="D253" t="s">
        <v>8</v>
      </c>
      <c r="E253" t="s">
        <v>8</v>
      </c>
      <c r="F253" t="s">
        <v>8</v>
      </c>
      <c r="G253" t="s">
        <v>8</v>
      </c>
      <c r="H253">
        <v>0</v>
      </c>
    </row>
    <row r="254" spans="2:8">
      <c r="B254" t="s">
        <v>587</v>
      </c>
      <c r="C254" t="s">
        <v>417</v>
      </c>
      <c r="D254">
        <v>3975</v>
      </c>
      <c r="E254">
        <v>3977</v>
      </c>
      <c r="F254">
        <v>3973</v>
      </c>
      <c r="G254">
        <v>3974</v>
      </c>
      <c r="H254">
        <v>8100</v>
      </c>
    </row>
    <row r="255" spans="2:8">
      <c r="B255" t="s">
        <v>587</v>
      </c>
      <c r="C255" t="s">
        <v>418</v>
      </c>
      <c r="D255">
        <v>3974</v>
      </c>
      <c r="E255">
        <v>3974</v>
      </c>
      <c r="F255">
        <v>3972</v>
      </c>
      <c r="G255">
        <v>3972</v>
      </c>
      <c r="H255">
        <v>7200</v>
      </c>
    </row>
    <row r="256" spans="2:8">
      <c r="B256" t="s">
        <v>587</v>
      </c>
      <c r="C256" t="s">
        <v>419</v>
      </c>
      <c r="D256">
        <v>3972</v>
      </c>
      <c r="E256">
        <v>3974</v>
      </c>
      <c r="F256">
        <v>3972</v>
      </c>
      <c r="G256">
        <v>3974</v>
      </c>
      <c r="H256">
        <v>3600</v>
      </c>
    </row>
    <row r="257" spans="2:8">
      <c r="B257" t="s">
        <v>587</v>
      </c>
      <c r="C257" t="s">
        <v>420</v>
      </c>
      <c r="D257">
        <v>3974</v>
      </c>
      <c r="E257">
        <v>3974</v>
      </c>
      <c r="F257">
        <v>3974</v>
      </c>
      <c r="G257">
        <v>3974</v>
      </c>
      <c r="H257">
        <v>100</v>
      </c>
    </row>
    <row r="258" spans="2:8">
      <c r="B258" t="s">
        <v>587</v>
      </c>
      <c r="C258" t="s">
        <v>421</v>
      </c>
      <c r="D258">
        <v>3975</v>
      </c>
      <c r="E258">
        <v>3976</v>
      </c>
      <c r="F258">
        <v>3975</v>
      </c>
      <c r="G258">
        <v>3975</v>
      </c>
      <c r="H258">
        <v>1500</v>
      </c>
    </row>
    <row r="259" spans="2:8">
      <c r="B259" t="s">
        <v>587</v>
      </c>
      <c r="C259" t="s">
        <v>422</v>
      </c>
      <c r="D259">
        <v>3975</v>
      </c>
      <c r="E259">
        <v>3976</v>
      </c>
      <c r="F259">
        <v>3975</v>
      </c>
      <c r="G259">
        <v>3976</v>
      </c>
      <c r="H259">
        <v>5200</v>
      </c>
    </row>
    <row r="260" spans="2:8">
      <c r="B260" t="s">
        <v>587</v>
      </c>
      <c r="C260" t="s">
        <v>423</v>
      </c>
      <c r="D260">
        <v>3977</v>
      </c>
      <c r="E260">
        <v>3978</v>
      </c>
      <c r="F260">
        <v>3977</v>
      </c>
      <c r="G260">
        <v>3977</v>
      </c>
      <c r="H260">
        <v>3300</v>
      </c>
    </row>
    <row r="261" spans="2:8">
      <c r="B261" t="s">
        <v>587</v>
      </c>
      <c r="C261" t="s">
        <v>424</v>
      </c>
      <c r="D261">
        <v>3977</v>
      </c>
      <c r="E261">
        <v>3978</v>
      </c>
      <c r="F261">
        <v>3976</v>
      </c>
      <c r="G261">
        <v>3978</v>
      </c>
      <c r="H261">
        <v>2700</v>
      </c>
    </row>
    <row r="262" spans="2:8">
      <c r="B262" t="s">
        <v>587</v>
      </c>
      <c r="C262" t="s">
        <v>425</v>
      </c>
      <c r="D262">
        <v>3978</v>
      </c>
      <c r="E262">
        <v>3978</v>
      </c>
      <c r="F262">
        <v>3978</v>
      </c>
      <c r="G262">
        <v>3978</v>
      </c>
      <c r="H262">
        <v>200</v>
      </c>
    </row>
    <row r="263" spans="2:8">
      <c r="B263" t="s">
        <v>587</v>
      </c>
      <c r="C263" t="s">
        <v>426</v>
      </c>
      <c r="D263">
        <v>3978</v>
      </c>
      <c r="E263">
        <v>3979</v>
      </c>
      <c r="F263">
        <v>3978</v>
      </c>
      <c r="G263">
        <v>3979</v>
      </c>
      <c r="H263">
        <v>1400</v>
      </c>
    </row>
    <row r="264" spans="2:8">
      <c r="B264" t="s">
        <v>587</v>
      </c>
      <c r="C264" t="s">
        <v>427</v>
      </c>
      <c r="D264">
        <v>3979</v>
      </c>
      <c r="E264">
        <v>3981</v>
      </c>
      <c r="F264">
        <v>3979</v>
      </c>
      <c r="G264">
        <v>3981</v>
      </c>
      <c r="H264">
        <v>11600</v>
      </c>
    </row>
    <row r="265" spans="2:8">
      <c r="B265" t="s">
        <v>587</v>
      </c>
      <c r="C265" t="s">
        <v>428</v>
      </c>
      <c r="D265">
        <v>3980</v>
      </c>
      <c r="E265">
        <v>3981</v>
      </c>
      <c r="F265">
        <v>3980</v>
      </c>
      <c r="G265">
        <v>3981</v>
      </c>
      <c r="H265">
        <v>200</v>
      </c>
    </row>
    <row r="266" spans="2:8">
      <c r="B266" t="s">
        <v>587</v>
      </c>
      <c r="C266" t="s">
        <v>429</v>
      </c>
      <c r="D266">
        <v>3981</v>
      </c>
      <c r="E266">
        <v>3982</v>
      </c>
      <c r="F266">
        <v>3981</v>
      </c>
      <c r="G266">
        <v>3982</v>
      </c>
      <c r="H266">
        <v>1200</v>
      </c>
    </row>
    <row r="267" spans="2:8">
      <c r="B267" t="s">
        <v>587</v>
      </c>
      <c r="C267" t="s">
        <v>430</v>
      </c>
      <c r="D267">
        <v>3982</v>
      </c>
      <c r="E267">
        <v>3982</v>
      </c>
      <c r="F267">
        <v>3980</v>
      </c>
      <c r="G267">
        <v>3980</v>
      </c>
      <c r="H267">
        <v>2300</v>
      </c>
    </row>
    <row r="268" spans="2:8">
      <c r="B268" t="s">
        <v>587</v>
      </c>
      <c r="C268" t="s">
        <v>431</v>
      </c>
      <c r="D268">
        <v>3981</v>
      </c>
      <c r="E268">
        <v>3982</v>
      </c>
      <c r="F268">
        <v>3980</v>
      </c>
      <c r="G268">
        <v>3981</v>
      </c>
      <c r="H268">
        <v>1700</v>
      </c>
    </row>
    <row r="269" spans="2:8">
      <c r="B269" t="s">
        <v>587</v>
      </c>
      <c r="C269" t="s">
        <v>9</v>
      </c>
      <c r="D269">
        <v>3982</v>
      </c>
      <c r="E269">
        <v>3982</v>
      </c>
      <c r="F269">
        <v>3981</v>
      </c>
      <c r="G269">
        <v>3981</v>
      </c>
      <c r="H269">
        <v>4300</v>
      </c>
    </row>
    <row r="270" spans="2:8">
      <c r="B270" t="s">
        <v>587</v>
      </c>
      <c r="C270" t="s">
        <v>10</v>
      </c>
      <c r="D270">
        <v>3983</v>
      </c>
      <c r="E270">
        <v>3983</v>
      </c>
      <c r="F270">
        <v>3982</v>
      </c>
      <c r="G270">
        <v>3983</v>
      </c>
      <c r="H270">
        <v>500</v>
      </c>
    </row>
    <row r="271" spans="2:8">
      <c r="B271" t="s">
        <v>587</v>
      </c>
      <c r="C271" t="s">
        <v>11</v>
      </c>
      <c r="D271">
        <v>3983</v>
      </c>
      <c r="E271">
        <v>3988</v>
      </c>
      <c r="F271">
        <v>3983</v>
      </c>
      <c r="G271">
        <v>3987</v>
      </c>
      <c r="H271">
        <v>9800</v>
      </c>
    </row>
    <row r="272" spans="2:8">
      <c r="B272" t="s">
        <v>587</v>
      </c>
      <c r="C272" t="s">
        <v>12</v>
      </c>
      <c r="D272">
        <v>3987</v>
      </c>
      <c r="E272">
        <v>3987</v>
      </c>
      <c r="F272">
        <v>3987</v>
      </c>
      <c r="G272">
        <v>3987</v>
      </c>
      <c r="H272">
        <v>1400</v>
      </c>
    </row>
    <row r="273" spans="2:8">
      <c r="B273" t="s">
        <v>587</v>
      </c>
      <c r="C273" t="s">
        <v>13</v>
      </c>
      <c r="D273">
        <v>3986</v>
      </c>
      <c r="E273">
        <v>3988</v>
      </c>
      <c r="F273">
        <v>3985</v>
      </c>
      <c r="G273">
        <v>3986</v>
      </c>
      <c r="H273">
        <v>4700</v>
      </c>
    </row>
    <row r="274" spans="2:8">
      <c r="B274" t="s">
        <v>587</v>
      </c>
      <c r="C274" t="s">
        <v>14</v>
      </c>
      <c r="D274">
        <v>3986</v>
      </c>
      <c r="E274">
        <v>3987</v>
      </c>
      <c r="F274">
        <v>3981</v>
      </c>
      <c r="G274">
        <v>3981</v>
      </c>
      <c r="H274">
        <v>8300</v>
      </c>
    </row>
    <row r="275" spans="2:8">
      <c r="B275" t="s">
        <v>587</v>
      </c>
      <c r="C275" t="s">
        <v>15</v>
      </c>
      <c r="D275">
        <v>3981</v>
      </c>
      <c r="E275">
        <v>3981</v>
      </c>
      <c r="F275">
        <v>3980</v>
      </c>
      <c r="G275">
        <v>3981</v>
      </c>
      <c r="H275">
        <v>2100</v>
      </c>
    </row>
    <row r="276" spans="2:8">
      <c r="B276" t="s">
        <v>587</v>
      </c>
      <c r="C276" t="s">
        <v>16</v>
      </c>
      <c r="D276">
        <v>3981</v>
      </c>
      <c r="E276">
        <v>3983</v>
      </c>
      <c r="F276">
        <v>3981</v>
      </c>
      <c r="G276">
        <v>3983</v>
      </c>
      <c r="H276">
        <v>2200</v>
      </c>
    </row>
    <row r="277" spans="2:8">
      <c r="B277" t="s">
        <v>587</v>
      </c>
      <c r="C277" t="s">
        <v>17</v>
      </c>
      <c r="D277">
        <v>3982</v>
      </c>
      <c r="E277">
        <v>3982</v>
      </c>
      <c r="F277">
        <v>3980</v>
      </c>
      <c r="G277">
        <v>3980</v>
      </c>
      <c r="H277">
        <v>2300</v>
      </c>
    </row>
    <row r="278" spans="2:8">
      <c r="B278" t="s">
        <v>587</v>
      </c>
      <c r="C278" t="s">
        <v>18</v>
      </c>
      <c r="D278">
        <v>3979</v>
      </c>
      <c r="E278">
        <v>3979</v>
      </c>
      <c r="F278">
        <v>3978</v>
      </c>
      <c r="G278">
        <v>3978</v>
      </c>
      <c r="H278">
        <v>700</v>
      </c>
    </row>
    <row r="279" spans="2:8">
      <c r="B279" t="s">
        <v>587</v>
      </c>
      <c r="C279" t="s">
        <v>19</v>
      </c>
      <c r="D279">
        <v>3977</v>
      </c>
      <c r="E279">
        <v>3979</v>
      </c>
      <c r="F279">
        <v>3977</v>
      </c>
      <c r="G279">
        <v>3978</v>
      </c>
      <c r="H279">
        <v>3100</v>
      </c>
    </row>
    <row r="280" spans="2:8">
      <c r="B280" t="s">
        <v>587</v>
      </c>
      <c r="C280" t="s">
        <v>20</v>
      </c>
      <c r="D280">
        <v>3978</v>
      </c>
      <c r="E280">
        <v>3978</v>
      </c>
      <c r="F280">
        <v>3978</v>
      </c>
      <c r="G280">
        <v>3978</v>
      </c>
      <c r="H280">
        <v>1200</v>
      </c>
    </row>
    <row r="281" spans="2:8">
      <c r="B281" t="s">
        <v>587</v>
      </c>
      <c r="C281" t="s">
        <v>21</v>
      </c>
      <c r="D281">
        <v>3978</v>
      </c>
      <c r="E281">
        <v>3980</v>
      </c>
      <c r="F281">
        <v>3978</v>
      </c>
      <c r="G281">
        <v>3979</v>
      </c>
      <c r="H281">
        <v>4100</v>
      </c>
    </row>
    <row r="282" spans="2:8">
      <c r="B282" t="s">
        <v>587</v>
      </c>
      <c r="C282" t="s">
        <v>22</v>
      </c>
      <c r="D282">
        <v>3978</v>
      </c>
      <c r="E282">
        <v>3978</v>
      </c>
      <c r="F282">
        <v>3976</v>
      </c>
      <c r="G282">
        <v>3976</v>
      </c>
      <c r="H282">
        <v>2400</v>
      </c>
    </row>
    <row r="283" spans="2:8">
      <c r="B283" t="s">
        <v>587</v>
      </c>
      <c r="C283" t="s">
        <v>23</v>
      </c>
      <c r="D283">
        <v>3976</v>
      </c>
      <c r="E283">
        <v>3978</v>
      </c>
      <c r="F283">
        <v>3976</v>
      </c>
      <c r="G283">
        <v>3978</v>
      </c>
      <c r="H283">
        <v>3100</v>
      </c>
    </row>
    <row r="284" spans="2:8">
      <c r="B284" t="s">
        <v>587</v>
      </c>
      <c r="C284" t="s">
        <v>24</v>
      </c>
      <c r="D284">
        <v>3978</v>
      </c>
      <c r="E284">
        <v>3978</v>
      </c>
      <c r="F284">
        <v>3978</v>
      </c>
      <c r="G284">
        <v>3978</v>
      </c>
      <c r="H284">
        <v>100</v>
      </c>
    </row>
    <row r="285" spans="2:8">
      <c r="B285" t="s">
        <v>587</v>
      </c>
      <c r="C285" t="s">
        <v>25</v>
      </c>
      <c r="D285">
        <v>3978</v>
      </c>
      <c r="E285">
        <v>3979</v>
      </c>
      <c r="F285">
        <v>3978</v>
      </c>
      <c r="G285">
        <v>3979</v>
      </c>
      <c r="H285">
        <v>1400</v>
      </c>
    </row>
    <row r="286" spans="2:8">
      <c r="B286" t="s">
        <v>587</v>
      </c>
      <c r="C286" t="s">
        <v>26</v>
      </c>
      <c r="D286">
        <v>3980</v>
      </c>
      <c r="E286">
        <v>3980</v>
      </c>
      <c r="F286">
        <v>3980</v>
      </c>
      <c r="G286">
        <v>3980</v>
      </c>
      <c r="H286">
        <v>1700</v>
      </c>
    </row>
    <row r="287" spans="2:8">
      <c r="B287" t="s">
        <v>587</v>
      </c>
      <c r="C287" t="s">
        <v>27</v>
      </c>
      <c r="D287">
        <v>3980</v>
      </c>
      <c r="E287">
        <v>3981</v>
      </c>
      <c r="F287">
        <v>3979</v>
      </c>
      <c r="G287">
        <v>3979</v>
      </c>
      <c r="H287">
        <v>1100</v>
      </c>
    </row>
    <row r="288" spans="2:8">
      <c r="B288" t="s">
        <v>587</v>
      </c>
      <c r="C288" t="s">
        <v>28</v>
      </c>
      <c r="D288">
        <v>3978</v>
      </c>
      <c r="E288">
        <v>3978</v>
      </c>
      <c r="F288">
        <v>3976</v>
      </c>
      <c r="G288">
        <v>3976</v>
      </c>
      <c r="H288">
        <v>1900</v>
      </c>
    </row>
    <row r="289" spans="2:8">
      <c r="B289" t="s">
        <v>587</v>
      </c>
      <c r="C289" t="s">
        <v>29</v>
      </c>
      <c r="D289">
        <v>3976</v>
      </c>
      <c r="E289">
        <v>3976</v>
      </c>
      <c r="F289">
        <v>3976</v>
      </c>
      <c r="G289">
        <v>3976</v>
      </c>
      <c r="H289">
        <v>4600</v>
      </c>
    </row>
    <row r="290" spans="2:8">
      <c r="B290" t="s">
        <v>587</v>
      </c>
      <c r="C290" t="s">
        <v>30</v>
      </c>
      <c r="D290">
        <v>3976</v>
      </c>
      <c r="E290">
        <v>3978</v>
      </c>
      <c r="F290">
        <v>3976</v>
      </c>
      <c r="G290">
        <v>3978</v>
      </c>
      <c r="H290">
        <v>2800</v>
      </c>
    </row>
    <row r="291" spans="2:8">
      <c r="B291" t="s">
        <v>587</v>
      </c>
      <c r="C291" t="s">
        <v>31</v>
      </c>
      <c r="D291">
        <v>3977</v>
      </c>
      <c r="E291">
        <v>3978</v>
      </c>
      <c r="F291">
        <v>3977</v>
      </c>
      <c r="G291">
        <v>3978</v>
      </c>
      <c r="H291">
        <v>700</v>
      </c>
    </row>
    <row r="292" spans="2:8">
      <c r="B292" t="s">
        <v>587</v>
      </c>
      <c r="C292" t="s">
        <v>32</v>
      </c>
      <c r="D292">
        <v>3979</v>
      </c>
      <c r="E292">
        <v>3979</v>
      </c>
      <c r="F292">
        <v>3979</v>
      </c>
      <c r="G292">
        <v>3979</v>
      </c>
      <c r="H292">
        <v>200</v>
      </c>
    </row>
    <row r="293" spans="2:8">
      <c r="B293" t="s">
        <v>587</v>
      </c>
      <c r="C293" t="s">
        <v>33</v>
      </c>
      <c r="D293">
        <v>3979</v>
      </c>
      <c r="E293">
        <v>3979</v>
      </c>
      <c r="F293">
        <v>3977</v>
      </c>
      <c r="G293">
        <v>3977</v>
      </c>
      <c r="H293">
        <v>1700</v>
      </c>
    </row>
    <row r="294" spans="2:8">
      <c r="B294" t="s">
        <v>587</v>
      </c>
      <c r="C294" t="s">
        <v>34</v>
      </c>
      <c r="D294">
        <v>3978</v>
      </c>
      <c r="E294">
        <v>3978</v>
      </c>
      <c r="F294">
        <v>3974</v>
      </c>
      <c r="G294">
        <v>3974</v>
      </c>
      <c r="H294">
        <v>11300</v>
      </c>
    </row>
    <row r="295" spans="2:8">
      <c r="B295" t="s">
        <v>587</v>
      </c>
      <c r="C295" t="s">
        <v>35</v>
      </c>
      <c r="D295">
        <v>3974</v>
      </c>
      <c r="E295">
        <v>3977</v>
      </c>
      <c r="F295">
        <v>3974</v>
      </c>
      <c r="G295">
        <v>3977</v>
      </c>
      <c r="H295">
        <v>6600</v>
      </c>
    </row>
    <row r="296" spans="2:8">
      <c r="B296" t="s">
        <v>587</v>
      </c>
      <c r="C296" t="s">
        <v>36</v>
      </c>
      <c r="D296">
        <v>3977</v>
      </c>
      <c r="E296">
        <v>3979</v>
      </c>
      <c r="F296">
        <v>3976</v>
      </c>
      <c r="G296">
        <v>3979</v>
      </c>
      <c r="H296">
        <v>2200</v>
      </c>
    </row>
    <row r="297" spans="2:8">
      <c r="B297" t="s">
        <v>587</v>
      </c>
      <c r="C297" t="s">
        <v>37</v>
      </c>
      <c r="D297">
        <v>3979</v>
      </c>
      <c r="E297">
        <v>3979</v>
      </c>
      <c r="F297">
        <v>3978</v>
      </c>
      <c r="G297">
        <v>3979</v>
      </c>
      <c r="H297">
        <v>500</v>
      </c>
    </row>
    <row r="298" spans="2:8">
      <c r="B298" t="s">
        <v>587</v>
      </c>
      <c r="C298" t="s">
        <v>38</v>
      </c>
      <c r="D298">
        <v>3979</v>
      </c>
      <c r="E298">
        <v>3982</v>
      </c>
      <c r="F298">
        <v>3978</v>
      </c>
      <c r="G298">
        <v>3982</v>
      </c>
      <c r="H298">
        <v>11900</v>
      </c>
    </row>
    <row r="299" spans="2:8">
      <c r="B299" t="s">
        <v>587</v>
      </c>
      <c r="C299" t="s">
        <v>39</v>
      </c>
      <c r="D299">
        <v>3981</v>
      </c>
      <c r="E299">
        <v>3982</v>
      </c>
      <c r="F299">
        <v>3980</v>
      </c>
      <c r="G299">
        <v>3980</v>
      </c>
      <c r="H299">
        <v>1600</v>
      </c>
    </row>
    <row r="300" spans="2:8">
      <c r="B300" t="s">
        <v>587</v>
      </c>
      <c r="C300" t="s">
        <v>40</v>
      </c>
      <c r="D300">
        <v>3980</v>
      </c>
      <c r="E300">
        <v>3982</v>
      </c>
      <c r="F300">
        <v>3980</v>
      </c>
      <c r="G300">
        <v>3981</v>
      </c>
      <c r="H300">
        <v>4000</v>
      </c>
    </row>
    <row r="301" spans="2:8">
      <c r="B301" t="s">
        <v>587</v>
      </c>
      <c r="C301" t="s">
        <v>41</v>
      </c>
      <c r="D301">
        <v>3982</v>
      </c>
      <c r="E301">
        <v>3982</v>
      </c>
      <c r="F301">
        <v>3980</v>
      </c>
      <c r="G301">
        <v>3980</v>
      </c>
      <c r="H301">
        <v>2600</v>
      </c>
    </row>
    <row r="302" spans="2:8">
      <c r="B302" t="s">
        <v>587</v>
      </c>
      <c r="C302" t="s">
        <v>42</v>
      </c>
      <c r="D302">
        <v>3979</v>
      </c>
      <c r="E302">
        <v>3981</v>
      </c>
      <c r="F302">
        <v>3979</v>
      </c>
      <c r="G302">
        <v>3980</v>
      </c>
      <c r="H302">
        <v>1100</v>
      </c>
    </row>
    <row r="303" spans="2:8">
      <c r="B303" t="s">
        <v>587</v>
      </c>
      <c r="C303" t="s">
        <v>43</v>
      </c>
      <c r="D303">
        <v>3980</v>
      </c>
      <c r="E303">
        <v>3980</v>
      </c>
      <c r="F303">
        <v>3979</v>
      </c>
      <c r="G303">
        <v>3980</v>
      </c>
      <c r="H303">
        <v>2000</v>
      </c>
    </row>
    <row r="304" spans="2:8">
      <c r="B304" t="s">
        <v>587</v>
      </c>
      <c r="C304" t="s">
        <v>44</v>
      </c>
      <c r="D304">
        <v>3979</v>
      </c>
      <c r="E304">
        <v>3979</v>
      </c>
      <c r="F304">
        <v>3976</v>
      </c>
      <c r="G304">
        <v>3977</v>
      </c>
      <c r="H304">
        <v>7900</v>
      </c>
    </row>
    <row r="305" spans="2:8">
      <c r="B305" t="s">
        <v>587</v>
      </c>
      <c r="C305" t="s">
        <v>45</v>
      </c>
      <c r="D305">
        <v>3978</v>
      </c>
      <c r="E305">
        <v>3981</v>
      </c>
      <c r="F305">
        <v>3978</v>
      </c>
      <c r="G305">
        <v>3980</v>
      </c>
      <c r="H305">
        <v>8200</v>
      </c>
    </row>
    <row r="306" spans="2:8">
      <c r="B306" t="s">
        <v>587</v>
      </c>
      <c r="C306" t="s">
        <v>46</v>
      </c>
      <c r="D306">
        <v>3981</v>
      </c>
      <c r="E306">
        <v>3982</v>
      </c>
      <c r="F306">
        <v>3980</v>
      </c>
      <c r="G306">
        <v>3980</v>
      </c>
      <c r="H306">
        <v>9500</v>
      </c>
    </row>
    <row r="307" spans="2:8">
      <c r="B307" t="s">
        <v>587</v>
      </c>
      <c r="C307" t="s">
        <v>47</v>
      </c>
      <c r="D307">
        <v>3980</v>
      </c>
      <c r="E307">
        <v>3980</v>
      </c>
      <c r="F307">
        <v>3979</v>
      </c>
      <c r="G307">
        <v>3979</v>
      </c>
      <c r="H307">
        <v>2500</v>
      </c>
    </row>
    <row r="308" spans="2:8">
      <c r="B308" t="s">
        <v>587</v>
      </c>
      <c r="C308" t="s">
        <v>48</v>
      </c>
      <c r="D308">
        <v>3979</v>
      </c>
      <c r="E308">
        <v>3979</v>
      </c>
      <c r="F308">
        <v>3979</v>
      </c>
      <c r="G308">
        <v>3979</v>
      </c>
      <c r="H308">
        <v>300</v>
      </c>
    </row>
    <row r="309" spans="2:8">
      <c r="B309" t="s">
        <v>587</v>
      </c>
      <c r="C309" t="s">
        <v>49</v>
      </c>
      <c r="D309">
        <v>3980</v>
      </c>
      <c r="E309">
        <v>3980</v>
      </c>
      <c r="F309">
        <v>3978</v>
      </c>
      <c r="G309">
        <v>3979</v>
      </c>
      <c r="H309">
        <v>2300</v>
      </c>
    </row>
    <row r="310" spans="2:8">
      <c r="B310" t="s">
        <v>587</v>
      </c>
      <c r="C310" t="s">
        <v>50</v>
      </c>
      <c r="D310">
        <v>3978</v>
      </c>
      <c r="E310">
        <v>3980</v>
      </c>
      <c r="F310">
        <v>3978</v>
      </c>
      <c r="G310">
        <v>3980</v>
      </c>
      <c r="H310">
        <v>3900</v>
      </c>
    </row>
    <row r="311" spans="2:8">
      <c r="B311" t="s">
        <v>587</v>
      </c>
      <c r="C311" t="s">
        <v>51</v>
      </c>
      <c r="D311">
        <v>3980</v>
      </c>
      <c r="E311">
        <v>3981</v>
      </c>
      <c r="F311">
        <v>3978</v>
      </c>
      <c r="G311">
        <v>3978</v>
      </c>
      <c r="H311">
        <v>6200</v>
      </c>
    </row>
    <row r="312" spans="2:8">
      <c r="B312" t="s">
        <v>587</v>
      </c>
      <c r="C312" t="s">
        <v>52</v>
      </c>
      <c r="D312">
        <v>3979</v>
      </c>
      <c r="E312">
        <v>3980</v>
      </c>
      <c r="F312">
        <v>3978</v>
      </c>
      <c r="G312">
        <v>3980</v>
      </c>
      <c r="H312">
        <v>2600</v>
      </c>
    </row>
    <row r="313" spans="2:8">
      <c r="B313" t="s">
        <v>587</v>
      </c>
      <c r="C313" t="s">
        <v>53</v>
      </c>
      <c r="D313">
        <v>3979</v>
      </c>
      <c r="E313">
        <v>3979</v>
      </c>
      <c r="F313">
        <v>3978</v>
      </c>
      <c r="G313">
        <v>3979</v>
      </c>
      <c r="H313">
        <v>900</v>
      </c>
    </row>
    <row r="314" spans="2:8">
      <c r="B314" t="s">
        <v>587</v>
      </c>
      <c r="C314" t="s">
        <v>54</v>
      </c>
      <c r="D314">
        <v>3980</v>
      </c>
      <c r="E314">
        <v>3980</v>
      </c>
      <c r="F314">
        <v>3977</v>
      </c>
      <c r="G314">
        <v>3977</v>
      </c>
      <c r="H314">
        <v>2200</v>
      </c>
    </row>
    <row r="315" spans="2:8">
      <c r="B315" t="s">
        <v>587</v>
      </c>
      <c r="C315" t="s">
        <v>55</v>
      </c>
      <c r="D315">
        <v>3977</v>
      </c>
      <c r="E315">
        <v>3978</v>
      </c>
      <c r="F315">
        <v>3976</v>
      </c>
      <c r="G315">
        <v>3976</v>
      </c>
      <c r="H315">
        <v>1800</v>
      </c>
    </row>
    <row r="316" spans="2:8">
      <c r="B316" t="s">
        <v>587</v>
      </c>
      <c r="C316" t="s">
        <v>56</v>
      </c>
      <c r="D316">
        <v>3976</v>
      </c>
      <c r="E316">
        <v>3976</v>
      </c>
      <c r="F316">
        <v>3976</v>
      </c>
      <c r="G316">
        <v>3976</v>
      </c>
      <c r="H316">
        <v>100</v>
      </c>
    </row>
    <row r="317" spans="2:8">
      <c r="B317" t="s">
        <v>587</v>
      </c>
      <c r="C317" t="s">
        <v>57</v>
      </c>
      <c r="D317">
        <v>3977</v>
      </c>
      <c r="E317">
        <v>3977</v>
      </c>
      <c r="F317">
        <v>3976</v>
      </c>
      <c r="G317">
        <v>3977</v>
      </c>
      <c r="H317">
        <v>4800</v>
      </c>
    </row>
    <row r="318" spans="2:8">
      <c r="B318" t="s">
        <v>587</v>
      </c>
      <c r="C318" t="s">
        <v>58</v>
      </c>
      <c r="D318">
        <v>3977</v>
      </c>
      <c r="E318">
        <v>3977</v>
      </c>
      <c r="F318">
        <v>3973</v>
      </c>
      <c r="G318">
        <v>3977</v>
      </c>
      <c r="H318">
        <v>10800</v>
      </c>
    </row>
    <row r="319" spans="2:8">
      <c r="B319" t="s">
        <v>587</v>
      </c>
      <c r="C319" t="s">
        <v>59</v>
      </c>
      <c r="D319">
        <v>3977</v>
      </c>
      <c r="E319">
        <v>3977</v>
      </c>
      <c r="F319">
        <v>3976</v>
      </c>
      <c r="G319">
        <v>3976</v>
      </c>
      <c r="H319">
        <v>1700</v>
      </c>
    </row>
    <row r="320" spans="2:8">
      <c r="B320" t="s">
        <v>587</v>
      </c>
      <c r="C320" t="s">
        <v>60</v>
      </c>
      <c r="D320">
        <v>3977</v>
      </c>
      <c r="E320">
        <v>3979</v>
      </c>
      <c r="F320">
        <v>3977</v>
      </c>
      <c r="G320">
        <v>3979</v>
      </c>
      <c r="H320">
        <v>2900</v>
      </c>
    </row>
    <row r="321" spans="1:8">
      <c r="B321" t="s">
        <v>587</v>
      </c>
      <c r="C321" t="s">
        <v>61</v>
      </c>
      <c r="D321">
        <v>3980</v>
      </c>
      <c r="E321">
        <v>3980</v>
      </c>
      <c r="F321">
        <v>3977</v>
      </c>
      <c r="G321">
        <v>3977</v>
      </c>
      <c r="H321">
        <v>1600</v>
      </c>
    </row>
    <row r="322" spans="1:8">
      <c r="B322" t="s">
        <v>587</v>
      </c>
      <c r="C322" t="s">
        <v>62</v>
      </c>
      <c r="D322">
        <v>3977</v>
      </c>
      <c r="E322">
        <v>3978</v>
      </c>
      <c r="F322">
        <v>3977</v>
      </c>
      <c r="G322">
        <v>3978</v>
      </c>
      <c r="H322">
        <v>2200</v>
      </c>
    </row>
    <row r="323" spans="1:8">
      <c r="B323" t="s">
        <v>587</v>
      </c>
      <c r="C323" t="s">
        <v>63</v>
      </c>
      <c r="D323">
        <v>3978</v>
      </c>
      <c r="E323">
        <v>3980</v>
      </c>
      <c r="F323">
        <v>3977</v>
      </c>
      <c r="G323">
        <v>3979</v>
      </c>
      <c r="H323">
        <v>11400</v>
      </c>
    </row>
    <row r="324" spans="1:8">
      <c r="B324" t="s">
        <v>587</v>
      </c>
      <c r="C324" t="s">
        <v>64</v>
      </c>
      <c r="D324">
        <v>3981</v>
      </c>
      <c r="E324">
        <v>3981</v>
      </c>
      <c r="F324">
        <v>3977</v>
      </c>
      <c r="G324">
        <v>3977</v>
      </c>
      <c r="H324">
        <v>5400</v>
      </c>
    </row>
    <row r="325" spans="1:8">
      <c r="B325" t="s">
        <v>587</v>
      </c>
      <c r="C325" t="s">
        <v>65</v>
      </c>
      <c r="D325">
        <v>3978</v>
      </c>
      <c r="E325">
        <v>3978</v>
      </c>
      <c r="F325">
        <v>3977</v>
      </c>
      <c r="G325">
        <v>3978</v>
      </c>
      <c r="H325">
        <v>1500</v>
      </c>
    </row>
    <row r="326" spans="1:8">
      <c r="B326" t="s">
        <v>587</v>
      </c>
      <c r="C326" t="s">
        <v>66</v>
      </c>
      <c r="D326">
        <v>3978</v>
      </c>
      <c r="E326">
        <v>3981</v>
      </c>
      <c r="F326">
        <v>3978</v>
      </c>
      <c r="G326">
        <v>3980</v>
      </c>
      <c r="H326">
        <v>3400</v>
      </c>
    </row>
    <row r="327" spans="1:8">
      <c r="B327" t="s">
        <v>587</v>
      </c>
      <c r="C327" t="s">
        <v>164</v>
      </c>
      <c r="D327">
        <v>3981</v>
      </c>
      <c r="E327">
        <v>3983</v>
      </c>
      <c r="F327">
        <v>3980</v>
      </c>
      <c r="G327">
        <v>3982</v>
      </c>
      <c r="H327">
        <v>3200</v>
      </c>
    </row>
    <row r="328" spans="1:8">
      <c r="B328" t="s">
        <v>587</v>
      </c>
      <c r="C328" t="s">
        <v>165</v>
      </c>
      <c r="D328">
        <v>3984</v>
      </c>
      <c r="E328">
        <v>3985</v>
      </c>
      <c r="F328">
        <v>3980</v>
      </c>
      <c r="G328">
        <v>3980</v>
      </c>
      <c r="H328">
        <v>5900</v>
      </c>
    </row>
    <row r="329" spans="1:8">
      <c r="B329" t="s">
        <v>587</v>
      </c>
      <c r="C329" t="s">
        <v>67</v>
      </c>
      <c r="D329" t="s">
        <v>8</v>
      </c>
      <c r="E329" t="s">
        <v>8</v>
      </c>
      <c r="F329" t="s">
        <v>8</v>
      </c>
      <c r="G329" t="s">
        <v>8</v>
      </c>
      <c r="H329">
        <v>0</v>
      </c>
    </row>
    <row r="330" spans="1:8">
      <c r="B330" t="s">
        <v>587</v>
      </c>
      <c r="C330" t="s">
        <v>68</v>
      </c>
      <c r="D330" t="s">
        <v>8</v>
      </c>
      <c r="E330" t="s">
        <v>8</v>
      </c>
      <c r="F330" t="s">
        <v>8</v>
      </c>
      <c r="G330" t="s">
        <v>8</v>
      </c>
      <c r="H330">
        <v>0</v>
      </c>
    </row>
    <row r="331" spans="1:8">
      <c r="B331" t="s">
        <v>587</v>
      </c>
      <c r="C331" t="s">
        <v>69</v>
      </c>
      <c r="D331" t="s">
        <v>8</v>
      </c>
      <c r="E331" t="s">
        <v>8</v>
      </c>
      <c r="F331" t="s">
        <v>8</v>
      </c>
      <c r="G331" t="s">
        <v>8</v>
      </c>
      <c r="H331">
        <v>0</v>
      </c>
    </row>
    <row r="332" spans="1:8">
      <c r="B332" t="s">
        <v>587</v>
      </c>
      <c r="C332" t="s">
        <v>70</v>
      </c>
      <c r="D332" t="s">
        <v>8</v>
      </c>
      <c r="E332" t="s">
        <v>8</v>
      </c>
      <c r="F332" t="s">
        <v>8</v>
      </c>
      <c r="G332" t="s">
        <v>8</v>
      </c>
      <c r="H332">
        <v>0</v>
      </c>
    </row>
    <row r="333" spans="1:8">
      <c r="B333" t="s">
        <v>587</v>
      </c>
      <c r="C333" t="s">
        <v>71</v>
      </c>
      <c r="D333" t="s">
        <v>8</v>
      </c>
      <c r="E333" t="s">
        <v>8</v>
      </c>
      <c r="F333" t="s">
        <v>8</v>
      </c>
      <c r="G333" t="s">
        <v>8</v>
      </c>
      <c r="H333">
        <v>0</v>
      </c>
    </row>
    <row r="334" spans="1:8">
      <c r="B334" t="s">
        <v>587</v>
      </c>
      <c r="C334" t="s">
        <v>72</v>
      </c>
      <c r="D334">
        <v>3981</v>
      </c>
      <c r="E334">
        <v>3981</v>
      </c>
      <c r="F334">
        <v>3981</v>
      </c>
      <c r="G334">
        <v>3981</v>
      </c>
      <c r="H334">
        <v>449400</v>
      </c>
    </row>
    <row r="335" spans="1:8">
      <c r="A335" s="1" t="s">
        <v>79</v>
      </c>
      <c r="B335" s="1" t="s">
        <v>79</v>
      </c>
      <c r="C335" s="1" t="s">
        <v>79</v>
      </c>
      <c r="D335" s="1" t="s">
        <v>79</v>
      </c>
      <c r="E335" s="1" t="s">
        <v>79</v>
      </c>
      <c r="F335" s="1" t="s">
        <v>79</v>
      </c>
      <c r="G335" s="1" t="s">
        <v>79</v>
      </c>
      <c r="H335" s="1" t="s">
        <v>79</v>
      </c>
    </row>
    <row r="336" spans="1:8">
      <c r="B336" t="s">
        <v>442</v>
      </c>
      <c r="C336" t="s">
        <v>167</v>
      </c>
      <c r="D336">
        <v>3900</v>
      </c>
      <c r="E336">
        <v>3900</v>
      </c>
      <c r="F336">
        <v>3886</v>
      </c>
      <c r="G336">
        <v>3897</v>
      </c>
      <c r="H336">
        <v>12800</v>
      </c>
    </row>
    <row r="337" spans="2:8">
      <c r="B337" t="s">
        <v>442</v>
      </c>
      <c r="C337" t="s">
        <v>168</v>
      </c>
      <c r="D337">
        <v>3896</v>
      </c>
      <c r="E337">
        <v>3912</v>
      </c>
      <c r="F337">
        <v>3896</v>
      </c>
      <c r="G337">
        <v>3909</v>
      </c>
      <c r="H337">
        <v>3400</v>
      </c>
    </row>
    <row r="338" spans="2:8">
      <c r="B338" t="s">
        <v>442</v>
      </c>
      <c r="C338" t="s">
        <v>169</v>
      </c>
      <c r="D338">
        <v>3910</v>
      </c>
      <c r="E338">
        <v>3918</v>
      </c>
      <c r="F338">
        <v>3905</v>
      </c>
      <c r="G338">
        <v>3914</v>
      </c>
      <c r="H338">
        <v>2600</v>
      </c>
    </row>
    <row r="339" spans="2:8">
      <c r="B339" t="s">
        <v>442</v>
      </c>
      <c r="C339" t="s">
        <v>170</v>
      </c>
      <c r="D339">
        <v>3914</v>
      </c>
      <c r="E339">
        <v>3917</v>
      </c>
      <c r="F339">
        <v>3912</v>
      </c>
      <c r="G339">
        <v>3916</v>
      </c>
      <c r="H339">
        <v>1500</v>
      </c>
    </row>
    <row r="340" spans="2:8">
      <c r="B340" t="s">
        <v>442</v>
      </c>
      <c r="C340" t="s">
        <v>171</v>
      </c>
      <c r="D340">
        <v>3915</v>
      </c>
      <c r="E340">
        <v>3921</v>
      </c>
      <c r="F340">
        <v>3910</v>
      </c>
      <c r="G340">
        <v>3910</v>
      </c>
      <c r="H340">
        <v>8400</v>
      </c>
    </row>
    <row r="341" spans="2:8">
      <c r="B341" t="s">
        <v>442</v>
      </c>
      <c r="C341" t="s">
        <v>172</v>
      </c>
      <c r="D341">
        <v>3913</v>
      </c>
      <c r="E341">
        <v>3913</v>
      </c>
      <c r="F341">
        <v>3901</v>
      </c>
      <c r="G341">
        <v>3901</v>
      </c>
      <c r="H341">
        <v>2300</v>
      </c>
    </row>
    <row r="342" spans="2:8">
      <c r="B342" t="s">
        <v>442</v>
      </c>
      <c r="C342" t="s">
        <v>173</v>
      </c>
      <c r="D342">
        <v>3900</v>
      </c>
      <c r="E342">
        <v>3903</v>
      </c>
      <c r="F342">
        <v>3893</v>
      </c>
      <c r="G342">
        <v>3894</v>
      </c>
      <c r="H342">
        <v>5700</v>
      </c>
    </row>
    <row r="343" spans="2:8">
      <c r="B343" t="s">
        <v>442</v>
      </c>
      <c r="C343" t="s">
        <v>174</v>
      </c>
      <c r="D343">
        <v>3894</v>
      </c>
      <c r="E343">
        <v>3895</v>
      </c>
      <c r="F343">
        <v>3889</v>
      </c>
      <c r="G343">
        <v>3894</v>
      </c>
      <c r="H343">
        <v>5500</v>
      </c>
    </row>
    <row r="344" spans="2:8">
      <c r="B344" t="s">
        <v>442</v>
      </c>
      <c r="C344" t="s">
        <v>175</v>
      </c>
      <c r="D344">
        <v>3892</v>
      </c>
      <c r="E344">
        <v>3895</v>
      </c>
      <c r="F344">
        <v>3890</v>
      </c>
      <c r="G344">
        <v>3890</v>
      </c>
      <c r="H344">
        <v>2700</v>
      </c>
    </row>
    <row r="345" spans="2:8">
      <c r="B345" t="s">
        <v>442</v>
      </c>
      <c r="C345" t="s">
        <v>176</v>
      </c>
      <c r="D345">
        <v>3892</v>
      </c>
      <c r="E345">
        <v>3901</v>
      </c>
      <c r="F345">
        <v>3892</v>
      </c>
      <c r="G345">
        <v>3901</v>
      </c>
      <c r="H345">
        <v>1900</v>
      </c>
    </row>
    <row r="346" spans="2:8">
      <c r="B346" t="s">
        <v>442</v>
      </c>
      <c r="C346" t="s">
        <v>177</v>
      </c>
      <c r="D346">
        <v>3901</v>
      </c>
      <c r="E346">
        <v>3903</v>
      </c>
      <c r="F346">
        <v>3900</v>
      </c>
      <c r="G346">
        <v>3902</v>
      </c>
      <c r="H346">
        <v>3000</v>
      </c>
    </row>
    <row r="347" spans="2:8">
      <c r="B347" t="s">
        <v>442</v>
      </c>
      <c r="C347" t="s">
        <v>178</v>
      </c>
      <c r="D347">
        <v>3901</v>
      </c>
      <c r="E347">
        <v>3901</v>
      </c>
      <c r="F347">
        <v>3898</v>
      </c>
      <c r="G347">
        <v>3900</v>
      </c>
      <c r="H347">
        <v>1600</v>
      </c>
    </row>
    <row r="348" spans="2:8">
      <c r="B348" t="s">
        <v>442</v>
      </c>
      <c r="C348" t="s">
        <v>179</v>
      </c>
      <c r="D348">
        <v>3899</v>
      </c>
      <c r="E348">
        <v>3900</v>
      </c>
      <c r="F348">
        <v>3896</v>
      </c>
      <c r="G348">
        <v>3896</v>
      </c>
      <c r="H348">
        <v>5500</v>
      </c>
    </row>
    <row r="349" spans="2:8">
      <c r="B349" t="s">
        <v>442</v>
      </c>
      <c r="C349" t="s">
        <v>180</v>
      </c>
      <c r="D349">
        <v>3895</v>
      </c>
      <c r="E349">
        <v>3896</v>
      </c>
      <c r="F349">
        <v>3894</v>
      </c>
      <c r="G349">
        <v>3896</v>
      </c>
      <c r="H349">
        <v>2400</v>
      </c>
    </row>
    <row r="350" spans="2:8">
      <c r="B350" t="s">
        <v>442</v>
      </c>
      <c r="C350" t="s">
        <v>181</v>
      </c>
      <c r="D350">
        <v>3893</v>
      </c>
      <c r="E350">
        <v>3896</v>
      </c>
      <c r="F350">
        <v>3892</v>
      </c>
      <c r="G350">
        <v>3895</v>
      </c>
      <c r="H350">
        <v>1400</v>
      </c>
    </row>
    <row r="351" spans="2:8">
      <c r="B351" t="s">
        <v>442</v>
      </c>
      <c r="C351" t="s">
        <v>182</v>
      </c>
      <c r="D351">
        <v>3895</v>
      </c>
      <c r="E351">
        <v>3900</v>
      </c>
      <c r="F351">
        <v>3893</v>
      </c>
      <c r="G351">
        <v>3898</v>
      </c>
      <c r="H351">
        <v>1200</v>
      </c>
    </row>
    <row r="352" spans="2:8">
      <c r="B352" t="s">
        <v>442</v>
      </c>
      <c r="C352" t="s">
        <v>183</v>
      </c>
      <c r="D352">
        <v>3897</v>
      </c>
      <c r="E352">
        <v>3898</v>
      </c>
      <c r="F352">
        <v>3896</v>
      </c>
      <c r="G352">
        <v>3898</v>
      </c>
      <c r="H352">
        <v>800</v>
      </c>
    </row>
    <row r="353" spans="2:8">
      <c r="B353" t="s">
        <v>442</v>
      </c>
      <c r="C353" t="s">
        <v>184</v>
      </c>
      <c r="D353">
        <v>3900</v>
      </c>
      <c r="E353">
        <v>3900</v>
      </c>
      <c r="F353">
        <v>3900</v>
      </c>
      <c r="G353">
        <v>3900</v>
      </c>
      <c r="H353">
        <v>300</v>
      </c>
    </row>
    <row r="354" spans="2:8">
      <c r="B354" t="s">
        <v>442</v>
      </c>
      <c r="C354" t="s">
        <v>185</v>
      </c>
      <c r="D354">
        <v>3897</v>
      </c>
      <c r="E354">
        <v>3898</v>
      </c>
      <c r="F354">
        <v>3896</v>
      </c>
      <c r="G354">
        <v>3898</v>
      </c>
      <c r="H354">
        <v>1700</v>
      </c>
    </row>
    <row r="355" spans="2:8">
      <c r="B355" t="s">
        <v>442</v>
      </c>
      <c r="C355" t="s">
        <v>186</v>
      </c>
      <c r="D355">
        <v>3897</v>
      </c>
      <c r="E355">
        <v>3897</v>
      </c>
      <c r="F355">
        <v>3892</v>
      </c>
      <c r="G355">
        <v>3892</v>
      </c>
      <c r="H355">
        <v>3300</v>
      </c>
    </row>
    <row r="356" spans="2:8">
      <c r="B356" t="s">
        <v>442</v>
      </c>
      <c r="C356" t="s">
        <v>187</v>
      </c>
      <c r="D356">
        <v>3891</v>
      </c>
      <c r="E356">
        <v>3892</v>
      </c>
      <c r="F356">
        <v>3886</v>
      </c>
      <c r="G356">
        <v>3887</v>
      </c>
      <c r="H356">
        <v>6600</v>
      </c>
    </row>
    <row r="357" spans="2:8">
      <c r="B357" t="s">
        <v>442</v>
      </c>
      <c r="C357" t="s">
        <v>188</v>
      </c>
      <c r="D357">
        <v>3887</v>
      </c>
      <c r="E357">
        <v>3888</v>
      </c>
      <c r="F357">
        <v>3887</v>
      </c>
      <c r="G357">
        <v>3887</v>
      </c>
      <c r="H357">
        <v>1100</v>
      </c>
    </row>
    <row r="358" spans="2:8">
      <c r="B358" t="s">
        <v>442</v>
      </c>
      <c r="C358" t="s">
        <v>189</v>
      </c>
      <c r="D358">
        <v>3886</v>
      </c>
      <c r="E358">
        <v>3886</v>
      </c>
      <c r="F358">
        <v>3875</v>
      </c>
      <c r="G358">
        <v>3875</v>
      </c>
      <c r="H358">
        <v>13900</v>
      </c>
    </row>
    <row r="359" spans="2:8">
      <c r="B359" t="s">
        <v>442</v>
      </c>
      <c r="C359" t="s">
        <v>190</v>
      </c>
      <c r="D359">
        <v>3875</v>
      </c>
      <c r="E359">
        <v>3886</v>
      </c>
      <c r="F359">
        <v>3875</v>
      </c>
      <c r="G359">
        <v>3885</v>
      </c>
      <c r="H359">
        <v>3600</v>
      </c>
    </row>
    <row r="360" spans="2:8">
      <c r="B360" t="s">
        <v>442</v>
      </c>
      <c r="C360" t="s">
        <v>191</v>
      </c>
      <c r="D360">
        <v>3885</v>
      </c>
      <c r="E360">
        <v>3886</v>
      </c>
      <c r="F360">
        <v>3882</v>
      </c>
      <c r="G360">
        <v>3883</v>
      </c>
      <c r="H360">
        <v>2400</v>
      </c>
    </row>
    <row r="361" spans="2:8">
      <c r="B361" t="s">
        <v>442</v>
      </c>
      <c r="C361" t="s">
        <v>192</v>
      </c>
      <c r="D361">
        <v>3883</v>
      </c>
      <c r="E361">
        <v>3884</v>
      </c>
      <c r="F361">
        <v>3882</v>
      </c>
      <c r="G361">
        <v>3883</v>
      </c>
      <c r="H361">
        <v>1000</v>
      </c>
    </row>
    <row r="362" spans="2:8">
      <c r="B362" t="s">
        <v>442</v>
      </c>
      <c r="C362" t="s">
        <v>193</v>
      </c>
      <c r="D362">
        <v>3883</v>
      </c>
      <c r="E362">
        <v>3886</v>
      </c>
      <c r="F362">
        <v>3883</v>
      </c>
      <c r="G362">
        <v>3883</v>
      </c>
      <c r="H362">
        <v>1200</v>
      </c>
    </row>
    <row r="363" spans="2:8">
      <c r="B363" t="s">
        <v>442</v>
      </c>
      <c r="C363" t="s">
        <v>194</v>
      </c>
      <c r="D363">
        <v>3882</v>
      </c>
      <c r="E363">
        <v>3884</v>
      </c>
      <c r="F363">
        <v>3882</v>
      </c>
      <c r="G363">
        <v>3884</v>
      </c>
      <c r="H363">
        <v>900</v>
      </c>
    </row>
    <row r="364" spans="2:8">
      <c r="B364" t="s">
        <v>442</v>
      </c>
      <c r="C364" t="s">
        <v>195</v>
      </c>
      <c r="D364">
        <v>3883</v>
      </c>
      <c r="E364">
        <v>3883</v>
      </c>
      <c r="F364">
        <v>3883</v>
      </c>
      <c r="G364">
        <v>3883</v>
      </c>
      <c r="H364">
        <v>200</v>
      </c>
    </row>
    <row r="365" spans="2:8">
      <c r="B365" t="s">
        <v>442</v>
      </c>
      <c r="C365" t="s">
        <v>196</v>
      </c>
      <c r="D365">
        <v>3883</v>
      </c>
      <c r="E365">
        <v>3886</v>
      </c>
      <c r="F365">
        <v>3882</v>
      </c>
      <c r="G365">
        <v>3885</v>
      </c>
      <c r="H365">
        <v>2200</v>
      </c>
    </row>
    <row r="366" spans="2:8">
      <c r="B366" t="s">
        <v>442</v>
      </c>
      <c r="C366" t="s">
        <v>197</v>
      </c>
      <c r="D366">
        <v>3885</v>
      </c>
      <c r="E366">
        <v>3888</v>
      </c>
      <c r="F366">
        <v>3885</v>
      </c>
      <c r="G366">
        <v>3888</v>
      </c>
      <c r="H366">
        <v>2400</v>
      </c>
    </row>
    <row r="367" spans="2:8">
      <c r="B367" t="s">
        <v>442</v>
      </c>
      <c r="C367" t="s">
        <v>198</v>
      </c>
      <c r="D367">
        <v>3888</v>
      </c>
      <c r="E367">
        <v>3888</v>
      </c>
      <c r="F367">
        <v>3884</v>
      </c>
      <c r="G367">
        <v>3884</v>
      </c>
      <c r="H367">
        <v>500</v>
      </c>
    </row>
    <row r="368" spans="2:8">
      <c r="B368" t="s">
        <v>442</v>
      </c>
      <c r="C368" t="s">
        <v>199</v>
      </c>
      <c r="D368">
        <v>3882</v>
      </c>
      <c r="E368">
        <v>3885</v>
      </c>
      <c r="F368">
        <v>3881</v>
      </c>
      <c r="G368">
        <v>3885</v>
      </c>
      <c r="H368">
        <v>1200</v>
      </c>
    </row>
    <row r="369" spans="2:8">
      <c r="B369" t="s">
        <v>442</v>
      </c>
      <c r="C369" t="s">
        <v>200</v>
      </c>
      <c r="D369">
        <v>3884</v>
      </c>
      <c r="E369">
        <v>3886</v>
      </c>
      <c r="F369">
        <v>3884</v>
      </c>
      <c r="G369">
        <v>3886</v>
      </c>
      <c r="H369">
        <v>800</v>
      </c>
    </row>
    <row r="370" spans="2:8">
      <c r="B370" t="s">
        <v>442</v>
      </c>
      <c r="C370" t="s">
        <v>201</v>
      </c>
      <c r="D370">
        <v>3889</v>
      </c>
      <c r="E370">
        <v>3890</v>
      </c>
      <c r="F370">
        <v>3889</v>
      </c>
      <c r="G370">
        <v>3890</v>
      </c>
      <c r="H370">
        <v>700</v>
      </c>
    </row>
    <row r="371" spans="2:8">
      <c r="B371" t="s">
        <v>442</v>
      </c>
      <c r="C371" t="s">
        <v>202</v>
      </c>
      <c r="D371">
        <v>3890</v>
      </c>
      <c r="E371">
        <v>3894</v>
      </c>
      <c r="F371">
        <v>3890</v>
      </c>
      <c r="G371">
        <v>3894</v>
      </c>
      <c r="H371">
        <v>700</v>
      </c>
    </row>
    <row r="372" spans="2:8">
      <c r="B372" t="s">
        <v>442</v>
      </c>
      <c r="C372" t="s">
        <v>203</v>
      </c>
      <c r="D372">
        <v>3893</v>
      </c>
      <c r="E372">
        <v>3893</v>
      </c>
      <c r="F372">
        <v>3891</v>
      </c>
      <c r="G372">
        <v>3891</v>
      </c>
      <c r="H372">
        <v>2000</v>
      </c>
    </row>
    <row r="373" spans="2:8">
      <c r="B373" t="s">
        <v>442</v>
      </c>
      <c r="C373" t="s">
        <v>204</v>
      </c>
      <c r="D373">
        <v>3890</v>
      </c>
      <c r="E373">
        <v>3893</v>
      </c>
      <c r="F373">
        <v>3890</v>
      </c>
      <c r="G373">
        <v>3892</v>
      </c>
      <c r="H373">
        <v>1300</v>
      </c>
    </row>
    <row r="374" spans="2:8">
      <c r="B374" t="s">
        <v>442</v>
      </c>
      <c r="C374" t="s">
        <v>205</v>
      </c>
      <c r="D374">
        <v>3892</v>
      </c>
      <c r="E374">
        <v>3893</v>
      </c>
      <c r="F374">
        <v>3891</v>
      </c>
      <c r="G374">
        <v>3891</v>
      </c>
      <c r="H374">
        <v>1100</v>
      </c>
    </row>
    <row r="375" spans="2:8">
      <c r="B375" t="s">
        <v>442</v>
      </c>
      <c r="C375" t="s">
        <v>206</v>
      </c>
      <c r="D375">
        <v>3890</v>
      </c>
      <c r="E375">
        <v>3891</v>
      </c>
      <c r="F375">
        <v>3885</v>
      </c>
      <c r="G375">
        <v>3885</v>
      </c>
      <c r="H375">
        <v>2700</v>
      </c>
    </row>
    <row r="376" spans="2:8">
      <c r="B376" t="s">
        <v>442</v>
      </c>
      <c r="C376" t="s">
        <v>207</v>
      </c>
      <c r="D376">
        <v>3884</v>
      </c>
      <c r="E376">
        <v>3886</v>
      </c>
      <c r="F376">
        <v>3883</v>
      </c>
      <c r="G376">
        <v>3886</v>
      </c>
      <c r="H376">
        <v>1400</v>
      </c>
    </row>
    <row r="377" spans="2:8">
      <c r="B377" t="s">
        <v>442</v>
      </c>
      <c r="C377" t="s">
        <v>208</v>
      </c>
      <c r="D377">
        <v>3889</v>
      </c>
      <c r="E377">
        <v>3889</v>
      </c>
      <c r="F377">
        <v>3889</v>
      </c>
      <c r="G377">
        <v>3889</v>
      </c>
      <c r="H377">
        <v>200</v>
      </c>
    </row>
    <row r="378" spans="2:8">
      <c r="B378" t="s">
        <v>442</v>
      </c>
      <c r="C378" t="s">
        <v>209</v>
      </c>
      <c r="D378">
        <v>3888</v>
      </c>
      <c r="E378">
        <v>3889</v>
      </c>
      <c r="F378">
        <v>3885</v>
      </c>
      <c r="G378">
        <v>3885</v>
      </c>
      <c r="H378">
        <v>2200</v>
      </c>
    </row>
    <row r="379" spans="2:8">
      <c r="B379" t="s">
        <v>442</v>
      </c>
      <c r="C379" t="s">
        <v>210</v>
      </c>
      <c r="D379">
        <v>3884</v>
      </c>
      <c r="E379">
        <v>3886</v>
      </c>
      <c r="F379">
        <v>3883</v>
      </c>
      <c r="G379">
        <v>3886</v>
      </c>
      <c r="H379">
        <v>2300</v>
      </c>
    </row>
    <row r="380" spans="2:8">
      <c r="B380" t="s">
        <v>442</v>
      </c>
      <c r="C380" t="s">
        <v>211</v>
      </c>
      <c r="D380">
        <v>3883</v>
      </c>
      <c r="E380">
        <v>3883</v>
      </c>
      <c r="F380">
        <v>3877</v>
      </c>
      <c r="G380">
        <v>3878</v>
      </c>
      <c r="H380">
        <v>7900</v>
      </c>
    </row>
    <row r="381" spans="2:8">
      <c r="B381" t="s">
        <v>442</v>
      </c>
      <c r="C381" t="s">
        <v>212</v>
      </c>
      <c r="D381">
        <v>3877</v>
      </c>
      <c r="E381">
        <v>3878</v>
      </c>
      <c r="F381">
        <v>3876</v>
      </c>
      <c r="G381">
        <v>3876</v>
      </c>
      <c r="H381">
        <v>1700</v>
      </c>
    </row>
    <row r="382" spans="2:8">
      <c r="B382" t="s">
        <v>442</v>
      </c>
      <c r="C382" t="s">
        <v>213</v>
      </c>
      <c r="D382">
        <v>3875</v>
      </c>
      <c r="E382">
        <v>3875</v>
      </c>
      <c r="F382">
        <v>3872</v>
      </c>
      <c r="G382">
        <v>3873</v>
      </c>
      <c r="H382">
        <v>2300</v>
      </c>
    </row>
    <row r="383" spans="2:8">
      <c r="B383" t="s">
        <v>442</v>
      </c>
      <c r="C383" t="s">
        <v>214</v>
      </c>
      <c r="D383">
        <v>3873</v>
      </c>
      <c r="E383">
        <v>3873</v>
      </c>
      <c r="F383">
        <v>3871</v>
      </c>
      <c r="G383">
        <v>3871</v>
      </c>
      <c r="H383">
        <v>600</v>
      </c>
    </row>
    <row r="384" spans="2:8">
      <c r="B384" t="s">
        <v>442</v>
      </c>
      <c r="C384" t="s">
        <v>215</v>
      </c>
      <c r="D384">
        <v>3871</v>
      </c>
      <c r="E384">
        <v>3871</v>
      </c>
      <c r="F384">
        <v>3869</v>
      </c>
      <c r="G384">
        <v>3870</v>
      </c>
      <c r="H384">
        <v>4100</v>
      </c>
    </row>
    <row r="385" spans="2:8">
      <c r="B385" t="s">
        <v>442</v>
      </c>
      <c r="C385" t="s">
        <v>216</v>
      </c>
      <c r="D385">
        <v>3868</v>
      </c>
      <c r="E385">
        <v>3868</v>
      </c>
      <c r="F385">
        <v>3867</v>
      </c>
      <c r="G385">
        <v>3867</v>
      </c>
      <c r="H385">
        <v>1900</v>
      </c>
    </row>
    <row r="386" spans="2:8">
      <c r="B386" t="s">
        <v>442</v>
      </c>
      <c r="C386" t="s">
        <v>217</v>
      </c>
      <c r="D386">
        <v>3867</v>
      </c>
      <c r="E386">
        <v>3868</v>
      </c>
      <c r="F386">
        <v>3866</v>
      </c>
      <c r="G386">
        <v>3866</v>
      </c>
      <c r="H386">
        <v>800</v>
      </c>
    </row>
    <row r="387" spans="2:8">
      <c r="B387" t="s">
        <v>442</v>
      </c>
      <c r="C387" t="s">
        <v>218</v>
      </c>
      <c r="D387">
        <v>3865</v>
      </c>
      <c r="E387">
        <v>3868</v>
      </c>
      <c r="F387">
        <v>3865</v>
      </c>
      <c r="G387">
        <v>3868</v>
      </c>
      <c r="H387">
        <v>2300</v>
      </c>
    </row>
    <row r="388" spans="2:8">
      <c r="B388" t="s">
        <v>442</v>
      </c>
      <c r="C388" t="s">
        <v>219</v>
      </c>
      <c r="D388">
        <v>3867</v>
      </c>
      <c r="E388">
        <v>3867</v>
      </c>
      <c r="F388">
        <v>3866</v>
      </c>
      <c r="G388">
        <v>3867</v>
      </c>
      <c r="H388">
        <v>1100</v>
      </c>
    </row>
    <row r="389" spans="2:8">
      <c r="B389" t="s">
        <v>442</v>
      </c>
      <c r="C389" t="s">
        <v>220</v>
      </c>
      <c r="D389">
        <v>3867</v>
      </c>
      <c r="E389">
        <v>3867</v>
      </c>
      <c r="F389">
        <v>3866</v>
      </c>
      <c r="G389">
        <v>3866</v>
      </c>
      <c r="H389">
        <v>1300</v>
      </c>
    </row>
    <row r="390" spans="2:8">
      <c r="B390" t="s">
        <v>442</v>
      </c>
      <c r="C390" t="s">
        <v>221</v>
      </c>
      <c r="D390">
        <v>3868</v>
      </c>
      <c r="E390">
        <v>3872</v>
      </c>
      <c r="F390">
        <v>3868</v>
      </c>
      <c r="G390">
        <v>3869</v>
      </c>
      <c r="H390">
        <v>4700</v>
      </c>
    </row>
    <row r="391" spans="2:8">
      <c r="B391" t="s">
        <v>442</v>
      </c>
      <c r="C391" t="s">
        <v>222</v>
      </c>
      <c r="D391">
        <v>3869</v>
      </c>
      <c r="E391">
        <v>3869</v>
      </c>
      <c r="F391">
        <v>3869</v>
      </c>
      <c r="G391">
        <v>3869</v>
      </c>
      <c r="H391">
        <v>1500</v>
      </c>
    </row>
    <row r="392" spans="2:8">
      <c r="B392" t="s">
        <v>442</v>
      </c>
      <c r="C392" t="s">
        <v>223</v>
      </c>
      <c r="D392">
        <v>3870</v>
      </c>
      <c r="E392">
        <v>3872</v>
      </c>
      <c r="F392">
        <v>3870</v>
      </c>
      <c r="G392">
        <v>3871</v>
      </c>
      <c r="H392">
        <v>1900</v>
      </c>
    </row>
    <row r="393" spans="2:8">
      <c r="B393" t="s">
        <v>442</v>
      </c>
      <c r="C393" t="s">
        <v>224</v>
      </c>
      <c r="D393">
        <v>3871</v>
      </c>
      <c r="E393">
        <v>3872</v>
      </c>
      <c r="F393">
        <v>3871</v>
      </c>
      <c r="G393">
        <v>3872</v>
      </c>
      <c r="H393">
        <v>300</v>
      </c>
    </row>
    <row r="394" spans="2:8">
      <c r="B394" t="s">
        <v>442</v>
      </c>
      <c r="C394" t="s">
        <v>225</v>
      </c>
      <c r="D394">
        <v>3872</v>
      </c>
      <c r="E394">
        <v>3876</v>
      </c>
      <c r="F394">
        <v>3872</v>
      </c>
      <c r="G394">
        <v>3876</v>
      </c>
      <c r="H394">
        <v>1300</v>
      </c>
    </row>
    <row r="395" spans="2:8">
      <c r="B395" t="s">
        <v>442</v>
      </c>
      <c r="C395" t="s">
        <v>226</v>
      </c>
      <c r="D395">
        <v>3875</v>
      </c>
      <c r="E395">
        <v>3875</v>
      </c>
      <c r="F395">
        <v>3872</v>
      </c>
      <c r="G395">
        <v>3872</v>
      </c>
      <c r="H395">
        <v>800</v>
      </c>
    </row>
    <row r="396" spans="2:8">
      <c r="B396" t="s">
        <v>442</v>
      </c>
      <c r="C396" t="s">
        <v>227</v>
      </c>
      <c r="D396">
        <v>3872</v>
      </c>
      <c r="E396">
        <v>3877</v>
      </c>
      <c r="F396">
        <v>3872</v>
      </c>
      <c r="G396">
        <v>3877</v>
      </c>
      <c r="H396">
        <v>2000</v>
      </c>
    </row>
    <row r="397" spans="2:8">
      <c r="B397" t="s">
        <v>442</v>
      </c>
      <c r="C397" t="s">
        <v>228</v>
      </c>
      <c r="D397">
        <v>3877</v>
      </c>
      <c r="E397">
        <v>3877</v>
      </c>
      <c r="F397">
        <v>3875</v>
      </c>
      <c r="G397">
        <v>3876</v>
      </c>
      <c r="H397">
        <v>1500</v>
      </c>
    </row>
    <row r="398" spans="2:8">
      <c r="B398" t="s">
        <v>442</v>
      </c>
      <c r="C398" t="s">
        <v>229</v>
      </c>
      <c r="D398">
        <v>3875</v>
      </c>
      <c r="E398">
        <v>3876</v>
      </c>
      <c r="F398">
        <v>3873</v>
      </c>
      <c r="G398">
        <v>3873</v>
      </c>
      <c r="H398">
        <v>2900</v>
      </c>
    </row>
    <row r="399" spans="2:8">
      <c r="B399" t="s">
        <v>442</v>
      </c>
      <c r="C399" t="s">
        <v>230</v>
      </c>
      <c r="D399">
        <v>3875</v>
      </c>
      <c r="E399">
        <v>3875</v>
      </c>
      <c r="F399">
        <v>3872</v>
      </c>
      <c r="G399">
        <v>3873</v>
      </c>
      <c r="H399">
        <v>1500</v>
      </c>
    </row>
    <row r="400" spans="2:8">
      <c r="B400" t="s">
        <v>442</v>
      </c>
      <c r="C400" t="s">
        <v>231</v>
      </c>
      <c r="D400">
        <v>3872</v>
      </c>
      <c r="E400">
        <v>3872</v>
      </c>
      <c r="F400">
        <v>3870</v>
      </c>
      <c r="G400">
        <v>3870</v>
      </c>
      <c r="H400">
        <v>3400</v>
      </c>
    </row>
    <row r="401" spans="2:8">
      <c r="B401" t="s">
        <v>442</v>
      </c>
      <c r="C401" t="s">
        <v>232</v>
      </c>
      <c r="D401">
        <v>3869</v>
      </c>
      <c r="E401">
        <v>3869</v>
      </c>
      <c r="F401">
        <v>3868</v>
      </c>
      <c r="G401">
        <v>3868</v>
      </c>
      <c r="H401">
        <v>700</v>
      </c>
    </row>
    <row r="402" spans="2:8">
      <c r="B402" t="s">
        <v>442</v>
      </c>
      <c r="C402" t="s">
        <v>233</v>
      </c>
      <c r="D402">
        <v>3869</v>
      </c>
      <c r="E402">
        <v>3871</v>
      </c>
      <c r="F402">
        <v>3869</v>
      </c>
      <c r="G402">
        <v>3869</v>
      </c>
      <c r="H402">
        <v>2100</v>
      </c>
    </row>
    <row r="403" spans="2:8">
      <c r="B403" t="s">
        <v>442</v>
      </c>
      <c r="C403" t="s">
        <v>234</v>
      </c>
      <c r="D403">
        <v>3869</v>
      </c>
      <c r="E403">
        <v>3874</v>
      </c>
      <c r="F403">
        <v>3869</v>
      </c>
      <c r="G403">
        <v>3872</v>
      </c>
      <c r="H403">
        <v>1500</v>
      </c>
    </row>
    <row r="404" spans="2:8">
      <c r="B404" t="s">
        <v>442</v>
      </c>
      <c r="C404" t="s">
        <v>235</v>
      </c>
      <c r="D404">
        <v>3875</v>
      </c>
      <c r="E404">
        <v>3876</v>
      </c>
      <c r="F404">
        <v>3875</v>
      </c>
      <c r="G404">
        <v>3876</v>
      </c>
      <c r="H404">
        <v>500</v>
      </c>
    </row>
    <row r="405" spans="2:8">
      <c r="B405" t="s">
        <v>442</v>
      </c>
      <c r="C405" t="s">
        <v>236</v>
      </c>
      <c r="D405">
        <v>3877</v>
      </c>
      <c r="E405">
        <v>3877</v>
      </c>
      <c r="F405">
        <v>3875</v>
      </c>
      <c r="G405">
        <v>3876</v>
      </c>
      <c r="H405">
        <v>1600</v>
      </c>
    </row>
    <row r="406" spans="2:8">
      <c r="B406" t="s">
        <v>442</v>
      </c>
      <c r="C406" t="s">
        <v>237</v>
      </c>
      <c r="D406">
        <v>3877</v>
      </c>
      <c r="E406">
        <v>3877</v>
      </c>
      <c r="F406">
        <v>3877</v>
      </c>
      <c r="G406">
        <v>3877</v>
      </c>
      <c r="H406">
        <v>1000</v>
      </c>
    </row>
    <row r="407" spans="2:8">
      <c r="B407" t="s">
        <v>442</v>
      </c>
      <c r="C407" t="s">
        <v>238</v>
      </c>
      <c r="D407">
        <v>3878</v>
      </c>
      <c r="E407">
        <v>3879</v>
      </c>
      <c r="F407">
        <v>3877</v>
      </c>
      <c r="G407">
        <v>3878</v>
      </c>
      <c r="H407">
        <v>1800</v>
      </c>
    </row>
    <row r="408" spans="2:8">
      <c r="B408" t="s">
        <v>442</v>
      </c>
      <c r="C408" t="s">
        <v>239</v>
      </c>
      <c r="D408">
        <v>3878</v>
      </c>
      <c r="E408">
        <v>3878</v>
      </c>
      <c r="F408">
        <v>3877</v>
      </c>
      <c r="G408">
        <v>3878</v>
      </c>
      <c r="H408">
        <v>800</v>
      </c>
    </row>
    <row r="409" spans="2:8">
      <c r="B409" t="s">
        <v>442</v>
      </c>
      <c r="C409" t="s">
        <v>240</v>
      </c>
      <c r="D409">
        <v>3879</v>
      </c>
      <c r="E409">
        <v>3884</v>
      </c>
      <c r="F409">
        <v>3879</v>
      </c>
      <c r="G409">
        <v>3882</v>
      </c>
      <c r="H409">
        <v>1800</v>
      </c>
    </row>
    <row r="410" spans="2:8">
      <c r="B410" t="s">
        <v>442</v>
      </c>
      <c r="C410" t="s">
        <v>241</v>
      </c>
      <c r="D410">
        <v>3884</v>
      </c>
      <c r="E410">
        <v>3885</v>
      </c>
      <c r="F410">
        <v>3884</v>
      </c>
      <c r="G410">
        <v>3885</v>
      </c>
      <c r="H410">
        <v>200</v>
      </c>
    </row>
    <row r="411" spans="2:8">
      <c r="B411" t="s">
        <v>442</v>
      </c>
      <c r="C411" t="s">
        <v>242</v>
      </c>
      <c r="D411">
        <v>3886</v>
      </c>
      <c r="E411">
        <v>3888</v>
      </c>
      <c r="F411">
        <v>3886</v>
      </c>
      <c r="G411">
        <v>3886</v>
      </c>
      <c r="H411">
        <v>1400</v>
      </c>
    </row>
    <row r="412" spans="2:8">
      <c r="B412" t="s">
        <v>442</v>
      </c>
      <c r="C412" t="s">
        <v>243</v>
      </c>
      <c r="D412">
        <v>3886</v>
      </c>
      <c r="E412">
        <v>3887</v>
      </c>
      <c r="F412">
        <v>3886</v>
      </c>
      <c r="G412">
        <v>3886</v>
      </c>
      <c r="H412">
        <v>1600</v>
      </c>
    </row>
    <row r="413" spans="2:8">
      <c r="B413" t="s">
        <v>442</v>
      </c>
      <c r="C413" t="s">
        <v>244</v>
      </c>
      <c r="D413" t="s">
        <v>8</v>
      </c>
      <c r="E413" t="s">
        <v>8</v>
      </c>
      <c r="F413" t="s">
        <v>8</v>
      </c>
      <c r="G413" t="s">
        <v>8</v>
      </c>
      <c r="H413">
        <v>0</v>
      </c>
    </row>
    <row r="414" spans="2:8">
      <c r="B414" t="s">
        <v>442</v>
      </c>
      <c r="C414" t="s">
        <v>245</v>
      </c>
      <c r="D414">
        <v>3887</v>
      </c>
      <c r="E414">
        <v>3887</v>
      </c>
      <c r="F414">
        <v>3886</v>
      </c>
      <c r="G414">
        <v>3886</v>
      </c>
      <c r="H414">
        <v>300</v>
      </c>
    </row>
    <row r="415" spans="2:8">
      <c r="B415" t="s">
        <v>442</v>
      </c>
      <c r="C415" t="s">
        <v>246</v>
      </c>
      <c r="D415">
        <v>3886</v>
      </c>
      <c r="E415">
        <v>3886</v>
      </c>
      <c r="F415">
        <v>3882</v>
      </c>
      <c r="G415">
        <v>3885</v>
      </c>
      <c r="H415">
        <v>3000</v>
      </c>
    </row>
    <row r="416" spans="2:8">
      <c r="B416" t="s">
        <v>442</v>
      </c>
      <c r="C416" t="s">
        <v>247</v>
      </c>
      <c r="D416">
        <v>3884</v>
      </c>
      <c r="E416">
        <v>3884</v>
      </c>
      <c r="F416">
        <v>3883</v>
      </c>
      <c r="G416">
        <v>3883</v>
      </c>
      <c r="H416">
        <v>800</v>
      </c>
    </row>
    <row r="417" spans="2:8">
      <c r="B417" t="s">
        <v>442</v>
      </c>
      <c r="C417" t="s">
        <v>248</v>
      </c>
      <c r="D417">
        <v>3882</v>
      </c>
      <c r="E417">
        <v>3882</v>
      </c>
      <c r="F417">
        <v>3880</v>
      </c>
      <c r="G417">
        <v>3881</v>
      </c>
      <c r="H417">
        <v>4800</v>
      </c>
    </row>
    <row r="418" spans="2:8">
      <c r="B418" t="s">
        <v>442</v>
      </c>
      <c r="C418" t="s">
        <v>249</v>
      </c>
      <c r="D418">
        <v>3880</v>
      </c>
      <c r="E418">
        <v>3883</v>
      </c>
      <c r="F418">
        <v>3878</v>
      </c>
      <c r="G418">
        <v>3878</v>
      </c>
      <c r="H418">
        <v>5100</v>
      </c>
    </row>
    <row r="419" spans="2:8">
      <c r="B419" t="s">
        <v>442</v>
      </c>
      <c r="C419" t="s">
        <v>250</v>
      </c>
      <c r="D419">
        <v>3879</v>
      </c>
      <c r="E419">
        <v>3880</v>
      </c>
      <c r="F419">
        <v>3878</v>
      </c>
      <c r="G419">
        <v>3880</v>
      </c>
      <c r="H419">
        <v>1000</v>
      </c>
    </row>
    <row r="420" spans="2:8">
      <c r="B420" t="s">
        <v>442</v>
      </c>
      <c r="C420" t="s">
        <v>251</v>
      </c>
      <c r="D420">
        <v>3880</v>
      </c>
      <c r="E420">
        <v>3888</v>
      </c>
      <c r="F420">
        <v>3880</v>
      </c>
      <c r="G420">
        <v>3888</v>
      </c>
      <c r="H420">
        <v>23900</v>
      </c>
    </row>
    <row r="421" spans="2:8">
      <c r="B421" t="s">
        <v>442</v>
      </c>
      <c r="C421" t="s">
        <v>252</v>
      </c>
      <c r="D421">
        <v>3890</v>
      </c>
      <c r="E421">
        <v>3897</v>
      </c>
      <c r="F421">
        <v>3889</v>
      </c>
      <c r="G421">
        <v>3894</v>
      </c>
      <c r="H421">
        <v>6500</v>
      </c>
    </row>
    <row r="422" spans="2:8">
      <c r="B422" t="s">
        <v>442</v>
      </c>
      <c r="C422" t="s">
        <v>253</v>
      </c>
      <c r="D422">
        <v>3895</v>
      </c>
      <c r="E422">
        <v>3895</v>
      </c>
      <c r="F422">
        <v>3893</v>
      </c>
      <c r="G422">
        <v>3893</v>
      </c>
      <c r="H422">
        <v>5100</v>
      </c>
    </row>
    <row r="423" spans="2:8">
      <c r="B423" t="s">
        <v>442</v>
      </c>
      <c r="C423" t="s">
        <v>254</v>
      </c>
      <c r="D423">
        <v>3893</v>
      </c>
      <c r="E423">
        <v>3893</v>
      </c>
      <c r="F423">
        <v>3890</v>
      </c>
      <c r="G423">
        <v>3891</v>
      </c>
      <c r="H423">
        <v>5000</v>
      </c>
    </row>
    <row r="424" spans="2:8">
      <c r="B424" t="s">
        <v>442</v>
      </c>
      <c r="C424" t="s">
        <v>255</v>
      </c>
      <c r="D424">
        <v>3892</v>
      </c>
      <c r="E424">
        <v>3892</v>
      </c>
      <c r="F424">
        <v>3891</v>
      </c>
      <c r="G424">
        <v>3892</v>
      </c>
      <c r="H424">
        <v>700</v>
      </c>
    </row>
    <row r="425" spans="2:8">
      <c r="B425" t="s">
        <v>442</v>
      </c>
      <c r="C425" t="s">
        <v>256</v>
      </c>
      <c r="D425">
        <v>3890</v>
      </c>
      <c r="E425">
        <v>3891</v>
      </c>
      <c r="F425">
        <v>3889</v>
      </c>
      <c r="G425">
        <v>3891</v>
      </c>
      <c r="H425">
        <v>900</v>
      </c>
    </row>
    <row r="426" spans="2:8">
      <c r="B426" t="s">
        <v>442</v>
      </c>
      <c r="C426" t="s">
        <v>257</v>
      </c>
      <c r="D426">
        <v>3890</v>
      </c>
      <c r="E426">
        <v>3894</v>
      </c>
      <c r="F426">
        <v>3890</v>
      </c>
      <c r="G426">
        <v>3893</v>
      </c>
      <c r="H426">
        <v>2200</v>
      </c>
    </row>
    <row r="427" spans="2:8">
      <c r="B427" t="s">
        <v>442</v>
      </c>
      <c r="C427" t="s">
        <v>258</v>
      </c>
      <c r="D427">
        <v>3893</v>
      </c>
      <c r="E427">
        <v>3893</v>
      </c>
      <c r="F427">
        <v>3893</v>
      </c>
      <c r="G427">
        <v>3893</v>
      </c>
      <c r="H427">
        <v>300</v>
      </c>
    </row>
    <row r="428" spans="2:8">
      <c r="B428" t="s">
        <v>442</v>
      </c>
      <c r="C428" t="s">
        <v>259</v>
      </c>
      <c r="D428">
        <v>3893</v>
      </c>
      <c r="E428">
        <v>3893</v>
      </c>
      <c r="F428">
        <v>3893</v>
      </c>
      <c r="G428">
        <v>3893</v>
      </c>
      <c r="H428">
        <v>300</v>
      </c>
    </row>
    <row r="429" spans="2:8">
      <c r="B429" t="s">
        <v>442</v>
      </c>
      <c r="C429" t="s">
        <v>260</v>
      </c>
      <c r="D429">
        <v>3893</v>
      </c>
      <c r="E429">
        <v>3893</v>
      </c>
      <c r="F429">
        <v>3892</v>
      </c>
      <c r="G429">
        <v>3893</v>
      </c>
      <c r="H429">
        <v>300</v>
      </c>
    </row>
    <row r="430" spans="2:8">
      <c r="B430" t="s">
        <v>442</v>
      </c>
      <c r="C430" t="s">
        <v>261</v>
      </c>
      <c r="D430">
        <v>3892</v>
      </c>
      <c r="E430">
        <v>3892</v>
      </c>
      <c r="F430">
        <v>3892</v>
      </c>
      <c r="G430">
        <v>3892</v>
      </c>
      <c r="H430">
        <v>300</v>
      </c>
    </row>
    <row r="431" spans="2:8">
      <c r="B431" t="s">
        <v>442</v>
      </c>
      <c r="C431" t="s">
        <v>262</v>
      </c>
      <c r="D431">
        <v>3892</v>
      </c>
      <c r="E431">
        <v>3893</v>
      </c>
      <c r="F431">
        <v>3891</v>
      </c>
      <c r="G431">
        <v>3893</v>
      </c>
      <c r="H431">
        <v>1000</v>
      </c>
    </row>
    <row r="432" spans="2:8">
      <c r="B432" t="s">
        <v>442</v>
      </c>
      <c r="C432" t="s">
        <v>263</v>
      </c>
      <c r="D432">
        <v>3893</v>
      </c>
      <c r="E432">
        <v>3893</v>
      </c>
      <c r="F432">
        <v>3892</v>
      </c>
      <c r="G432">
        <v>3893</v>
      </c>
      <c r="H432">
        <v>1100</v>
      </c>
    </row>
    <row r="433" spans="2:8">
      <c r="B433" t="s">
        <v>442</v>
      </c>
      <c r="C433" t="s">
        <v>264</v>
      </c>
      <c r="D433">
        <v>3892</v>
      </c>
      <c r="E433">
        <v>3892</v>
      </c>
      <c r="F433">
        <v>3892</v>
      </c>
      <c r="G433">
        <v>3892</v>
      </c>
      <c r="H433">
        <v>200</v>
      </c>
    </row>
    <row r="434" spans="2:8">
      <c r="B434" t="s">
        <v>442</v>
      </c>
      <c r="C434" t="s">
        <v>265</v>
      </c>
      <c r="D434">
        <v>3891</v>
      </c>
      <c r="E434">
        <v>3891</v>
      </c>
      <c r="F434">
        <v>3884</v>
      </c>
      <c r="G434">
        <v>3886</v>
      </c>
      <c r="H434">
        <v>11500</v>
      </c>
    </row>
    <row r="435" spans="2:8">
      <c r="B435" t="s">
        <v>442</v>
      </c>
      <c r="C435" t="s">
        <v>266</v>
      </c>
      <c r="D435">
        <v>3884</v>
      </c>
      <c r="E435">
        <v>3884</v>
      </c>
      <c r="F435">
        <v>3881</v>
      </c>
      <c r="G435">
        <v>3881</v>
      </c>
      <c r="H435">
        <v>1900</v>
      </c>
    </row>
    <row r="436" spans="2:8">
      <c r="B436" t="s">
        <v>442</v>
      </c>
      <c r="C436" t="s">
        <v>267</v>
      </c>
      <c r="D436">
        <v>3881</v>
      </c>
      <c r="E436">
        <v>3887</v>
      </c>
      <c r="F436">
        <v>3881</v>
      </c>
      <c r="G436">
        <v>3884</v>
      </c>
      <c r="H436">
        <v>6700</v>
      </c>
    </row>
    <row r="437" spans="2:8">
      <c r="B437" t="s">
        <v>442</v>
      </c>
      <c r="C437" t="s">
        <v>268</v>
      </c>
      <c r="D437">
        <v>3884</v>
      </c>
      <c r="E437">
        <v>3885</v>
      </c>
      <c r="F437">
        <v>3884</v>
      </c>
      <c r="G437">
        <v>3885</v>
      </c>
      <c r="H437">
        <v>1000</v>
      </c>
    </row>
    <row r="438" spans="2:8">
      <c r="B438" t="s">
        <v>442</v>
      </c>
      <c r="C438" t="s">
        <v>269</v>
      </c>
      <c r="D438">
        <v>3886</v>
      </c>
      <c r="E438">
        <v>3887</v>
      </c>
      <c r="F438">
        <v>3885</v>
      </c>
      <c r="G438">
        <v>3887</v>
      </c>
      <c r="H438">
        <v>1300</v>
      </c>
    </row>
    <row r="439" spans="2:8">
      <c r="B439" t="s">
        <v>442</v>
      </c>
      <c r="C439" t="s">
        <v>270</v>
      </c>
      <c r="D439" t="s">
        <v>8</v>
      </c>
      <c r="E439" t="s">
        <v>8</v>
      </c>
      <c r="F439" t="s">
        <v>8</v>
      </c>
      <c r="G439" t="s">
        <v>8</v>
      </c>
      <c r="H439">
        <v>0</v>
      </c>
    </row>
    <row r="440" spans="2:8">
      <c r="B440" t="s">
        <v>442</v>
      </c>
      <c r="C440" t="s">
        <v>271</v>
      </c>
      <c r="D440">
        <v>3886</v>
      </c>
      <c r="E440">
        <v>3886</v>
      </c>
      <c r="F440">
        <v>3884</v>
      </c>
      <c r="G440">
        <v>3885</v>
      </c>
      <c r="H440">
        <v>2200</v>
      </c>
    </row>
    <row r="441" spans="2:8">
      <c r="B441" t="s">
        <v>442</v>
      </c>
      <c r="C441" t="s">
        <v>272</v>
      </c>
      <c r="D441">
        <v>3883</v>
      </c>
      <c r="E441">
        <v>3883</v>
      </c>
      <c r="F441">
        <v>3883</v>
      </c>
      <c r="G441">
        <v>3883</v>
      </c>
      <c r="H441">
        <v>100</v>
      </c>
    </row>
    <row r="442" spans="2:8">
      <c r="B442" t="s">
        <v>442</v>
      </c>
      <c r="C442" t="s">
        <v>273</v>
      </c>
      <c r="D442">
        <v>3883</v>
      </c>
      <c r="E442">
        <v>3883</v>
      </c>
      <c r="F442">
        <v>3883</v>
      </c>
      <c r="G442">
        <v>3883</v>
      </c>
      <c r="H442">
        <v>500</v>
      </c>
    </row>
    <row r="443" spans="2:8">
      <c r="B443" t="s">
        <v>442</v>
      </c>
      <c r="C443" t="s">
        <v>274</v>
      </c>
      <c r="D443">
        <v>3882</v>
      </c>
      <c r="E443">
        <v>3882</v>
      </c>
      <c r="F443">
        <v>3882</v>
      </c>
      <c r="G443">
        <v>3882</v>
      </c>
      <c r="H443">
        <v>300</v>
      </c>
    </row>
    <row r="444" spans="2:8">
      <c r="B444" t="s">
        <v>442</v>
      </c>
      <c r="C444" t="s">
        <v>275</v>
      </c>
      <c r="D444">
        <v>3882</v>
      </c>
      <c r="E444">
        <v>3882</v>
      </c>
      <c r="F444">
        <v>3880</v>
      </c>
      <c r="G444">
        <v>3882</v>
      </c>
      <c r="H444">
        <v>3500</v>
      </c>
    </row>
    <row r="445" spans="2:8">
      <c r="B445" t="s">
        <v>442</v>
      </c>
      <c r="C445" t="s">
        <v>276</v>
      </c>
      <c r="D445">
        <v>3882</v>
      </c>
      <c r="E445">
        <v>3884</v>
      </c>
      <c r="F445">
        <v>3882</v>
      </c>
      <c r="G445">
        <v>3884</v>
      </c>
      <c r="H445">
        <v>1100</v>
      </c>
    </row>
    <row r="446" spans="2:8">
      <c r="B446" t="s">
        <v>442</v>
      </c>
      <c r="C446" t="s">
        <v>277</v>
      </c>
      <c r="D446">
        <v>3884</v>
      </c>
      <c r="E446">
        <v>3885</v>
      </c>
      <c r="F446">
        <v>3884</v>
      </c>
      <c r="G446">
        <v>3884</v>
      </c>
      <c r="H446">
        <v>900</v>
      </c>
    </row>
    <row r="447" spans="2:8">
      <c r="B447" t="s">
        <v>442</v>
      </c>
      <c r="C447" t="s">
        <v>278</v>
      </c>
      <c r="D447">
        <v>3884</v>
      </c>
      <c r="E447">
        <v>3884</v>
      </c>
      <c r="F447">
        <v>3884</v>
      </c>
      <c r="G447">
        <v>3884</v>
      </c>
      <c r="H447">
        <v>100</v>
      </c>
    </row>
    <row r="448" spans="2:8">
      <c r="B448" t="s">
        <v>442</v>
      </c>
      <c r="C448" t="s">
        <v>279</v>
      </c>
      <c r="D448">
        <v>3883</v>
      </c>
      <c r="E448">
        <v>3883</v>
      </c>
      <c r="F448">
        <v>3879</v>
      </c>
      <c r="G448">
        <v>3879</v>
      </c>
      <c r="H448">
        <v>3900</v>
      </c>
    </row>
    <row r="449" spans="2:8">
      <c r="B449" t="s">
        <v>442</v>
      </c>
      <c r="C449" t="s">
        <v>280</v>
      </c>
      <c r="D449">
        <v>3878</v>
      </c>
      <c r="E449">
        <v>3878</v>
      </c>
      <c r="F449">
        <v>3877</v>
      </c>
      <c r="G449">
        <v>3878</v>
      </c>
      <c r="H449">
        <v>1300</v>
      </c>
    </row>
    <row r="450" spans="2:8">
      <c r="B450" t="s">
        <v>442</v>
      </c>
      <c r="C450" t="s">
        <v>281</v>
      </c>
      <c r="D450">
        <v>3878</v>
      </c>
      <c r="E450">
        <v>3878</v>
      </c>
      <c r="F450">
        <v>3875</v>
      </c>
      <c r="G450">
        <v>3876</v>
      </c>
      <c r="H450">
        <v>3700</v>
      </c>
    </row>
    <row r="451" spans="2:8">
      <c r="B451" t="s">
        <v>442</v>
      </c>
      <c r="C451" t="s">
        <v>282</v>
      </c>
      <c r="D451">
        <v>3876</v>
      </c>
      <c r="E451">
        <v>3876</v>
      </c>
      <c r="F451">
        <v>3876</v>
      </c>
      <c r="G451">
        <v>3876</v>
      </c>
      <c r="H451">
        <v>900</v>
      </c>
    </row>
    <row r="452" spans="2:8">
      <c r="B452" t="s">
        <v>442</v>
      </c>
      <c r="C452" t="s">
        <v>283</v>
      </c>
      <c r="D452">
        <v>3875</v>
      </c>
      <c r="E452">
        <v>3876</v>
      </c>
      <c r="F452">
        <v>3875</v>
      </c>
      <c r="G452">
        <v>3876</v>
      </c>
      <c r="H452">
        <v>400</v>
      </c>
    </row>
    <row r="453" spans="2:8">
      <c r="B453" t="s">
        <v>442</v>
      </c>
      <c r="C453" t="s">
        <v>284</v>
      </c>
      <c r="D453">
        <v>3877</v>
      </c>
      <c r="E453">
        <v>3878</v>
      </c>
      <c r="F453">
        <v>3877</v>
      </c>
      <c r="G453">
        <v>3877</v>
      </c>
      <c r="H453">
        <v>400</v>
      </c>
    </row>
    <row r="454" spans="2:8">
      <c r="B454" t="s">
        <v>442</v>
      </c>
      <c r="C454" t="s">
        <v>285</v>
      </c>
      <c r="D454">
        <v>3876</v>
      </c>
      <c r="E454">
        <v>3876</v>
      </c>
      <c r="F454">
        <v>3874</v>
      </c>
      <c r="G454">
        <v>3874</v>
      </c>
      <c r="H454">
        <v>1700</v>
      </c>
    </row>
    <row r="455" spans="2:8">
      <c r="B455" t="s">
        <v>442</v>
      </c>
      <c r="C455" t="s">
        <v>286</v>
      </c>
      <c r="D455">
        <v>3872</v>
      </c>
      <c r="E455">
        <v>3873</v>
      </c>
      <c r="F455">
        <v>3872</v>
      </c>
      <c r="G455">
        <v>3873</v>
      </c>
      <c r="H455">
        <v>1300</v>
      </c>
    </row>
    <row r="456" spans="2:8">
      <c r="B456" t="s">
        <v>442</v>
      </c>
      <c r="C456" t="s">
        <v>287</v>
      </c>
      <c r="D456">
        <v>3872</v>
      </c>
      <c r="E456">
        <v>3873</v>
      </c>
      <c r="F456">
        <v>3866</v>
      </c>
      <c r="G456">
        <v>3871</v>
      </c>
      <c r="H456">
        <v>13000</v>
      </c>
    </row>
    <row r="457" spans="2:8">
      <c r="B457" t="s">
        <v>442</v>
      </c>
      <c r="C457" t="s">
        <v>288</v>
      </c>
      <c r="D457">
        <v>3869</v>
      </c>
      <c r="E457">
        <v>3870</v>
      </c>
      <c r="F457">
        <v>3869</v>
      </c>
      <c r="G457">
        <v>3870</v>
      </c>
      <c r="H457">
        <v>400</v>
      </c>
    </row>
    <row r="458" spans="2:8">
      <c r="B458" t="s">
        <v>442</v>
      </c>
      <c r="C458" t="s">
        <v>289</v>
      </c>
      <c r="D458">
        <v>3872</v>
      </c>
      <c r="E458">
        <v>3874</v>
      </c>
      <c r="F458">
        <v>3872</v>
      </c>
      <c r="G458">
        <v>3874</v>
      </c>
      <c r="H458">
        <v>600</v>
      </c>
    </row>
    <row r="459" spans="2:8">
      <c r="B459" t="s">
        <v>442</v>
      </c>
      <c r="C459" t="s">
        <v>290</v>
      </c>
      <c r="D459" t="s">
        <v>8</v>
      </c>
      <c r="E459" t="s">
        <v>8</v>
      </c>
      <c r="F459" t="s">
        <v>8</v>
      </c>
      <c r="G459" t="s">
        <v>8</v>
      </c>
      <c r="H459">
        <v>0</v>
      </c>
    </row>
    <row r="460" spans="2:8">
      <c r="B460" t="s">
        <v>442</v>
      </c>
      <c r="C460" t="s">
        <v>291</v>
      </c>
      <c r="D460">
        <v>3872</v>
      </c>
      <c r="E460">
        <v>3873</v>
      </c>
      <c r="F460">
        <v>3872</v>
      </c>
      <c r="G460">
        <v>3873</v>
      </c>
      <c r="H460">
        <v>500</v>
      </c>
    </row>
    <row r="461" spans="2:8">
      <c r="B461" t="s">
        <v>442</v>
      </c>
      <c r="C461" t="s">
        <v>292</v>
      </c>
      <c r="D461">
        <v>3873</v>
      </c>
      <c r="E461">
        <v>3873</v>
      </c>
      <c r="F461">
        <v>3872</v>
      </c>
      <c r="G461">
        <v>3873</v>
      </c>
      <c r="H461">
        <v>2200</v>
      </c>
    </row>
    <row r="462" spans="2:8">
      <c r="B462" t="s">
        <v>442</v>
      </c>
      <c r="C462" t="s">
        <v>293</v>
      </c>
      <c r="D462">
        <v>3874</v>
      </c>
      <c r="E462">
        <v>3874</v>
      </c>
      <c r="F462">
        <v>3874</v>
      </c>
      <c r="G462">
        <v>3874</v>
      </c>
      <c r="H462">
        <v>1500</v>
      </c>
    </row>
    <row r="463" spans="2:8">
      <c r="B463" t="s">
        <v>442</v>
      </c>
      <c r="C463" t="s">
        <v>294</v>
      </c>
      <c r="D463">
        <v>3874</v>
      </c>
      <c r="E463">
        <v>3874</v>
      </c>
      <c r="F463">
        <v>3873</v>
      </c>
      <c r="G463">
        <v>3874</v>
      </c>
      <c r="H463">
        <v>1100</v>
      </c>
    </row>
    <row r="464" spans="2:8">
      <c r="B464" t="s">
        <v>442</v>
      </c>
      <c r="C464" t="s">
        <v>295</v>
      </c>
      <c r="D464">
        <v>3872</v>
      </c>
      <c r="E464">
        <v>3874</v>
      </c>
      <c r="F464">
        <v>3870</v>
      </c>
      <c r="G464">
        <v>3874</v>
      </c>
      <c r="H464">
        <v>1900</v>
      </c>
    </row>
    <row r="465" spans="2:8">
      <c r="B465" t="s">
        <v>442</v>
      </c>
      <c r="C465" t="s">
        <v>296</v>
      </c>
      <c r="D465">
        <v>3872</v>
      </c>
      <c r="E465">
        <v>3872</v>
      </c>
      <c r="F465">
        <v>3871</v>
      </c>
      <c r="G465">
        <v>3871</v>
      </c>
      <c r="H465">
        <v>500</v>
      </c>
    </row>
    <row r="466" spans="2:8">
      <c r="B466" t="s">
        <v>442</v>
      </c>
      <c r="C466" t="s">
        <v>297</v>
      </c>
      <c r="D466">
        <v>3873</v>
      </c>
      <c r="E466">
        <v>3874</v>
      </c>
      <c r="F466">
        <v>3872</v>
      </c>
      <c r="G466">
        <v>3872</v>
      </c>
      <c r="H466">
        <v>600</v>
      </c>
    </row>
    <row r="467" spans="2:8">
      <c r="B467" t="s">
        <v>442</v>
      </c>
      <c r="C467" t="s">
        <v>298</v>
      </c>
      <c r="D467">
        <v>3873</v>
      </c>
      <c r="E467">
        <v>3873</v>
      </c>
      <c r="F467">
        <v>3872</v>
      </c>
      <c r="G467">
        <v>3872</v>
      </c>
      <c r="H467">
        <v>400</v>
      </c>
    </row>
    <row r="468" spans="2:8">
      <c r="B468" t="s">
        <v>442</v>
      </c>
      <c r="C468" t="s">
        <v>299</v>
      </c>
      <c r="D468">
        <v>3872</v>
      </c>
      <c r="E468">
        <v>3872</v>
      </c>
      <c r="F468">
        <v>3871</v>
      </c>
      <c r="G468">
        <v>3871</v>
      </c>
      <c r="H468">
        <v>1600</v>
      </c>
    </row>
    <row r="469" spans="2:8">
      <c r="B469" t="s">
        <v>442</v>
      </c>
      <c r="C469" t="s">
        <v>300</v>
      </c>
      <c r="D469">
        <v>3871</v>
      </c>
      <c r="E469">
        <v>3871</v>
      </c>
      <c r="F469">
        <v>3870</v>
      </c>
      <c r="G469">
        <v>3871</v>
      </c>
      <c r="H469">
        <v>500</v>
      </c>
    </row>
    <row r="470" spans="2:8">
      <c r="B470" t="s">
        <v>442</v>
      </c>
      <c r="C470" t="s">
        <v>301</v>
      </c>
      <c r="D470">
        <v>3871</v>
      </c>
      <c r="E470">
        <v>3871</v>
      </c>
      <c r="F470">
        <v>3870</v>
      </c>
      <c r="G470">
        <v>3870</v>
      </c>
      <c r="H470">
        <v>900</v>
      </c>
    </row>
    <row r="471" spans="2:8">
      <c r="B471" t="s">
        <v>442</v>
      </c>
      <c r="C471" t="s">
        <v>302</v>
      </c>
      <c r="D471">
        <v>3869</v>
      </c>
      <c r="E471">
        <v>3869</v>
      </c>
      <c r="F471">
        <v>3866</v>
      </c>
      <c r="G471">
        <v>3867</v>
      </c>
      <c r="H471">
        <v>1700</v>
      </c>
    </row>
    <row r="472" spans="2:8">
      <c r="B472" t="s">
        <v>442</v>
      </c>
      <c r="C472" t="s">
        <v>303</v>
      </c>
      <c r="D472">
        <v>3867</v>
      </c>
      <c r="E472">
        <v>3867</v>
      </c>
      <c r="F472">
        <v>3866</v>
      </c>
      <c r="G472">
        <v>3866</v>
      </c>
      <c r="H472">
        <v>400</v>
      </c>
    </row>
    <row r="473" spans="2:8">
      <c r="B473" t="s">
        <v>442</v>
      </c>
      <c r="C473" t="s">
        <v>304</v>
      </c>
      <c r="D473">
        <v>3866</v>
      </c>
      <c r="E473">
        <v>3866</v>
      </c>
      <c r="F473">
        <v>3865</v>
      </c>
      <c r="G473">
        <v>3865</v>
      </c>
      <c r="H473">
        <v>2200</v>
      </c>
    </row>
    <row r="474" spans="2:8">
      <c r="B474" t="s">
        <v>442</v>
      </c>
      <c r="C474" t="s">
        <v>305</v>
      </c>
      <c r="D474">
        <v>3865</v>
      </c>
      <c r="E474">
        <v>3866</v>
      </c>
      <c r="F474">
        <v>3861</v>
      </c>
      <c r="G474">
        <v>3861</v>
      </c>
      <c r="H474">
        <v>10500</v>
      </c>
    </row>
    <row r="475" spans="2:8">
      <c r="B475" t="s">
        <v>442</v>
      </c>
      <c r="C475" t="s">
        <v>306</v>
      </c>
      <c r="D475">
        <v>3862</v>
      </c>
      <c r="E475">
        <v>3862</v>
      </c>
      <c r="F475">
        <v>3862</v>
      </c>
      <c r="G475">
        <v>3862</v>
      </c>
      <c r="H475">
        <v>200</v>
      </c>
    </row>
    <row r="476" spans="2:8">
      <c r="B476" t="s">
        <v>442</v>
      </c>
      <c r="C476" t="s">
        <v>307</v>
      </c>
      <c r="D476">
        <v>3861</v>
      </c>
      <c r="E476">
        <v>3863</v>
      </c>
      <c r="F476">
        <v>3861</v>
      </c>
      <c r="G476">
        <v>3863</v>
      </c>
      <c r="H476">
        <v>3200</v>
      </c>
    </row>
    <row r="477" spans="2:8">
      <c r="B477" t="s">
        <v>442</v>
      </c>
      <c r="C477" t="s">
        <v>308</v>
      </c>
      <c r="D477">
        <v>3863</v>
      </c>
      <c r="E477">
        <v>3863</v>
      </c>
      <c r="F477">
        <v>3863</v>
      </c>
      <c r="G477">
        <v>3863</v>
      </c>
      <c r="H477">
        <v>800</v>
      </c>
    </row>
    <row r="478" spans="2:8">
      <c r="B478" t="s">
        <v>442</v>
      </c>
      <c r="C478" t="s">
        <v>309</v>
      </c>
      <c r="D478" t="s">
        <v>8</v>
      </c>
      <c r="E478" t="s">
        <v>8</v>
      </c>
      <c r="F478" t="s">
        <v>8</v>
      </c>
      <c r="G478" t="s">
        <v>8</v>
      </c>
      <c r="H478">
        <v>0</v>
      </c>
    </row>
    <row r="479" spans="2:8">
      <c r="B479" t="s">
        <v>442</v>
      </c>
      <c r="C479" t="s">
        <v>310</v>
      </c>
      <c r="D479">
        <v>3863</v>
      </c>
      <c r="E479">
        <v>3863</v>
      </c>
      <c r="F479">
        <v>3863</v>
      </c>
      <c r="G479">
        <v>3863</v>
      </c>
      <c r="H479">
        <v>400</v>
      </c>
    </row>
    <row r="480" spans="2:8">
      <c r="B480" t="s">
        <v>442</v>
      </c>
      <c r="C480" t="s">
        <v>311</v>
      </c>
      <c r="D480">
        <v>3862</v>
      </c>
      <c r="E480">
        <v>3863</v>
      </c>
      <c r="F480">
        <v>3862</v>
      </c>
      <c r="G480">
        <v>3863</v>
      </c>
      <c r="H480">
        <v>700</v>
      </c>
    </row>
    <row r="481" spans="2:8">
      <c r="B481" t="s">
        <v>442</v>
      </c>
      <c r="C481" t="s">
        <v>312</v>
      </c>
      <c r="D481">
        <v>3863</v>
      </c>
      <c r="E481">
        <v>3863</v>
      </c>
      <c r="F481">
        <v>3863</v>
      </c>
      <c r="G481">
        <v>3863</v>
      </c>
      <c r="H481">
        <v>400</v>
      </c>
    </row>
    <row r="482" spans="2:8">
      <c r="B482" t="s">
        <v>442</v>
      </c>
      <c r="C482" t="s">
        <v>313</v>
      </c>
      <c r="D482">
        <v>3862</v>
      </c>
      <c r="E482">
        <v>3862</v>
      </c>
      <c r="F482">
        <v>3860</v>
      </c>
      <c r="G482">
        <v>3860</v>
      </c>
      <c r="H482">
        <v>1900</v>
      </c>
    </row>
    <row r="483" spans="2:8">
      <c r="B483" t="s">
        <v>442</v>
      </c>
      <c r="C483" t="s">
        <v>314</v>
      </c>
      <c r="D483">
        <v>3861</v>
      </c>
      <c r="E483">
        <v>3861</v>
      </c>
      <c r="F483">
        <v>3858</v>
      </c>
      <c r="G483">
        <v>3861</v>
      </c>
      <c r="H483">
        <v>7100</v>
      </c>
    </row>
    <row r="484" spans="2:8">
      <c r="B484" t="s">
        <v>442</v>
      </c>
      <c r="C484" t="s">
        <v>315</v>
      </c>
      <c r="D484">
        <v>3860</v>
      </c>
      <c r="E484">
        <v>3861</v>
      </c>
      <c r="F484">
        <v>3860</v>
      </c>
      <c r="G484">
        <v>3860</v>
      </c>
      <c r="H484">
        <v>1200</v>
      </c>
    </row>
    <row r="485" spans="2:8">
      <c r="B485" t="s">
        <v>442</v>
      </c>
      <c r="C485" t="s">
        <v>316</v>
      </c>
      <c r="D485">
        <v>3861</v>
      </c>
      <c r="E485">
        <v>3861</v>
      </c>
      <c r="F485">
        <v>3861</v>
      </c>
      <c r="G485">
        <v>3861</v>
      </c>
      <c r="H485">
        <v>800</v>
      </c>
    </row>
    <row r="486" spans="2:8">
      <c r="B486" t="s">
        <v>442</v>
      </c>
      <c r="C486" t="s">
        <v>317</v>
      </c>
      <c r="D486">
        <v>3860</v>
      </c>
      <c r="E486">
        <v>3871</v>
      </c>
      <c r="F486">
        <v>3860</v>
      </c>
      <c r="G486">
        <v>3864</v>
      </c>
      <c r="H486">
        <v>18300</v>
      </c>
    </row>
    <row r="487" spans="2:8">
      <c r="B487" t="s">
        <v>442</v>
      </c>
      <c r="C487" t="s">
        <v>318</v>
      </c>
      <c r="D487">
        <v>3864</v>
      </c>
      <c r="E487">
        <v>3867</v>
      </c>
      <c r="F487">
        <v>3863</v>
      </c>
      <c r="G487">
        <v>3867</v>
      </c>
      <c r="H487">
        <v>1300</v>
      </c>
    </row>
    <row r="488" spans="2:8">
      <c r="B488" t="s">
        <v>442</v>
      </c>
      <c r="C488" t="s">
        <v>319</v>
      </c>
      <c r="D488">
        <v>3865</v>
      </c>
      <c r="E488">
        <v>3866</v>
      </c>
      <c r="F488">
        <v>3864</v>
      </c>
      <c r="G488">
        <v>3866</v>
      </c>
      <c r="H488">
        <v>1100</v>
      </c>
    </row>
    <row r="489" spans="2:8">
      <c r="B489" t="s">
        <v>442</v>
      </c>
      <c r="C489" t="s">
        <v>320</v>
      </c>
      <c r="D489">
        <v>3865</v>
      </c>
      <c r="E489">
        <v>3867</v>
      </c>
      <c r="F489">
        <v>3864</v>
      </c>
      <c r="G489">
        <v>3866</v>
      </c>
      <c r="H489">
        <v>4900</v>
      </c>
    </row>
    <row r="490" spans="2:8">
      <c r="B490" t="s">
        <v>442</v>
      </c>
      <c r="C490" t="s">
        <v>321</v>
      </c>
      <c r="D490">
        <v>3865</v>
      </c>
      <c r="E490">
        <v>3867</v>
      </c>
      <c r="F490">
        <v>3865</v>
      </c>
      <c r="G490">
        <v>3867</v>
      </c>
      <c r="H490">
        <v>1200</v>
      </c>
    </row>
    <row r="491" spans="2:8">
      <c r="B491" t="s">
        <v>442</v>
      </c>
      <c r="C491" t="s">
        <v>322</v>
      </c>
      <c r="D491">
        <v>3868</v>
      </c>
      <c r="E491">
        <v>3868</v>
      </c>
      <c r="F491">
        <v>3868</v>
      </c>
      <c r="G491">
        <v>3868</v>
      </c>
      <c r="H491">
        <v>1000</v>
      </c>
    </row>
    <row r="492" spans="2:8">
      <c r="B492" t="s">
        <v>442</v>
      </c>
      <c r="C492" t="s">
        <v>323</v>
      </c>
      <c r="D492">
        <v>3868</v>
      </c>
      <c r="E492">
        <v>3870</v>
      </c>
      <c r="F492">
        <v>3868</v>
      </c>
      <c r="G492">
        <v>3870</v>
      </c>
      <c r="H492">
        <v>1200</v>
      </c>
    </row>
    <row r="493" spans="2:8">
      <c r="B493" t="s">
        <v>442</v>
      </c>
      <c r="C493" t="s">
        <v>324</v>
      </c>
      <c r="D493">
        <v>3870</v>
      </c>
      <c r="E493">
        <v>3871</v>
      </c>
      <c r="F493">
        <v>3869</v>
      </c>
      <c r="G493">
        <v>3869</v>
      </c>
      <c r="H493">
        <v>7100</v>
      </c>
    </row>
    <row r="494" spans="2:8">
      <c r="B494" t="s">
        <v>442</v>
      </c>
      <c r="C494" t="s">
        <v>325</v>
      </c>
      <c r="D494">
        <v>3869</v>
      </c>
      <c r="E494">
        <v>3869</v>
      </c>
      <c r="F494">
        <v>3867</v>
      </c>
      <c r="G494">
        <v>3867</v>
      </c>
      <c r="H494">
        <v>900</v>
      </c>
    </row>
    <row r="495" spans="2:8">
      <c r="B495" t="s">
        <v>442</v>
      </c>
      <c r="C495" t="s">
        <v>326</v>
      </c>
      <c r="D495">
        <v>3868</v>
      </c>
      <c r="E495">
        <v>3869</v>
      </c>
      <c r="F495">
        <v>3868</v>
      </c>
      <c r="G495">
        <v>3869</v>
      </c>
      <c r="H495">
        <v>1000</v>
      </c>
    </row>
    <row r="496" spans="2:8">
      <c r="B496" t="s">
        <v>442</v>
      </c>
      <c r="C496" t="s">
        <v>327</v>
      </c>
      <c r="D496">
        <v>3869</v>
      </c>
      <c r="E496">
        <v>3869</v>
      </c>
      <c r="F496">
        <v>3866</v>
      </c>
      <c r="G496">
        <v>3866</v>
      </c>
      <c r="H496">
        <v>3800</v>
      </c>
    </row>
    <row r="497" spans="2:8">
      <c r="B497" t="s">
        <v>442</v>
      </c>
      <c r="C497" t="s">
        <v>328</v>
      </c>
      <c r="D497">
        <v>3866</v>
      </c>
      <c r="E497">
        <v>3866</v>
      </c>
      <c r="F497">
        <v>3866</v>
      </c>
      <c r="G497">
        <v>3866</v>
      </c>
      <c r="H497">
        <v>600</v>
      </c>
    </row>
    <row r="498" spans="2:8">
      <c r="B498" t="s">
        <v>442</v>
      </c>
      <c r="C498" t="s">
        <v>329</v>
      </c>
      <c r="D498">
        <v>3866</v>
      </c>
      <c r="E498">
        <v>3869</v>
      </c>
      <c r="F498">
        <v>3866</v>
      </c>
      <c r="G498">
        <v>3869</v>
      </c>
      <c r="H498">
        <v>3100</v>
      </c>
    </row>
    <row r="499" spans="2:8">
      <c r="B499" t="s">
        <v>442</v>
      </c>
      <c r="C499" t="s">
        <v>330</v>
      </c>
      <c r="D499">
        <v>3867</v>
      </c>
      <c r="E499">
        <v>3868</v>
      </c>
      <c r="F499">
        <v>3866</v>
      </c>
      <c r="G499">
        <v>3868</v>
      </c>
      <c r="H499">
        <v>1200</v>
      </c>
    </row>
    <row r="500" spans="2:8">
      <c r="B500" t="s">
        <v>442</v>
      </c>
      <c r="C500" t="s">
        <v>331</v>
      </c>
      <c r="D500">
        <v>3867</v>
      </c>
      <c r="E500">
        <v>3867</v>
      </c>
      <c r="F500">
        <v>3865</v>
      </c>
      <c r="G500">
        <v>3865</v>
      </c>
      <c r="H500">
        <v>6000</v>
      </c>
    </row>
    <row r="501" spans="2:8">
      <c r="B501" t="s">
        <v>442</v>
      </c>
      <c r="C501" t="s">
        <v>332</v>
      </c>
      <c r="D501">
        <v>3866</v>
      </c>
      <c r="E501">
        <v>3866</v>
      </c>
      <c r="F501">
        <v>3866</v>
      </c>
      <c r="G501">
        <v>3866</v>
      </c>
      <c r="H501">
        <v>900</v>
      </c>
    </row>
    <row r="502" spans="2:8">
      <c r="B502" t="s">
        <v>442</v>
      </c>
      <c r="C502" t="s">
        <v>333</v>
      </c>
      <c r="D502">
        <v>3867</v>
      </c>
      <c r="E502">
        <v>3867</v>
      </c>
      <c r="F502">
        <v>3866</v>
      </c>
      <c r="G502">
        <v>3867</v>
      </c>
      <c r="H502">
        <v>1800</v>
      </c>
    </row>
    <row r="503" spans="2:8">
      <c r="B503" t="s">
        <v>442</v>
      </c>
      <c r="C503" t="s">
        <v>334</v>
      </c>
      <c r="D503">
        <v>3867</v>
      </c>
      <c r="E503">
        <v>3867</v>
      </c>
      <c r="F503">
        <v>3866</v>
      </c>
      <c r="G503">
        <v>3866</v>
      </c>
      <c r="H503">
        <v>1700</v>
      </c>
    </row>
    <row r="504" spans="2:8">
      <c r="B504" t="s">
        <v>442</v>
      </c>
      <c r="C504" t="s">
        <v>335</v>
      </c>
      <c r="D504">
        <v>3865</v>
      </c>
      <c r="E504">
        <v>3865</v>
      </c>
      <c r="F504">
        <v>3864</v>
      </c>
      <c r="G504">
        <v>3865</v>
      </c>
      <c r="H504">
        <v>2400</v>
      </c>
    </row>
    <row r="505" spans="2:8">
      <c r="B505" t="s">
        <v>442</v>
      </c>
      <c r="C505" t="s">
        <v>336</v>
      </c>
      <c r="D505">
        <v>3864</v>
      </c>
      <c r="E505">
        <v>3865</v>
      </c>
      <c r="F505">
        <v>3864</v>
      </c>
      <c r="G505">
        <v>3865</v>
      </c>
      <c r="H505">
        <v>400</v>
      </c>
    </row>
    <row r="506" spans="2:8">
      <c r="B506" t="s">
        <v>442</v>
      </c>
      <c r="C506" t="s">
        <v>337</v>
      </c>
      <c r="D506">
        <v>3864</v>
      </c>
      <c r="E506">
        <v>3865</v>
      </c>
      <c r="F506">
        <v>3864</v>
      </c>
      <c r="G506">
        <v>3864</v>
      </c>
      <c r="H506">
        <v>800</v>
      </c>
    </row>
    <row r="507" spans="2:8">
      <c r="B507" t="s">
        <v>442</v>
      </c>
      <c r="C507" t="s">
        <v>338</v>
      </c>
      <c r="D507">
        <v>3864</v>
      </c>
      <c r="E507">
        <v>3864</v>
      </c>
      <c r="F507">
        <v>3861</v>
      </c>
      <c r="G507">
        <v>3863</v>
      </c>
      <c r="H507">
        <v>4500</v>
      </c>
    </row>
    <row r="508" spans="2:8">
      <c r="B508" t="s">
        <v>442</v>
      </c>
      <c r="C508" t="s">
        <v>339</v>
      </c>
      <c r="D508">
        <v>3862</v>
      </c>
      <c r="E508">
        <v>3862</v>
      </c>
      <c r="F508">
        <v>3859</v>
      </c>
      <c r="G508">
        <v>3859</v>
      </c>
      <c r="H508">
        <v>7700</v>
      </c>
    </row>
    <row r="509" spans="2:8">
      <c r="B509" t="s">
        <v>442</v>
      </c>
      <c r="C509" t="s">
        <v>340</v>
      </c>
      <c r="D509">
        <v>3858</v>
      </c>
      <c r="E509">
        <v>3858</v>
      </c>
      <c r="F509">
        <v>3857</v>
      </c>
      <c r="G509">
        <v>3857</v>
      </c>
      <c r="H509">
        <v>2200</v>
      </c>
    </row>
    <row r="510" spans="2:8">
      <c r="B510" t="s">
        <v>442</v>
      </c>
      <c r="C510" t="s">
        <v>341</v>
      </c>
      <c r="D510">
        <v>3857</v>
      </c>
      <c r="E510">
        <v>3857</v>
      </c>
      <c r="F510">
        <v>3857</v>
      </c>
      <c r="G510">
        <v>3857</v>
      </c>
      <c r="H510">
        <v>800</v>
      </c>
    </row>
    <row r="511" spans="2:8">
      <c r="B511" t="s">
        <v>442</v>
      </c>
      <c r="C511" t="s">
        <v>342</v>
      </c>
      <c r="D511">
        <v>3856</v>
      </c>
      <c r="E511">
        <v>3858</v>
      </c>
      <c r="F511">
        <v>3856</v>
      </c>
      <c r="G511">
        <v>3857</v>
      </c>
      <c r="H511">
        <v>2800</v>
      </c>
    </row>
    <row r="512" spans="2:8">
      <c r="B512" t="s">
        <v>442</v>
      </c>
      <c r="C512" t="s">
        <v>343</v>
      </c>
      <c r="D512">
        <v>3858</v>
      </c>
      <c r="E512">
        <v>3858</v>
      </c>
      <c r="F512">
        <v>3858</v>
      </c>
      <c r="G512">
        <v>3858</v>
      </c>
      <c r="H512">
        <v>1100</v>
      </c>
    </row>
    <row r="513" spans="2:8">
      <c r="B513" t="s">
        <v>442</v>
      </c>
      <c r="C513" t="s">
        <v>344</v>
      </c>
      <c r="D513">
        <v>3858</v>
      </c>
      <c r="E513">
        <v>3862</v>
      </c>
      <c r="F513">
        <v>3858</v>
      </c>
      <c r="G513">
        <v>3860</v>
      </c>
      <c r="H513">
        <v>3500</v>
      </c>
    </row>
    <row r="514" spans="2:8">
      <c r="B514" t="s">
        <v>442</v>
      </c>
      <c r="C514" t="s">
        <v>345</v>
      </c>
      <c r="D514" t="s">
        <v>8</v>
      </c>
      <c r="E514" t="s">
        <v>8</v>
      </c>
      <c r="F514" t="s">
        <v>8</v>
      </c>
      <c r="G514" t="s">
        <v>8</v>
      </c>
      <c r="H514">
        <v>0</v>
      </c>
    </row>
    <row r="515" spans="2:8">
      <c r="B515" t="s">
        <v>442</v>
      </c>
      <c r="C515" t="s">
        <v>346</v>
      </c>
      <c r="D515">
        <v>3859</v>
      </c>
      <c r="E515">
        <v>3860</v>
      </c>
      <c r="F515">
        <v>3859</v>
      </c>
      <c r="G515">
        <v>3860</v>
      </c>
      <c r="H515">
        <v>1100</v>
      </c>
    </row>
    <row r="516" spans="2:8">
      <c r="B516" t="s">
        <v>442</v>
      </c>
      <c r="C516" t="s">
        <v>347</v>
      </c>
      <c r="D516">
        <v>3860</v>
      </c>
      <c r="E516">
        <v>3860</v>
      </c>
      <c r="F516">
        <v>3858</v>
      </c>
      <c r="G516">
        <v>3859</v>
      </c>
      <c r="H516">
        <v>3200</v>
      </c>
    </row>
    <row r="517" spans="2:8">
      <c r="B517" t="s">
        <v>442</v>
      </c>
      <c r="C517" t="s">
        <v>348</v>
      </c>
      <c r="D517">
        <v>3858</v>
      </c>
      <c r="E517">
        <v>3858</v>
      </c>
      <c r="F517">
        <v>3855</v>
      </c>
      <c r="G517">
        <v>3858</v>
      </c>
      <c r="H517">
        <v>5200</v>
      </c>
    </row>
    <row r="518" spans="2:8">
      <c r="B518" t="s">
        <v>442</v>
      </c>
      <c r="C518" t="s">
        <v>349</v>
      </c>
      <c r="D518">
        <v>3859</v>
      </c>
      <c r="E518">
        <v>3859</v>
      </c>
      <c r="F518">
        <v>3858</v>
      </c>
      <c r="G518">
        <v>3858</v>
      </c>
      <c r="H518">
        <v>2300</v>
      </c>
    </row>
    <row r="519" spans="2:8">
      <c r="B519" t="s">
        <v>442</v>
      </c>
      <c r="C519" t="s">
        <v>350</v>
      </c>
      <c r="D519">
        <v>3858</v>
      </c>
      <c r="E519">
        <v>3859</v>
      </c>
      <c r="F519">
        <v>3858</v>
      </c>
      <c r="G519">
        <v>3858</v>
      </c>
      <c r="H519">
        <v>1600</v>
      </c>
    </row>
    <row r="520" spans="2:8">
      <c r="B520" t="s">
        <v>442</v>
      </c>
      <c r="C520" t="s">
        <v>351</v>
      </c>
      <c r="D520">
        <v>3858</v>
      </c>
      <c r="E520">
        <v>3858</v>
      </c>
      <c r="F520">
        <v>3858</v>
      </c>
      <c r="G520">
        <v>3858</v>
      </c>
      <c r="H520">
        <v>700</v>
      </c>
    </row>
    <row r="521" spans="2:8">
      <c r="B521" t="s">
        <v>442</v>
      </c>
      <c r="C521" t="s">
        <v>352</v>
      </c>
      <c r="D521">
        <v>3858</v>
      </c>
      <c r="E521">
        <v>3858</v>
      </c>
      <c r="F521">
        <v>3857</v>
      </c>
      <c r="G521">
        <v>3857</v>
      </c>
      <c r="H521">
        <v>900</v>
      </c>
    </row>
    <row r="522" spans="2:8">
      <c r="B522" t="s">
        <v>442</v>
      </c>
      <c r="C522" t="s">
        <v>353</v>
      </c>
      <c r="D522" t="s">
        <v>8</v>
      </c>
      <c r="E522" t="s">
        <v>8</v>
      </c>
      <c r="F522" t="s">
        <v>8</v>
      </c>
      <c r="G522" t="s">
        <v>8</v>
      </c>
      <c r="H522">
        <v>0</v>
      </c>
    </row>
    <row r="523" spans="2:8">
      <c r="B523" t="s">
        <v>442</v>
      </c>
      <c r="C523" t="s">
        <v>354</v>
      </c>
      <c r="D523">
        <v>3856</v>
      </c>
      <c r="E523">
        <v>3856</v>
      </c>
      <c r="F523">
        <v>3854</v>
      </c>
      <c r="G523">
        <v>3856</v>
      </c>
      <c r="H523">
        <v>9300</v>
      </c>
    </row>
    <row r="524" spans="2:8">
      <c r="B524" t="s">
        <v>442</v>
      </c>
      <c r="C524" t="s">
        <v>355</v>
      </c>
      <c r="D524">
        <v>3856</v>
      </c>
      <c r="E524">
        <v>3856</v>
      </c>
      <c r="F524">
        <v>3855</v>
      </c>
      <c r="G524">
        <v>3855</v>
      </c>
      <c r="H524">
        <v>300</v>
      </c>
    </row>
    <row r="525" spans="2:8">
      <c r="B525" t="s">
        <v>442</v>
      </c>
      <c r="C525" t="s">
        <v>356</v>
      </c>
      <c r="D525">
        <v>3855</v>
      </c>
      <c r="E525">
        <v>3855</v>
      </c>
      <c r="F525">
        <v>3854</v>
      </c>
      <c r="G525">
        <v>3854</v>
      </c>
      <c r="H525">
        <v>2500</v>
      </c>
    </row>
    <row r="526" spans="2:8">
      <c r="B526" t="s">
        <v>442</v>
      </c>
      <c r="C526" t="s">
        <v>357</v>
      </c>
      <c r="D526">
        <v>3854</v>
      </c>
      <c r="E526">
        <v>3854</v>
      </c>
      <c r="F526">
        <v>3852</v>
      </c>
      <c r="G526">
        <v>3853</v>
      </c>
      <c r="H526">
        <v>2800</v>
      </c>
    </row>
    <row r="527" spans="2:8">
      <c r="B527" t="s">
        <v>442</v>
      </c>
      <c r="C527" t="s">
        <v>358</v>
      </c>
      <c r="D527">
        <v>3853</v>
      </c>
      <c r="E527">
        <v>3855</v>
      </c>
      <c r="F527">
        <v>3853</v>
      </c>
      <c r="G527">
        <v>3855</v>
      </c>
      <c r="H527">
        <v>3100</v>
      </c>
    </row>
    <row r="528" spans="2:8">
      <c r="B528" t="s">
        <v>442</v>
      </c>
      <c r="C528" t="s">
        <v>359</v>
      </c>
      <c r="D528" t="s">
        <v>8</v>
      </c>
      <c r="E528" t="s">
        <v>8</v>
      </c>
      <c r="F528" t="s">
        <v>8</v>
      </c>
      <c r="G528" t="s">
        <v>8</v>
      </c>
      <c r="H528">
        <v>0</v>
      </c>
    </row>
    <row r="529" spans="2:8">
      <c r="B529" t="s">
        <v>442</v>
      </c>
      <c r="C529" t="s">
        <v>360</v>
      </c>
      <c r="D529">
        <v>3853</v>
      </c>
      <c r="E529">
        <v>3853</v>
      </c>
      <c r="F529">
        <v>3853</v>
      </c>
      <c r="G529">
        <v>3853</v>
      </c>
      <c r="H529">
        <v>600</v>
      </c>
    </row>
    <row r="530" spans="2:8">
      <c r="B530" t="s">
        <v>442</v>
      </c>
      <c r="C530" t="s">
        <v>361</v>
      </c>
      <c r="D530">
        <v>3853</v>
      </c>
      <c r="E530">
        <v>3853</v>
      </c>
      <c r="F530">
        <v>3852</v>
      </c>
      <c r="G530">
        <v>3853</v>
      </c>
      <c r="H530">
        <v>1100</v>
      </c>
    </row>
    <row r="531" spans="2:8">
      <c r="B531" t="s">
        <v>442</v>
      </c>
      <c r="C531" t="s">
        <v>362</v>
      </c>
      <c r="D531">
        <v>3853</v>
      </c>
      <c r="E531">
        <v>3856</v>
      </c>
      <c r="F531">
        <v>3853</v>
      </c>
      <c r="G531">
        <v>3854</v>
      </c>
      <c r="H531">
        <v>2800</v>
      </c>
    </row>
    <row r="532" spans="2:8">
      <c r="B532" t="s">
        <v>442</v>
      </c>
      <c r="C532" t="s">
        <v>363</v>
      </c>
      <c r="D532">
        <v>3855</v>
      </c>
      <c r="E532">
        <v>3855</v>
      </c>
      <c r="F532">
        <v>3853</v>
      </c>
      <c r="G532">
        <v>3853</v>
      </c>
      <c r="H532">
        <v>300</v>
      </c>
    </row>
    <row r="533" spans="2:8">
      <c r="B533" t="s">
        <v>442</v>
      </c>
      <c r="C533" t="s">
        <v>364</v>
      </c>
      <c r="D533">
        <v>3854</v>
      </c>
      <c r="E533">
        <v>3854</v>
      </c>
      <c r="F533">
        <v>3854</v>
      </c>
      <c r="G533">
        <v>3854</v>
      </c>
      <c r="H533">
        <v>200</v>
      </c>
    </row>
    <row r="534" spans="2:8">
      <c r="B534" t="s">
        <v>442</v>
      </c>
      <c r="C534" t="s">
        <v>365</v>
      </c>
      <c r="D534">
        <v>3854</v>
      </c>
      <c r="E534">
        <v>3854</v>
      </c>
      <c r="F534">
        <v>3854</v>
      </c>
      <c r="G534">
        <v>3854</v>
      </c>
      <c r="H534">
        <v>400</v>
      </c>
    </row>
    <row r="535" spans="2:8">
      <c r="B535" t="s">
        <v>442</v>
      </c>
      <c r="C535" t="s">
        <v>366</v>
      </c>
      <c r="D535">
        <v>3854</v>
      </c>
      <c r="E535">
        <v>3854</v>
      </c>
      <c r="F535">
        <v>3852</v>
      </c>
      <c r="G535">
        <v>3852</v>
      </c>
      <c r="H535">
        <v>1500</v>
      </c>
    </row>
    <row r="536" spans="2:8">
      <c r="B536" t="s">
        <v>442</v>
      </c>
      <c r="C536" t="s">
        <v>367</v>
      </c>
      <c r="D536">
        <v>3852</v>
      </c>
      <c r="E536">
        <v>3853</v>
      </c>
      <c r="F536">
        <v>3851</v>
      </c>
      <c r="G536">
        <v>3851</v>
      </c>
      <c r="H536">
        <v>6300</v>
      </c>
    </row>
    <row r="537" spans="2:8">
      <c r="B537" t="s">
        <v>442</v>
      </c>
      <c r="C537" t="s">
        <v>368</v>
      </c>
      <c r="D537">
        <v>3851</v>
      </c>
      <c r="E537">
        <v>3851</v>
      </c>
      <c r="F537">
        <v>3851</v>
      </c>
      <c r="G537">
        <v>3851</v>
      </c>
      <c r="H537">
        <v>300</v>
      </c>
    </row>
    <row r="538" spans="2:8">
      <c r="B538" t="s">
        <v>442</v>
      </c>
      <c r="C538" t="s">
        <v>369</v>
      </c>
      <c r="D538">
        <v>3852</v>
      </c>
      <c r="E538">
        <v>3853</v>
      </c>
      <c r="F538">
        <v>3851</v>
      </c>
      <c r="G538">
        <v>3851</v>
      </c>
      <c r="H538">
        <v>1900</v>
      </c>
    </row>
    <row r="539" spans="2:8">
      <c r="B539" t="s">
        <v>442</v>
      </c>
      <c r="C539" t="s">
        <v>370</v>
      </c>
      <c r="D539">
        <v>3851</v>
      </c>
      <c r="E539">
        <v>3851</v>
      </c>
      <c r="F539">
        <v>3850</v>
      </c>
      <c r="G539">
        <v>3851</v>
      </c>
      <c r="H539">
        <v>3200</v>
      </c>
    </row>
    <row r="540" spans="2:8">
      <c r="B540" t="s">
        <v>442</v>
      </c>
      <c r="C540" t="s">
        <v>371</v>
      </c>
      <c r="D540">
        <v>3850</v>
      </c>
      <c r="E540">
        <v>3851</v>
      </c>
      <c r="F540">
        <v>3850</v>
      </c>
      <c r="G540">
        <v>3851</v>
      </c>
      <c r="H540">
        <v>800</v>
      </c>
    </row>
    <row r="541" spans="2:8">
      <c r="B541" t="s">
        <v>442</v>
      </c>
      <c r="C541" t="s">
        <v>372</v>
      </c>
      <c r="D541">
        <v>3851</v>
      </c>
      <c r="E541">
        <v>3851</v>
      </c>
      <c r="F541">
        <v>3850</v>
      </c>
      <c r="G541">
        <v>3850</v>
      </c>
      <c r="H541">
        <v>1300</v>
      </c>
    </row>
    <row r="542" spans="2:8">
      <c r="B542" t="s">
        <v>442</v>
      </c>
      <c r="C542" t="s">
        <v>373</v>
      </c>
      <c r="D542">
        <v>3851</v>
      </c>
      <c r="E542">
        <v>3851</v>
      </c>
      <c r="F542">
        <v>3850</v>
      </c>
      <c r="G542">
        <v>3850</v>
      </c>
      <c r="H542">
        <v>200</v>
      </c>
    </row>
    <row r="543" spans="2:8">
      <c r="B543" t="s">
        <v>442</v>
      </c>
      <c r="C543" t="s">
        <v>374</v>
      </c>
      <c r="D543">
        <v>3850</v>
      </c>
      <c r="E543">
        <v>3851</v>
      </c>
      <c r="F543">
        <v>3850</v>
      </c>
      <c r="G543">
        <v>3851</v>
      </c>
      <c r="H543">
        <v>1800</v>
      </c>
    </row>
    <row r="544" spans="2:8">
      <c r="B544" t="s">
        <v>442</v>
      </c>
      <c r="C544" t="s">
        <v>375</v>
      </c>
      <c r="D544">
        <v>3852</v>
      </c>
      <c r="E544">
        <v>3853</v>
      </c>
      <c r="F544">
        <v>3852</v>
      </c>
      <c r="G544">
        <v>3853</v>
      </c>
      <c r="H544">
        <v>1900</v>
      </c>
    </row>
    <row r="545" spans="2:8">
      <c r="B545" t="s">
        <v>442</v>
      </c>
      <c r="C545" t="s">
        <v>376</v>
      </c>
      <c r="D545">
        <v>3853</v>
      </c>
      <c r="E545">
        <v>3855</v>
      </c>
      <c r="F545">
        <v>3853</v>
      </c>
      <c r="G545">
        <v>3855</v>
      </c>
      <c r="H545">
        <v>300</v>
      </c>
    </row>
    <row r="546" spans="2:8">
      <c r="B546" t="s">
        <v>442</v>
      </c>
      <c r="C546" t="s">
        <v>377</v>
      </c>
      <c r="D546">
        <v>3854</v>
      </c>
      <c r="E546">
        <v>3855</v>
      </c>
      <c r="F546">
        <v>3854</v>
      </c>
      <c r="G546">
        <v>3855</v>
      </c>
      <c r="H546">
        <v>1100</v>
      </c>
    </row>
    <row r="547" spans="2:8">
      <c r="B547" t="s">
        <v>442</v>
      </c>
      <c r="C547" t="s">
        <v>378</v>
      </c>
      <c r="D547">
        <v>3856</v>
      </c>
      <c r="E547">
        <v>3857</v>
      </c>
      <c r="F547">
        <v>3856</v>
      </c>
      <c r="G547">
        <v>3857</v>
      </c>
      <c r="H547">
        <v>1000</v>
      </c>
    </row>
    <row r="548" spans="2:8">
      <c r="B548" t="s">
        <v>442</v>
      </c>
      <c r="C548" t="s">
        <v>379</v>
      </c>
      <c r="D548">
        <v>3857</v>
      </c>
      <c r="E548">
        <v>3857</v>
      </c>
      <c r="F548">
        <v>3855</v>
      </c>
      <c r="G548">
        <v>3855</v>
      </c>
      <c r="H548">
        <v>3300</v>
      </c>
    </row>
    <row r="549" spans="2:8">
      <c r="B549" t="s">
        <v>442</v>
      </c>
      <c r="C549" t="s">
        <v>380</v>
      </c>
      <c r="D549">
        <v>3855</v>
      </c>
      <c r="E549">
        <v>3857</v>
      </c>
      <c r="F549">
        <v>3855</v>
      </c>
      <c r="G549">
        <v>3857</v>
      </c>
      <c r="H549">
        <v>800</v>
      </c>
    </row>
    <row r="550" spans="2:8">
      <c r="B550" t="s">
        <v>442</v>
      </c>
      <c r="C550" t="s">
        <v>381</v>
      </c>
      <c r="D550">
        <v>3856</v>
      </c>
      <c r="E550">
        <v>3856</v>
      </c>
      <c r="F550">
        <v>3856</v>
      </c>
      <c r="G550">
        <v>3856</v>
      </c>
      <c r="H550">
        <v>800</v>
      </c>
    </row>
    <row r="551" spans="2:8">
      <c r="B551" t="s">
        <v>442</v>
      </c>
      <c r="C551" t="s">
        <v>382</v>
      </c>
      <c r="D551">
        <v>3856</v>
      </c>
      <c r="E551">
        <v>3856</v>
      </c>
      <c r="F551">
        <v>3856</v>
      </c>
      <c r="G551">
        <v>3856</v>
      </c>
      <c r="H551">
        <v>100</v>
      </c>
    </row>
    <row r="552" spans="2:8">
      <c r="B552" t="s">
        <v>442</v>
      </c>
      <c r="C552" t="s">
        <v>383</v>
      </c>
      <c r="D552">
        <v>3856</v>
      </c>
      <c r="E552">
        <v>3856</v>
      </c>
      <c r="F552">
        <v>3856</v>
      </c>
      <c r="G552">
        <v>3856</v>
      </c>
      <c r="H552">
        <v>800</v>
      </c>
    </row>
    <row r="553" spans="2:8">
      <c r="B553" t="s">
        <v>442</v>
      </c>
      <c r="C553" t="s">
        <v>384</v>
      </c>
      <c r="D553">
        <v>3855</v>
      </c>
      <c r="E553">
        <v>3855</v>
      </c>
      <c r="F553">
        <v>3853</v>
      </c>
      <c r="G553">
        <v>3853</v>
      </c>
      <c r="H553">
        <v>1400</v>
      </c>
    </row>
    <row r="554" spans="2:8">
      <c r="B554" t="s">
        <v>442</v>
      </c>
      <c r="C554" t="s">
        <v>385</v>
      </c>
      <c r="D554">
        <v>3853</v>
      </c>
      <c r="E554">
        <v>3853</v>
      </c>
      <c r="F554">
        <v>3853</v>
      </c>
      <c r="G554">
        <v>3853</v>
      </c>
      <c r="H554">
        <v>500</v>
      </c>
    </row>
    <row r="555" spans="2:8">
      <c r="B555" t="s">
        <v>442</v>
      </c>
      <c r="C555" t="s">
        <v>386</v>
      </c>
      <c r="D555">
        <v>3852</v>
      </c>
      <c r="E555">
        <v>3852</v>
      </c>
      <c r="F555">
        <v>3852</v>
      </c>
      <c r="G555">
        <v>3852</v>
      </c>
      <c r="H555">
        <v>2100</v>
      </c>
    </row>
    <row r="556" spans="2:8">
      <c r="B556" t="s">
        <v>442</v>
      </c>
      <c r="C556" t="s">
        <v>387</v>
      </c>
      <c r="D556">
        <v>3851</v>
      </c>
      <c r="E556">
        <v>3852</v>
      </c>
      <c r="F556">
        <v>3851</v>
      </c>
      <c r="G556">
        <v>3851</v>
      </c>
      <c r="H556">
        <v>800</v>
      </c>
    </row>
    <row r="557" spans="2:8">
      <c r="B557" t="s">
        <v>442</v>
      </c>
      <c r="C557" t="s">
        <v>388</v>
      </c>
      <c r="D557">
        <v>3851</v>
      </c>
      <c r="E557">
        <v>3851</v>
      </c>
      <c r="F557">
        <v>3851</v>
      </c>
      <c r="G557">
        <v>3851</v>
      </c>
      <c r="H557">
        <v>500</v>
      </c>
    </row>
    <row r="558" spans="2:8">
      <c r="B558" t="s">
        <v>442</v>
      </c>
      <c r="C558" t="s">
        <v>389</v>
      </c>
      <c r="D558">
        <v>3851</v>
      </c>
      <c r="E558">
        <v>3851</v>
      </c>
      <c r="F558">
        <v>3850</v>
      </c>
      <c r="G558">
        <v>3851</v>
      </c>
      <c r="H558">
        <v>4800</v>
      </c>
    </row>
    <row r="559" spans="2:8">
      <c r="B559" t="s">
        <v>442</v>
      </c>
      <c r="C559" t="s">
        <v>390</v>
      </c>
      <c r="D559">
        <v>3851</v>
      </c>
      <c r="E559">
        <v>3851</v>
      </c>
      <c r="F559">
        <v>3846</v>
      </c>
      <c r="G559">
        <v>3846</v>
      </c>
      <c r="H559">
        <v>21500</v>
      </c>
    </row>
    <row r="560" spans="2:8">
      <c r="B560" t="s">
        <v>442</v>
      </c>
      <c r="C560" t="s">
        <v>391</v>
      </c>
      <c r="D560">
        <v>3845</v>
      </c>
      <c r="E560">
        <v>3847</v>
      </c>
      <c r="F560">
        <v>3845</v>
      </c>
      <c r="G560">
        <v>3846</v>
      </c>
      <c r="H560">
        <v>2100</v>
      </c>
    </row>
    <row r="561" spans="2:8">
      <c r="B561" t="s">
        <v>442</v>
      </c>
      <c r="C561" t="s">
        <v>392</v>
      </c>
      <c r="D561">
        <v>3847</v>
      </c>
      <c r="E561">
        <v>3848</v>
      </c>
      <c r="F561">
        <v>3846</v>
      </c>
      <c r="G561">
        <v>3846</v>
      </c>
      <c r="H561">
        <v>900</v>
      </c>
    </row>
    <row r="562" spans="2:8">
      <c r="B562" t="s">
        <v>442</v>
      </c>
      <c r="C562" t="s">
        <v>393</v>
      </c>
      <c r="D562">
        <v>3848</v>
      </c>
      <c r="E562">
        <v>3848</v>
      </c>
      <c r="F562">
        <v>3847</v>
      </c>
      <c r="G562">
        <v>3847</v>
      </c>
      <c r="H562">
        <v>600</v>
      </c>
    </row>
    <row r="563" spans="2:8">
      <c r="B563" t="s">
        <v>442</v>
      </c>
      <c r="C563" t="s">
        <v>394</v>
      </c>
      <c r="D563">
        <v>3848</v>
      </c>
      <c r="E563">
        <v>3848</v>
      </c>
      <c r="F563">
        <v>3847</v>
      </c>
      <c r="G563">
        <v>3847</v>
      </c>
      <c r="H563">
        <v>600</v>
      </c>
    </row>
    <row r="564" spans="2:8">
      <c r="B564" t="s">
        <v>442</v>
      </c>
      <c r="C564" t="s">
        <v>395</v>
      </c>
      <c r="D564">
        <v>3847</v>
      </c>
      <c r="E564">
        <v>3847</v>
      </c>
      <c r="F564">
        <v>3847</v>
      </c>
      <c r="G564">
        <v>3847</v>
      </c>
      <c r="H564">
        <v>100</v>
      </c>
    </row>
    <row r="565" spans="2:8">
      <c r="B565" t="s">
        <v>442</v>
      </c>
      <c r="C565" t="s">
        <v>396</v>
      </c>
      <c r="D565">
        <v>3847</v>
      </c>
      <c r="E565">
        <v>3847</v>
      </c>
      <c r="F565">
        <v>3847</v>
      </c>
      <c r="G565">
        <v>3847</v>
      </c>
      <c r="H565">
        <v>100</v>
      </c>
    </row>
    <row r="566" spans="2:8">
      <c r="B566" t="s">
        <v>442</v>
      </c>
      <c r="C566" t="s">
        <v>397</v>
      </c>
      <c r="D566">
        <v>3847</v>
      </c>
      <c r="E566">
        <v>3847</v>
      </c>
      <c r="F566">
        <v>3847</v>
      </c>
      <c r="G566">
        <v>3847</v>
      </c>
      <c r="H566">
        <v>200</v>
      </c>
    </row>
    <row r="567" spans="2:8">
      <c r="B567" t="s">
        <v>442</v>
      </c>
      <c r="C567" t="s">
        <v>398</v>
      </c>
      <c r="D567">
        <v>3847</v>
      </c>
      <c r="E567">
        <v>3847</v>
      </c>
      <c r="F567">
        <v>3847</v>
      </c>
      <c r="G567">
        <v>3847</v>
      </c>
      <c r="H567">
        <v>100</v>
      </c>
    </row>
    <row r="568" spans="2:8">
      <c r="B568" t="s">
        <v>442</v>
      </c>
      <c r="C568" t="s">
        <v>399</v>
      </c>
      <c r="D568">
        <v>3848</v>
      </c>
      <c r="E568">
        <v>3848</v>
      </c>
      <c r="F568">
        <v>3848</v>
      </c>
      <c r="G568">
        <v>3848</v>
      </c>
      <c r="H568">
        <v>1800</v>
      </c>
    </row>
    <row r="569" spans="2:8">
      <c r="B569" t="s">
        <v>442</v>
      </c>
      <c r="C569" t="s">
        <v>400</v>
      </c>
      <c r="D569">
        <v>3848</v>
      </c>
      <c r="E569">
        <v>3850</v>
      </c>
      <c r="F569">
        <v>3848</v>
      </c>
      <c r="G569">
        <v>3850</v>
      </c>
      <c r="H569">
        <v>1800</v>
      </c>
    </row>
    <row r="570" spans="2:8">
      <c r="B570" t="s">
        <v>442</v>
      </c>
      <c r="C570" t="s">
        <v>401</v>
      </c>
      <c r="D570">
        <v>3850</v>
      </c>
      <c r="E570">
        <v>3850</v>
      </c>
      <c r="F570">
        <v>3849</v>
      </c>
      <c r="G570">
        <v>3849</v>
      </c>
      <c r="H570">
        <v>500</v>
      </c>
    </row>
    <row r="571" spans="2:8">
      <c r="B571" t="s">
        <v>442</v>
      </c>
      <c r="C571" t="s">
        <v>402</v>
      </c>
      <c r="D571">
        <v>3850</v>
      </c>
      <c r="E571">
        <v>3850</v>
      </c>
      <c r="F571">
        <v>3850</v>
      </c>
      <c r="G571">
        <v>3850</v>
      </c>
      <c r="H571">
        <v>100</v>
      </c>
    </row>
    <row r="572" spans="2:8">
      <c r="B572" t="s">
        <v>442</v>
      </c>
      <c r="C572" t="s">
        <v>403</v>
      </c>
      <c r="D572" t="s">
        <v>8</v>
      </c>
      <c r="E572" t="s">
        <v>8</v>
      </c>
      <c r="F572" t="s">
        <v>8</v>
      </c>
      <c r="G572" t="s">
        <v>8</v>
      </c>
      <c r="H572">
        <v>0</v>
      </c>
    </row>
    <row r="573" spans="2:8">
      <c r="B573" t="s">
        <v>442</v>
      </c>
      <c r="C573" t="s">
        <v>404</v>
      </c>
      <c r="D573">
        <v>3849</v>
      </c>
      <c r="E573">
        <v>3850</v>
      </c>
      <c r="F573">
        <v>3849</v>
      </c>
      <c r="G573">
        <v>3850</v>
      </c>
      <c r="H573">
        <v>200</v>
      </c>
    </row>
    <row r="574" spans="2:8">
      <c r="B574" t="s">
        <v>442</v>
      </c>
      <c r="C574" t="s">
        <v>405</v>
      </c>
      <c r="D574">
        <v>3850</v>
      </c>
      <c r="E574">
        <v>3850</v>
      </c>
      <c r="F574">
        <v>3850</v>
      </c>
      <c r="G574">
        <v>3850</v>
      </c>
      <c r="H574">
        <v>300</v>
      </c>
    </row>
    <row r="575" spans="2:8">
      <c r="B575" t="s">
        <v>442</v>
      </c>
      <c r="C575" t="s">
        <v>406</v>
      </c>
      <c r="D575">
        <v>3849</v>
      </c>
      <c r="E575">
        <v>3849</v>
      </c>
      <c r="F575">
        <v>3848</v>
      </c>
      <c r="G575">
        <v>3848</v>
      </c>
      <c r="H575">
        <v>6500</v>
      </c>
    </row>
    <row r="576" spans="2:8">
      <c r="B576" t="s">
        <v>442</v>
      </c>
      <c r="C576" t="s">
        <v>407</v>
      </c>
      <c r="D576">
        <v>3849</v>
      </c>
      <c r="E576">
        <v>3849</v>
      </c>
      <c r="F576">
        <v>3848</v>
      </c>
      <c r="G576">
        <v>3848</v>
      </c>
      <c r="H576">
        <v>700</v>
      </c>
    </row>
    <row r="577" spans="2:8">
      <c r="B577" t="s">
        <v>442</v>
      </c>
      <c r="C577" t="s">
        <v>408</v>
      </c>
      <c r="D577">
        <v>3848</v>
      </c>
      <c r="E577">
        <v>3849</v>
      </c>
      <c r="F577">
        <v>3848</v>
      </c>
      <c r="G577">
        <v>3849</v>
      </c>
      <c r="H577">
        <v>1600</v>
      </c>
    </row>
    <row r="578" spans="2:8">
      <c r="B578" t="s">
        <v>442</v>
      </c>
      <c r="C578" t="s">
        <v>409</v>
      </c>
      <c r="D578">
        <v>3850</v>
      </c>
      <c r="E578">
        <v>3851</v>
      </c>
      <c r="F578">
        <v>3850</v>
      </c>
      <c r="G578">
        <v>3851</v>
      </c>
      <c r="H578">
        <v>1900</v>
      </c>
    </row>
    <row r="579" spans="2:8">
      <c r="B579" t="s">
        <v>442</v>
      </c>
      <c r="C579" t="s">
        <v>410</v>
      </c>
      <c r="D579" t="s">
        <v>8</v>
      </c>
      <c r="E579" t="s">
        <v>8</v>
      </c>
      <c r="F579" t="s">
        <v>8</v>
      </c>
      <c r="G579" t="s">
        <v>8</v>
      </c>
      <c r="H579">
        <v>0</v>
      </c>
    </row>
    <row r="580" spans="2:8">
      <c r="B580" t="s">
        <v>442</v>
      </c>
      <c r="C580" t="s">
        <v>411</v>
      </c>
      <c r="D580">
        <v>3851</v>
      </c>
      <c r="E580">
        <v>3851</v>
      </c>
      <c r="F580">
        <v>3851</v>
      </c>
      <c r="G580">
        <v>3851</v>
      </c>
      <c r="H580">
        <v>1100</v>
      </c>
    </row>
    <row r="581" spans="2:8">
      <c r="B581" t="s">
        <v>442</v>
      </c>
      <c r="C581" t="s">
        <v>412</v>
      </c>
      <c r="D581">
        <v>3850</v>
      </c>
      <c r="E581">
        <v>3851</v>
      </c>
      <c r="F581">
        <v>3850</v>
      </c>
      <c r="G581">
        <v>3851</v>
      </c>
      <c r="H581">
        <v>300</v>
      </c>
    </row>
    <row r="582" spans="2:8">
      <c r="B582" t="s">
        <v>442</v>
      </c>
      <c r="C582" t="s">
        <v>413</v>
      </c>
      <c r="D582">
        <v>3850</v>
      </c>
      <c r="E582">
        <v>3851</v>
      </c>
      <c r="F582">
        <v>3849</v>
      </c>
      <c r="G582">
        <v>3851</v>
      </c>
      <c r="H582">
        <v>2800</v>
      </c>
    </row>
    <row r="583" spans="2:8">
      <c r="B583" t="s">
        <v>442</v>
      </c>
      <c r="C583" t="s">
        <v>414</v>
      </c>
      <c r="D583">
        <v>3851</v>
      </c>
      <c r="E583">
        <v>3852</v>
      </c>
      <c r="F583">
        <v>3851</v>
      </c>
      <c r="G583">
        <v>3852</v>
      </c>
      <c r="H583">
        <v>600</v>
      </c>
    </row>
    <row r="584" spans="2:8">
      <c r="B584" t="s">
        <v>442</v>
      </c>
      <c r="C584" t="s">
        <v>415</v>
      </c>
      <c r="D584">
        <v>3851</v>
      </c>
      <c r="E584">
        <v>3852</v>
      </c>
      <c r="F584">
        <v>3851</v>
      </c>
      <c r="G584">
        <v>3852</v>
      </c>
      <c r="H584">
        <v>700</v>
      </c>
    </row>
    <row r="585" spans="2:8">
      <c r="B585" t="s">
        <v>442</v>
      </c>
      <c r="C585" t="s">
        <v>416</v>
      </c>
      <c r="D585">
        <v>3852</v>
      </c>
      <c r="E585">
        <v>3853</v>
      </c>
      <c r="F585">
        <v>3852</v>
      </c>
      <c r="G585">
        <v>3853</v>
      </c>
      <c r="H585">
        <v>1000</v>
      </c>
    </row>
    <row r="586" spans="2:8">
      <c r="B586" t="s">
        <v>442</v>
      </c>
      <c r="C586" t="s">
        <v>417</v>
      </c>
      <c r="D586" t="s">
        <v>8</v>
      </c>
      <c r="E586" t="s">
        <v>8</v>
      </c>
      <c r="F586" t="s">
        <v>8</v>
      </c>
      <c r="G586" t="s">
        <v>8</v>
      </c>
      <c r="H586">
        <v>0</v>
      </c>
    </row>
    <row r="587" spans="2:8">
      <c r="B587" t="s">
        <v>442</v>
      </c>
      <c r="C587" t="s">
        <v>418</v>
      </c>
      <c r="D587">
        <v>3853</v>
      </c>
      <c r="E587">
        <v>3853</v>
      </c>
      <c r="F587">
        <v>3852</v>
      </c>
      <c r="G587">
        <v>3852</v>
      </c>
      <c r="H587">
        <v>1400</v>
      </c>
    </row>
    <row r="588" spans="2:8">
      <c r="B588" t="s">
        <v>442</v>
      </c>
      <c r="C588" t="s">
        <v>419</v>
      </c>
      <c r="D588">
        <v>3851</v>
      </c>
      <c r="E588">
        <v>3851</v>
      </c>
      <c r="F588">
        <v>3851</v>
      </c>
      <c r="G588">
        <v>3851</v>
      </c>
      <c r="H588">
        <v>900</v>
      </c>
    </row>
    <row r="589" spans="2:8">
      <c r="B589" t="s">
        <v>442</v>
      </c>
      <c r="C589" t="s">
        <v>420</v>
      </c>
      <c r="D589">
        <v>3850</v>
      </c>
      <c r="E589">
        <v>3850</v>
      </c>
      <c r="F589">
        <v>3849</v>
      </c>
      <c r="G589">
        <v>3850</v>
      </c>
      <c r="H589">
        <v>2300</v>
      </c>
    </row>
    <row r="590" spans="2:8">
      <c r="B590" t="s">
        <v>442</v>
      </c>
      <c r="C590" t="s">
        <v>421</v>
      </c>
      <c r="D590">
        <v>3850</v>
      </c>
      <c r="E590">
        <v>3850</v>
      </c>
      <c r="F590">
        <v>3849</v>
      </c>
      <c r="G590">
        <v>3849</v>
      </c>
      <c r="H590">
        <v>900</v>
      </c>
    </row>
    <row r="591" spans="2:8">
      <c r="B591" t="s">
        <v>442</v>
      </c>
      <c r="C591" t="s">
        <v>422</v>
      </c>
      <c r="D591">
        <v>3851</v>
      </c>
      <c r="E591">
        <v>3851</v>
      </c>
      <c r="F591">
        <v>3851</v>
      </c>
      <c r="G591">
        <v>3851</v>
      </c>
      <c r="H591">
        <v>500</v>
      </c>
    </row>
    <row r="592" spans="2:8">
      <c r="B592" t="s">
        <v>442</v>
      </c>
      <c r="C592" t="s">
        <v>423</v>
      </c>
      <c r="D592">
        <v>3851</v>
      </c>
      <c r="E592">
        <v>3851</v>
      </c>
      <c r="F592">
        <v>3851</v>
      </c>
      <c r="G592">
        <v>3851</v>
      </c>
      <c r="H592">
        <v>300</v>
      </c>
    </row>
    <row r="593" spans="2:8">
      <c r="B593" t="s">
        <v>442</v>
      </c>
      <c r="C593" t="s">
        <v>424</v>
      </c>
      <c r="D593">
        <v>3851</v>
      </c>
      <c r="E593">
        <v>3851</v>
      </c>
      <c r="F593">
        <v>3850</v>
      </c>
      <c r="G593">
        <v>3850</v>
      </c>
      <c r="H593">
        <v>800</v>
      </c>
    </row>
    <row r="594" spans="2:8">
      <c r="B594" t="s">
        <v>442</v>
      </c>
      <c r="C594" t="s">
        <v>425</v>
      </c>
      <c r="D594">
        <v>3850</v>
      </c>
      <c r="E594">
        <v>3850</v>
      </c>
      <c r="F594">
        <v>3850</v>
      </c>
      <c r="G594">
        <v>3850</v>
      </c>
      <c r="H594">
        <v>100</v>
      </c>
    </row>
    <row r="595" spans="2:8">
      <c r="B595" t="s">
        <v>442</v>
      </c>
      <c r="C595" t="s">
        <v>426</v>
      </c>
      <c r="D595">
        <v>3851</v>
      </c>
      <c r="E595">
        <v>3851</v>
      </c>
      <c r="F595">
        <v>3850</v>
      </c>
      <c r="G595">
        <v>3850</v>
      </c>
      <c r="H595">
        <v>2000</v>
      </c>
    </row>
    <row r="596" spans="2:8">
      <c r="B596" t="s">
        <v>442</v>
      </c>
      <c r="C596" t="s">
        <v>427</v>
      </c>
      <c r="D596">
        <v>3851</v>
      </c>
      <c r="E596">
        <v>3852</v>
      </c>
      <c r="F596">
        <v>3851</v>
      </c>
      <c r="G596">
        <v>3852</v>
      </c>
      <c r="H596">
        <v>900</v>
      </c>
    </row>
    <row r="597" spans="2:8">
      <c r="B597" t="s">
        <v>442</v>
      </c>
      <c r="C597" t="s">
        <v>428</v>
      </c>
      <c r="D597">
        <v>3853</v>
      </c>
      <c r="E597">
        <v>3853</v>
      </c>
      <c r="F597">
        <v>3853</v>
      </c>
      <c r="G597">
        <v>3853</v>
      </c>
      <c r="H597">
        <v>400</v>
      </c>
    </row>
    <row r="598" spans="2:8">
      <c r="B598" t="s">
        <v>442</v>
      </c>
      <c r="C598" t="s">
        <v>429</v>
      </c>
      <c r="D598">
        <v>3853</v>
      </c>
      <c r="E598">
        <v>3853</v>
      </c>
      <c r="F598">
        <v>3853</v>
      </c>
      <c r="G598">
        <v>3853</v>
      </c>
      <c r="H598">
        <v>300</v>
      </c>
    </row>
    <row r="599" spans="2:8">
      <c r="B599" t="s">
        <v>442</v>
      </c>
      <c r="C599" t="s">
        <v>430</v>
      </c>
      <c r="D599">
        <v>3853</v>
      </c>
      <c r="E599">
        <v>3853</v>
      </c>
      <c r="F599">
        <v>3852</v>
      </c>
      <c r="G599">
        <v>3852</v>
      </c>
      <c r="H599">
        <v>600</v>
      </c>
    </row>
    <row r="600" spans="2:8">
      <c r="B600" t="s">
        <v>442</v>
      </c>
      <c r="C600" t="s">
        <v>431</v>
      </c>
      <c r="D600">
        <v>3852</v>
      </c>
      <c r="E600">
        <v>3852</v>
      </c>
      <c r="F600">
        <v>3852</v>
      </c>
      <c r="G600">
        <v>3852</v>
      </c>
      <c r="H600">
        <v>100</v>
      </c>
    </row>
    <row r="601" spans="2:8">
      <c r="B601" t="s">
        <v>442</v>
      </c>
      <c r="C601" t="s">
        <v>9</v>
      </c>
      <c r="D601">
        <v>3852</v>
      </c>
      <c r="E601">
        <v>3852</v>
      </c>
      <c r="F601">
        <v>3851</v>
      </c>
      <c r="G601">
        <v>3851</v>
      </c>
      <c r="H601">
        <v>1500</v>
      </c>
    </row>
    <row r="602" spans="2:8">
      <c r="B602" t="s">
        <v>442</v>
      </c>
      <c r="C602" t="s">
        <v>10</v>
      </c>
      <c r="D602">
        <v>3851</v>
      </c>
      <c r="E602">
        <v>3851</v>
      </c>
      <c r="F602">
        <v>3850</v>
      </c>
      <c r="G602">
        <v>3850</v>
      </c>
      <c r="H602">
        <v>2000</v>
      </c>
    </row>
    <row r="603" spans="2:8">
      <c r="B603" t="s">
        <v>442</v>
      </c>
      <c r="C603" t="s">
        <v>11</v>
      </c>
      <c r="D603">
        <v>3849</v>
      </c>
      <c r="E603">
        <v>3850</v>
      </c>
      <c r="F603">
        <v>3847</v>
      </c>
      <c r="G603">
        <v>3847</v>
      </c>
      <c r="H603">
        <v>5400</v>
      </c>
    </row>
    <row r="604" spans="2:8">
      <c r="B604" t="s">
        <v>442</v>
      </c>
      <c r="C604" t="s">
        <v>12</v>
      </c>
      <c r="D604">
        <v>3847</v>
      </c>
      <c r="E604">
        <v>3847</v>
      </c>
      <c r="F604">
        <v>3847</v>
      </c>
      <c r="G604">
        <v>3847</v>
      </c>
      <c r="H604">
        <v>400</v>
      </c>
    </row>
    <row r="605" spans="2:8">
      <c r="B605" t="s">
        <v>442</v>
      </c>
      <c r="C605" t="s">
        <v>13</v>
      </c>
      <c r="D605">
        <v>3846</v>
      </c>
      <c r="E605">
        <v>3847</v>
      </c>
      <c r="F605">
        <v>3845</v>
      </c>
      <c r="G605">
        <v>3847</v>
      </c>
      <c r="H605">
        <v>4100</v>
      </c>
    </row>
    <row r="606" spans="2:8">
      <c r="B606" t="s">
        <v>442</v>
      </c>
      <c r="C606" t="s">
        <v>14</v>
      </c>
      <c r="D606">
        <v>3846</v>
      </c>
      <c r="E606">
        <v>3846</v>
      </c>
      <c r="F606">
        <v>3845</v>
      </c>
      <c r="G606">
        <v>3845</v>
      </c>
      <c r="H606">
        <v>1600</v>
      </c>
    </row>
    <row r="607" spans="2:8">
      <c r="B607" t="s">
        <v>442</v>
      </c>
      <c r="C607" t="s">
        <v>15</v>
      </c>
      <c r="D607">
        <v>3846</v>
      </c>
      <c r="E607">
        <v>3847</v>
      </c>
      <c r="F607">
        <v>3846</v>
      </c>
      <c r="G607">
        <v>3847</v>
      </c>
      <c r="H607">
        <v>2300</v>
      </c>
    </row>
    <row r="608" spans="2:8">
      <c r="B608" t="s">
        <v>442</v>
      </c>
      <c r="C608" t="s">
        <v>16</v>
      </c>
      <c r="D608">
        <v>3848</v>
      </c>
      <c r="E608">
        <v>3849</v>
      </c>
      <c r="F608">
        <v>3848</v>
      </c>
      <c r="G608">
        <v>3849</v>
      </c>
      <c r="H608">
        <v>1700</v>
      </c>
    </row>
    <row r="609" spans="2:8">
      <c r="B609" t="s">
        <v>442</v>
      </c>
      <c r="C609" t="s">
        <v>17</v>
      </c>
      <c r="D609">
        <v>3849</v>
      </c>
      <c r="E609">
        <v>3849</v>
      </c>
      <c r="F609">
        <v>3849</v>
      </c>
      <c r="G609">
        <v>3849</v>
      </c>
      <c r="H609">
        <v>100</v>
      </c>
    </row>
    <row r="610" spans="2:8">
      <c r="B610" t="s">
        <v>442</v>
      </c>
      <c r="C610" t="s">
        <v>18</v>
      </c>
      <c r="D610">
        <v>3848</v>
      </c>
      <c r="E610">
        <v>3849</v>
      </c>
      <c r="F610">
        <v>3848</v>
      </c>
      <c r="G610">
        <v>3849</v>
      </c>
      <c r="H610">
        <v>700</v>
      </c>
    </row>
    <row r="611" spans="2:8">
      <c r="B611" t="s">
        <v>442</v>
      </c>
      <c r="C611" t="s">
        <v>19</v>
      </c>
      <c r="D611">
        <v>3849</v>
      </c>
      <c r="E611">
        <v>3849</v>
      </c>
      <c r="F611">
        <v>3849</v>
      </c>
      <c r="G611">
        <v>3849</v>
      </c>
      <c r="H611">
        <v>100</v>
      </c>
    </row>
    <row r="612" spans="2:8">
      <c r="B612" t="s">
        <v>442</v>
      </c>
      <c r="C612" t="s">
        <v>20</v>
      </c>
      <c r="D612">
        <v>3848</v>
      </c>
      <c r="E612">
        <v>3848</v>
      </c>
      <c r="F612">
        <v>3848</v>
      </c>
      <c r="G612">
        <v>3848</v>
      </c>
      <c r="H612">
        <v>2800</v>
      </c>
    </row>
    <row r="613" spans="2:8">
      <c r="B613" t="s">
        <v>442</v>
      </c>
      <c r="C613" t="s">
        <v>21</v>
      </c>
      <c r="D613">
        <v>3848</v>
      </c>
      <c r="E613">
        <v>3849</v>
      </c>
      <c r="F613">
        <v>3848</v>
      </c>
      <c r="G613">
        <v>3849</v>
      </c>
      <c r="H613">
        <v>2500</v>
      </c>
    </row>
    <row r="614" spans="2:8">
      <c r="B614" t="s">
        <v>442</v>
      </c>
      <c r="C614" t="s">
        <v>22</v>
      </c>
      <c r="D614">
        <v>3850</v>
      </c>
      <c r="E614">
        <v>3851</v>
      </c>
      <c r="F614">
        <v>3850</v>
      </c>
      <c r="G614">
        <v>3851</v>
      </c>
      <c r="H614">
        <v>1700</v>
      </c>
    </row>
    <row r="615" spans="2:8">
      <c r="B615" t="s">
        <v>442</v>
      </c>
      <c r="C615" t="s">
        <v>23</v>
      </c>
      <c r="D615">
        <v>3850</v>
      </c>
      <c r="E615">
        <v>3850</v>
      </c>
      <c r="F615">
        <v>3848</v>
      </c>
      <c r="G615">
        <v>3848</v>
      </c>
      <c r="H615">
        <v>3200</v>
      </c>
    </row>
    <row r="616" spans="2:8">
      <c r="B616" t="s">
        <v>442</v>
      </c>
      <c r="C616" t="s">
        <v>24</v>
      </c>
      <c r="D616" t="s">
        <v>8</v>
      </c>
      <c r="E616" t="s">
        <v>8</v>
      </c>
      <c r="F616" t="s">
        <v>8</v>
      </c>
      <c r="G616" t="s">
        <v>8</v>
      </c>
      <c r="H616">
        <v>0</v>
      </c>
    </row>
    <row r="617" spans="2:8">
      <c r="B617" t="s">
        <v>442</v>
      </c>
      <c r="C617" t="s">
        <v>25</v>
      </c>
      <c r="D617">
        <v>3847</v>
      </c>
      <c r="E617">
        <v>3848</v>
      </c>
      <c r="F617">
        <v>3847</v>
      </c>
      <c r="G617">
        <v>3848</v>
      </c>
      <c r="H617">
        <v>1300</v>
      </c>
    </row>
    <row r="618" spans="2:8">
      <c r="B618" t="s">
        <v>442</v>
      </c>
      <c r="C618" t="s">
        <v>26</v>
      </c>
      <c r="D618" t="s">
        <v>8</v>
      </c>
      <c r="E618" t="s">
        <v>8</v>
      </c>
      <c r="F618" t="s">
        <v>8</v>
      </c>
      <c r="G618" t="s">
        <v>8</v>
      </c>
      <c r="H618">
        <v>0</v>
      </c>
    </row>
    <row r="619" spans="2:8">
      <c r="B619" t="s">
        <v>442</v>
      </c>
      <c r="C619" t="s">
        <v>27</v>
      </c>
      <c r="D619">
        <v>3848</v>
      </c>
      <c r="E619">
        <v>3848</v>
      </c>
      <c r="F619">
        <v>3848</v>
      </c>
      <c r="G619">
        <v>3848</v>
      </c>
      <c r="H619">
        <v>1200</v>
      </c>
    </row>
    <row r="620" spans="2:8">
      <c r="B620" t="s">
        <v>442</v>
      </c>
      <c r="C620" t="s">
        <v>28</v>
      </c>
      <c r="D620">
        <v>3847</v>
      </c>
      <c r="E620">
        <v>3848</v>
      </c>
      <c r="F620">
        <v>3847</v>
      </c>
      <c r="G620">
        <v>3848</v>
      </c>
      <c r="H620">
        <v>1400</v>
      </c>
    </row>
    <row r="621" spans="2:8">
      <c r="B621" t="s">
        <v>442</v>
      </c>
      <c r="C621" t="s">
        <v>29</v>
      </c>
      <c r="D621">
        <v>3849</v>
      </c>
      <c r="E621">
        <v>3851</v>
      </c>
      <c r="F621">
        <v>3849</v>
      </c>
      <c r="G621">
        <v>3851</v>
      </c>
      <c r="H621">
        <v>1700</v>
      </c>
    </row>
    <row r="622" spans="2:8">
      <c r="B622" t="s">
        <v>442</v>
      </c>
      <c r="C622" t="s">
        <v>30</v>
      </c>
      <c r="D622">
        <v>3851</v>
      </c>
      <c r="E622">
        <v>3851</v>
      </c>
      <c r="F622">
        <v>3851</v>
      </c>
      <c r="G622">
        <v>3851</v>
      </c>
      <c r="H622">
        <v>1800</v>
      </c>
    </row>
    <row r="623" spans="2:8">
      <c r="B623" t="s">
        <v>442</v>
      </c>
      <c r="C623" t="s">
        <v>31</v>
      </c>
      <c r="D623">
        <v>3851</v>
      </c>
      <c r="E623">
        <v>3851</v>
      </c>
      <c r="F623">
        <v>3851</v>
      </c>
      <c r="G623">
        <v>3851</v>
      </c>
      <c r="H623">
        <v>800</v>
      </c>
    </row>
    <row r="624" spans="2:8">
      <c r="B624" t="s">
        <v>442</v>
      </c>
      <c r="C624" t="s">
        <v>32</v>
      </c>
      <c r="D624">
        <v>3851</v>
      </c>
      <c r="E624">
        <v>3852</v>
      </c>
      <c r="F624">
        <v>3851</v>
      </c>
      <c r="G624">
        <v>3852</v>
      </c>
      <c r="H624">
        <v>1000</v>
      </c>
    </row>
    <row r="625" spans="2:8">
      <c r="B625" t="s">
        <v>442</v>
      </c>
      <c r="C625" t="s">
        <v>33</v>
      </c>
      <c r="D625">
        <v>3852</v>
      </c>
      <c r="E625">
        <v>3853</v>
      </c>
      <c r="F625">
        <v>3852</v>
      </c>
      <c r="G625">
        <v>3852</v>
      </c>
      <c r="H625">
        <v>800</v>
      </c>
    </row>
    <row r="626" spans="2:8">
      <c r="B626" t="s">
        <v>442</v>
      </c>
      <c r="C626" t="s">
        <v>34</v>
      </c>
      <c r="D626">
        <v>3853</v>
      </c>
      <c r="E626">
        <v>3853</v>
      </c>
      <c r="F626">
        <v>3853</v>
      </c>
      <c r="G626">
        <v>3853</v>
      </c>
      <c r="H626">
        <v>100</v>
      </c>
    </row>
    <row r="627" spans="2:8">
      <c r="B627" t="s">
        <v>442</v>
      </c>
      <c r="C627" t="s">
        <v>35</v>
      </c>
      <c r="D627">
        <v>3853</v>
      </c>
      <c r="E627">
        <v>3853</v>
      </c>
      <c r="F627">
        <v>3851</v>
      </c>
      <c r="G627">
        <v>3851</v>
      </c>
      <c r="H627">
        <v>3800</v>
      </c>
    </row>
    <row r="628" spans="2:8">
      <c r="B628" t="s">
        <v>442</v>
      </c>
      <c r="C628" t="s">
        <v>36</v>
      </c>
      <c r="D628">
        <v>3850</v>
      </c>
      <c r="E628">
        <v>3850</v>
      </c>
      <c r="F628">
        <v>3850</v>
      </c>
      <c r="G628">
        <v>3850</v>
      </c>
      <c r="H628">
        <v>200</v>
      </c>
    </row>
    <row r="629" spans="2:8">
      <c r="B629" t="s">
        <v>442</v>
      </c>
      <c r="C629" t="s">
        <v>37</v>
      </c>
      <c r="D629">
        <v>3850</v>
      </c>
      <c r="E629">
        <v>3850</v>
      </c>
      <c r="F629">
        <v>3848</v>
      </c>
      <c r="G629">
        <v>3849</v>
      </c>
      <c r="H629">
        <v>2500</v>
      </c>
    </row>
    <row r="630" spans="2:8">
      <c r="B630" t="s">
        <v>442</v>
      </c>
      <c r="C630" t="s">
        <v>38</v>
      </c>
      <c r="D630">
        <v>3849</v>
      </c>
      <c r="E630">
        <v>3849</v>
      </c>
      <c r="F630">
        <v>3848</v>
      </c>
      <c r="G630">
        <v>3848</v>
      </c>
      <c r="H630">
        <v>600</v>
      </c>
    </row>
    <row r="631" spans="2:8">
      <c r="B631" t="s">
        <v>442</v>
      </c>
      <c r="C631" t="s">
        <v>39</v>
      </c>
      <c r="D631">
        <v>3849</v>
      </c>
      <c r="E631">
        <v>3849</v>
      </c>
      <c r="F631">
        <v>3848</v>
      </c>
      <c r="G631">
        <v>3848</v>
      </c>
      <c r="H631">
        <v>700</v>
      </c>
    </row>
    <row r="632" spans="2:8">
      <c r="B632" t="s">
        <v>442</v>
      </c>
      <c r="C632" t="s">
        <v>40</v>
      </c>
      <c r="D632">
        <v>3849</v>
      </c>
      <c r="E632">
        <v>3849</v>
      </c>
      <c r="F632">
        <v>3848</v>
      </c>
      <c r="G632">
        <v>3849</v>
      </c>
      <c r="H632">
        <v>400</v>
      </c>
    </row>
    <row r="633" spans="2:8">
      <c r="B633" t="s">
        <v>442</v>
      </c>
      <c r="C633" t="s">
        <v>41</v>
      </c>
      <c r="D633">
        <v>3848</v>
      </c>
      <c r="E633">
        <v>3849</v>
      </c>
      <c r="F633">
        <v>3848</v>
      </c>
      <c r="G633">
        <v>3848</v>
      </c>
      <c r="H633">
        <v>300</v>
      </c>
    </row>
    <row r="634" spans="2:8">
      <c r="B634" t="s">
        <v>442</v>
      </c>
      <c r="C634" t="s">
        <v>42</v>
      </c>
      <c r="D634">
        <v>3848</v>
      </c>
      <c r="E634">
        <v>3849</v>
      </c>
      <c r="F634">
        <v>3847</v>
      </c>
      <c r="G634">
        <v>3848</v>
      </c>
      <c r="H634">
        <v>2000</v>
      </c>
    </row>
    <row r="635" spans="2:8">
      <c r="B635" t="s">
        <v>442</v>
      </c>
      <c r="C635" t="s">
        <v>43</v>
      </c>
      <c r="D635">
        <v>3849</v>
      </c>
      <c r="E635">
        <v>3849</v>
      </c>
      <c r="F635">
        <v>3848</v>
      </c>
      <c r="G635">
        <v>3848</v>
      </c>
      <c r="H635">
        <v>2400</v>
      </c>
    </row>
    <row r="636" spans="2:8">
      <c r="B636" t="s">
        <v>442</v>
      </c>
      <c r="C636" t="s">
        <v>44</v>
      </c>
      <c r="D636">
        <v>3848</v>
      </c>
      <c r="E636">
        <v>3849</v>
      </c>
      <c r="F636">
        <v>3847</v>
      </c>
      <c r="G636">
        <v>3849</v>
      </c>
      <c r="H636">
        <v>3600</v>
      </c>
    </row>
    <row r="637" spans="2:8">
      <c r="B637" t="s">
        <v>442</v>
      </c>
      <c r="C637" t="s">
        <v>45</v>
      </c>
      <c r="D637">
        <v>3850</v>
      </c>
      <c r="E637">
        <v>3852</v>
      </c>
      <c r="F637">
        <v>3850</v>
      </c>
      <c r="G637">
        <v>3851</v>
      </c>
      <c r="H637">
        <v>3500</v>
      </c>
    </row>
    <row r="638" spans="2:8">
      <c r="B638" t="s">
        <v>442</v>
      </c>
      <c r="C638" t="s">
        <v>46</v>
      </c>
      <c r="D638">
        <v>3850</v>
      </c>
      <c r="E638">
        <v>3851</v>
      </c>
      <c r="F638">
        <v>3849</v>
      </c>
      <c r="G638">
        <v>3849</v>
      </c>
      <c r="H638">
        <v>1200</v>
      </c>
    </row>
    <row r="639" spans="2:8">
      <c r="B639" t="s">
        <v>442</v>
      </c>
      <c r="C639" t="s">
        <v>47</v>
      </c>
      <c r="D639">
        <v>3850</v>
      </c>
      <c r="E639">
        <v>3850</v>
      </c>
      <c r="F639">
        <v>3850</v>
      </c>
      <c r="G639">
        <v>3850</v>
      </c>
      <c r="H639">
        <v>300</v>
      </c>
    </row>
    <row r="640" spans="2:8">
      <c r="B640" t="s">
        <v>442</v>
      </c>
      <c r="C640" t="s">
        <v>48</v>
      </c>
      <c r="D640">
        <v>3850</v>
      </c>
      <c r="E640">
        <v>3850</v>
      </c>
      <c r="F640">
        <v>3848</v>
      </c>
      <c r="G640">
        <v>3848</v>
      </c>
      <c r="H640">
        <v>5500</v>
      </c>
    </row>
    <row r="641" spans="2:8">
      <c r="B641" t="s">
        <v>442</v>
      </c>
      <c r="C641" t="s">
        <v>49</v>
      </c>
      <c r="D641">
        <v>3849</v>
      </c>
      <c r="E641">
        <v>3851</v>
      </c>
      <c r="F641">
        <v>3849</v>
      </c>
      <c r="G641">
        <v>3851</v>
      </c>
      <c r="H641">
        <v>2500</v>
      </c>
    </row>
    <row r="642" spans="2:8">
      <c r="B642" t="s">
        <v>442</v>
      </c>
      <c r="C642" t="s">
        <v>50</v>
      </c>
      <c r="D642">
        <v>3850</v>
      </c>
      <c r="E642">
        <v>3850</v>
      </c>
      <c r="F642">
        <v>3850</v>
      </c>
      <c r="G642">
        <v>3850</v>
      </c>
      <c r="H642">
        <v>100</v>
      </c>
    </row>
    <row r="643" spans="2:8">
      <c r="B643" t="s">
        <v>442</v>
      </c>
      <c r="C643" t="s">
        <v>51</v>
      </c>
      <c r="D643">
        <v>3850</v>
      </c>
      <c r="E643">
        <v>3851</v>
      </c>
      <c r="F643">
        <v>3849</v>
      </c>
      <c r="G643">
        <v>3850</v>
      </c>
      <c r="H643">
        <v>3000</v>
      </c>
    </row>
    <row r="644" spans="2:8">
      <c r="B644" t="s">
        <v>442</v>
      </c>
      <c r="C644" t="s">
        <v>52</v>
      </c>
      <c r="D644">
        <v>3849</v>
      </c>
      <c r="E644">
        <v>3849</v>
      </c>
      <c r="F644">
        <v>3849</v>
      </c>
      <c r="G644">
        <v>3849</v>
      </c>
      <c r="H644">
        <v>400</v>
      </c>
    </row>
    <row r="645" spans="2:8">
      <c r="B645" t="s">
        <v>442</v>
      </c>
      <c r="C645" t="s">
        <v>53</v>
      </c>
      <c r="D645">
        <v>3849</v>
      </c>
      <c r="E645">
        <v>3850</v>
      </c>
      <c r="F645">
        <v>3849</v>
      </c>
      <c r="G645">
        <v>3849</v>
      </c>
      <c r="H645">
        <v>4200</v>
      </c>
    </row>
    <row r="646" spans="2:8">
      <c r="B646" t="s">
        <v>442</v>
      </c>
      <c r="C646" t="s">
        <v>54</v>
      </c>
      <c r="D646">
        <v>3850</v>
      </c>
      <c r="E646">
        <v>3851</v>
      </c>
      <c r="F646">
        <v>3849</v>
      </c>
      <c r="G646">
        <v>3850</v>
      </c>
      <c r="H646">
        <v>2600</v>
      </c>
    </row>
    <row r="647" spans="2:8">
      <c r="B647" t="s">
        <v>442</v>
      </c>
      <c r="C647" t="s">
        <v>55</v>
      </c>
      <c r="D647">
        <v>3849</v>
      </c>
      <c r="E647">
        <v>3850</v>
      </c>
      <c r="F647">
        <v>3849</v>
      </c>
      <c r="G647">
        <v>3850</v>
      </c>
      <c r="H647">
        <v>1300</v>
      </c>
    </row>
    <row r="648" spans="2:8">
      <c r="B648" t="s">
        <v>442</v>
      </c>
      <c r="C648" t="s">
        <v>56</v>
      </c>
      <c r="D648">
        <v>3850</v>
      </c>
      <c r="E648">
        <v>3852</v>
      </c>
      <c r="F648">
        <v>3850</v>
      </c>
      <c r="G648">
        <v>3852</v>
      </c>
      <c r="H648">
        <v>1700</v>
      </c>
    </row>
    <row r="649" spans="2:8">
      <c r="B649" t="s">
        <v>442</v>
      </c>
      <c r="C649" t="s">
        <v>57</v>
      </c>
      <c r="D649">
        <v>3852</v>
      </c>
      <c r="E649">
        <v>3852</v>
      </c>
      <c r="F649">
        <v>3851</v>
      </c>
      <c r="G649">
        <v>3851</v>
      </c>
      <c r="H649">
        <v>1300</v>
      </c>
    </row>
    <row r="650" spans="2:8">
      <c r="B650" t="s">
        <v>442</v>
      </c>
      <c r="C650" t="s">
        <v>58</v>
      </c>
      <c r="D650">
        <v>3852</v>
      </c>
      <c r="E650">
        <v>3853</v>
      </c>
      <c r="F650">
        <v>3851</v>
      </c>
      <c r="G650">
        <v>3853</v>
      </c>
      <c r="H650">
        <v>4700</v>
      </c>
    </row>
    <row r="651" spans="2:8">
      <c r="B651" t="s">
        <v>442</v>
      </c>
      <c r="C651" t="s">
        <v>59</v>
      </c>
      <c r="D651">
        <v>3853</v>
      </c>
      <c r="E651">
        <v>3853</v>
      </c>
      <c r="F651">
        <v>3852</v>
      </c>
      <c r="G651">
        <v>3853</v>
      </c>
      <c r="H651">
        <v>1600</v>
      </c>
    </row>
    <row r="652" spans="2:8">
      <c r="B652" t="s">
        <v>442</v>
      </c>
      <c r="C652" t="s">
        <v>60</v>
      </c>
      <c r="D652">
        <v>3852</v>
      </c>
      <c r="E652">
        <v>3852</v>
      </c>
      <c r="F652">
        <v>3851</v>
      </c>
      <c r="G652">
        <v>3852</v>
      </c>
      <c r="H652">
        <v>5600</v>
      </c>
    </row>
    <row r="653" spans="2:8">
      <c r="B653" t="s">
        <v>442</v>
      </c>
      <c r="C653" t="s">
        <v>61</v>
      </c>
      <c r="D653">
        <v>3850</v>
      </c>
      <c r="E653">
        <v>3852</v>
      </c>
      <c r="F653">
        <v>3847</v>
      </c>
      <c r="G653">
        <v>3850</v>
      </c>
      <c r="H653">
        <v>13700</v>
      </c>
    </row>
    <row r="654" spans="2:8">
      <c r="B654" t="s">
        <v>442</v>
      </c>
      <c r="C654" t="s">
        <v>62</v>
      </c>
      <c r="D654">
        <v>3850</v>
      </c>
      <c r="E654">
        <v>3851</v>
      </c>
      <c r="F654">
        <v>3850</v>
      </c>
      <c r="G654">
        <v>3851</v>
      </c>
      <c r="H654">
        <v>1900</v>
      </c>
    </row>
    <row r="655" spans="2:8">
      <c r="B655" t="s">
        <v>442</v>
      </c>
      <c r="C655" t="s">
        <v>63</v>
      </c>
      <c r="D655">
        <v>3850</v>
      </c>
      <c r="E655">
        <v>3852</v>
      </c>
      <c r="F655">
        <v>3850</v>
      </c>
      <c r="G655">
        <v>3852</v>
      </c>
      <c r="H655">
        <v>1900</v>
      </c>
    </row>
    <row r="656" spans="2:8">
      <c r="B656" t="s">
        <v>442</v>
      </c>
      <c r="C656" t="s">
        <v>64</v>
      </c>
      <c r="D656">
        <v>3851</v>
      </c>
      <c r="E656">
        <v>3855</v>
      </c>
      <c r="F656">
        <v>3851</v>
      </c>
      <c r="G656">
        <v>3852</v>
      </c>
      <c r="H656">
        <v>7000</v>
      </c>
    </row>
    <row r="657" spans="2:8">
      <c r="B657" t="s">
        <v>442</v>
      </c>
      <c r="C657" t="s">
        <v>65</v>
      </c>
      <c r="D657">
        <v>3852</v>
      </c>
      <c r="E657">
        <v>3852</v>
      </c>
      <c r="F657">
        <v>3850</v>
      </c>
      <c r="G657">
        <v>3850</v>
      </c>
      <c r="H657">
        <v>3400</v>
      </c>
    </row>
    <row r="658" spans="2:8">
      <c r="B658" t="s">
        <v>442</v>
      </c>
      <c r="C658" t="s">
        <v>66</v>
      </c>
      <c r="D658">
        <v>3850</v>
      </c>
      <c r="E658">
        <v>3851</v>
      </c>
      <c r="F658">
        <v>3850</v>
      </c>
      <c r="G658">
        <v>3851</v>
      </c>
      <c r="H658">
        <v>2000</v>
      </c>
    </row>
    <row r="659" spans="2:8">
      <c r="B659" t="s">
        <v>442</v>
      </c>
      <c r="C659" t="s">
        <v>164</v>
      </c>
      <c r="D659">
        <v>3852</v>
      </c>
      <c r="E659">
        <v>3853</v>
      </c>
      <c r="F659">
        <v>3852</v>
      </c>
      <c r="G659">
        <v>3853</v>
      </c>
      <c r="H659">
        <v>2900</v>
      </c>
    </row>
    <row r="660" spans="2:8">
      <c r="B660" t="s">
        <v>442</v>
      </c>
      <c r="C660" t="s">
        <v>165</v>
      </c>
      <c r="D660">
        <v>3852</v>
      </c>
      <c r="E660">
        <v>3853</v>
      </c>
      <c r="F660">
        <v>3851</v>
      </c>
      <c r="G660">
        <v>3851</v>
      </c>
      <c r="H660">
        <v>6400</v>
      </c>
    </row>
    <row r="661" spans="2:8">
      <c r="B661" t="s">
        <v>442</v>
      </c>
      <c r="C661" t="s">
        <v>67</v>
      </c>
      <c r="D661" t="s">
        <v>8</v>
      </c>
      <c r="E661" t="s">
        <v>8</v>
      </c>
      <c r="F661" t="s">
        <v>8</v>
      </c>
      <c r="G661" t="s">
        <v>8</v>
      </c>
      <c r="H661">
        <v>0</v>
      </c>
    </row>
    <row r="662" spans="2:8">
      <c r="B662" t="s">
        <v>442</v>
      </c>
      <c r="C662" t="s">
        <v>68</v>
      </c>
      <c r="D662" t="s">
        <v>8</v>
      </c>
      <c r="E662" t="s">
        <v>8</v>
      </c>
      <c r="F662" t="s">
        <v>8</v>
      </c>
      <c r="G662" t="s">
        <v>8</v>
      </c>
      <c r="H662">
        <v>0</v>
      </c>
    </row>
    <row r="663" spans="2:8">
      <c r="B663" t="s">
        <v>442</v>
      </c>
      <c r="C663" t="s">
        <v>69</v>
      </c>
      <c r="D663" t="s">
        <v>8</v>
      </c>
      <c r="E663" t="s">
        <v>8</v>
      </c>
      <c r="F663" t="s">
        <v>8</v>
      </c>
      <c r="G663" t="s">
        <v>8</v>
      </c>
      <c r="H663">
        <v>0</v>
      </c>
    </row>
    <row r="664" spans="2:8">
      <c r="B664" t="s">
        <v>442</v>
      </c>
      <c r="C664" t="s">
        <v>70</v>
      </c>
      <c r="D664" t="s">
        <v>8</v>
      </c>
      <c r="E664" t="s">
        <v>8</v>
      </c>
      <c r="F664" t="s">
        <v>8</v>
      </c>
      <c r="G664" t="s">
        <v>8</v>
      </c>
      <c r="H664">
        <v>0</v>
      </c>
    </row>
    <row r="665" spans="2:8">
      <c r="B665" t="s">
        <v>442</v>
      </c>
      <c r="C665" t="s">
        <v>71</v>
      </c>
      <c r="D665" t="s">
        <v>8</v>
      </c>
      <c r="E665" t="s">
        <v>8</v>
      </c>
      <c r="F665" t="s">
        <v>8</v>
      </c>
      <c r="G665" t="s">
        <v>8</v>
      </c>
      <c r="H665">
        <v>0</v>
      </c>
    </row>
    <row r="666" spans="2:8">
      <c r="B666" t="s">
        <v>442</v>
      </c>
      <c r="C666" t="s">
        <v>72</v>
      </c>
      <c r="D666">
        <v>3847</v>
      </c>
      <c r="E666">
        <v>3847</v>
      </c>
      <c r="F666">
        <v>3847</v>
      </c>
      <c r="G666">
        <v>3847</v>
      </c>
      <c r="H666">
        <v>294200</v>
      </c>
    </row>
    <row r="667" spans="2:8">
      <c r="B667" t="s">
        <v>443</v>
      </c>
      <c r="C667" t="s">
        <v>166</v>
      </c>
      <c r="D667">
        <v>3845</v>
      </c>
      <c r="E667">
        <v>3859</v>
      </c>
      <c r="F667">
        <v>3836</v>
      </c>
      <c r="G667">
        <v>3841</v>
      </c>
      <c r="H667">
        <v>35800</v>
      </c>
    </row>
    <row r="668" spans="2:8">
      <c r="B668" t="s">
        <v>443</v>
      </c>
      <c r="C668" t="s">
        <v>167</v>
      </c>
      <c r="D668">
        <v>3840</v>
      </c>
      <c r="E668">
        <v>3840</v>
      </c>
      <c r="F668">
        <v>3830</v>
      </c>
      <c r="G668">
        <v>3833</v>
      </c>
      <c r="H668">
        <v>6300</v>
      </c>
    </row>
    <row r="669" spans="2:8">
      <c r="B669" t="s">
        <v>443</v>
      </c>
      <c r="C669" t="s">
        <v>168</v>
      </c>
      <c r="D669">
        <v>3835</v>
      </c>
      <c r="E669">
        <v>3845</v>
      </c>
      <c r="F669">
        <v>3835</v>
      </c>
      <c r="G669">
        <v>3842</v>
      </c>
      <c r="H669">
        <v>2000</v>
      </c>
    </row>
    <row r="670" spans="2:8">
      <c r="B670" t="s">
        <v>443</v>
      </c>
      <c r="C670" t="s">
        <v>169</v>
      </c>
      <c r="D670">
        <v>3840</v>
      </c>
      <c r="E670">
        <v>3847</v>
      </c>
      <c r="F670">
        <v>3839</v>
      </c>
      <c r="G670">
        <v>3840</v>
      </c>
      <c r="H670">
        <v>7400</v>
      </c>
    </row>
    <row r="671" spans="2:8">
      <c r="B671" t="s">
        <v>443</v>
      </c>
      <c r="C671" t="s">
        <v>170</v>
      </c>
      <c r="D671">
        <v>3842</v>
      </c>
      <c r="E671">
        <v>3847</v>
      </c>
      <c r="F671">
        <v>3841</v>
      </c>
      <c r="G671">
        <v>3846</v>
      </c>
      <c r="H671">
        <v>2300</v>
      </c>
    </row>
    <row r="672" spans="2:8">
      <c r="B672" t="s">
        <v>443</v>
      </c>
      <c r="C672" t="s">
        <v>171</v>
      </c>
      <c r="D672">
        <v>3844</v>
      </c>
      <c r="E672">
        <v>3846</v>
      </c>
      <c r="F672">
        <v>3840</v>
      </c>
      <c r="G672">
        <v>3842</v>
      </c>
      <c r="H672">
        <v>2100</v>
      </c>
    </row>
    <row r="673" spans="2:8">
      <c r="B673" t="s">
        <v>443</v>
      </c>
      <c r="C673" t="s">
        <v>172</v>
      </c>
      <c r="D673">
        <v>3844</v>
      </c>
      <c r="E673">
        <v>3849</v>
      </c>
      <c r="F673">
        <v>3844</v>
      </c>
      <c r="G673">
        <v>3845</v>
      </c>
      <c r="H673">
        <v>5200</v>
      </c>
    </row>
    <row r="674" spans="2:8">
      <c r="B674" t="s">
        <v>443</v>
      </c>
      <c r="C674" t="s">
        <v>173</v>
      </c>
      <c r="D674">
        <v>3844</v>
      </c>
      <c r="E674">
        <v>3846</v>
      </c>
      <c r="F674">
        <v>3843</v>
      </c>
      <c r="G674">
        <v>3845</v>
      </c>
      <c r="H674">
        <v>2100</v>
      </c>
    </row>
    <row r="675" spans="2:8">
      <c r="B675" t="s">
        <v>443</v>
      </c>
      <c r="C675" t="s">
        <v>174</v>
      </c>
      <c r="D675">
        <v>3843</v>
      </c>
      <c r="E675">
        <v>3843</v>
      </c>
      <c r="F675">
        <v>3837</v>
      </c>
      <c r="G675">
        <v>3837</v>
      </c>
      <c r="H675">
        <v>4100</v>
      </c>
    </row>
    <row r="676" spans="2:8">
      <c r="B676" t="s">
        <v>443</v>
      </c>
      <c r="C676" t="s">
        <v>175</v>
      </c>
      <c r="D676">
        <v>3837</v>
      </c>
      <c r="E676">
        <v>3843</v>
      </c>
      <c r="F676">
        <v>3837</v>
      </c>
      <c r="G676">
        <v>3842</v>
      </c>
      <c r="H676">
        <v>1700</v>
      </c>
    </row>
    <row r="677" spans="2:8">
      <c r="B677" t="s">
        <v>443</v>
      </c>
      <c r="C677" t="s">
        <v>176</v>
      </c>
      <c r="D677">
        <v>3842</v>
      </c>
      <c r="E677">
        <v>3842</v>
      </c>
      <c r="F677">
        <v>3835</v>
      </c>
      <c r="G677">
        <v>3835</v>
      </c>
      <c r="H677">
        <v>3600</v>
      </c>
    </row>
    <row r="678" spans="2:8">
      <c r="B678" t="s">
        <v>443</v>
      </c>
      <c r="C678" t="s">
        <v>177</v>
      </c>
      <c r="D678">
        <v>3833</v>
      </c>
      <c r="E678">
        <v>3833</v>
      </c>
      <c r="F678">
        <v>3823</v>
      </c>
      <c r="G678">
        <v>3826</v>
      </c>
      <c r="H678">
        <v>28000</v>
      </c>
    </row>
    <row r="679" spans="2:8">
      <c r="B679" t="s">
        <v>443</v>
      </c>
      <c r="C679" t="s">
        <v>178</v>
      </c>
      <c r="D679">
        <v>3825</v>
      </c>
      <c r="E679">
        <v>3828</v>
      </c>
      <c r="F679">
        <v>3823</v>
      </c>
      <c r="G679">
        <v>3828</v>
      </c>
      <c r="H679">
        <v>1600</v>
      </c>
    </row>
    <row r="680" spans="2:8">
      <c r="B680" t="s">
        <v>443</v>
      </c>
      <c r="C680" t="s">
        <v>179</v>
      </c>
      <c r="D680">
        <v>3833</v>
      </c>
      <c r="E680">
        <v>3835</v>
      </c>
      <c r="F680">
        <v>3826</v>
      </c>
      <c r="G680">
        <v>3828</v>
      </c>
      <c r="H680">
        <v>4900</v>
      </c>
    </row>
    <row r="681" spans="2:8">
      <c r="B681" t="s">
        <v>443</v>
      </c>
      <c r="C681" t="s">
        <v>180</v>
      </c>
      <c r="D681">
        <v>3831</v>
      </c>
      <c r="E681">
        <v>3831</v>
      </c>
      <c r="F681">
        <v>3830</v>
      </c>
      <c r="G681">
        <v>3830</v>
      </c>
      <c r="H681">
        <v>200</v>
      </c>
    </row>
    <row r="682" spans="2:8">
      <c r="B682" t="s">
        <v>443</v>
      </c>
      <c r="C682" t="s">
        <v>181</v>
      </c>
      <c r="D682">
        <v>3831</v>
      </c>
      <c r="E682">
        <v>3833</v>
      </c>
      <c r="F682">
        <v>3830</v>
      </c>
      <c r="G682">
        <v>3833</v>
      </c>
      <c r="H682">
        <v>4200</v>
      </c>
    </row>
    <row r="683" spans="2:8">
      <c r="B683" t="s">
        <v>443</v>
      </c>
      <c r="C683" t="s">
        <v>182</v>
      </c>
      <c r="D683">
        <v>3830</v>
      </c>
      <c r="E683">
        <v>3830</v>
      </c>
      <c r="F683">
        <v>3829</v>
      </c>
      <c r="G683">
        <v>3830</v>
      </c>
      <c r="H683">
        <v>8100</v>
      </c>
    </row>
    <row r="684" spans="2:8">
      <c r="B684" t="s">
        <v>443</v>
      </c>
      <c r="C684" t="s">
        <v>183</v>
      </c>
      <c r="D684">
        <v>3829</v>
      </c>
      <c r="E684">
        <v>3830</v>
      </c>
      <c r="F684">
        <v>3829</v>
      </c>
      <c r="G684">
        <v>3830</v>
      </c>
      <c r="H684">
        <v>500</v>
      </c>
    </row>
    <row r="685" spans="2:8">
      <c r="B685" t="s">
        <v>443</v>
      </c>
      <c r="C685" t="s">
        <v>184</v>
      </c>
      <c r="D685">
        <v>3830</v>
      </c>
      <c r="E685">
        <v>3830</v>
      </c>
      <c r="F685">
        <v>3829</v>
      </c>
      <c r="G685">
        <v>3830</v>
      </c>
      <c r="H685">
        <v>1800</v>
      </c>
    </row>
    <row r="686" spans="2:8">
      <c r="B686" t="s">
        <v>443</v>
      </c>
      <c r="C686" t="s">
        <v>185</v>
      </c>
      <c r="D686">
        <v>3829</v>
      </c>
      <c r="E686">
        <v>3833</v>
      </c>
      <c r="F686">
        <v>3829</v>
      </c>
      <c r="G686">
        <v>3833</v>
      </c>
      <c r="H686">
        <v>1400</v>
      </c>
    </row>
    <row r="687" spans="2:8">
      <c r="B687" t="s">
        <v>443</v>
      </c>
      <c r="C687" t="s">
        <v>186</v>
      </c>
      <c r="D687">
        <v>3833</v>
      </c>
      <c r="E687">
        <v>3833</v>
      </c>
      <c r="F687">
        <v>3833</v>
      </c>
      <c r="G687">
        <v>3833</v>
      </c>
      <c r="H687">
        <v>300</v>
      </c>
    </row>
    <row r="688" spans="2:8">
      <c r="B688" t="s">
        <v>443</v>
      </c>
      <c r="C688" t="s">
        <v>187</v>
      </c>
      <c r="D688">
        <v>3832</v>
      </c>
      <c r="E688">
        <v>3832</v>
      </c>
      <c r="F688">
        <v>3827</v>
      </c>
      <c r="G688">
        <v>3827</v>
      </c>
      <c r="H688">
        <v>2900</v>
      </c>
    </row>
    <row r="689" spans="2:8">
      <c r="B689" t="s">
        <v>443</v>
      </c>
      <c r="C689" t="s">
        <v>188</v>
      </c>
      <c r="D689">
        <v>3828</v>
      </c>
      <c r="E689">
        <v>3828</v>
      </c>
      <c r="F689">
        <v>3827</v>
      </c>
      <c r="G689">
        <v>3827</v>
      </c>
      <c r="H689">
        <v>900</v>
      </c>
    </row>
    <row r="690" spans="2:8">
      <c r="B690" t="s">
        <v>443</v>
      </c>
      <c r="C690" t="s">
        <v>189</v>
      </c>
      <c r="D690">
        <v>3827</v>
      </c>
      <c r="E690">
        <v>3828</v>
      </c>
      <c r="F690">
        <v>3826</v>
      </c>
      <c r="G690">
        <v>3828</v>
      </c>
      <c r="H690">
        <v>1100</v>
      </c>
    </row>
    <row r="691" spans="2:8">
      <c r="B691" t="s">
        <v>443</v>
      </c>
      <c r="C691" t="s">
        <v>190</v>
      </c>
      <c r="D691">
        <v>3827</v>
      </c>
      <c r="E691">
        <v>3828</v>
      </c>
      <c r="F691">
        <v>3825</v>
      </c>
      <c r="G691">
        <v>3825</v>
      </c>
      <c r="H691">
        <v>3300</v>
      </c>
    </row>
    <row r="692" spans="2:8">
      <c r="B692" t="s">
        <v>443</v>
      </c>
      <c r="C692" t="s">
        <v>191</v>
      </c>
      <c r="D692">
        <v>3824</v>
      </c>
      <c r="E692">
        <v>3828</v>
      </c>
      <c r="F692">
        <v>3824</v>
      </c>
      <c r="G692">
        <v>3828</v>
      </c>
      <c r="H692">
        <v>700</v>
      </c>
    </row>
    <row r="693" spans="2:8">
      <c r="B693" t="s">
        <v>443</v>
      </c>
      <c r="C693" t="s">
        <v>192</v>
      </c>
      <c r="D693">
        <v>3829</v>
      </c>
      <c r="E693">
        <v>3830</v>
      </c>
      <c r="F693">
        <v>3828</v>
      </c>
      <c r="G693">
        <v>3828</v>
      </c>
      <c r="H693">
        <v>2000</v>
      </c>
    </row>
    <row r="694" spans="2:8">
      <c r="B694" t="s">
        <v>443</v>
      </c>
      <c r="C694" t="s">
        <v>193</v>
      </c>
      <c r="D694">
        <v>3828</v>
      </c>
      <c r="E694">
        <v>3833</v>
      </c>
      <c r="F694">
        <v>3828</v>
      </c>
      <c r="G694">
        <v>3833</v>
      </c>
      <c r="H694">
        <v>1400</v>
      </c>
    </row>
    <row r="695" spans="2:8">
      <c r="B695" t="s">
        <v>443</v>
      </c>
      <c r="C695" t="s">
        <v>194</v>
      </c>
      <c r="D695">
        <v>3835</v>
      </c>
      <c r="E695">
        <v>3835</v>
      </c>
      <c r="F695">
        <v>3831</v>
      </c>
      <c r="G695">
        <v>3831</v>
      </c>
      <c r="H695">
        <v>1100</v>
      </c>
    </row>
    <row r="696" spans="2:8">
      <c r="B696" t="s">
        <v>443</v>
      </c>
      <c r="C696" t="s">
        <v>195</v>
      </c>
      <c r="D696">
        <v>3831</v>
      </c>
      <c r="E696">
        <v>3831</v>
      </c>
      <c r="F696">
        <v>3826</v>
      </c>
      <c r="G696">
        <v>3827</v>
      </c>
      <c r="H696">
        <v>3200</v>
      </c>
    </row>
    <row r="697" spans="2:8">
      <c r="B697" t="s">
        <v>443</v>
      </c>
      <c r="C697" t="s">
        <v>196</v>
      </c>
      <c r="D697">
        <v>3828</v>
      </c>
      <c r="E697">
        <v>3828</v>
      </c>
      <c r="F697">
        <v>3827</v>
      </c>
      <c r="G697">
        <v>3828</v>
      </c>
      <c r="H697">
        <v>800</v>
      </c>
    </row>
    <row r="698" spans="2:8">
      <c r="B698" t="s">
        <v>443</v>
      </c>
      <c r="C698" t="s">
        <v>197</v>
      </c>
      <c r="D698">
        <v>3828</v>
      </c>
      <c r="E698">
        <v>3828</v>
      </c>
      <c r="F698">
        <v>3827</v>
      </c>
      <c r="G698">
        <v>3827</v>
      </c>
      <c r="H698">
        <v>400</v>
      </c>
    </row>
    <row r="699" spans="2:8">
      <c r="B699" t="s">
        <v>443</v>
      </c>
      <c r="C699" t="s">
        <v>198</v>
      </c>
      <c r="D699">
        <v>3829</v>
      </c>
      <c r="E699">
        <v>3836</v>
      </c>
      <c r="F699">
        <v>3828</v>
      </c>
      <c r="G699">
        <v>3836</v>
      </c>
      <c r="H699">
        <v>2100</v>
      </c>
    </row>
    <row r="700" spans="2:8">
      <c r="B700" t="s">
        <v>443</v>
      </c>
      <c r="C700" t="s">
        <v>199</v>
      </c>
      <c r="D700">
        <v>3836</v>
      </c>
      <c r="E700">
        <v>3839</v>
      </c>
      <c r="F700">
        <v>3834</v>
      </c>
      <c r="G700">
        <v>3837</v>
      </c>
      <c r="H700">
        <v>3200</v>
      </c>
    </row>
    <row r="701" spans="2:8">
      <c r="B701" t="s">
        <v>443</v>
      </c>
      <c r="C701" t="s">
        <v>200</v>
      </c>
      <c r="D701">
        <v>3836</v>
      </c>
      <c r="E701">
        <v>3837</v>
      </c>
      <c r="F701">
        <v>3836</v>
      </c>
      <c r="G701">
        <v>3837</v>
      </c>
      <c r="H701">
        <v>900</v>
      </c>
    </row>
    <row r="702" spans="2:8">
      <c r="B702" t="s">
        <v>443</v>
      </c>
      <c r="C702" t="s">
        <v>201</v>
      </c>
      <c r="D702">
        <v>3838</v>
      </c>
      <c r="E702">
        <v>3838</v>
      </c>
      <c r="F702">
        <v>3838</v>
      </c>
      <c r="G702">
        <v>3838</v>
      </c>
      <c r="H702">
        <v>300</v>
      </c>
    </row>
    <row r="703" spans="2:8">
      <c r="B703" t="s">
        <v>443</v>
      </c>
      <c r="C703" t="s">
        <v>202</v>
      </c>
      <c r="D703">
        <v>3838</v>
      </c>
      <c r="E703">
        <v>3838</v>
      </c>
      <c r="F703">
        <v>3835</v>
      </c>
      <c r="G703">
        <v>3835</v>
      </c>
      <c r="H703">
        <v>800</v>
      </c>
    </row>
    <row r="704" spans="2:8">
      <c r="B704" t="s">
        <v>443</v>
      </c>
      <c r="C704" t="s">
        <v>203</v>
      </c>
      <c r="D704">
        <v>3834</v>
      </c>
      <c r="E704">
        <v>3838</v>
      </c>
      <c r="F704">
        <v>3834</v>
      </c>
      <c r="G704">
        <v>3836</v>
      </c>
      <c r="H704">
        <v>4400</v>
      </c>
    </row>
    <row r="705" spans="2:8">
      <c r="B705" t="s">
        <v>443</v>
      </c>
      <c r="C705" t="s">
        <v>204</v>
      </c>
      <c r="D705">
        <v>3837</v>
      </c>
      <c r="E705">
        <v>3837</v>
      </c>
      <c r="F705">
        <v>3833</v>
      </c>
      <c r="G705">
        <v>3833</v>
      </c>
      <c r="H705">
        <v>1100</v>
      </c>
    </row>
    <row r="706" spans="2:8">
      <c r="B706" t="s">
        <v>443</v>
      </c>
      <c r="C706" t="s">
        <v>205</v>
      </c>
      <c r="D706">
        <v>3835</v>
      </c>
      <c r="E706">
        <v>3837</v>
      </c>
      <c r="F706">
        <v>3835</v>
      </c>
      <c r="G706">
        <v>3836</v>
      </c>
      <c r="H706">
        <v>700</v>
      </c>
    </row>
    <row r="707" spans="2:8">
      <c r="B707" t="s">
        <v>443</v>
      </c>
      <c r="C707" t="s">
        <v>206</v>
      </c>
      <c r="D707">
        <v>3837</v>
      </c>
      <c r="E707">
        <v>3837</v>
      </c>
      <c r="F707">
        <v>3837</v>
      </c>
      <c r="G707">
        <v>3837</v>
      </c>
      <c r="H707">
        <v>600</v>
      </c>
    </row>
    <row r="708" spans="2:8">
      <c r="B708" t="s">
        <v>443</v>
      </c>
      <c r="C708" t="s">
        <v>207</v>
      </c>
      <c r="D708">
        <v>3838</v>
      </c>
      <c r="E708">
        <v>3840</v>
      </c>
      <c r="F708">
        <v>3836</v>
      </c>
      <c r="G708">
        <v>3836</v>
      </c>
      <c r="H708">
        <v>2400</v>
      </c>
    </row>
    <row r="709" spans="2:8">
      <c r="B709" t="s">
        <v>443</v>
      </c>
      <c r="C709" t="s">
        <v>208</v>
      </c>
      <c r="D709">
        <v>3836</v>
      </c>
      <c r="E709">
        <v>3839</v>
      </c>
      <c r="F709">
        <v>3834</v>
      </c>
      <c r="G709">
        <v>3839</v>
      </c>
      <c r="H709">
        <v>2200</v>
      </c>
    </row>
    <row r="710" spans="2:8">
      <c r="B710" t="s">
        <v>443</v>
      </c>
      <c r="C710" t="s">
        <v>209</v>
      </c>
      <c r="D710">
        <v>3840</v>
      </c>
      <c r="E710">
        <v>3843</v>
      </c>
      <c r="F710">
        <v>3840</v>
      </c>
      <c r="G710">
        <v>3841</v>
      </c>
      <c r="H710">
        <v>2800</v>
      </c>
    </row>
    <row r="711" spans="2:8">
      <c r="B711" t="s">
        <v>443</v>
      </c>
      <c r="C711" t="s">
        <v>210</v>
      </c>
      <c r="D711">
        <v>3843</v>
      </c>
      <c r="E711">
        <v>3843</v>
      </c>
      <c r="F711">
        <v>3843</v>
      </c>
      <c r="G711">
        <v>3843</v>
      </c>
      <c r="H711">
        <v>500</v>
      </c>
    </row>
    <row r="712" spans="2:8">
      <c r="B712" t="s">
        <v>443</v>
      </c>
      <c r="C712" t="s">
        <v>211</v>
      </c>
      <c r="D712">
        <v>3844</v>
      </c>
      <c r="E712">
        <v>3846</v>
      </c>
      <c r="F712">
        <v>3844</v>
      </c>
      <c r="G712">
        <v>3844</v>
      </c>
      <c r="H712">
        <v>1500</v>
      </c>
    </row>
    <row r="713" spans="2:8">
      <c r="B713" t="s">
        <v>443</v>
      </c>
      <c r="C713" t="s">
        <v>212</v>
      </c>
      <c r="D713">
        <v>3844</v>
      </c>
      <c r="E713">
        <v>3846</v>
      </c>
      <c r="F713">
        <v>3843</v>
      </c>
      <c r="G713">
        <v>3846</v>
      </c>
      <c r="H713">
        <v>2500</v>
      </c>
    </row>
    <row r="714" spans="2:8">
      <c r="B714" t="s">
        <v>443</v>
      </c>
      <c r="C714" t="s">
        <v>213</v>
      </c>
      <c r="D714">
        <v>3846</v>
      </c>
      <c r="E714">
        <v>3852</v>
      </c>
      <c r="F714">
        <v>3846</v>
      </c>
      <c r="G714">
        <v>3849</v>
      </c>
      <c r="H714">
        <v>4700</v>
      </c>
    </row>
    <row r="715" spans="2:8">
      <c r="B715" t="s">
        <v>443</v>
      </c>
      <c r="C715" t="s">
        <v>214</v>
      </c>
      <c r="D715">
        <v>3848</v>
      </c>
      <c r="E715">
        <v>3852</v>
      </c>
      <c r="F715">
        <v>3848</v>
      </c>
      <c r="G715">
        <v>3852</v>
      </c>
      <c r="H715">
        <v>1800</v>
      </c>
    </row>
    <row r="716" spans="2:8">
      <c r="B716" t="s">
        <v>443</v>
      </c>
      <c r="C716" t="s">
        <v>215</v>
      </c>
      <c r="D716">
        <v>3853</v>
      </c>
      <c r="E716">
        <v>3862</v>
      </c>
      <c r="F716">
        <v>3853</v>
      </c>
      <c r="G716">
        <v>3859</v>
      </c>
      <c r="H716">
        <v>10600</v>
      </c>
    </row>
    <row r="717" spans="2:8">
      <c r="B717" t="s">
        <v>443</v>
      </c>
      <c r="C717" t="s">
        <v>216</v>
      </c>
      <c r="D717">
        <v>3859</v>
      </c>
      <c r="E717">
        <v>3860</v>
      </c>
      <c r="F717">
        <v>3858</v>
      </c>
      <c r="G717">
        <v>3860</v>
      </c>
      <c r="H717">
        <v>3400</v>
      </c>
    </row>
    <row r="718" spans="2:8">
      <c r="B718" t="s">
        <v>443</v>
      </c>
      <c r="C718" t="s">
        <v>217</v>
      </c>
      <c r="D718">
        <v>3861</v>
      </c>
      <c r="E718">
        <v>3862</v>
      </c>
      <c r="F718">
        <v>3859</v>
      </c>
      <c r="G718">
        <v>3861</v>
      </c>
      <c r="H718">
        <v>2600</v>
      </c>
    </row>
    <row r="719" spans="2:8">
      <c r="B719" t="s">
        <v>443</v>
      </c>
      <c r="C719" t="s">
        <v>218</v>
      </c>
      <c r="D719">
        <v>3861</v>
      </c>
      <c r="E719">
        <v>3864</v>
      </c>
      <c r="F719">
        <v>3859</v>
      </c>
      <c r="G719">
        <v>3864</v>
      </c>
      <c r="H719">
        <v>1700</v>
      </c>
    </row>
    <row r="720" spans="2:8">
      <c r="B720" t="s">
        <v>443</v>
      </c>
      <c r="C720" t="s">
        <v>219</v>
      </c>
      <c r="D720">
        <v>3865</v>
      </c>
      <c r="E720">
        <v>3865</v>
      </c>
      <c r="F720">
        <v>3862</v>
      </c>
      <c r="G720">
        <v>3862</v>
      </c>
      <c r="H720">
        <v>1200</v>
      </c>
    </row>
    <row r="721" spans="2:8">
      <c r="B721" t="s">
        <v>443</v>
      </c>
      <c r="C721" t="s">
        <v>220</v>
      </c>
      <c r="D721">
        <v>3861</v>
      </c>
      <c r="E721">
        <v>3861</v>
      </c>
      <c r="F721">
        <v>3859</v>
      </c>
      <c r="G721">
        <v>3859</v>
      </c>
      <c r="H721">
        <v>1400</v>
      </c>
    </row>
    <row r="722" spans="2:8">
      <c r="B722" t="s">
        <v>443</v>
      </c>
      <c r="C722" t="s">
        <v>221</v>
      </c>
      <c r="D722">
        <v>3860</v>
      </c>
      <c r="E722">
        <v>3862</v>
      </c>
      <c r="F722">
        <v>3857</v>
      </c>
      <c r="G722">
        <v>3857</v>
      </c>
      <c r="H722">
        <v>2900</v>
      </c>
    </row>
    <row r="723" spans="2:8">
      <c r="B723" t="s">
        <v>443</v>
      </c>
      <c r="C723" t="s">
        <v>222</v>
      </c>
      <c r="D723">
        <v>3856</v>
      </c>
      <c r="E723">
        <v>3856</v>
      </c>
      <c r="F723">
        <v>3851</v>
      </c>
      <c r="G723">
        <v>3851</v>
      </c>
      <c r="H723">
        <v>4600</v>
      </c>
    </row>
    <row r="724" spans="2:8">
      <c r="B724" t="s">
        <v>443</v>
      </c>
      <c r="C724" t="s">
        <v>223</v>
      </c>
      <c r="D724">
        <v>3852</v>
      </c>
      <c r="E724">
        <v>3852</v>
      </c>
      <c r="F724">
        <v>3851</v>
      </c>
      <c r="G724">
        <v>3851</v>
      </c>
      <c r="H724">
        <v>400</v>
      </c>
    </row>
    <row r="725" spans="2:8">
      <c r="B725" t="s">
        <v>443</v>
      </c>
      <c r="C725" t="s">
        <v>224</v>
      </c>
      <c r="D725">
        <v>3852</v>
      </c>
      <c r="E725">
        <v>3853</v>
      </c>
      <c r="F725">
        <v>3852</v>
      </c>
      <c r="G725">
        <v>3852</v>
      </c>
      <c r="H725">
        <v>1400</v>
      </c>
    </row>
    <row r="726" spans="2:8">
      <c r="B726" t="s">
        <v>443</v>
      </c>
      <c r="C726" t="s">
        <v>225</v>
      </c>
      <c r="D726">
        <v>3851</v>
      </c>
      <c r="E726">
        <v>3851</v>
      </c>
      <c r="F726">
        <v>3847</v>
      </c>
      <c r="G726">
        <v>3847</v>
      </c>
      <c r="H726">
        <v>2300</v>
      </c>
    </row>
    <row r="727" spans="2:8">
      <c r="B727" t="s">
        <v>443</v>
      </c>
      <c r="C727" t="s">
        <v>226</v>
      </c>
      <c r="D727">
        <v>3847</v>
      </c>
      <c r="E727">
        <v>3847</v>
      </c>
      <c r="F727">
        <v>3838</v>
      </c>
      <c r="G727">
        <v>3838</v>
      </c>
      <c r="H727">
        <v>3900</v>
      </c>
    </row>
    <row r="728" spans="2:8">
      <c r="B728" t="s">
        <v>443</v>
      </c>
      <c r="C728" t="s">
        <v>227</v>
      </c>
      <c r="D728">
        <v>3838</v>
      </c>
      <c r="E728">
        <v>3838</v>
      </c>
      <c r="F728">
        <v>3831</v>
      </c>
      <c r="G728">
        <v>3836</v>
      </c>
      <c r="H728">
        <v>10000</v>
      </c>
    </row>
    <row r="729" spans="2:8">
      <c r="B729" t="s">
        <v>443</v>
      </c>
      <c r="C729" t="s">
        <v>228</v>
      </c>
      <c r="D729">
        <v>3837</v>
      </c>
      <c r="E729">
        <v>3840</v>
      </c>
      <c r="F729">
        <v>3837</v>
      </c>
      <c r="G729">
        <v>3840</v>
      </c>
      <c r="H729">
        <v>1500</v>
      </c>
    </row>
    <row r="730" spans="2:8">
      <c r="B730" t="s">
        <v>443</v>
      </c>
      <c r="C730" t="s">
        <v>229</v>
      </c>
      <c r="D730">
        <v>3840</v>
      </c>
      <c r="E730">
        <v>3840</v>
      </c>
      <c r="F730">
        <v>3837</v>
      </c>
      <c r="G730">
        <v>3839</v>
      </c>
      <c r="H730">
        <v>1100</v>
      </c>
    </row>
    <row r="731" spans="2:8">
      <c r="B731" t="s">
        <v>443</v>
      </c>
      <c r="C731" t="s">
        <v>230</v>
      </c>
      <c r="D731">
        <v>3837</v>
      </c>
      <c r="E731">
        <v>3842</v>
      </c>
      <c r="F731">
        <v>3836</v>
      </c>
      <c r="G731">
        <v>3842</v>
      </c>
      <c r="H731">
        <v>3000</v>
      </c>
    </row>
    <row r="732" spans="2:8">
      <c r="B732" t="s">
        <v>443</v>
      </c>
      <c r="C732" t="s">
        <v>231</v>
      </c>
      <c r="D732">
        <v>3841</v>
      </c>
      <c r="E732">
        <v>3841</v>
      </c>
      <c r="F732">
        <v>3840</v>
      </c>
      <c r="G732">
        <v>3840</v>
      </c>
      <c r="H732">
        <v>1500</v>
      </c>
    </row>
    <row r="733" spans="2:8">
      <c r="B733" t="s">
        <v>443</v>
      </c>
      <c r="C733" t="s">
        <v>232</v>
      </c>
      <c r="D733">
        <v>3841</v>
      </c>
      <c r="E733">
        <v>3845</v>
      </c>
      <c r="F733">
        <v>3841</v>
      </c>
      <c r="G733">
        <v>3845</v>
      </c>
      <c r="H733">
        <v>1800</v>
      </c>
    </row>
    <row r="734" spans="2:8">
      <c r="B734" t="s">
        <v>443</v>
      </c>
      <c r="C734" t="s">
        <v>233</v>
      </c>
      <c r="D734">
        <v>3845</v>
      </c>
      <c r="E734">
        <v>3845</v>
      </c>
      <c r="F734">
        <v>3842</v>
      </c>
      <c r="G734">
        <v>3845</v>
      </c>
      <c r="H734">
        <v>2700</v>
      </c>
    </row>
    <row r="735" spans="2:8">
      <c r="B735" t="s">
        <v>443</v>
      </c>
      <c r="C735" t="s">
        <v>234</v>
      </c>
      <c r="D735">
        <v>3845</v>
      </c>
      <c r="E735">
        <v>3845</v>
      </c>
      <c r="F735">
        <v>3842</v>
      </c>
      <c r="G735">
        <v>3842</v>
      </c>
      <c r="H735">
        <v>700</v>
      </c>
    </row>
    <row r="736" spans="2:8">
      <c r="B736" t="s">
        <v>443</v>
      </c>
      <c r="C736" t="s">
        <v>235</v>
      </c>
      <c r="D736">
        <v>3843</v>
      </c>
      <c r="E736">
        <v>3845</v>
      </c>
      <c r="F736">
        <v>3843</v>
      </c>
      <c r="G736">
        <v>3845</v>
      </c>
      <c r="H736">
        <v>400</v>
      </c>
    </row>
    <row r="737" spans="2:8">
      <c r="B737" t="s">
        <v>443</v>
      </c>
      <c r="C737" t="s">
        <v>236</v>
      </c>
      <c r="D737">
        <v>3845</v>
      </c>
      <c r="E737">
        <v>3845</v>
      </c>
      <c r="F737">
        <v>3844</v>
      </c>
      <c r="G737">
        <v>3844</v>
      </c>
      <c r="H737">
        <v>400</v>
      </c>
    </row>
    <row r="738" spans="2:8">
      <c r="B738" t="s">
        <v>443</v>
      </c>
      <c r="C738" t="s">
        <v>237</v>
      </c>
      <c r="D738">
        <v>3844</v>
      </c>
      <c r="E738">
        <v>3845</v>
      </c>
      <c r="F738">
        <v>3844</v>
      </c>
      <c r="G738">
        <v>3845</v>
      </c>
      <c r="H738">
        <v>500</v>
      </c>
    </row>
    <row r="739" spans="2:8">
      <c r="B739" t="s">
        <v>443</v>
      </c>
      <c r="C739" t="s">
        <v>238</v>
      </c>
      <c r="D739" t="s">
        <v>8</v>
      </c>
      <c r="E739" t="s">
        <v>8</v>
      </c>
      <c r="F739" t="s">
        <v>8</v>
      </c>
      <c r="G739" t="s">
        <v>8</v>
      </c>
      <c r="H739">
        <v>0</v>
      </c>
    </row>
    <row r="740" spans="2:8">
      <c r="B740" t="s">
        <v>443</v>
      </c>
      <c r="C740" t="s">
        <v>239</v>
      </c>
      <c r="D740">
        <v>3844</v>
      </c>
      <c r="E740">
        <v>3844</v>
      </c>
      <c r="F740">
        <v>3843</v>
      </c>
      <c r="G740">
        <v>3843</v>
      </c>
      <c r="H740">
        <v>800</v>
      </c>
    </row>
    <row r="741" spans="2:8">
      <c r="B741" t="s">
        <v>443</v>
      </c>
      <c r="C741" t="s">
        <v>240</v>
      </c>
      <c r="D741">
        <v>3843</v>
      </c>
      <c r="E741">
        <v>3843</v>
      </c>
      <c r="F741">
        <v>3843</v>
      </c>
      <c r="G741">
        <v>3843</v>
      </c>
      <c r="H741">
        <v>400</v>
      </c>
    </row>
    <row r="742" spans="2:8">
      <c r="B742" t="s">
        <v>443</v>
      </c>
      <c r="C742" t="s">
        <v>241</v>
      </c>
      <c r="D742">
        <v>3843</v>
      </c>
      <c r="E742">
        <v>3843</v>
      </c>
      <c r="F742">
        <v>3839</v>
      </c>
      <c r="G742">
        <v>3839</v>
      </c>
      <c r="H742">
        <v>800</v>
      </c>
    </row>
    <row r="743" spans="2:8">
      <c r="B743" t="s">
        <v>443</v>
      </c>
      <c r="C743" t="s">
        <v>242</v>
      </c>
      <c r="D743">
        <v>3839</v>
      </c>
      <c r="E743">
        <v>3839</v>
      </c>
      <c r="F743">
        <v>3838</v>
      </c>
      <c r="G743">
        <v>3838</v>
      </c>
      <c r="H743">
        <v>900</v>
      </c>
    </row>
    <row r="744" spans="2:8">
      <c r="B744" t="s">
        <v>443</v>
      </c>
      <c r="C744" t="s">
        <v>243</v>
      </c>
      <c r="D744">
        <v>3837</v>
      </c>
      <c r="E744">
        <v>3838</v>
      </c>
      <c r="F744">
        <v>3836</v>
      </c>
      <c r="G744">
        <v>3836</v>
      </c>
      <c r="H744">
        <v>1800</v>
      </c>
    </row>
    <row r="745" spans="2:8">
      <c r="B745" t="s">
        <v>443</v>
      </c>
      <c r="C745" t="s">
        <v>244</v>
      </c>
      <c r="D745">
        <v>3836</v>
      </c>
      <c r="E745">
        <v>3836</v>
      </c>
      <c r="F745">
        <v>3832</v>
      </c>
      <c r="G745">
        <v>3832</v>
      </c>
      <c r="H745">
        <v>1100</v>
      </c>
    </row>
    <row r="746" spans="2:8">
      <c r="B746" t="s">
        <v>443</v>
      </c>
      <c r="C746" t="s">
        <v>245</v>
      </c>
      <c r="D746" t="s">
        <v>8</v>
      </c>
      <c r="E746" t="s">
        <v>8</v>
      </c>
      <c r="F746" t="s">
        <v>8</v>
      </c>
      <c r="G746" t="s">
        <v>8</v>
      </c>
      <c r="H746">
        <v>0</v>
      </c>
    </row>
    <row r="747" spans="2:8">
      <c r="B747" t="s">
        <v>443</v>
      </c>
      <c r="C747" t="s">
        <v>246</v>
      </c>
      <c r="D747">
        <v>3831</v>
      </c>
      <c r="E747">
        <v>3831</v>
      </c>
      <c r="F747">
        <v>3828</v>
      </c>
      <c r="G747">
        <v>3829</v>
      </c>
      <c r="H747">
        <v>2300</v>
      </c>
    </row>
    <row r="748" spans="2:8">
      <c r="B748" t="s">
        <v>443</v>
      </c>
      <c r="C748" t="s">
        <v>247</v>
      </c>
      <c r="D748">
        <v>3830</v>
      </c>
      <c r="E748">
        <v>3832</v>
      </c>
      <c r="F748">
        <v>3830</v>
      </c>
      <c r="G748">
        <v>3832</v>
      </c>
      <c r="H748">
        <v>1100</v>
      </c>
    </row>
    <row r="749" spans="2:8">
      <c r="B749" t="s">
        <v>443</v>
      </c>
      <c r="C749" t="s">
        <v>248</v>
      </c>
      <c r="D749">
        <v>3834</v>
      </c>
      <c r="E749">
        <v>3835</v>
      </c>
      <c r="F749">
        <v>3834</v>
      </c>
      <c r="G749">
        <v>3835</v>
      </c>
      <c r="H749">
        <v>400</v>
      </c>
    </row>
    <row r="750" spans="2:8">
      <c r="B750" t="s">
        <v>443</v>
      </c>
      <c r="C750" t="s">
        <v>249</v>
      </c>
      <c r="D750">
        <v>3835</v>
      </c>
      <c r="E750">
        <v>3835</v>
      </c>
      <c r="F750">
        <v>3835</v>
      </c>
      <c r="G750">
        <v>3835</v>
      </c>
      <c r="H750">
        <v>800</v>
      </c>
    </row>
    <row r="751" spans="2:8">
      <c r="B751" t="s">
        <v>443</v>
      </c>
      <c r="C751" t="s">
        <v>250</v>
      </c>
      <c r="D751">
        <v>3836</v>
      </c>
      <c r="E751">
        <v>3838</v>
      </c>
      <c r="F751">
        <v>3835</v>
      </c>
      <c r="G751">
        <v>3835</v>
      </c>
      <c r="H751">
        <v>1400</v>
      </c>
    </row>
    <row r="752" spans="2:8">
      <c r="B752" t="s">
        <v>443</v>
      </c>
      <c r="C752" t="s">
        <v>251</v>
      </c>
      <c r="D752">
        <v>3837</v>
      </c>
      <c r="E752">
        <v>3837</v>
      </c>
      <c r="F752">
        <v>3835</v>
      </c>
      <c r="G752">
        <v>3836</v>
      </c>
      <c r="H752">
        <v>1100</v>
      </c>
    </row>
    <row r="753" spans="2:8">
      <c r="B753" t="s">
        <v>443</v>
      </c>
      <c r="C753" t="s">
        <v>252</v>
      </c>
      <c r="D753">
        <v>3837</v>
      </c>
      <c r="E753">
        <v>3837</v>
      </c>
      <c r="F753">
        <v>3836</v>
      </c>
      <c r="G753">
        <v>3837</v>
      </c>
      <c r="H753">
        <v>800</v>
      </c>
    </row>
    <row r="754" spans="2:8">
      <c r="B754" t="s">
        <v>443</v>
      </c>
      <c r="C754" t="s">
        <v>253</v>
      </c>
      <c r="D754">
        <v>3838</v>
      </c>
      <c r="E754">
        <v>3840</v>
      </c>
      <c r="F754">
        <v>3838</v>
      </c>
      <c r="G754">
        <v>3840</v>
      </c>
      <c r="H754">
        <v>500</v>
      </c>
    </row>
    <row r="755" spans="2:8">
      <c r="B755" t="s">
        <v>443</v>
      </c>
      <c r="C755" t="s">
        <v>254</v>
      </c>
      <c r="D755">
        <v>3839</v>
      </c>
      <c r="E755">
        <v>3839</v>
      </c>
      <c r="F755">
        <v>3839</v>
      </c>
      <c r="G755">
        <v>3839</v>
      </c>
      <c r="H755">
        <v>400</v>
      </c>
    </row>
    <row r="756" spans="2:8">
      <c r="B756" t="s">
        <v>443</v>
      </c>
      <c r="C756" t="s">
        <v>255</v>
      </c>
      <c r="D756">
        <v>3840</v>
      </c>
      <c r="E756">
        <v>3840</v>
      </c>
      <c r="F756">
        <v>3839</v>
      </c>
      <c r="G756">
        <v>3839</v>
      </c>
      <c r="H756">
        <v>1400</v>
      </c>
    </row>
    <row r="757" spans="2:8">
      <c r="B757" t="s">
        <v>443</v>
      </c>
      <c r="C757" t="s">
        <v>256</v>
      </c>
      <c r="D757">
        <v>3839</v>
      </c>
      <c r="E757">
        <v>3839</v>
      </c>
      <c r="F757">
        <v>3837</v>
      </c>
      <c r="G757">
        <v>3837</v>
      </c>
      <c r="H757">
        <v>1700</v>
      </c>
    </row>
    <row r="758" spans="2:8">
      <c r="B758" t="s">
        <v>443</v>
      </c>
      <c r="C758" t="s">
        <v>257</v>
      </c>
      <c r="D758">
        <v>3835</v>
      </c>
      <c r="E758">
        <v>3835</v>
      </c>
      <c r="F758">
        <v>3834</v>
      </c>
      <c r="G758">
        <v>3834</v>
      </c>
      <c r="H758">
        <v>400</v>
      </c>
    </row>
    <row r="759" spans="2:8">
      <c r="B759" t="s">
        <v>443</v>
      </c>
      <c r="C759" t="s">
        <v>258</v>
      </c>
      <c r="D759" t="s">
        <v>8</v>
      </c>
      <c r="E759" t="s">
        <v>8</v>
      </c>
      <c r="F759" t="s">
        <v>8</v>
      </c>
      <c r="G759" t="s">
        <v>8</v>
      </c>
      <c r="H759">
        <v>0</v>
      </c>
    </row>
    <row r="760" spans="2:8">
      <c r="B760" t="s">
        <v>443</v>
      </c>
      <c r="C760" t="s">
        <v>259</v>
      </c>
      <c r="D760">
        <v>3833</v>
      </c>
      <c r="E760">
        <v>3834</v>
      </c>
      <c r="F760">
        <v>3833</v>
      </c>
      <c r="G760">
        <v>3834</v>
      </c>
      <c r="H760">
        <v>1100</v>
      </c>
    </row>
    <row r="761" spans="2:8">
      <c r="B761" t="s">
        <v>443</v>
      </c>
      <c r="C761" t="s">
        <v>260</v>
      </c>
      <c r="D761">
        <v>3835</v>
      </c>
      <c r="E761">
        <v>3835</v>
      </c>
      <c r="F761">
        <v>3835</v>
      </c>
      <c r="G761">
        <v>3835</v>
      </c>
      <c r="H761">
        <v>500</v>
      </c>
    </row>
    <row r="762" spans="2:8">
      <c r="B762" t="s">
        <v>443</v>
      </c>
      <c r="C762" t="s">
        <v>261</v>
      </c>
      <c r="D762">
        <v>3834</v>
      </c>
      <c r="E762">
        <v>3836</v>
      </c>
      <c r="F762">
        <v>3834</v>
      </c>
      <c r="G762">
        <v>3835</v>
      </c>
      <c r="H762">
        <v>1800</v>
      </c>
    </row>
    <row r="763" spans="2:8">
      <c r="B763" t="s">
        <v>443</v>
      </c>
      <c r="C763" t="s">
        <v>262</v>
      </c>
      <c r="D763">
        <v>3835</v>
      </c>
      <c r="E763">
        <v>3835</v>
      </c>
      <c r="F763">
        <v>3834</v>
      </c>
      <c r="G763">
        <v>3834</v>
      </c>
      <c r="H763">
        <v>1000</v>
      </c>
    </row>
    <row r="764" spans="2:8">
      <c r="B764" t="s">
        <v>443</v>
      </c>
      <c r="C764" t="s">
        <v>263</v>
      </c>
      <c r="D764">
        <v>3833</v>
      </c>
      <c r="E764">
        <v>3833</v>
      </c>
      <c r="F764">
        <v>3833</v>
      </c>
      <c r="G764">
        <v>3833</v>
      </c>
      <c r="H764">
        <v>300</v>
      </c>
    </row>
    <row r="765" spans="2:8">
      <c r="B765" t="s">
        <v>443</v>
      </c>
      <c r="C765" t="s">
        <v>264</v>
      </c>
      <c r="D765">
        <v>3832</v>
      </c>
      <c r="E765">
        <v>3833</v>
      </c>
      <c r="F765">
        <v>3830</v>
      </c>
      <c r="G765">
        <v>3832</v>
      </c>
      <c r="H765">
        <v>5000</v>
      </c>
    </row>
    <row r="766" spans="2:8">
      <c r="B766" t="s">
        <v>443</v>
      </c>
      <c r="C766" t="s">
        <v>265</v>
      </c>
      <c r="D766">
        <v>3831</v>
      </c>
      <c r="E766">
        <v>3831</v>
      </c>
      <c r="F766">
        <v>3831</v>
      </c>
      <c r="G766">
        <v>3831</v>
      </c>
      <c r="H766">
        <v>400</v>
      </c>
    </row>
    <row r="767" spans="2:8">
      <c r="B767" t="s">
        <v>443</v>
      </c>
      <c r="C767" t="s">
        <v>266</v>
      </c>
      <c r="D767">
        <v>3830</v>
      </c>
      <c r="E767">
        <v>3831</v>
      </c>
      <c r="F767">
        <v>3828</v>
      </c>
      <c r="G767">
        <v>3830</v>
      </c>
      <c r="H767">
        <v>18100</v>
      </c>
    </row>
    <row r="768" spans="2:8">
      <c r="B768" t="s">
        <v>443</v>
      </c>
      <c r="C768" t="s">
        <v>267</v>
      </c>
      <c r="D768">
        <v>3831</v>
      </c>
      <c r="E768">
        <v>3832</v>
      </c>
      <c r="F768">
        <v>3831</v>
      </c>
      <c r="G768">
        <v>3831</v>
      </c>
      <c r="H768">
        <v>800</v>
      </c>
    </row>
    <row r="769" spans="2:8">
      <c r="B769" t="s">
        <v>443</v>
      </c>
      <c r="C769" t="s">
        <v>268</v>
      </c>
      <c r="D769">
        <v>3833</v>
      </c>
      <c r="E769">
        <v>3833</v>
      </c>
      <c r="F769">
        <v>3833</v>
      </c>
      <c r="G769">
        <v>3833</v>
      </c>
      <c r="H769">
        <v>500</v>
      </c>
    </row>
    <row r="770" spans="2:8">
      <c r="B770" t="s">
        <v>443</v>
      </c>
      <c r="C770" t="s">
        <v>269</v>
      </c>
      <c r="D770">
        <v>3833</v>
      </c>
      <c r="E770">
        <v>3833</v>
      </c>
      <c r="F770">
        <v>3833</v>
      </c>
      <c r="G770">
        <v>3833</v>
      </c>
      <c r="H770">
        <v>100</v>
      </c>
    </row>
    <row r="771" spans="2:8">
      <c r="B771" t="s">
        <v>443</v>
      </c>
      <c r="C771" t="s">
        <v>270</v>
      </c>
      <c r="D771">
        <v>3833</v>
      </c>
      <c r="E771">
        <v>3833</v>
      </c>
      <c r="F771">
        <v>3832</v>
      </c>
      <c r="G771">
        <v>3832</v>
      </c>
      <c r="H771">
        <v>700</v>
      </c>
    </row>
    <row r="772" spans="2:8">
      <c r="B772" t="s">
        <v>443</v>
      </c>
      <c r="C772" t="s">
        <v>271</v>
      </c>
      <c r="D772">
        <v>3832</v>
      </c>
      <c r="E772">
        <v>3832</v>
      </c>
      <c r="F772">
        <v>3832</v>
      </c>
      <c r="G772">
        <v>3832</v>
      </c>
      <c r="H772">
        <v>1100</v>
      </c>
    </row>
    <row r="773" spans="2:8">
      <c r="B773" t="s">
        <v>443</v>
      </c>
      <c r="C773" t="s">
        <v>272</v>
      </c>
      <c r="D773">
        <v>3833</v>
      </c>
      <c r="E773">
        <v>3834</v>
      </c>
      <c r="F773">
        <v>3833</v>
      </c>
      <c r="G773">
        <v>3834</v>
      </c>
      <c r="H773">
        <v>1100</v>
      </c>
    </row>
    <row r="774" spans="2:8">
      <c r="B774" t="s">
        <v>443</v>
      </c>
      <c r="C774" t="s">
        <v>273</v>
      </c>
      <c r="D774" t="s">
        <v>8</v>
      </c>
      <c r="E774" t="s">
        <v>8</v>
      </c>
      <c r="F774" t="s">
        <v>8</v>
      </c>
      <c r="G774" t="s">
        <v>8</v>
      </c>
      <c r="H774">
        <v>0</v>
      </c>
    </row>
    <row r="775" spans="2:8">
      <c r="B775" t="s">
        <v>443</v>
      </c>
      <c r="C775" t="s">
        <v>274</v>
      </c>
      <c r="D775">
        <v>3836</v>
      </c>
      <c r="E775">
        <v>3838</v>
      </c>
      <c r="F775">
        <v>3836</v>
      </c>
      <c r="G775">
        <v>3838</v>
      </c>
      <c r="H775">
        <v>1100</v>
      </c>
    </row>
    <row r="776" spans="2:8">
      <c r="B776" t="s">
        <v>443</v>
      </c>
      <c r="C776" t="s">
        <v>275</v>
      </c>
      <c r="D776">
        <v>3839</v>
      </c>
      <c r="E776">
        <v>3840</v>
      </c>
      <c r="F776">
        <v>3839</v>
      </c>
      <c r="G776">
        <v>3840</v>
      </c>
      <c r="H776">
        <v>200</v>
      </c>
    </row>
    <row r="777" spans="2:8">
      <c r="B777" t="s">
        <v>443</v>
      </c>
      <c r="C777" t="s">
        <v>276</v>
      </c>
      <c r="D777">
        <v>3840</v>
      </c>
      <c r="E777">
        <v>3841</v>
      </c>
      <c r="F777">
        <v>3840</v>
      </c>
      <c r="G777">
        <v>3841</v>
      </c>
      <c r="H777">
        <v>700</v>
      </c>
    </row>
    <row r="778" spans="2:8">
      <c r="B778" t="s">
        <v>443</v>
      </c>
      <c r="C778" t="s">
        <v>277</v>
      </c>
      <c r="D778">
        <v>3842</v>
      </c>
      <c r="E778">
        <v>3844</v>
      </c>
      <c r="F778">
        <v>3842</v>
      </c>
      <c r="G778">
        <v>3844</v>
      </c>
      <c r="H778">
        <v>500</v>
      </c>
    </row>
    <row r="779" spans="2:8">
      <c r="B779" t="s">
        <v>443</v>
      </c>
      <c r="C779" t="s">
        <v>278</v>
      </c>
      <c r="D779">
        <v>3844</v>
      </c>
      <c r="E779">
        <v>3844</v>
      </c>
      <c r="F779">
        <v>3844</v>
      </c>
      <c r="G779">
        <v>3844</v>
      </c>
      <c r="H779">
        <v>200</v>
      </c>
    </row>
    <row r="780" spans="2:8">
      <c r="B780" t="s">
        <v>443</v>
      </c>
      <c r="C780" t="s">
        <v>279</v>
      </c>
      <c r="D780">
        <v>3843</v>
      </c>
      <c r="E780">
        <v>3843</v>
      </c>
      <c r="F780">
        <v>3842</v>
      </c>
      <c r="G780">
        <v>3842</v>
      </c>
      <c r="H780">
        <v>1100</v>
      </c>
    </row>
    <row r="781" spans="2:8">
      <c r="B781" t="s">
        <v>443</v>
      </c>
      <c r="C781" t="s">
        <v>280</v>
      </c>
      <c r="D781">
        <v>3841</v>
      </c>
      <c r="E781">
        <v>3841</v>
      </c>
      <c r="F781">
        <v>3838</v>
      </c>
      <c r="G781">
        <v>3838</v>
      </c>
      <c r="H781">
        <v>2500</v>
      </c>
    </row>
    <row r="782" spans="2:8">
      <c r="B782" t="s">
        <v>443</v>
      </c>
      <c r="C782" t="s">
        <v>281</v>
      </c>
      <c r="D782">
        <v>3837</v>
      </c>
      <c r="E782">
        <v>3839</v>
      </c>
      <c r="F782">
        <v>3837</v>
      </c>
      <c r="G782">
        <v>3839</v>
      </c>
      <c r="H782">
        <v>1500</v>
      </c>
    </row>
    <row r="783" spans="2:8">
      <c r="B783" t="s">
        <v>443</v>
      </c>
      <c r="C783" t="s">
        <v>282</v>
      </c>
      <c r="D783">
        <v>3840</v>
      </c>
      <c r="E783">
        <v>3840</v>
      </c>
      <c r="F783">
        <v>3839</v>
      </c>
      <c r="G783">
        <v>3839</v>
      </c>
      <c r="H783">
        <v>800</v>
      </c>
    </row>
    <row r="784" spans="2:8">
      <c r="B784" t="s">
        <v>443</v>
      </c>
      <c r="C784" t="s">
        <v>283</v>
      </c>
      <c r="D784" t="s">
        <v>8</v>
      </c>
      <c r="E784" t="s">
        <v>8</v>
      </c>
      <c r="F784" t="s">
        <v>8</v>
      </c>
      <c r="G784" t="s">
        <v>8</v>
      </c>
      <c r="H784">
        <v>0</v>
      </c>
    </row>
    <row r="785" spans="2:8">
      <c r="B785" t="s">
        <v>443</v>
      </c>
      <c r="C785" t="s">
        <v>284</v>
      </c>
      <c r="D785">
        <v>3839</v>
      </c>
      <c r="E785">
        <v>3840</v>
      </c>
      <c r="F785">
        <v>3839</v>
      </c>
      <c r="G785">
        <v>3840</v>
      </c>
      <c r="H785">
        <v>700</v>
      </c>
    </row>
    <row r="786" spans="2:8">
      <c r="B786" t="s">
        <v>443</v>
      </c>
      <c r="C786" t="s">
        <v>285</v>
      </c>
      <c r="D786">
        <v>3841</v>
      </c>
      <c r="E786">
        <v>3841</v>
      </c>
      <c r="F786">
        <v>3841</v>
      </c>
      <c r="G786">
        <v>3841</v>
      </c>
      <c r="H786">
        <v>700</v>
      </c>
    </row>
    <row r="787" spans="2:8">
      <c r="B787" t="s">
        <v>443</v>
      </c>
      <c r="C787" t="s">
        <v>286</v>
      </c>
      <c r="D787">
        <v>3841</v>
      </c>
      <c r="E787">
        <v>3841</v>
      </c>
      <c r="F787">
        <v>3840</v>
      </c>
      <c r="G787">
        <v>3840</v>
      </c>
      <c r="H787">
        <v>700</v>
      </c>
    </row>
    <row r="788" spans="2:8">
      <c r="B788" t="s">
        <v>443</v>
      </c>
      <c r="C788" t="s">
        <v>287</v>
      </c>
      <c r="D788">
        <v>3840</v>
      </c>
      <c r="E788">
        <v>3840</v>
      </c>
      <c r="F788">
        <v>3839</v>
      </c>
      <c r="G788">
        <v>3839</v>
      </c>
      <c r="H788">
        <v>1900</v>
      </c>
    </row>
    <row r="789" spans="2:8">
      <c r="B789" t="s">
        <v>443</v>
      </c>
      <c r="C789" t="s">
        <v>288</v>
      </c>
      <c r="D789">
        <v>3839</v>
      </c>
      <c r="E789">
        <v>3839</v>
      </c>
      <c r="F789">
        <v>3836</v>
      </c>
      <c r="G789">
        <v>3838</v>
      </c>
      <c r="H789">
        <v>2800</v>
      </c>
    </row>
    <row r="790" spans="2:8">
      <c r="B790" t="s">
        <v>443</v>
      </c>
      <c r="C790" t="s">
        <v>289</v>
      </c>
      <c r="D790">
        <v>3837</v>
      </c>
      <c r="E790">
        <v>3837</v>
      </c>
      <c r="F790">
        <v>3836</v>
      </c>
      <c r="G790">
        <v>3836</v>
      </c>
      <c r="H790">
        <v>400</v>
      </c>
    </row>
    <row r="791" spans="2:8">
      <c r="B791" t="s">
        <v>443</v>
      </c>
      <c r="C791" t="s">
        <v>290</v>
      </c>
      <c r="D791">
        <v>3835</v>
      </c>
      <c r="E791">
        <v>3835</v>
      </c>
      <c r="F791">
        <v>3835</v>
      </c>
      <c r="G791">
        <v>3835</v>
      </c>
      <c r="H791">
        <v>100</v>
      </c>
    </row>
    <row r="792" spans="2:8">
      <c r="B792" t="s">
        <v>443</v>
      </c>
      <c r="C792" t="s">
        <v>291</v>
      </c>
      <c r="D792">
        <v>3835</v>
      </c>
      <c r="E792">
        <v>3835</v>
      </c>
      <c r="F792">
        <v>3833</v>
      </c>
      <c r="G792">
        <v>3833</v>
      </c>
      <c r="H792">
        <v>1400</v>
      </c>
    </row>
    <row r="793" spans="2:8">
      <c r="B793" t="s">
        <v>443</v>
      </c>
      <c r="C793" t="s">
        <v>292</v>
      </c>
      <c r="D793">
        <v>3833</v>
      </c>
      <c r="E793">
        <v>3833</v>
      </c>
      <c r="F793">
        <v>3833</v>
      </c>
      <c r="G793">
        <v>3833</v>
      </c>
      <c r="H793">
        <v>400</v>
      </c>
    </row>
    <row r="794" spans="2:8">
      <c r="B794" t="s">
        <v>443</v>
      </c>
      <c r="C794" t="s">
        <v>293</v>
      </c>
      <c r="D794">
        <v>3833</v>
      </c>
      <c r="E794">
        <v>3833</v>
      </c>
      <c r="F794">
        <v>3832</v>
      </c>
      <c r="G794">
        <v>3832</v>
      </c>
      <c r="H794">
        <v>700</v>
      </c>
    </row>
    <row r="795" spans="2:8">
      <c r="B795" t="s">
        <v>443</v>
      </c>
      <c r="C795" t="s">
        <v>294</v>
      </c>
      <c r="D795">
        <v>3832</v>
      </c>
      <c r="E795">
        <v>3832</v>
      </c>
      <c r="F795">
        <v>3831</v>
      </c>
      <c r="G795">
        <v>3832</v>
      </c>
      <c r="H795">
        <v>2400</v>
      </c>
    </row>
    <row r="796" spans="2:8">
      <c r="B796" t="s">
        <v>443</v>
      </c>
      <c r="C796" t="s">
        <v>295</v>
      </c>
      <c r="D796" t="s">
        <v>8</v>
      </c>
      <c r="E796" t="s">
        <v>8</v>
      </c>
      <c r="F796" t="s">
        <v>8</v>
      </c>
      <c r="G796" t="s">
        <v>8</v>
      </c>
      <c r="H796">
        <v>0</v>
      </c>
    </row>
    <row r="797" spans="2:8">
      <c r="B797" t="s">
        <v>443</v>
      </c>
      <c r="C797" t="s">
        <v>296</v>
      </c>
      <c r="D797">
        <v>3831</v>
      </c>
      <c r="E797">
        <v>3832</v>
      </c>
      <c r="F797">
        <v>3831</v>
      </c>
      <c r="G797">
        <v>3832</v>
      </c>
      <c r="H797">
        <v>1800</v>
      </c>
    </row>
    <row r="798" spans="2:8">
      <c r="B798" t="s">
        <v>443</v>
      </c>
      <c r="C798" t="s">
        <v>297</v>
      </c>
      <c r="D798">
        <v>3832</v>
      </c>
      <c r="E798">
        <v>3833</v>
      </c>
      <c r="F798">
        <v>3832</v>
      </c>
      <c r="G798">
        <v>3833</v>
      </c>
      <c r="H798">
        <v>1600</v>
      </c>
    </row>
    <row r="799" spans="2:8">
      <c r="B799" t="s">
        <v>443</v>
      </c>
      <c r="C799" t="s">
        <v>298</v>
      </c>
      <c r="D799">
        <v>3834</v>
      </c>
      <c r="E799">
        <v>3836</v>
      </c>
      <c r="F799">
        <v>3834</v>
      </c>
      <c r="G799">
        <v>3836</v>
      </c>
      <c r="H799">
        <v>3400</v>
      </c>
    </row>
    <row r="800" spans="2:8">
      <c r="B800" t="s">
        <v>443</v>
      </c>
      <c r="C800" t="s">
        <v>299</v>
      </c>
      <c r="D800">
        <v>3836</v>
      </c>
      <c r="E800">
        <v>3837</v>
      </c>
      <c r="F800">
        <v>3836</v>
      </c>
      <c r="G800">
        <v>3837</v>
      </c>
      <c r="H800">
        <v>1200</v>
      </c>
    </row>
    <row r="801" spans="2:8">
      <c r="B801" t="s">
        <v>443</v>
      </c>
      <c r="C801" t="s">
        <v>300</v>
      </c>
      <c r="D801">
        <v>3838</v>
      </c>
      <c r="E801">
        <v>3839</v>
      </c>
      <c r="F801">
        <v>3838</v>
      </c>
      <c r="G801">
        <v>3839</v>
      </c>
      <c r="H801">
        <v>200</v>
      </c>
    </row>
    <row r="802" spans="2:8">
      <c r="B802" t="s">
        <v>443</v>
      </c>
      <c r="C802" t="s">
        <v>301</v>
      </c>
      <c r="D802">
        <v>3839</v>
      </c>
      <c r="E802">
        <v>3840</v>
      </c>
      <c r="F802">
        <v>3839</v>
      </c>
      <c r="G802">
        <v>3840</v>
      </c>
      <c r="H802">
        <v>900</v>
      </c>
    </row>
    <row r="803" spans="2:8">
      <c r="B803" t="s">
        <v>443</v>
      </c>
      <c r="C803" t="s">
        <v>302</v>
      </c>
      <c r="D803">
        <v>3842</v>
      </c>
      <c r="E803">
        <v>3843</v>
      </c>
      <c r="F803">
        <v>3842</v>
      </c>
      <c r="G803">
        <v>3843</v>
      </c>
      <c r="H803">
        <v>1300</v>
      </c>
    </row>
    <row r="804" spans="2:8">
      <c r="B804" t="s">
        <v>443</v>
      </c>
      <c r="C804" t="s">
        <v>303</v>
      </c>
      <c r="D804">
        <v>3844</v>
      </c>
      <c r="E804">
        <v>3844</v>
      </c>
      <c r="F804">
        <v>3842</v>
      </c>
      <c r="G804">
        <v>3842</v>
      </c>
      <c r="H804">
        <v>800</v>
      </c>
    </row>
    <row r="805" spans="2:8">
      <c r="B805" t="s">
        <v>443</v>
      </c>
      <c r="C805" t="s">
        <v>304</v>
      </c>
      <c r="D805">
        <v>3842</v>
      </c>
      <c r="E805">
        <v>3843</v>
      </c>
      <c r="F805">
        <v>3841</v>
      </c>
      <c r="G805">
        <v>3841</v>
      </c>
      <c r="H805">
        <v>1900</v>
      </c>
    </row>
    <row r="806" spans="2:8">
      <c r="B806" t="s">
        <v>443</v>
      </c>
      <c r="C806" t="s">
        <v>305</v>
      </c>
      <c r="D806">
        <v>3841</v>
      </c>
      <c r="E806">
        <v>3841</v>
      </c>
      <c r="F806">
        <v>3841</v>
      </c>
      <c r="G806">
        <v>3841</v>
      </c>
      <c r="H806">
        <v>200</v>
      </c>
    </row>
    <row r="807" spans="2:8">
      <c r="B807" t="s">
        <v>443</v>
      </c>
      <c r="C807" t="s">
        <v>306</v>
      </c>
      <c r="D807">
        <v>3840</v>
      </c>
      <c r="E807">
        <v>3840</v>
      </c>
      <c r="F807">
        <v>3840</v>
      </c>
      <c r="G807">
        <v>3840</v>
      </c>
      <c r="H807">
        <v>800</v>
      </c>
    </row>
    <row r="808" spans="2:8">
      <c r="B808" t="s">
        <v>443</v>
      </c>
      <c r="C808" t="s">
        <v>307</v>
      </c>
      <c r="D808">
        <v>3839</v>
      </c>
      <c r="E808">
        <v>3839</v>
      </c>
      <c r="F808">
        <v>3838</v>
      </c>
      <c r="G808">
        <v>3838</v>
      </c>
      <c r="H808">
        <v>500</v>
      </c>
    </row>
    <row r="809" spans="2:8">
      <c r="B809" t="s">
        <v>443</v>
      </c>
      <c r="C809" t="s">
        <v>308</v>
      </c>
      <c r="D809">
        <v>3839</v>
      </c>
      <c r="E809">
        <v>3840</v>
      </c>
      <c r="F809">
        <v>3839</v>
      </c>
      <c r="G809">
        <v>3840</v>
      </c>
      <c r="H809">
        <v>1500</v>
      </c>
    </row>
    <row r="810" spans="2:8">
      <c r="B810" t="s">
        <v>443</v>
      </c>
      <c r="C810" t="s">
        <v>309</v>
      </c>
      <c r="D810">
        <v>3840</v>
      </c>
      <c r="E810">
        <v>3842</v>
      </c>
      <c r="F810">
        <v>3840</v>
      </c>
      <c r="G810">
        <v>3842</v>
      </c>
      <c r="H810">
        <v>1000</v>
      </c>
    </row>
    <row r="811" spans="2:8">
      <c r="B811" t="s">
        <v>443</v>
      </c>
      <c r="C811" t="s">
        <v>310</v>
      </c>
      <c r="D811">
        <v>3841</v>
      </c>
      <c r="E811">
        <v>3842</v>
      </c>
      <c r="F811">
        <v>3841</v>
      </c>
      <c r="G811">
        <v>3842</v>
      </c>
      <c r="H811">
        <v>700</v>
      </c>
    </row>
    <row r="812" spans="2:8">
      <c r="B812" t="s">
        <v>443</v>
      </c>
      <c r="C812" t="s">
        <v>311</v>
      </c>
      <c r="D812">
        <v>3841</v>
      </c>
      <c r="E812">
        <v>3842</v>
      </c>
      <c r="F812">
        <v>3841</v>
      </c>
      <c r="G812">
        <v>3842</v>
      </c>
      <c r="H812">
        <v>900</v>
      </c>
    </row>
    <row r="813" spans="2:8">
      <c r="B813" t="s">
        <v>443</v>
      </c>
      <c r="C813" t="s">
        <v>312</v>
      </c>
      <c r="D813">
        <v>3841</v>
      </c>
      <c r="E813">
        <v>3841</v>
      </c>
      <c r="F813">
        <v>3841</v>
      </c>
      <c r="G813">
        <v>3841</v>
      </c>
      <c r="H813">
        <v>1500</v>
      </c>
    </row>
    <row r="814" spans="2:8">
      <c r="B814" t="s">
        <v>443</v>
      </c>
      <c r="C814" t="s">
        <v>313</v>
      </c>
      <c r="D814">
        <v>3841</v>
      </c>
      <c r="E814">
        <v>3843</v>
      </c>
      <c r="F814">
        <v>3841</v>
      </c>
      <c r="G814">
        <v>3843</v>
      </c>
      <c r="H814">
        <v>1700</v>
      </c>
    </row>
    <row r="815" spans="2:8">
      <c r="B815" t="s">
        <v>443</v>
      </c>
      <c r="C815" t="s">
        <v>314</v>
      </c>
      <c r="D815">
        <v>3844</v>
      </c>
      <c r="E815">
        <v>3845</v>
      </c>
      <c r="F815">
        <v>3844</v>
      </c>
      <c r="G815">
        <v>3845</v>
      </c>
      <c r="H815">
        <v>1100</v>
      </c>
    </row>
    <row r="816" spans="2:8">
      <c r="B816" t="s">
        <v>443</v>
      </c>
      <c r="C816" t="s">
        <v>315</v>
      </c>
      <c r="D816">
        <v>3846</v>
      </c>
      <c r="E816">
        <v>3846</v>
      </c>
      <c r="F816">
        <v>3846</v>
      </c>
      <c r="G816">
        <v>3846</v>
      </c>
      <c r="H816">
        <v>800</v>
      </c>
    </row>
    <row r="817" spans="2:8">
      <c r="B817" t="s">
        <v>443</v>
      </c>
      <c r="C817" t="s">
        <v>316</v>
      </c>
      <c r="D817">
        <v>3850</v>
      </c>
      <c r="E817">
        <v>3850</v>
      </c>
      <c r="F817">
        <v>3850</v>
      </c>
      <c r="G817">
        <v>3850</v>
      </c>
      <c r="H817">
        <v>1700</v>
      </c>
    </row>
    <row r="818" spans="2:8">
      <c r="B818" t="s">
        <v>443</v>
      </c>
      <c r="C818" t="s">
        <v>317</v>
      </c>
      <c r="D818">
        <v>3850</v>
      </c>
      <c r="E818">
        <v>3850</v>
      </c>
      <c r="F818">
        <v>3841</v>
      </c>
      <c r="G818">
        <v>3841</v>
      </c>
      <c r="H818">
        <v>17900</v>
      </c>
    </row>
    <row r="819" spans="2:8">
      <c r="B819" t="s">
        <v>443</v>
      </c>
      <c r="C819" t="s">
        <v>318</v>
      </c>
      <c r="D819">
        <v>3842</v>
      </c>
      <c r="E819">
        <v>3843</v>
      </c>
      <c r="F819">
        <v>3841</v>
      </c>
      <c r="G819">
        <v>3841</v>
      </c>
      <c r="H819">
        <v>3200</v>
      </c>
    </row>
    <row r="820" spans="2:8">
      <c r="B820" t="s">
        <v>443</v>
      </c>
      <c r="C820" t="s">
        <v>319</v>
      </c>
      <c r="D820">
        <v>3841</v>
      </c>
      <c r="E820">
        <v>3844</v>
      </c>
      <c r="F820">
        <v>3841</v>
      </c>
      <c r="G820">
        <v>3842</v>
      </c>
      <c r="H820">
        <v>2300</v>
      </c>
    </row>
    <row r="821" spans="2:8">
      <c r="B821" t="s">
        <v>443</v>
      </c>
      <c r="C821" t="s">
        <v>320</v>
      </c>
      <c r="D821">
        <v>3842</v>
      </c>
      <c r="E821">
        <v>3842</v>
      </c>
      <c r="F821">
        <v>3842</v>
      </c>
      <c r="G821">
        <v>3842</v>
      </c>
      <c r="H821">
        <v>800</v>
      </c>
    </row>
    <row r="822" spans="2:8">
      <c r="B822" t="s">
        <v>443</v>
      </c>
      <c r="C822" t="s">
        <v>321</v>
      </c>
      <c r="D822">
        <v>3842</v>
      </c>
      <c r="E822">
        <v>3842</v>
      </c>
      <c r="F822">
        <v>3842</v>
      </c>
      <c r="G822">
        <v>3842</v>
      </c>
      <c r="H822">
        <v>700</v>
      </c>
    </row>
    <row r="823" spans="2:8">
      <c r="B823" t="s">
        <v>443</v>
      </c>
      <c r="C823" t="s">
        <v>322</v>
      </c>
      <c r="D823">
        <v>3843</v>
      </c>
      <c r="E823">
        <v>3849</v>
      </c>
      <c r="F823">
        <v>3843</v>
      </c>
      <c r="G823">
        <v>3847</v>
      </c>
      <c r="H823">
        <v>4200</v>
      </c>
    </row>
    <row r="824" spans="2:8">
      <c r="B824" t="s">
        <v>443</v>
      </c>
      <c r="C824" t="s">
        <v>323</v>
      </c>
      <c r="D824">
        <v>3849</v>
      </c>
      <c r="E824">
        <v>3849</v>
      </c>
      <c r="F824">
        <v>3845</v>
      </c>
      <c r="G824">
        <v>3845</v>
      </c>
      <c r="H824">
        <v>2600</v>
      </c>
    </row>
    <row r="825" spans="2:8">
      <c r="B825" t="s">
        <v>443</v>
      </c>
      <c r="C825" t="s">
        <v>324</v>
      </c>
      <c r="D825">
        <v>3846</v>
      </c>
      <c r="E825">
        <v>3849</v>
      </c>
      <c r="F825">
        <v>3846</v>
      </c>
      <c r="G825">
        <v>3847</v>
      </c>
      <c r="H825">
        <v>2300</v>
      </c>
    </row>
    <row r="826" spans="2:8">
      <c r="B826" t="s">
        <v>443</v>
      </c>
      <c r="C826" t="s">
        <v>325</v>
      </c>
      <c r="D826">
        <v>3848</v>
      </c>
      <c r="E826">
        <v>3849</v>
      </c>
      <c r="F826">
        <v>3848</v>
      </c>
      <c r="G826">
        <v>3848</v>
      </c>
      <c r="H826">
        <v>1100</v>
      </c>
    </row>
    <row r="827" spans="2:8">
      <c r="B827" t="s">
        <v>443</v>
      </c>
      <c r="C827" t="s">
        <v>326</v>
      </c>
      <c r="D827">
        <v>3849</v>
      </c>
      <c r="E827">
        <v>3849</v>
      </c>
      <c r="F827">
        <v>3847</v>
      </c>
      <c r="G827">
        <v>3847</v>
      </c>
      <c r="H827">
        <v>2700</v>
      </c>
    </row>
    <row r="828" spans="2:8">
      <c r="B828" t="s">
        <v>443</v>
      </c>
      <c r="C828" t="s">
        <v>327</v>
      </c>
      <c r="D828">
        <v>3846</v>
      </c>
      <c r="E828">
        <v>3846</v>
      </c>
      <c r="F828">
        <v>3846</v>
      </c>
      <c r="G828">
        <v>3846</v>
      </c>
      <c r="H828">
        <v>800</v>
      </c>
    </row>
    <row r="829" spans="2:8">
      <c r="B829" t="s">
        <v>443</v>
      </c>
      <c r="C829" t="s">
        <v>328</v>
      </c>
      <c r="D829">
        <v>3846</v>
      </c>
      <c r="E829">
        <v>3846</v>
      </c>
      <c r="F829">
        <v>3846</v>
      </c>
      <c r="G829">
        <v>3846</v>
      </c>
      <c r="H829">
        <v>900</v>
      </c>
    </row>
    <row r="830" spans="2:8">
      <c r="B830" t="s">
        <v>443</v>
      </c>
      <c r="C830" t="s">
        <v>329</v>
      </c>
      <c r="D830">
        <v>3846</v>
      </c>
      <c r="E830">
        <v>3846</v>
      </c>
      <c r="F830">
        <v>3844</v>
      </c>
      <c r="G830">
        <v>3844</v>
      </c>
      <c r="H830">
        <v>1900</v>
      </c>
    </row>
    <row r="831" spans="2:8">
      <c r="B831" t="s">
        <v>443</v>
      </c>
      <c r="C831" t="s">
        <v>330</v>
      </c>
      <c r="D831">
        <v>3844</v>
      </c>
      <c r="E831">
        <v>3844</v>
      </c>
      <c r="F831">
        <v>3844</v>
      </c>
      <c r="G831">
        <v>3844</v>
      </c>
      <c r="H831">
        <v>100</v>
      </c>
    </row>
    <row r="832" spans="2:8">
      <c r="B832" t="s">
        <v>443</v>
      </c>
      <c r="C832" t="s">
        <v>331</v>
      </c>
      <c r="D832">
        <v>3844</v>
      </c>
      <c r="E832">
        <v>3844</v>
      </c>
      <c r="F832">
        <v>3844</v>
      </c>
      <c r="G832">
        <v>3844</v>
      </c>
      <c r="H832">
        <v>1500</v>
      </c>
    </row>
    <row r="833" spans="2:8">
      <c r="B833" t="s">
        <v>443</v>
      </c>
      <c r="C833" t="s">
        <v>332</v>
      </c>
      <c r="D833">
        <v>3845</v>
      </c>
      <c r="E833">
        <v>3847</v>
      </c>
      <c r="F833">
        <v>3845</v>
      </c>
      <c r="G833">
        <v>3845</v>
      </c>
      <c r="H833">
        <v>2500</v>
      </c>
    </row>
    <row r="834" spans="2:8">
      <c r="B834" t="s">
        <v>443</v>
      </c>
      <c r="C834" t="s">
        <v>333</v>
      </c>
      <c r="D834">
        <v>3844</v>
      </c>
      <c r="E834">
        <v>3846</v>
      </c>
      <c r="F834">
        <v>3844</v>
      </c>
      <c r="G834">
        <v>3846</v>
      </c>
      <c r="H834">
        <v>1200</v>
      </c>
    </row>
    <row r="835" spans="2:8">
      <c r="B835" t="s">
        <v>443</v>
      </c>
      <c r="C835" t="s">
        <v>334</v>
      </c>
      <c r="D835">
        <v>3847</v>
      </c>
      <c r="E835">
        <v>3847</v>
      </c>
      <c r="F835">
        <v>3846</v>
      </c>
      <c r="G835">
        <v>3846</v>
      </c>
      <c r="H835">
        <v>1000</v>
      </c>
    </row>
    <row r="836" spans="2:8">
      <c r="B836" t="s">
        <v>443</v>
      </c>
      <c r="C836" t="s">
        <v>335</v>
      </c>
      <c r="D836">
        <v>3845</v>
      </c>
      <c r="E836">
        <v>3845</v>
      </c>
      <c r="F836">
        <v>3844</v>
      </c>
      <c r="G836">
        <v>3844</v>
      </c>
      <c r="H836">
        <v>1800</v>
      </c>
    </row>
    <row r="837" spans="2:8">
      <c r="B837" t="s">
        <v>443</v>
      </c>
      <c r="C837" t="s">
        <v>336</v>
      </c>
      <c r="D837">
        <v>3845</v>
      </c>
      <c r="E837">
        <v>3845</v>
      </c>
      <c r="F837">
        <v>3843</v>
      </c>
      <c r="G837">
        <v>3843</v>
      </c>
      <c r="H837">
        <v>2400</v>
      </c>
    </row>
    <row r="838" spans="2:8">
      <c r="B838" t="s">
        <v>443</v>
      </c>
      <c r="C838" t="s">
        <v>337</v>
      </c>
      <c r="D838">
        <v>3844</v>
      </c>
      <c r="E838">
        <v>3845</v>
      </c>
      <c r="F838">
        <v>3844</v>
      </c>
      <c r="G838">
        <v>3844</v>
      </c>
      <c r="H838">
        <v>2000</v>
      </c>
    </row>
    <row r="839" spans="2:8">
      <c r="B839" t="s">
        <v>443</v>
      </c>
      <c r="C839" t="s">
        <v>338</v>
      </c>
      <c r="D839">
        <v>3844</v>
      </c>
      <c r="E839">
        <v>3844</v>
      </c>
      <c r="F839">
        <v>3844</v>
      </c>
      <c r="G839">
        <v>3844</v>
      </c>
      <c r="H839">
        <v>400</v>
      </c>
    </row>
    <row r="840" spans="2:8">
      <c r="B840" t="s">
        <v>443</v>
      </c>
      <c r="C840" t="s">
        <v>339</v>
      </c>
      <c r="D840">
        <v>3845</v>
      </c>
      <c r="E840">
        <v>3847</v>
      </c>
      <c r="F840">
        <v>3845</v>
      </c>
      <c r="G840">
        <v>3847</v>
      </c>
      <c r="H840">
        <v>1700</v>
      </c>
    </row>
    <row r="841" spans="2:8">
      <c r="B841" t="s">
        <v>443</v>
      </c>
      <c r="C841" t="s">
        <v>340</v>
      </c>
      <c r="D841">
        <v>3846</v>
      </c>
      <c r="E841">
        <v>3846</v>
      </c>
      <c r="F841">
        <v>3843</v>
      </c>
      <c r="G841">
        <v>3845</v>
      </c>
      <c r="H841">
        <v>3300</v>
      </c>
    </row>
    <row r="842" spans="2:8">
      <c r="B842" t="s">
        <v>443</v>
      </c>
      <c r="C842" t="s">
        <v>341</v>
      </c>
      <c r="D842">
        <v>3846</v>
      </c>
      <c r="E842">
        <v>3846</v>
      </c>
      <c r="F842">
        <v>3845</v>
      </c>
      <c r="G842">
        <v>3845</v>
      </c>
      <c r="H842">
        <v>400</v>
      </c>
    </row>
    <row r="843" spans="2:8">
      <c r="B843" t="s">
        <v>443</v>
      </c>
      <c r="C843" t="s">
        <v>342</v>
      </c>
      <c r="D843">
        <v>3844</v>
      </c>
      <c r="E843">
        <v>3844</v>
      </c>
      <c r="F843">
        <v>3842</v>
      </c>
      <c r="G843">
        <v>3842</v>
      </c>
      <c r="H843">
        <v>3400</v>
      </c>
    </row>
    <row r="844" spans="2:8">
      <c r="B844" t="s">
        <v>443</v>
      </c>
      <c r="C844" t="s">
        <v>343</v>
      </c>
      <c r="D844">
        <v>3842</v>
      </c>
      <c r="E844">
        <v>3842</v>
      </c>
      <c r="F844">
        <v>3842</v>
      </c>
      <c r="G844">
        <v>3842</v>
      </c>
      <c r="H844">
        <v>600</v>
      </c>
    </row>
    <row r="845" spans="2:8">
      <c r="B845" t="s">
        <v>443</v>
      </c>
      <c r="C845" t="s">
        <v>344</v>
      </c>
      <c r="D845">
        <v>3841</v>
      </c>
      <c r="E845">
        <v>3842</v>
      </c>
      <c r="F845">
        <v>3841</v>
      </c>
      <c r="G845">
        <v>3842</v>
      </c>
      <c r="H845">
        <v>1100</v>
      </c>
    </row>
    <row r="846" spans="2:8">
      <c r="B846" t="s">
        <v>443</v>
      </c>
      <c r="C846" t="s">
        <v>345</v>
      </c>
      <c r="D846">
        <v>3843</v>
      </c>
      <c r="E846">
        <v>3843</v>
      </c>
      <c r="F846">
        <v>3842</v>
      </c>
      <c r="G846">
        <v>3842</v>
      </c>
      <c r="H846">
        <v>400</v>
      </c>
    </row>
    <row r="847" spans="2:8">
      <c r="B847" t="s">
        <v>443</v>
      </c>
      <c r="C847" t="s">
        <v>346</v>
      </c>
      <c r="D847">
        <v>3843</v>
      </c>
      <c r="E847">
        <v>3843</v>
      </c>
      <c r="F847">
        <v>3842</v>
      </c>
      <c r="G847">
        <v>3842</v>
      </c>
      <c r="H847">
        <v>800</v>
      </c>
    </row>
    <row r="848" spans="2:8">
      <c r="B848" t="s">
        <v>443</v>
      </c>
      <c r="C848" t="s">
        <v>347</v>
      </c>
      <c r="D848">
        <v>3841</v>
      </c>
      <c r="E848">
        <v>3841</v>
      </c>
      <c r="F848">
        <v>3838</v>
      </c>
      <c r="G848">
        <v>3841</v>
      </c>
      <c r="H848">
        <v>5300</v>
      </c>
    </row>
    <row r="849" spans="2:8">
      <c r="B849" t="s">
        <v>443</v>
      </c>
      <c r="C849" t="s">
        <v>348</v>
      </c>
      <c r="D849">
        <v>3841</v>
      </c>
      <c r="E849">
        <v>3841</v>
      </c>
      <c r="F849">
        <v>3840</v>
      </c>
      <c r="G849">
        <v>3840</v>
      </c>
      <c r="H849">
        <v>800</v>
      </c>
    </row>
    <row r="850" spans="2:8">
      <c r="B850" t="s">
        <v>443</v>
      </c>
      <c r="C850" t="s">
        <v>349</v>
      </c>
      <c r="D850">
        <v>3839</v>
      </c>
      <c r="E850">
        <v>3839</v>
      </c>
      <c r="F850">
        <v>3839</v>
      </c>
      <c r="G850">
        <v>3839</v>
      </c>
      <c r="H850">
        <v>200</v>
      </c>
    </row>
    <row r="851" spans="2:8">
      <c r="B851" t="s">
        <v>443</v>
      </c>
      <c r="C851" t="s">
        <v>350</v>
      </c>
      <c r="D851">
        <v>3839</v>
      </c>
      <c r="E851">
        <v>3842</v>
      </c>
      <c r="F851">
        <v>3839</v>
      </c>
      <c r="G851">
        <v>3842</v>
      </c>
      <c r="H851">
        <v>2400</v>
      </c>
    </row>
    <row r="852" spans="2:8">
      <c r="B852" t="s">
        <v>443</v>
      </c>
      <c r="C852" t="s">
        <v>351</v>
      </c>
      <c r="D852">
        <v>3843</v>
      </c>
      <c r="E852">
        <v>3843</v>
      </c>
      <c r="F852">
        <v>3843</v>
      </c>
      <c r="G852">
        <v>3843</v>
      </c>
      <c r="H852">
        <v>600</v>
      </c>
    </row>
    <row r="853" spans="2:8">
      <c r="B853" t="s">
        <v>443</v>
      </c>
      <c r="C853" t="s">
        <v>352</v>
      </c>
      <c r="D853">
        <v>3844</v>
      </c>
      <c r="E853">
        <v>3844</v>
      </c>
      <c r="F853">
        <v>3844</v>
      </c>
      <c r="G853">
        <v>3844</v>
      </c>
      <c r="H853">
        <v>100</v>
      </c>
    </row>
    <row r="854" spans="2:8">
      <c r="B854" t="s">
        <v>443</v>
      </c>
      <c r="C854" t="s">
        <v>353</v>
      </c>
      <c r="D854">
        <v>3844</v>
      </c>
      <c r="E854">
        <v>3844</v>
      </c>
      <c r="F854">
        <v>3843</v>
      </c>
      <c r="G854">
        <v>3843</v>
      </c>
      <c r="H854">
        <v>3900</v>
      </c>
    </row>
    <row r="855" spans="2:8">
      <c r="B855" t="s">
        <v>443</v>
      </c>
      <c r="C855" t="s">
        <v>354</v>
      </c>
      <c r="D855">
        <v>3843</v>
      </c>
      <c r="E855">
        <v>3843</v>
      </c>
      <c r="F855">
        <v>3843</v>
      </c>
      <c r="G855">
        <v>3843</v>
      </c>
      <c r="H855">
        <v>800</v>
      </c>
    </row>
    <row r="856" spans="2:8">
      <c r="B856" t="s">
        <v>443</v>
      </c>
      <c r="C856" t="s">
        <v>355</v>
      </c>
      <c r="D856">
        <v>3844</v>
      </c>
      <c r="E856">
        <v>3845</v>
      </c>
      <c r="F856">
        <v>3844</v>
      </c>
      <c r="G856">
        <v>3845</v>
      </c>
      <c r="H856">
        <v>1100</v>
      </c>
    </row>
    <row r="857" spans="2:8">
      <c r="B857" t="s">
        <v>443</v>
      </c>
      <c r="C857" t="s">
        <v>356</v>
      </c>
      <c r="D857">
        <v>3846</v>
      </c>
      <c r="E857">
        <v>3846</v>
      </c>
      <c r="F857">
        <v>3845</v>
      </c>
      <c r="G857">
        <v>3845</v>
      </c>
      <c r="H857">
        <v>900</v>
      </c>
    </row>
    <row r="858" spans="2:8">
      <c r="B858" t="s">
        <v>443</v>
      </c>
      <c r="C858" t="s">
        <v>357</v>
      </c>
      <c r="D858">
        <v>3845</v>
      </c>
      <c r="E858">
        <v>3845</v>
      </c>
      <c r="F858">
        <v>3845</v>
      </c>
      <c r="G858">
        <v>3845</v>
      </c>
      <c r="H858">
        <v>300</v>
      </c>
    </row>
    <row r="859" spans="2:8">
      <c r="B859" t="s">
        <v>443</v>
      </c>
      <c r="C859" t="s">
        <v>358</v>
      </c>
      <c r="D859">
        <v>3844</v>
      </c>
      <c r="E859">
        <v>3844</v>
      </c>
      <c r="F859">
        <v>3844</v>
      </c>
      <c r="G859">
        <v>3844</v>
      </c>
      <c r="H859">
        <v>800</v>
      </c>
    </row>
    <row r="860" spans="2:8">
      <c r="B860" t="s">
        <v>443</v>
      </c>
      <c r="C860" t="s">
        <v>359</v>
      </c>
      <c r="D860">
        <v>3843</v>
      </c>
      <c r="E860">
        <v>3844</v>
      </c>
      <c r="F860">
        <v>3840</v>
      </c>
      <c r="G860">
        <v>3840</v>
      </c>
      <c r="H860">
        <v>4000</v>
      </c>
    </row>
    <row r="861" spans="2:8">
      <c r="B861" t="s">
        <v>443</v>
      </c>
      <c r="C861" t="s">
        <v>360</v>
      </c>
      <c r="D861">
        <v>3840</v>
      </c>
      <c r="E861">
        <v>3840</v>
      </c>
      <c r="F861">
        <v>3836</v>
      </c>
      <c r="G861">
        <v>3836</v>
      </c>
      <c r="H861">
        <v>3000</v>
      </c>
    </row>
    <row r="862" spans="2:8">
      <c r="B862" t="s">
        <v>443</v>
      </c>
      <c r="C862" t="s">
        <v>361</v>
      </c>
      <c r="D862">
        <v>3837</v>
      </c>
      <c r="E862">
        <v>3838</v>
      </c>
      <c r="F862">
        <v>3837</v>
      </c>
      <c r="G862">
        <v>3838</v>
      </c>
      <c r="H862">
        <v>2400</v>
      </c>
    </row>
    <row r="863" spans="2:8">
      <c r="B863" t="s">
        <v>443</v>
      </c>
      <c r="C863" t="s">
        <v>362</v>
      </c>
      <c r="D863">
        <v>3837</v>
      </c>
      <c r="E863">
        <v>3837</v>
      </c>
      <c r="F863">
        <v>3836</v>
      </c>
      <c r="G863">
        <v>3836</v>
      </c>
      <c r="H863">
        <v>400</v>
      </c>
    </row>
    <row r="864" spans="2:8">
      <c r="B864" t="s">
        <v>443</v>
      </c>
      <c r="C864" t="s">
        <v>363</v>
      </c>
      <c r="D864" t="s">
        <v>8</v>
      </c>
      <c r="E864" t="s">
        <v>8</v>
      </c>
      <c r="F864" t="s">
        <v>8</v>
      </c>
      <c r="G864" t="s">
        <v>8</v>
      </c>
      <c r="H864">
        <v>0</v>
      </c>
    </row>
    <row r="865" spans="2:8">
      <c r="B865" t="s">
        <v>443</v>
      </c>
      <c r="C865" t="s">
        <v>364</v>
      </c>
      <c r="D865">
        <v>3837</v>
      </c>
      <c r="E865">
        <v>3837</v>
      </c>
      <c r="F865">
        <v>3837</v>
      </c>
      <c r="G865">
        <v>3837</v>
      </c>
      <c r="H865">
        <v>400</v>
      </c>
    </row>
    <row r="866" spans="2:8">
      <c r="B866" t="s">
        <v>443</v>
      </c>
      <c r="C866" t="s">
        <v>365</v>
      </c>
      <c r="D866">
        <v>3837</v>
      </c>
      <c r="E866">
        <v>3837</v>
      </c>
      <c r="F866">
        <v>3836</v>
      </c>
      <c r="G866">
        <v>3837</v>
      </c>
      <c r="H866">
        <v>800</v>
      </c>
    </row>
    <row r="867" spans="2:8">
      <c r="B867" t="s">
        <v>443</v>
      </c>
      <c r="C867" t="s">
        <v>366</v>
      </c>
      <c r="D867">
        <v>3836</v>
      </c>
      <c r="E867">
        <v>3840</v>
      </c>
      <c r="F867">
        <v>3835</v>
      </c>
      <c r="G867">
        <v>3840</v>
      </c>
      <c r="H867">
        <v>5100</v>
      </c>
    </row>
    <row r="868" spans="2:8">
      <c r="B868" t="s">
        <v>443</v>
      </c>
      <c r="C868" t="s">
        <v>367</v>
      </c>
      <c r="D868" t="s">
        <v>8</v>
      </c>
      <c r="E868" t="s">
        <v>8</v>
      </c>
      <c r="F868" t="s">
        <v>8</v>
      </c>
      <c r="G868" t="s">
        <v>8</v>
      </c>
      <c r="H868">
        <v>0</v>
      </c>
    </row>
    <row r="869" spans="2:8">
      <c r="B869" t="s">
        <v>443</v>
      </c>
      <c r="C869" t="s">
        <v>368</v>
      </c>
      <c r="D869">
        <v>3840</v>
      </c>
      <c r="E869">
        <v>3841</v>
      </c>
      <c r="F869">
        <v>3840</v>
      </c>
      <c r="G869">
        <v>3840</v>
      </c>
      <c r="H869">
        <v>1600</v>
      </c>
    </row>
    <row r="870" spans="2:8">
      <c r="B870" t="s">
        <v>443</v>
      </c>
      <c r="C870" t="s">
        <v>369</v>
      </c>
      <c r="D870">
        <v>3839</v>
      </c>
      <c r="E870">
        <v>3839</v>
      </c>
      <c r="F870">
        <v>3838</v>
      </c>
      <c r="G870">
        <v>3838</v>
      </c>
      <c r="H870">
        <v>1600</v>
      </c>
    </row>
    <row r="871" spans="2:8">
      <c r="B871" t="s">
        <v>443</v>
      </c>
      <c r="C871" t="s">
        <v>370</v>
      </c>
      <c r="D871">
        <v>3838</v>
      </c>
      <c r="E871">
        <v>3838</v>
      </c>
      <c r="F871">
        <v>3838</v>
      </c>
      <c r="G871">
        <v>3838</v>
      </c>
      <c r="H871">
        <v>500</v>
      </c>
    </row>
    <row r="872" spans="2:8">
      <c r="B872" t="s">
        <v>443</v>
      </c>
      <c r="C872" t="s">
        <v>371</v>
      </c>
      <c r="D872">
        <v>3839</v>
      </c>
      <c r="E872">
        <v>3839</v>
      </c>
      <c r="F872">
        <v>3838</v>
      </c>
      <c r="G872">
        <v>3838</v>
      </c>
      <c r="H872">
        <v>900</v>
      </c>
    </row>
    <row r="873" spans="2:8">
      <c r="B873" t="s">
        <v>443</v>
      </c>
      <c r="C873" t="s">
        <v>372</v>
      </c>
      <c r="D873">
        <v>3838</v>
      </c>
      <c r="E873">
        <v>3838</v>
      </c>
      <c r="F873">
        <v>3838</v>
      </c>
      <c r="G873">
        <v>3838</v>
      </c>
      <c r="H873">
        <v>200</v>
      </c>
    </row>
    <row r="874" spans="2:8">
      <c r="B874" t="s">
        <v>443</v>
      </c>
      <c r="C874" t="s">
        <v>373</v>
      </c>
      <c r="D874">
        <v>3839</v>
      </c>
      <c r="E874">
        <v>3839</v>
      </c>
      <c r="F874">
        <v>3839</v>
      </c>
      <c r="G874">
        <v>3839</v>
      </c>
      <c r="H874">
        <v>300</v>
      </c>
    </row>
    <row r="875" spans="2:8">
      <c r="B875" t="s">
        <v>443</v>
      </c>
      <c r="C875" t="s">
        <v>374</v>
      </c>
      <c r="D875">
        <v>3838</v>
      </c>
      <c r="E875">
        <v>3839</v>
      </c>
      <c r="F875">
        <v>3838</v>
      </c>
      <c r="G875">
        <v>3839</v>
      </c>
      <c r="H875">
        <v>200</v>
      </c>
    </row>
    <row r="876" spans="2:8">
      <c r="B876" t="s">
        <v>443</v>
      </c>
      <c r="C876" t="s">
        <v>375</v>
      </c>
      <c r="D876">
        <v>3839</v>
      </c>
      <c r="E876">
        <v>3839</v>
      </c>
      <c r="F876">
        <v>3839</v>
      </c>
      <c r="G876">
        <v>3839</v>
      </c>
      <c r="H876">
        <v>300</v>
      </c>
    </row>
    <row r="877" spans="2:8">
      <c r="B877" t="s">
        <v>443</v>
      </c>
      <c r="C877" t="s">
        <v>376</v>
      </c>
      <c r="D877">
        <v>3838</v>
      </c>
      <c r="E877">
        <v>3839</v>
      </c>
      <c r="F877">
        <v>3838</v>
      </c>
      <c r="G877">
        <v>3839</v>
      </c>
      <c r="H877">
        <v>400</v>
      </c>
    </row>
    <row r="878" spans="2:8">
      <c r="B878" t="s">
        <v>443</v>
      </c>
      <c r="C878" t="s">
        <v>377</v>
      </c>
      <c r="D878">
        <v>3838</v>
      </c>
      <c r="E878">
        <v>3838</v>
      </c>
      <c r="F878">
        <v>3834</v>
      </c>
      <c r="G878">
        <v>3834</v>
      </c>
      <c r="H878">
        <v>4500</v>
      </c>
    </row>
    <row r="879" spans="2:8">
      <c r="B879" t="s">
        <v>443</v>
      </c>
      <c r="C879" t="s">
        <v>378</v>
      </c>
      <c r="D879" t="s">
        <v>8</v>
      </c>
      <c r="E879" t="s">
        <v>8</v>
      </c>
      <c r="F879" t="s">
        <v>8</v>
      </c>
      <c r="G879" t="s">
        <v>8</v>
      </c>
      <c r="H879">
        <v>0</v>
      </c>
    </row>
    <row r="880" spans="2:8">
      <c r="B880" t="s">
        <v>443</v>
      </c>
      <c r="C880" t="s">
        <v>379</v>
      </c>
      <c r="D880" t="s">
        <v>8</v>
      </c>
      <c r="E880" t="s">
        <v>8</v>
      </c>
      <c r="F880" t="s">
        <v>8</v>
      </c>
      <c r="G880" t="s">
        <v>8</v>
      </c>
      <c r="H880">
        <v>0</v>
      </c>
    </row>
    <row r="881" spans="2:8">
      <c r="B881" t="s">
        <v>443</v>
      </c>
      <c r="C881" t="s">
        <v>380</v>
      </c>
      <c r="D881">
        <v>3835</v>
      </c>
      <c r="E881">
        <v>3843</v>
      </c>
      <c r="F881">
        <v>3835</v>
      </c>
      <c r="G881">
        <v>3843</v>
      </c>
      <c r="H881">
        <v>6100</v>
      </c>
    </row>
    <row r="882" spans="2:8">
      <c r="B882" t="s">
        <v>443</v>
      </c>
      <c r="C882" t="s">
        <v>381</v>
      </c>
      <c r="D882">
        <v>3843</v>
      </c>
      <c r="E882">
        <v>3843</v>
      </c>
      <c r="F882">
        <v>3842</v>
      </c>
      <c r="G882">
        <v>3842</v>
      </c>
      <c r="H882">
        <v>200</v>
      </c>
    </row>
    <row r="883" spans="2:8">
      <c r="B883" t="s">
        <v>443</v>
      </c>
      <c r="C883" t="s">
        <v>382</v>
      </c>
      <c r="D883">
        <v>3841</v>
      </c>
      <c r="E883">
        <v>3841</v>
      </c>
      <c r="F883">
        <v>3840</v>
      </c>
      <c r="G883">
        <v>3840</v>
      </c>
      <c r="H883">
        <v>700</v>
      </c>
    </row>
    <row r="884" spans="2:8">
      <c r="B884" t="s">
        <v>443</v>
      </c>
      <c r="C884" t="s">
        <v>383</v>
      </c>
      <c r="D884">
        <v>3841</v>
      </c>
      <c r="E884">
        <v>3841</v>
      </c>
      <c r="F884">
        <v>3840</v>
      </c>
      <c r="G884">
        <v>3841</v>
      </c>
      <c r="H884">
        <v>1100</v>
      </c>
    </row>
    <row r="885" spans="2:8">
      <c r="B885" t="s">
        <v>443</v>
      </c>
      <c r="C885" t="s">
        <v>384</v>
      </c>
      <c r="D885">
        <v>3840</v>
      </c>
      <c r="E885">
        <v>3840</v>
      </c>
      <c r="F885">
        <v>3840</v>
      </c>
      <c r="G885">
        <v>3840</v>
      </c>
      <c r="H885">
        <v>600</v>
      </c>
    </row>
    <row r="886" spans="2:8">
      <c r="B886" t="s">
        <v>443</v>
      </c>
      <c r="C886" t="s">
        <v>385</v>
      </c>
      <c r="D886">
        <v>3840</v>
      </c>
      <c r="E886">
        <v>3840</v>
      </c>
      <c r="F886">
        <v>3840</v>
      </c>
      <c r="G886">
        <v>3840</v>
      </c>
      <c r="H886">
        <v>300</v>
      </c>
    </row>
    <row r="887" spans="2:8">
      <c r="B887" t="s">
        <v>443</v>
      </c>
      <c r="C887" t="s">
        <v>386</v>
      </c>
      <c r="D887">
        <v>3841</v>
      </c>
      <c r="E887">
        <v>3841</v>
      </c>
      <c r="F887">
        <v>3840</v>
      </c>
      <c r="G887">
        <v>3840</v>
      </c>
      <c r="H887">
        <v>1400</v>
      </c>
    </row>
    <row r="888" spans="2:8">
      <c r="B888" t="s">
        <v>443</v>
      </c>
      <c r="C888" t="s">
        <v>387</v>
      </c>
      <c r="D888">
        <v>3839</v>
      </c>
      <c r="E888">
        <v>3839</v>
      </c>
      <c r="F888">
        <v>3839</v>
      </c>
      <c r="G888">
        <v>3839</v>
      </c>
      <c r="H888">
        <v>100</v>
      </c>
    </row>
    <row r="889" spans="2:8">
      <c r="B889" t="s">
        <v>443</v>
      </c>
      <c r="C889" t="s">
        <v>388</v>
      </c>
      <c r="D889">
        <v>3840</v>
      </c>
      <c r="E889">
        <v>3840</v>
      </c>
      <c r="F889">
        <v>3840</v>
      </c>
      <c r="G889">
        <v>3840</v>
      </c>
      <c r="H889">
        <v>500</v>
      </c>
    </row>
    <row r="890" spans="2:8">
      <c r="B890" t="s">
        <v>443</v>
      </c>
      <c r="C890" t="s">
        <v>389</v>
      </c>
      <c r="D890">
        <v>3841</v>
      </c>
      <c r="E890">
        <v>3841</v>
      </c>
      <c r="F890">
        <v>3839</v>
      </c>
      <c r="G890">
        <v>3839</v>
      </c>
      <c r="H890">
        <v>3100</v>
      </c>
    </row>
    <row r="891" spans="2:8">
      <c r="B891" t="s">
        <v>443</v>
      </c>
      <c r="C891" t="s">
        <v>390</v>
      </c>
      <c r="D891">
        <v>3839</v>
      </c>
      <c r="E891">
        <v>3841</v>
      </c>
      <c r="F891">
        <v>3839</v>
      </c>
      <c r="G891">
        <v>3841</v>
      </c>
      <c r="H891">
        <v>1800</v>
      </c>
    </row>
    <row r="892" spans="2:8">
      <c r="B892" t="s">
        <v>443</v>
      </c>
      <c r="C892" t="s">
        <v>391</v>
      </c>
      <c r="D892">
        <v>3842</v>
      </c>
      <c r="E892">
        <v>3842</v>
      </c>
      <c r="F892">
        <v>3842</v>
      </c>
      <c r="G892">
        <v>3842</v>
      </c>
      <c r="H892">
        <v>300</v>
      </c>
    </row>
    <row r="893" spans="2:8">
      <c r="B893" t="s">
        <v>443</v>
      </c>
      <c r="C893" t="s">
        <v>392</v>
      </c>
      <c r="D893">
        <v>3843</v>
      </c>
      <c r="E893">
        <v>3843</v>
      </c>
      <c r="F893">
        <v>3843</v>
      </c>
      <c r="G893">
        <v>3843</v>
      </c>
      <c r="H893">
        <v>400</v>
      </c>
    </row>
    <row r="894" spans="2:8">
      <c r="B894" t="s">
        <v>443</v>
      </c>
      <c r="C894" t="s">
        <v>393</v>
      </c>
      <c r="D894" t="s">
        <v>8</v>
      </c>
      <c r="E894" t="s">
        <v>8</v>
      </c>
      <c r="F894" t="s">
        <v>8</v>
      </c>
      <c r="G894" t="s">
        <v>8</v>
      </c>
      <c r="H894">
        <v>0</v>
      </c>
    </row>
    <row r="895" spans="2:8">
      <c r="B895" t="s">
        <v>443</v>
      </c>
      <c r="C895" t="s">
        <v>394</v>
      </c>
      <c r="D895">
        <v>3844</v>
      </c>
      <c r="E895">
        <v>3844</v>
      </c>
      <c r="F895">
        <v>3842</v>
      </c>
      <c r="G895">
        <v>3842</v>
      </c>
      <c r="H895">
        <v>1700</v>
      </c>
    </row>
    <row r="896" spans="2:8">
      <c r="B896" t="s">
        <v>443</v>
      </c>
      <c r="C896" t="s">
        <v>395</v>
      </c>
      <c r="D896">
        <v>3843</v>
      </c>
      <c r="E896">
        <v>3843</v>
      </c>
      <c r="F896">
        <v>3843</v>
      </c>
      <c r="G896">
        <v>3843</v>
      </c>
      <c r="H896">
        <v>700</v>
      </c>
    </row>
    <row r="897" spans="2:8">
      <c r="B897" t="s">
        <v>443</v>
      </c>
      <c r="C897" t="s">
        <v>396</v>
      </c>
      <c r="D897">
        <v>3842</v>
      </c>
      <c r="E897">
        <v>3842</v>
      </c>
      <c r="F897">
        <v>3842</v>
      </c>
      <c r="G897">
        <v>3842</v>
      </c>
      <c r="H897">
        <v>100</v>
      </c>
    </row>
    <row r="898" spans="2:8">
      <c r="B898" t="s">
        <v>443</v>
      </c>
      <c r="C898" t="s">
        <v>397</v>
      </c>
      <c r="D898">
        <v>3843</v>
      </c>
      <c r="E898">
        <v>3843</v>
      </c>
      <c r="F898">
        <v>3843</v>
      </c>
      <c r="G898">
        <v>3843</v>
      </c>
      <c r="H898">
        <v>900</v>
      </c>
    </row>
    <row r="899" spans="2:8">
      <c r="B899" t="s">
        <v>443</v>
      </c>
      <c r="C899" t="s">
        <v>398</v>
      </c>
      <c r="D899">
        <v>3843</v>
      </c>
      <c r="E899">
        <v>3844</v>
      </c>
      <c r="F899">
        <v>3843</v>
      </c>
      <c r="G899">
        <v>3844</v>
      </c>
      <c r="H899">
        <v>200</v>
      </c>
    </row>
    <row r="900" spans="2:8">
      <c r="B900" t="s">
        <v>443</v>
      </c>
      <c r="C900" t="s">
        <v>399</v>
      </c>
      <c r="D900">
        <v>3843</v>
      </c>
      <c r="E900">
        <v>3843</v>
      </c>
      <c r="F900">
        <v>3842</v>
      </c>
      <c r="G900">
        <v>3842</v>
      </c>
      <c r="H900">
        <v>1000</v>
      </c>
    </row>
    <row r="901" spans="2:8">
      <c r="B901" t="s">
        <v>443</v>
      </c>
      <c r="C901" t="s">
        <v>400</v>
      </c>
      <c r="D901">
        <v>3844</v>
      </c>
      <c r="E901">
        <v>3844</v>
      </c>
      <c r="F901">
        <v>3844</v>
      </c>
      <c r="G901">
        <v>3844</v>
      </c>
      <c r="H901">
        <v>100</v>
      </c>
    </row>
    <row r="902" spans="2:8">
      <c r="B902" t="s">
        <v>443</v>
      </c>
      <c r="C902" t="s">
        <v>401</v>
      </c>
      <c r="D902">
        <v>3844</v>
      </c>
      <c r="E902">
        <v>3849</v>
      </c>
      <c r="F902">
        <v>3844</v>
      </c>
      <c r="G902">
        <v>3849</v>
      </c>
      <c r="H902">
        <v>5100</v>
      </c>
    </row>
    <row r="903" spans="2:8">
      <c r="B903" t="s">
        <v>443</v>
      </c>
      <c r="C903" t="s">
        <v>402</v>
      </c>
      <c r="D903">
        <v>3849</v>
      </c>
      <c r="E903">
        <v>3849</v>
      </c>
      <c r="F903">
        <v>3849</v>
      </c>
      <c r="G903">
        <v>3849</v>
      </c>
      <c r="H903">
        <v>1400</v>
      </c>
    </row>
    <row r="904" spans="2:8">
      <c r="B904" t="s">
        <v>443</v>
      </c>
      <c r="C904" t="s">
        <v>403</v>
      </c>
      <c r="D904">
        <v>3849</v>
      </c>
      <c r="E904">
        <v>3849</v>
      </c>
      <c r="F904">
        <v>3849</v>
      </c>
      <c r="G904">
        <v>3849</v>
      </c>
      <c r="H904">
        <v>300</v>
      </c>
    </row>
    <row r="905" spans="2:8">
      <c r="B905" t="s">
        <v>443</v>
      </c>
      <c r="C905" t="s">
        <v>404</v>
      </c>
      <c r="D905">
        <v>3849</v>
      </c>
      <c r="E905">
        <v>3850</v>
      </c>
      <c r="F905">
        <v>3848</v>
      </c>
      <c r="G905">
        <v>3848</v>
      </c>
      <c r="H905">
        <v>1300</v>
      </c>
    </row>
    <row r="906" spans="2:8">
      <c r="B906" t="s">
        <v>443</v>
      </c>
      <c r="C906" t="s">
        <v>405</v>
      </c>
      <c r="D906">
        <v>3848</v>
      </c>
      <c r="E906">
        <v>3850</v>
      </c>
      <c r="F906">
        <v>3848</v>
      </c>
      <c r="G906">
        <v>3850</v>
      </c>
      <c r="H906">
        <v>3200</v>
      </c>
    </row>
    <row r="907" spans="2:8">
      <c r="B907" t="s">
        <v>443</v>
      </c>
      <c r="C907" t="s">
        <v>406</v>
      </c>
      <c r="D907">
        <v>3850</v>
      </c>
      <c r="E907">
        <v>3851</v>
      </c>
      <c r="F907">
        <v>3850</v>
      </c>
      <c r="G907">
        <v>3851</v>
      </c>
      <c r="H907">
        <v>600</v>
      </c>
    </row>
    <row r="908" spans="2:8">
      <c r="B908" t="s">
        <v>443</v>
      </c>
      <c r="C908" t="s">
        <v>407</v>
      </c>
      <c r="D908">
        <v>3851</v>
      </c>
      <c r="E908">
        <v>3851</v>
      </c>
      <c r="F908">
        <v>3843</v>
      </c>
      <c r="G908">
        <v>3843</v>
      </c>
      <c r="H908">
        <v>6200</v>
      </c>
    </row>
    <row r="909" spans="2:8">
      <c r="B909" t="s">
        <v>443</v>
      </c>
      <c r="C909" t="s">
        <v>408</v>
      </c>
      <c r="D909">
        <v>3842</v>
      </c>
      <c r="E909">
        <v>3843</v>
      </c>
      <c r="F909">
        <v>3842</v>
      </c>
      <c r="G909">
        <v>3843</v>
      </c>
      <c r="H909">
        <v>900</v>
      </c>
    </row>
    <row r="910" spans="2:8">
      <c r="B910" t="s">
        <v>443</v>
      </c>
      <c r="C910" t="s">
        <v>409</v>
      </c>
      <c r="D910">
        <v>3842</v>
      </c>
      <c r="E910">
        <v>3842</v>
      </c>
      <c r="F910">
        <v>3841</v>
      </c>
      <c r="G910">
        <v>3841</v>
      </c>
      <c r="H910">
        <v>1600</v>
      </c>
    </row>
    <row r="911" spans="2:8">
      <c r="B911" t="s">
        <v>443</v>
      </c>
      <c r="C911" t="s">
        <v>410</v>
      </c>
      <c r="D911">
        <v>3841</v>
      </c>
      <c r="E911">
        <v>3841</v>
      </c>
      <c r="F911">
        <v>3838</v>
      </c>
      <c r="G911">
        <v>3839</v>
      </c>
      <c r="H911">
        <v>2200</v>
      </c>
    </row>
    <row r="912" spans="2:8">
      <c r="B912" t="s">
        <v>443</v>
      </c>
      <c r="C912" t="s">
        <v>411</v>
      </c>
      <c r="D912">
        <v>3838</v>
      </c>
      <c r="E912">
        <v>3841</v>
      </c>
      <c r="F912">
        <v>3838</v>
      </c>
      <c r="G912">
        <v>3841</v>
      </c>
      <c r="H912">
        <v>500</v>
      </c>
    </row>
    <row r="913" spans="2:8">
      <c r="B913" t="s">
        <v>443</v>
      </c>
      <c r="C913" t="s">
        <v>412</v>
      </c>
      <c r="D913">
        <v>3840</v>
      </c>
      <c r="E913">
        <v>3841</v>
      </c>
      <c r="F913">
        <v>3840</v>
      </c>
      <c r="G913">
        <v>3841</v>
      </c>
      <c r="H913">
        <v>500</v>
      </c>
    </row>
    <row r="914" spans="2:8">
      <c r="B914" t="s">
        <v>443</v>
      </c>
      <c r="C914" t="s">
        <v>413</v>
      </c>
      <c r="D914">
        <v>3842</v>
      </c>
      <c r="E914">
        <v>3842</v>
      </c>
      <c r="F914">
        <v>3842</v>
      </c>
      <c r="G914">
        <v>3842</v>
      </c>
      <c r="H914">
        <v>100</v>
      </c>
    </row>
    <row r="915" spans="2:8">
      <c r="B915" t="s">
        <v>443</v>
      </c>
      <c r="C915" t="s">
        <v>414</v>
      </c>
      <c r="D915">
        <v>3841</v>
      </c>
      <c r="E915">
        <v>3841</v>
      </c>
      <c r="F915">
        <v>3839</v>
      </c>
      <c r="G915">
        <v>3839</v>
      </c>
      <c r="H915">
        <v>1400</v>
      </c>
    </row>
    <row r="916" spans="2:8">
      <c r="B916" t="s">
        <v>443</v>
      </c>
      <c r="C916" t="s">
        <v>415</v>
      </c>
      <c r="D916">
        <v>3839</v>
      </c>
      <c r="E916">
        <v>3839</v>
      </c>
      <c r="F916">
        <v>3839</v>
      </c>
      <c r="G916">
        <v>3839</v>
      </c>
      <c r="H916">
        <v>100</v>
      </c>
    </row>
    <row r="917" spans="2:8">
      <c r="B917" t="s">
        <v>443</v>
      </c>
      <c r="C917" t="s">
        <v>416</v>
      </c>
      <c r="D917">
        <v>3838</v>
      </c>
      <c r="E917">
        <v>3838</v>
      </c>
      <c r="F917">
        <v>3836</v>
      </c>
      <c r="G917">
        <v>3836</v>
      </c>
      <c r="H917">
        <v>3600</v>
      </c>
    </row>
    <row r="918" spans="2:8">
      <c r="B918" t="s">
        <v>443</v>
      </c>
      <c r="C918" t="s">
        <v>417</v>
      </c>
      <c r="D918">
        <v>3836</v>
      </c>
      <c r="E918">
        <v>3836</v>
      </c>
      <c r="F918">
        <v>3835</v>
      </c>
      <c r="G918">
        <v>3836</v>
      </c>
      <c r="H918">
        <v>1000</v>
      </c>
    </row>
    <row r="919" spans="2:8">
      <c r="B919" t="s">
        <v>443</v>
      </c>
      <c r="C919" t="s">
        <v>418</v>
      </c>
      <c r="D919">
        <v>3837</v>
      </c>
      <c r="E919">
        <v>3837</v>
      </c>
      <c r="F919">
        <v>3836</v>
      </c>
      <c r="G919">
        <v>3836</v>
      </c>
      <c r="H919">
        <v>3200</v>
      </c>
    </row>
    <row r="920" spans="2:8">
      <c r="B920" t="s">
        <v>443</v>
      </c>
      <c r="C920" t="s">
        <v>419</v>
      </c>
      <c r="D920">
        <v>3837</v>
      </c>
      <c r="E920">
        <v>3841</v>
      </c>
      <c r="F920">
        <v>3837</v>
      </c>
      <c r="G920">
        <v>3840</v>
      </c>
      <c r="H920">
        <v>2900</v>
      </c>
    </row>
    <row r="921" spans="2:8">
      <c r="B921" t="s">
        <v>443</v>
      </c>
      <c r="C921" t="s">
        <v>420</v>
      </c>
      <c r="D921">
        <v>3841</v>
      </c>
      <c r="E921">
        <v>3841</v>
      </c>
      <c r="F921">
        <v>3839</v>
      </c>
      <c r="G921">
        <v>3840</v>
      </c>
      <c r="H921">
        <v>1300</v>
      </c>
    </row>
    <row r="922" spans="2:8">
      <c r="B922" t="s">
        <v>443</v>
      </c>
      <c r="C922" t="s">
        <v>421</v>
      </c>
      <c r="D922">
        <v>3842</v>
      </c>
      <c r="E922">
        <v>3842</v>
      </c>
      <c r="F922">
        <v>3838</v>
      </c>
      <c r="G922">
        <v>3840</v>
      </c>
      <c r="H922">
        <v>3400</v>
      </c>
    </row>
    <row r="923" spans="2:8">
      <c r="B923" t="s">
        <v>443</v>
      </c>
      <c r="C923" t="s">
        <v>422</v>
      </c>
      <c r="D923">
        <v>3841</v>
      </c>
      <c r="E923">
        <v>3841</v>
      </c>
      <c r="F923">
        <v>3841</v>
      </c>
      <c r="G923">
        <v>3841</v>
      </c>
      <c r="H923">
        <v>100</v>
      </c>
    </row>
    <row r="924" spans="2:8">
      <c r="B924" t="s">
        <v>443</v>
      </c>
      <c r="C924" t="s">
        <v>423</v>
      </c>
      <c r="D924">
        <v>3840</v>
      </c>
      <c r="E924">
        <v>3840</v>
      </c>
      <c r="F924">
        <v>3840</v>
      </c>
      <c r="G924">
        <v>3840</v>
      </c>
      <c r="H924">
        <v>900</v>
      </c>
    </row>
    <row r="925" spans="2:8">
      <c r="B925" t="s">
        <v>443</v>
      </c>
      <c r="C925" t="s">
        <v>424</v>
      </c>
      <c r="D925">
        <v>3840</v>
      </c>
      <c r="E925">
        <v>3840</v>
      </c>
      <c r="F925">
        <v>3840</v>
      </c>
      <c r="G925">
        <v>3840</v>
      </c>
      <c r="H925">
        <v>500</v>
      </c>
    </row>
    <row r="926" spans="2:8">
      <c r="B926" t="s">
        <v>443</v>
      </c>
      <c r="C926" t="s">
        <v>425</v>
      </c>
      <c r="D926">
        <v>3841</v>
      </c>
      <c r="E926">
        <v>3841</v>
      </c>
      <c r="F926">
        <v>3841</v>
      </c>
      <c r="G926">
        <v>3841</v>
      </c>
      <c r="H926">
        <v>1200</v>
      </c>
    </row>
    <row r="927" spans="2:8">
      <c r="B927" t="s">
        <v>443</v>
      </c>
      <c r="C927" t="s">
        <v>426</v>
      </c>
      <c r="D927">
        <v>3840</v>
      </c>
      <c r="E927">
        <v>3841</v>
      </c>
      <c r="F927">
        <v>3840</v>
      </c>
      <c r="G927">
        <v>3841</v>
      </c>
      <c r="H927">
        <v>200</v>
      </c>
    </row>
    <row r="928" spans="2:8">
      <c r="B928" t="s">
        <v>443</v>
      </c>
      <c r="C928" t="s">
        <v>427</v>
      </c>
      <c r="D928">
        <v>3841</v>
      </c>
      <c r="E928">
        <v>3841</v>
      </c>
      <c r="F928">
        <v>3841</v>
      </c>
      <c r="G928">
        <v>3841</v>
      </c>
      <c r="H928">
        <v>600</v>
      </c>
    </row>
    <row r="929" spans="2:8">
      <c r="B929" t="s">
        <v>443</v>
      </c>
      <c r="C929" t="s">
        <v>428</v>
      </c>
      <c r="D929">
        <v>3840</v>
      </c>
      <c r="E929">
        <v>3840</v>
      </c>
      <c r="F929">
        <v>3839</v>
      </c>
      <c r="G929">
        <v>3839</v>
      </c>
      <c r="H929">
        <v>2700</v>
      </c>
    </row>
    <row r="930" spans="2:8">
      <c r="B930" t="s">
        <v>443</v>
      </c>
      <c r="C930" t="s">
        <v>429</v>
      </c>
      <c r="D930">
        <v>3839</v>
      </c>
      <c r="E930">
        <v>3840</v>
      </c>
      <c r="F930">
        <v>3839</v>
      </c>
      <c r="G930">
        <v>3839</v>
      </c>
      <c r="H930">
        <v>1400</v>
      </c>
    </row>
    <row r="931" spans="2:8">
      <c r="B931" t="s">
        <v>443</v>
      </c>
      <c r="C931" t="s">
        <v>430</v>
      </c>
      <c r="D931">
        <v>3838</v>
      </c>
      <c r="E931">
        <v>3838</v>
      </c>
      <c r="F931">
        <v>3838</v>
      </c>
      <c r="G931">
        <v>3838</v>
      </c>
      <c r="H931">
        <v>900</v>
      </c>
    </row>
    <row r="932" spans="2:8">
      <c r="B932" t="s">
        <v>443</v>
      </c>
      <c r="C932" t="s">
        <v>431</v>
      </c>
      <c r="D932">
        <v>3838</v>
      </c>
      <c r="E932">
        <v>3840</v>
      </c>
      <c r="F932">
        <v>3838</v>
      </c>
      <c r="G932">
        <v>3840</v>
      </c>
      <c r="H932">
        <v>1500</v>
      </c>
    </row>
    <row r="933" spans="2:8">
      <c r="B933" t="s">
        <v>443</v>
      </c>
      <c r="C933" t="s">
        <v>9</v>
      </c>
      <c r="D933">
        <v>3838</v>
      </c>
      <c r="E933">
        <v>3838</v>
      </c>
      <c r="F933">
        <v>3837</v>
      </c>
      <c r="G933">
        <v>3837</v>
      </c>
      <c r="H933">
        <v>1500</v>
      </c>
    </row>
    <row r="934" spans="2:8">
      <c r="B934" t="s">
        <v>443</v>
      </c>
      <c r="C934" t="s">
        <v>10</v>
      </c>
      <c r="D934">
        <v>3836</v>
      </c>
      <c r="E934">
        <v>3836</v>
      </c>
      <c r="F934">
        <v>3834</v>
      </c>
      <c r="G934">
        <v>3834</v>
      </c>
      <c r="H934">
        <v>1800</v>
      </c>
    </row>
    <row r="935" spans="2:8">
      <c r="B935" t="s">
        <v>443</v>
      </c>
      <c r="C935" t="s">
        <v>11</v>
      </c>
      <c r="D935">
        <v>3834</v>
      </c>
      <c r="E935">
        <v>3834</v>
      </c>
      <c r="F935">
        <v>3834</v>
      </c>
      <c r="G935">
        <v>3834</v>
      </c>
      <c r="H935">
        <v>200</v>
      </c>
    </row>
    <row r="936" spans="2:8">
      <c r="B936" t="s">
        <v>443</v>
      </c>
      <c r="C936" t="s">
        <v>12</v>
      </c>
      <c r="D936" t="s">
        <v>8</v>
      </c>
      <c r="E936" t="s">
        <v>8</v>
      </c>
      <c r="F936" t="s">
        <v>8</v>
      </c>
      <c r="G936" t="s">
        <v>8</v>
      </c>
      <c r="H936">
        <v>0</v>
      </c>
    </row>
    <row r="937" spans="2:8">
      <c r="B937" t="s">
        <v>443</v>
      </c>
      <c r="C937" t="s">
        <v>13</v>
      </c>
      <c r="D937">
        <v>3834</v>
      </c>
      <c r="E937">
        <v>3834</v>
      </c>
      <c r="F937">
        <v>3832</v>
      </c>
      <c r="G937">
        <v>3832</v>
      </c>
      <c r="H937">
        <v>2200</v>
      </c>
    </row>
    <row r="938" spans="2:8">
      <c r="B938" t="s">
        <v>443</v>
      </c>
      <c r="C938" t="s">
        <v>14</v>
      </c>
      <c r="D938">
        <v>3833</v>
      </c>
      <c r="E938">
        <v>3833</v>
      </c>
      <c r="F938">
        <v>3833</v>
      </c>
      <c r="G938">
        <v>3833</v>
      </c>
      <c r="H938">
        <v>1700</v>
      </c>
    </row>
    <row r="939" spans="2:8">
      <c r="B939" t="s">
        <v>443</v>
      </c>
      <c r="C939" t="s">
        <v>15</v>
      </c>
      <c r="D939">
        <v>3833</v>
      </c>
      <c r="E939">
        <v>3833</v>
      </c>
      <c r="F939">
        <v>3830</v>
      </c>
      <c r="G939">
        <v>3830</v>
      </c>
      <c r="H939">
        <v>6300</v>
      </c>
    </row>
    <row r="940" spans="2:8">
      <c r="B940" t="s">
        <v>443</v>
      </c>
      <c r="C940" t="s">
        <v>16</v>
      </c>
      <c r="D940">
        <v>3830</v>
      </c>
      <c r="E940">
        <v>3831</v>
      </c>
      <c r="F940">
        <v>3830</v>
      </c>
      <c r="G940">
        <v>3831</v>
      </c>
      <c r="H940">
        <v>1200</v>
      </c>
    </row>
    <row r="941" spans="2:8">
      <c r="B941" t="s">
        <v>443</v>
      </c>
      <c r="C941" t="s">
        <v>17</v>
      </c>
      <c r="D941">
        <v>3832</v>
      </c>
      <c r="E941">
        <v>3832</v>
      </c>
      <c r="F941">
        <v>3831</v>
      </c>
      <c r="G941">
        <v>3831</v>
      </c>
      <c r="H941">
        <v>400</v>
      </c>
    </row>
    <row r="942" spans="2:8">
      <c r="B942" t="s">
        <v>443</v>
      </c>
      <c r="C942" t="s">
        <v>18</v>
      </c>
      <c r="D942">
        <v>3832</v>
      </c>
      <c r="E942">
        <v>3832</v>
      </c>
      <c r="F942">
        <v>3832</v>
      </c>
      <c r="G942">
        <v>3832</v>
      </c>
      <c r="H942">
        <v>300</v>
      </c>
    </row>
    <row r="943" spans="2:8">
      <c r="B943" t="s">
        <v>443</v>
      </c>
      <c r="C943" t="s">
        <v>19</v>
      </c>
      <c r="D943">
        <v>3831</v>
      </c>
      <c r="E943">
        <v>3832</v>
      </c>
      <c r="F943">
        <v>3831</v>
      </c>
      <c r="G943">
        <v>3832</v>
      </c>
      <c r="H943">
        <v>200</v>
      </c>
    </row>
    <row r="944" spans="2:8">
      <c r="B944" t="s">
        <v>443</v>
      </c>
      <c r="C944" t="s">
        <v>20</v>
      </c>
      <c r="D944" t="s">
        <v>8</v>
      </c>
      <c r="E944" t="s">
        <v>8</v>
      </c>
      <c r="F944" t="s">
        <v>8</v>
      </c>
      <c r="G944" t="s">
        <v>8</v>
      </c>
      <c r="H944">
        <v>0</v>
      </c>
    </row>
    <row r="945" spans="2:8">
      <c r="B945" t="s">
        <v>443</v>
      </c>
      <c r="C945" t="s">
        <v>21</v>
      </c>
      <c r="D945">
        <v>3831</v>
      </c>
      <c r="E945">
        <v>3833</v>
      </c>
      <c r="F945">
        <v>3831</v>
      </c>
      <c r="G945">
        <v>3833</v>
      </c>
      <c r="H945">
        <v>3600</v>
      </c>
    </row>
    <row r="946" spans="2:8">
      <c r="B946" t="s">
        <v>443</v>
      </c>
      <c r="C946" t="s">
        <v>22</v>
      </c>
      <c r="D946">
        <v>3833</v>
      </c>
      <c r="E946">
        <v>3833</v>
      </c>
      <c r="F946">
        <v>3833</v>
      </c>
      <c r="G946">
        <v>3833</v>
      </c>
      <c r="H946">
        <v>100</v>
      </c>
    </row>
    <row r="947" spans="2:8">
      <c r="B947" t="s">
        <v>443</v>
      </c>
      <c r="C947" t="s">
        <v>23</v>
      </c>
      <c r="D947">
        <v>3833</v>
      </c>
      <c r="E947">
        <v>3833</v>
      </c>
      <c r="F947">
        <v>3833</v>
      </c>
      <c r="G947">
        <v>3833</v>
      </c>
      <c r="H947">
        <v>200</v>
      </c>
    </row>
    <row r="948" spans="2:8">
      <c r="B948" t="s">
        <v>443</v>
      </c>
      <c r="C948" t="s">
        <v>24</v>
      </c>
      <c r="D948">
        <v>3833</v>
      </c>
      <c r="E948">
        <v>3837</v>
      </c>
      <c r="F948">
        <v>3832</v>
      </c>
      <c r="G948">
        <v>3837</v>
      </c>
      <c r="H948">
        <v>2500</v>
      </c>
    </row>
    <row r="949" spans="2:8">
      <c r="B949" t="s">
        <v>443</v>
      </c>
      <c r="C949" t="s">
        <v>25</v>
      </c>
      <c r="D949">
        <v>3837</v>
      </c>
      <c r="E949">
        <v>3837</v>
      </c>
      <c r="F949">
        <v>3837</v>
      </c>
      <c r="G949">
        <v>3837</v>
      </c>
      <c r="H949">
        <v>600</v>
      </c>
    </row>
    <row r="950" spans="2:8">
      <c r="B950" t="s">
        <v>443</v>
      </c>
      <c r="C950" t="s">
        <v>26</v>
      </c>
      <c r="D950">
        <v>3838</v>
      </c>
      <c r="E950">
        <v>3838</v>
      </c>
      <c r="F950">
        <v>3837</v>
      </c>
      <c r="G950">
        <v>3837</v>
      </c>
      <c r="H950">
        <v>2600</v>
      </c>
    </row>
    <row r="951" spans="2:8">
      <c r="B951" t="s">
        <v>443</v>
      </c>
      <c r="C951" t="s">
        <v>27</v>
      </c>
      <c r="D951">
        <v>3837</v>
      </c>
      <c r="E951">
        <v>3837</v>
      </c>
      <c r="F951">
        <v>3837</v>
      </c>
      <c r="G951">
        <v>3837</v>
      </c>
      <c r="H951">
        <v>100</v>
      </c>
    </row>
    <row r="952" spans="2:8">
      <c r="B952" t="s">
        <v>443</v>
      </c>
      <c r="C952" t="s">
        <v>28</v>
      </c>
      <c r="D952">
        <v>3837</v>
      </c>
      <c r="E952">
        <v>3838</v>
      </c>
      <c r="F952">
        <v>3837</v>
      </c>
      <c r="G952">
        <v>3838</v>
      </c>
      <c r="H952">
        <v>3900</v>
      </c>
    </row>
    <row r="953" spans="2:8">
      <c r="B953" t="s">
        <v>443</v>
      </c>
      <c r="C953" t="s">
        <v>29</v>
      </c>
      <c r="D953">
        <v>3839</v>
      </c>
      <c r="E953">
        <v>3839</v>
      </c>
      <c r="F953">
        <v>3837</v>
      </c>
      <c r="G953">
        <v>3838</v>
      </c>
      <c r="H953">
        <v>1800</v>
      </c>
    </row>
    <row r="954" spans="2:8">
      <c r="B954" t="s">
        <v>443</v>
      </c>
      <c r="C954" t="s">
        <v>30</v>
      </c>
      <c r="D954">
        <v>3838</v>
      </c>
      <c r="E954">
        <v>3838</v>
      </c>
      <c r="F954">
        <v>3836</v>
      </c>
      <c r="G954">
        <v>3836</v>
      </c>
      <c r="H954">
        <v>400</v>
      </c>
    </row>
    <row r="955" spans="2:8">
      <c r="B955" t="s">
        <v>443</v>
      </c>
      <c r="C955" t="s">
        <v>31</v>
      </c>
      <c r="D955">
        <v>3837</v>
      </c>
      <c r="E955">
        <v>3837</v>
      </c>
      <c r="F955">
        <v>3837</v>
      </c>
      <c r="G955">
        <v>3837</v>
      </c>
      <c r="H955">
        <v>700</v>
      </c>
    </row>
    <row r="956" spans="2:8">
      <c r="B956" t="s">
        <v>443</v>
      </c>
      <c r="C956" t="s">
        <v>32</v>
      </c>
      <c r="D956">
        <v>3837</v>
      </c>
      <c r="E956">
        <v>3837</v>
      </c>
      <c r="F956">
        <v>3837</v>
      </c>
      <c r="G956">
        <v>3837</v>
      </c>
      <c r="H956">
        <v>400</v>
      </c>
    </row>
    <row r="957" spans="2:8">
      <c r="B957" t="s">
        <v>443</v>
      </c>
      <c r="C957" t="s">
        <v>33</v>
      </c>
      <c r="D957">
        <v>3837</v>
      </c>
      <c r="E957">
        <v>3838</v>
      </c>
      <c r="F957">
        <v>3837</v>
      </c>
      <c r="G957">
        <v>3838</v>
      </c>
      <c r="H957">
        <v>1300</v>
      </c>
    </row>
    <row r="958" spans="2:8">
      <c r="B958" t="s">
        <v>443</v>
      </c>
      <c r="C958" t="s">
        <v>34</v>
      </c>
      <c r="D958">
        <v>3838</v>
      </c>
      <c r="E958">
        <v>3839</v>
      </c>
      <c r="F958">
        <v>3838</v>
      </c>
      <c r="G958">
        <v>3839</v>
      </c>
      <c r="H958">
        <v>600</v>
      </c>
    </row>
    <row r="959" spans="2:8">
      <c r="B959" t="s">
        <v>443</v>
      </c>
      <c r="C959" t="s">
        <v>35</v>
      </c>
      <c r="D959">
        <v>3838</v>
      </c>
      <c r="E959">
        <v>3838</v>
      </c>
      <c r="F959">
        <v>3836</v>
      </c>
      <c r="G959">
        <v>3836</v>
      </c>
      <c r="H959">
        <v>2200</v>
      </c>
    </row>
    <row r="960" spans="2:8">
      <c r="B960" t="s">
        <v>443</v>
      </c>
      <c r="C960" t="s">
        <v>36</v>
      </c>
      <c r="D960" t="s">
        <v>8</v>
      </c>
      <c r="E960" t="s">
        <v>8</v>
      </c>
      <c r="F960" t="s">
        <v>8</v>
      </c>
      <c r="G960" t="s">
        <v>8</v>
      </c>
      <c r="H960">
        <v>0</v>
      </c>
    </row>
    <row r="961" spans="2:8">
      <c r="B961" t="s">
        <v>443</v>
      </c>
      <c r="C961" t="s">
        <v>37</v>
      </c>
      <c r="D961">
        <v>3837</v>
      </c>
      <c r="E961">
        <v>3839</v>
      </c>
      <c r="F961">
        <v>3837</v>
      </c>
      <c r="G961">
        <v>3839</v>
      </c>
      <c r="H961">
        <v>1800</v>
      </c>
    </row>
    <row r="962" spans="2:8">
      <c r="B962" t="s">
        <v>443</v>
      </c>
      <c r="C962" t="s">
        <v>38</v>
      </c>
      <c r="D962">
        <v>3838</v>
      </c>
      <c r="E962">
        <v>3839</v>
      </c>
      <c r="F962">
        <v>3838</v>
      </c>
      <c r="G962">
        <v>3839</v>
      </c>
      <c r="H962">
        <v>300</v>
      </c>
    </row>
    <row r="963" spans="2:8">
      <c r="B963" t="s">
        <v>443</v>
      </c>
      <c r="C963" t="s">
        <v>39</v>
      </c>
      <c r="D963">
        <v>3838</v>
      </c>
      <c r="E963">
        <v>3839</v>
      </c>
      <c r="F963">
        <v>3838</v>
      </c>
      <c r="G963">
        <v>3838</v>
      </c>
      <c r="H963">
        <v>300</v>
      </c>
    </row>
    <row r="964" spans="2:8">
      <c r="B964" t="s">
        <v>443</v>
      </c>
      <c r="C964" t="s">
        <v>40</v>
      </c>
      <c r="D964">
        <v>3839</v>
      </c>
      <c r="E964">
        <v>3840</v>
      </c>
      <c r="F964">
        <v>3839</v>
      </c>
      <c r="G964">
        <v>3839</v>
      </c>
      <c r="H964">
        <v>2200</v>
      </c>
    </row>
    <row r="965" spans="2:8">
      <c r="B965" t="s">
        <v>443</v>
      </c>
      <c r="C965" t="s">
        <v>41</v>
      </c>
      <c r="D965">
        <v>3839</v>
      </c>
      <c r="E965">
        <v>3839</v>
      </c>
      <c r="F965">
        <v>3839</v>
      </c>
      <c r="G965">
        <v>3839</v>
      </c>
      <c r="H965">
        <v>1400</v>
      </c>
    </row>
    <row r="966" spans="2:8">
      <c r="B966" t="s">
        <v>443</v>
      </c>
      <c r="C966" t="s">
        <v>42</v>
      </c>
      <c r="D966">
        <v>3838</v>
      </c>
      <c r="E966">
        <v>3838</v>
      </c>
      <c r="F966">
        <v>3838</v>
      </c>
      <c r="G966">
        <v>3838</v>
      </c>
      <c r="H966">
        <v>400</v>
      </c>
    </row>
    <row r="967" spans="2:8">
      <c r="B967" t="s">
        <v>443</v>
      </c>
      <c r="C967" t="s">
        <v>43</v>
      </c>
      <c r="D967">
        <v>3838</v>
      </c>
      <c r="E967">
        <v>3838</v>
      </c>
      <c r="F967">
        <v>3838</v>
      </c>
      <c r="G967">
        <v>3838</v>
      </c>
      <c r="H967">
        <v>700</v>
      </c>
    </row>
    <row r="968" spans="2:8">
      <c r="B968" t="s">
        <v>443</v>
      </c>
      <c r="C968" t="s">
        <v>44</v>
      </c>
      <c r="D968">
        <v>3839</v>
      </c>
      <c r="E968">
        <v>3840</v>
      </c>
      <c r="F968">
        <v>3838</v>
      </c>
      <c r="G968">
        <v>3839</v>
      </c>
      <c r="H968">
        <v>4000</v>
      </c>
    </row>
    <row r="969" spans="2:8">
      <c r="B969" t="s">
        <v>443</v>
      </c>
      <c r="C969" t="s">
        <v>45</v>
      </c>
      <c r="D969">
        <v>3840</v>
      </c>
      <c r="E969">
        <v>3840</v>
      </c>
      <c r="F969">
        <v>3839</v>
      </c>
      <c r="G969">
        <v>3839</v>
      </c>
      <c r="H969">
        <v>600</v>
      </c>
    </row>
    <row r="970" spans="2:8">
      <c r="B970" t="s">
        <v>443</v>
      </c>
      <c r="C970" t="s">
        <v>46</v>
      </c>
      <c r="D970">
        <v>3840</v>
      </c>
      <c r="E970">
        <v>3841</v>
      </c>
      <c r="F970">
        <v>3840</v>
      </c>
      <c r="G970">
        <v>3841</v>
      </c>
      <c r="H970">
        <v>1300</v>
      </c>
    </row>
    <row r="971" spans="2:8">
      <c r="B971" t="s">
        <v>443</v>
      </c>
      <c r="C971" t="s">
        <v>47</v>
      </c>
      <c r="D971">
        <v>3841</v>
      </c>
      <c r="E971">
        <v>3842</v>
      </c>
      <c r="F971">
        <v>3841</v>
      </c>
      <c r="G971">
        <v>3842</v>
      </c>
      <c r="H971">
        <v>800</v>
      </c>
    </row>
    <row r="972" spans="2:8">
      <c r="B972" t="s">
        <v>443</v>
      </c>
      <c r="C972" t="s">
        <v>48</v>
      </c>
      <c r="D972">
        <v>3842</v>
      </c>
      <c r="E972">
        <v>3842</v>
      </c>
      <c r="F972">
        <v>3841</v>
      </c>
      <c r="G972">
        <v>3842</v>
      </c>
      <c r="H972">
        <v>1200</v>
      </c>
    </row>
    <row r="973" spans="2:8">
      <c r="B973" t="s">
        <v>443</v>
      </c>
      <c r="C973" t="s">
        <v>49</v>
      </c>
      <c r="D973">
        <v>3841</v>
      </c>
      <c r="E973">
        <v>3842</v>
      </c>
      <c r="F973">
        <v>3841</v>
      </c>
      <c r="G973">
        <v>3841</v>
      </c>
      <c r="H973">
        <v>2200</v>
      </c>
    </row>
    <row r="974" spans="2:8">
      <c r="B974" t="s">
        <v>443</v>
      </c>
      <c r="C974" t="s">
        <v>50</v>
      </c>
      <c r="D974">
        <v>3841</v>
      </c>
      <c r="E974">
        <v>3841</v>
      </c>
      <c r="F974">
        <v>3839</v>
      </c>
      <c r="G974">
        <v>3839</v>
      </c>
      <c r="H974">
        <v>4000</v>
      </c>
    </row>
    <row r="975" spans="2:8">
      <c r="B975" t="s">
        <v>443</v>
      </c>
      <c r="C975" t="s">
        <v>51</v>
      </c>
      <c r="D975">
        <v>3838</v>
      </c>
      <c r="E975">
        <v>3839</v>
      </c>
      <c r="F975">
        <v>3836</v>
      </c>
      <c r="G975">
        <v>3837</v>
      </c>
      <c r="H975">
        <v>2200</v>
      </c>
    </row>
    <row r="976" spans="2:8">
      <c r="B976" t="s">
        <v>443</v>
      </c>
      <c r="C976" t="s">
        <v>52</v>
      </c>
      <c r="D976">
        <v>3837</v>
      </c>
      <c r="E976">
        <v>3838</v>
      </c>
      <c r="F976">
        <v>3837</v>
      </c>
      <c r="G976">
        <v>3838</v>
      </c>
      <c r="H976">
        <v>600</v>
      </c>
    </row>
    <row r="977" spans="2:8">
      <c r="B977" t="s">
        <v>443</v>
      </c>
      <c r="C977" t="s">
        <v>53</v>
      </c>
      <c r="D977">
        <v>3839</v>
      </c>
      <c r="E977">
        <v>3841</v>
      </c>
      <c r="F977">
        <v>3839</v>
      </c>
      <c r="G977">
        <v>3841</v>
      </c>
      <c r="H977">
        <v>1300</v>
      </c>
    </row>
    <row r="978" spans="2:8">
      <c r="B978" t="s">
        <v>443</v>
      </c>
      <c r="C978" t="s">
        <v>54</v>
      </c>
      <c r="D978">
        <v>3841</v>
      </c>
      <c r="E978">
        <v>3841</v>
      </c>
      <c r="F978">
        <v>3841</v>
      </c>
      <c r="G978">
        <v>3841</v>
      </c>
      <c r="H978">
        <v>1600</v>
      </c>
    </row>
    <row r="979" spans="2:8">
      <c r="B979" t="s">
        <v>443</v>
      </c>
      <c r="C979" t="s">
        <v>55</v>
      </c>
      <c r="D979">
        <v>3841</v>
      </c>
      <c r="E979">
        <v>3841</v>
      </c>
      <c r="F979">
        <v>3840</v>
      </c>
      <c r="G979">
        <v>3840</v>
      </c>
      <c r="H979">
        <v>1500</v>
      </c>
    </row>
    <row r="980" spans="2:8">
      <c r="B980" t="s">
        <v>443</v>
      </c>
      <c r="C980" t="s">
        <v>56</v>
      </c>
      <c r="D980">
        <v>3840</v>
      </c>
      <c r="E980">
        <v>3841</v>
      </c>
      <c r="F980">
        <v>3840</v>
      </c>
      <c r="G980">
        <v>3840</v>
      </c>
      <c r="H980">
        <v>1400</v>
      </c>
    </row>
    <row r="981" spans="2:8">
      <c r="B981" t="s">
        <v>443</v>
      </c>
      <c r="C981" t="s">
        <v>57</v>
      </c>
      <c r="D981">
        <v>3840</v>
      </c>
      <c r="E981">
        <v>3840</v>
      </c>
      <c r="F981">
        <v>3839</v>
      </c>
      <c r="G981">
        <v>3840</v>
      </c>
      <c r="H981">
        <v>1000</v>
      </c>
    </row>
    <row r="982" spans="2:8">
      <c r="B982" t="s">
        <v>443</v>
      </c>
      <c r="C982" t="s">
        <v>58</v>
      </c>
      <c r="D982">
        <v>3841</v>
      </c>
      <c r="E982">
        <v>3842</v>
      </c>
      <c r="F982">
        <v>3841</v>
      </c>
      <c r="G982">
        <v>3842</v>
      </c>
      <c r="H982">
        <v>1100</v>
      </c>
    </row>
    <row r="983" spans="2:8">
      <c r="B983" t="s">
        <v>443</v>
      </c>
      <c r="C983" t="s">
        <v>59</v>
      </c>
      <c r="D983">
        <v>3842</v>
      </c>
      <c r="E983">
        <v>3844</v>
      </c>
      <c r="F983">
        <v>3842</v>
      </c>
      <c r="G983">
        <v>3844</v>
      </c>
      <c r="H983">
        <v>4200</v>
      </c>
    </row>
    <row r="984" spans="2:8">
      <c r="B984" t="s">
        <v>443</v>
      </c>
      <c r="C984" t="s">
        <v>60</v>
      </c>
      <c r="D984">
        <v>3843</v>
      </c>
      <c r="E984">
        <v>3844</v>
      </c>
      <c r="F984">
        <v>3843</v>
      </c>
      <c r="G984">
        <v>3843</v>
      </c>
      <c r="H984">
        <v>300</v>
      </c>
    </row>
    <row r="985" spans="2:8">
      <c r="B985" t="s">
        <v>443</v>
      </c>
      <c r="C985" t="s">
        <v>61</v>
      </c>
      <c r="D985">
        <v>3844</v>
      </c>
      <c r="E985">
        <v>3844</v>
      </c>
      <c r="F985">
        <v>3843</v>
      </c>
      <c r="G985">
        <v>3843</v>
      </c>
      <c r="H985">
        <v>2500</v>
      </c>
    </row>
    <row r="986" spans="2:8">
      <c r="B986" t="s">
        <v>443</v>
      </c>
      <c r="C986" t="s">
        <v>62</v>
      </c>
      <c r="D986">
        <v>3844</v>
      </c>
      <c r="E986">
        <v>3845</v>
      </c>
      <c r="F986">
        <v>3841</v>
      </c>
      <c r="G986">
        <v>3841</v>
      </c>
      <c r="H986">
        <v>4300</v>
      </c>
    </row>
    <row r="987" spans="2:8">
      <c r="B987" t="s">
        <v>443</v>
      </c>
      <c r="C987" t="s">
        <v>63</v>
      </c>
      <c r="D987">
        <v>3841</v>
      </c>
      <c r="E987">
        <v>3841</v>
      </c>
      <c r="F987">
        <v>3838</v>
      </c>
      <c r="G987">
        <v>3840</v>
      </c>
      <c r="H987">
        <v>3200</v>
      </c>
    </row>
    <row r="988" spans="2:8">
      <c r="B988" t="s">
        <v>443</v>
      </c>
      <c r="C988" t="s">
        <v>64</v>
      </c>
      <c r="D988">
        <v>3841</v>
      </c>
      <c r="E988">
        <v>3841</v>
      </c>
      <c r="F988">
        <v>3840</v>
      </c>
      <c r="G988">
        <v>3841</v>
      </c>
      <c r="H988">
        <v>1600</v>
      </c>
    </row>
    <row r="989" spans="2:8">
      <c r="B989" t="s">
        <v>443</v>
      </c>
      <c r="C989" t="s">
        <v>65</v>
      </c>
      <c r="D989">
        <v>3842</v>
      </c>
      <c r="E989">
        <v>3842</v>
      </c>
      <c r="F989">
        <v>3841</v>
      </c>
      <c r="G989">
        <v>3841</v>
      </c>
      <c r="H989">
        <v>2200</v>
      </c>
    </row>
    <row r="990" spans="2:8">
      <c r="B990" t="s">
        <v>443</v>
      </c>
      <c r="C990" t="s">
        <v>66</v>
      </c>
      <c r="D990">
        <v>3841</v>
      </c>
      <c r="E990">
        <v>3842</v>
      </c>
      <c r="F990">
        <v>3841</v>
      </c>
      <c r="G990">
        <v>3842</v>
      </c>
      <c r="H990">
        <v>1100</v>
      </c>
    </row>
    <row r="991" spans="2:8">
      <c r="B991" t="s">
        <v>443</v>
      </c>
      <c r="C991" t="s">
        <v>164</v>
      </c>
      <c r="D991">
        <v>3843</v>
      </c>
      <c r="E991">
        <v>3844</v>
      </c>
      <c r="F991">
        <v>3842</v>
      </c>
      <c r="G991">
        <v>3844</v>
      </c>
      <c r="H991">
        <v>1200</v>
      </c>
    </row>
    <row r="992" spans="2:8">
      <c r="B992" t="s">
        <v>443</v>
      </c>
      <c r="C992" t="s">
        <v>165</v>
      </c>
      <c r="D992">
        <v>3842</v>
      </c>
      <c r="E992">
        <v>3848</v>
      </c>
      <c r="F992">
        <v>3842</v>
      </c>
      <c r="G992">
        <v>3848</v>
      </c>
      <c r="H992">
        <v>8100</v>
      </c>
    </row>
    <row r="993" spans="2:8">
      <c r="B993" t="s">
        <v>443</v>
      </c>
      <c r="C993" t="s">
        <v>67</v>
      </c>
      <c r="D993" t="s">
        <v>8</v>
      </c>
      <c r="E993" t="s">
        <v>8</v>
      </c>
      <c r="F993" t="s">
        <v>8</v>
      </c>
      <c r="G993" t="s">
        <v>8</v>
      </c>
      <c r="H993">
        <v>0</v>
      </c>
    </row>
    <row r="994" spans="2:8">
      <c r="B994" t="s">
        <v>443</v>
      </c>
      <c r="C994" t="s">
        <v>68</v>
      </c>
      <c r="D994" t="s">
        <v>8</v>
      </c>
      <c r="E994" t="s">
        <v>8</v>
      </c>
      <c r="F994" t="s">
        <v>8</v>
      </c>
      <c r="G994" t="s">
        <v>8</v>
      </c>
      <c r="H994">
        <v>0</v>
      </c>
    </row>
    <row r="995" spans="2:8">
      <c r="B995" t="s">
        <v>443</v>
      </c>
      <c r="C995" t="s">
        <v>69</v>
      </c>
      <c r="D995" t="s">
        <v>8</v>
      </c>
      <c r="E995" t="s">
        <v>8</v>
      </c>
      <c r="F995" t="s">
        <v>8</v>
      </c>
      <c r="G995" t="s">
        <v>8</v>
      </c>
      <c r="H995">
        <v>0</v>
      </c>
    </row>
    <row r="996" spans="2:8">
      <c r="B996" t="s">
        <v>443</v>
      </c>
      <c r="C996" t="s">
        <v>70</v>
      </c>
      <c r="D996" t="s">
        <v>8</v>
      </c>
      <c r="E996" t="s">
        <v>8</v>
      </c>
      <c r="F996" t="s">
        <v>8</v>
      </c>
      <c r="G996" t="s">
        <v>8</v>
      </c>
      <c r="H996">
        <v>0</v>
      </c>
    </row>
    <row r="997" spans="2:8">
      <c r="B997" t="s">
        <v>443</v>
      </c>
      <c r="C997" t="s">
        <v>71</v>
      </c>
      <c r="D997" t="s">
        <v>8</v>
      </c>
      <c r="E997" t="s">
        <v>8</v>
      </c>
      <c r="F997" t="s">
        <v>8</v>
      </c>
      <c r="G997" t="s">
        <v>8</v>
      </c>
      <c r="H997">
        <v>0</v>
      </c>
    </row>
    <row r="998" spans="2:8">
      <c r="B998" t="s">
        <v>443</v>
      </c>
      <c r="C998" t="s">
        <v>72</v>
      </c>
      <c r="D998">
        <v>3846</v>
      </c>
      <c r="E998">
        <v>3846</v>
      </c>
      <c r="F998">
        <v>3846</v>
      </c>
      <c r="G998">
        <v>3846</v>
      </c>
      <c r="H998">
        <v>382500</v>
      </c>
    </row>
    <row r="999" spans="2:8">
      <c r="B999" t="s">
        <v>463</v>
      </c>
      <c r="C999" t="s">
        <v>166</v>
      </c>
      <c r="D999">
        <v>3850</v>
      </c>
      <c r="E999">
        <v>3889</v>
      </c>
      <c r="F999">
        <v>3847</v>
      </c>
      <c r="G999">
        <v>3874</v>
      </c>
      <c r="H999">
        <v>50900</v>
      </c>
    </row>
    <row r="1000" spans="2:8">
      <c r="B1000" t="s">
        <v>463</v>
      </c>
      <c r="C1000" t="s">
        <v>167</v>
      </c>
      <c r="D1000">
        <v>3874</v>
      </c>
      <c r="E1000">
        <v>3880</v>
      </c>
      <c r="F1000">
        <v>3869</v>
      </c>
      <c r="G1000">
        <v>3873</v>
      </c>
      <c r="H1000">
        <v>2900</v>
      </c>
    </row>
    <row r="1001" spans="2:8">
      <c r="B1001" t="s">
        <v>463</v>
      </c>
      <c r="C1001" t="s">
        <v>168</v>
      </c>
      <c r="D1001">
        <v>3869</v>
      </c>
      <c r="E1001">
        <v>3870</v>
      </c>
      <c r="F1001">
        <v>3863</v>
      </c>
      <c r="G1001">
        <v>3868</v>
      </c>
      <c r="H1001">
        <v>6500</v>
      </c>
    </row>
    <row r="1002" spans="2:8">
      <c r="B1002" t="s">
        <v>463</v>
      </c>
      <c r="C1002" t="s">
        <v>169</v>
      </c>
      <c r="D1002">
        <v>3870</v>
      </c>
      <c r="E1002">
        <v>3871</v>
      </c>
      <c r="F1002">
        <v>3858</v>
      </c>
      <c r="G1002">
        <v>3863</v>
      </c>
      <c r="H1002">
        <v>5000</v>
      </c>
    </row>
    <row r="1003" spans="2:8">
      <c r="B1003" t="s">
        <v>463</v>
      </c>
      <c r="C1003" t="s">
        <v>170</v>
      </c>
      <c r="D1003">
        <v>3861</v>
      </c>
      <c r="E1003">
        <v>3863</v>
      </c>
      <c r="F1003">
        <v>3860</v>
      </c>
      <c r="G1003">
        <v>3863</v>
      </c>
      <c r="H1003">
        <v>1600</v>
      </c>
    </row>
    <row r="1004" spans="2:8">
      <c r="B1004" t="s">
        <v>463</v>
      </c>
      <c r="C1004" t="s">
        <v>171</v>
      </c>
      <c r="D1004">
        <v>3864</v>
      </c>
      <c r="E1004">
        <v>3865</v>
      </c>
      <c r="F1004">
        <v>3863</v>
      </c>
      <c r="G1004">
        <v>3864</v>
      </c>
      <c r="H1004">
        <v>1100</v>
      </c>
    </row>
    <row r="1005" spans="2:8">
      <c r="B1005" t="s">
        <v>463</v>
      </c>
      <c r="C1005" t="s">
        <v>172</v>
      </c>
      <c r="D1005">
        <v>3861</v>
      </c>
      <c r="E1005">
        <v>3861</v>
      </c>
      <c r="F1005">
        <v>3857</v>
      </c>
      <c r="G1005">
        <v>3857</v>
      </c>
      <c r="H1005">
        <v>1100</v>
      </c>
    </row>
    <row r="1006" spans="2:8">
      <c r="B1006" t="s">
        <v>463</v>
      </c>
      <c r="C1006" t="s">
        <v>173</v>
      </c>
      <c r="D1006">
        <v>3856</v>
      </c>
      <c r="E1006">
        <v>3859</v>
      </c>
      <c r="F1006">
        <v>3854</v>
      </c>
      <c r="G1006">
        <v>3859</v>
      </c>
      <c r="H1006">
        <v>2400</v>
      </c>
    </row>
    <row r="1007" spans="2:8">
      <c r="B1007" t="s">
        <v>463</v>
      </c>
      <c r="C1007" t="s">
        <v>174</v>
      </c>
      <c r="D1007">
        <v>3860</v>
      </c>
      <c r="E1007">
        <v>3860</v>
      </c>
      <c r="F1007">
        <v>3856</v>
      </c>
      <c r="G1007">
        <v>3856</v>
      </c>
      <c r="H1007">
        <v>1600</v>
      </c>
    </row>
    <row r="1008" spans="2:8">
      <c r="B1008" t="s">
        <v>463</v>
      </c>
      <c r="C1008" t="s">
        <v>175</v>
      </c>
      <c r="D1008">
        <v>3856</v>
      </c>
      <c r="E1008">
        <v>3867</v>
      </c>
      <c r="F1008">
        <v>3856</v>
      </c>
      <c r="G1008">
        <v>3867</v>
      </c>
      <c r="H1008">
        <v>2300</v>
      </c>
    </row>
    <row r="1009" spans="2:8">
      <c r="B1009" t="s">
        <v>463</v>
      </c>
      <c r="C1009" t="s">
        <v>176</v>
      </c>
      <c r="D1009">
        <v>3868</v>
      </c>
      <c r="E1009">
        <v>3869</v>
      </c>
      <c r="F1009">
        <v>3864</v>
      </c>
      <c r="G1009">
        <v>3866</v>
      </c>
      <c r="H1009">
        <v>3900</v>
      </c>
    </row>
    <row r="1010" spans="2:8">
      <c r="B1010" t="s">
        <v>463</v>
      </c>
      <c r="C1010" t="s">
        <v>177</v>
      </c>
      <c r="D1010">
        <v>3867</v>
      </c>
      <c r="E1010">
        <v>3869</v>
      </c>
      <c r="F1010">
        <v>3867</v>
      </c>
      <c r="G1010">
        <v>3869</v>
      </c>
      <c r="H1010">
        <v>3500</v>
      </c>
    </row>
    <row r="1011" spans="2:8">
      <c r="B1011" t="s">
        <v>463</v>
      </c>
      <c r="C1011" t="s">
        <v>178</v>
      </c>
      <c r="D1011">
        <v>3869</v>
      </c>
      <c r="E1011">
        <v>3870</v>
      </c>
      <c r="F1011">
        <v>3867</v>
      </c>
      <c r="G1011">
        <v>3868</v>
      </c>
      <c r="H1011">
        <v>3200</v>
      </c>
    </row>
    <row r="1012" spans="2:8">
      <c r="B1012" t="s">
        <v>463</v>
      </c>
      <c r="C1012" t="s">
        <v>179</v>
      </c>
      <c r="D1012">
        <v>3867</v>
      </c>
      <c r="E1012">
        <v>3867</v>
      </c>
      <c r="F1012">
        <v>3865</v>
      </c>
      <c r="G1012">
        <v>3867</v>
      </c>
      <c r="H1012">
        <v>900</v>
      </c>
    </row>
    <row r="1013" spans="2:8">
      <c r="B1013" t="s">
        <v>463</v>
      </c>
      <c r="C1013" t="s">
        <v>180</v>
      </c>
      <c r="D1013">
        <v>3867</v>
      </c>
      <c r="E1013">
        <v>3867</v>
      </c>
      <c r="F1013">
        <v>3855</v>
      </c>
      <c r="G1013">
        <v>3855</v>
      </c>
      <c r="H1013">
        <v>4400</v>
      </c>
    </row>
    <row r="1014" spans="2:8">
      <c r="B1014" t="s">
        <v>463</v>
      </c>
      <c r="C1014" t="s">
        <v>181</v>
      </c>
      <c r="D1014">
        <v>3858</v>
      </c>
      <c r="E1014">
        <v>3862</v>
      </c>
      <c r="F1014">
        <v>3853</v>
      </c>
      <c r="G1014">
        <v>3853</v>
      </c>
      <c r="H1014">
        <v>2100</v>
      </c>
    </row>
    <row r="1015" spans="2:8">
      <c r="B1015" t="s">
        <v>463</v>
      </c>
      <c r="C1015" t="s">
        <v>182</v>
      </c>
      <c r="D1015">
        <v>3855</v>
      </c>
      <c r="E1015">
        <v>3858</v>
      </c>
      <c r="F1015">
        <v>3855</v>
      </c>
      <c r="G1015">
        <v>3856</v>
      </c>
      <c r="H1015">
        <v>800</v>
      </c>
    </row>
    <row r="1016" spans="2:8">
      <c r="B1016" t="s">
        <v>463</v>
      </c>
      <c r="C1016" t="s">
        <v>183</v>
      </c>
      <c r="D1016">
        <v>3855</v>
      </c>
      <c r="E1016">
        <v>3858</v>
      </c>
      <c r="F1016">
        <v>3855</v>
      </c>
      <c r="G1016">
        <v>3857</v>
      </c>
      <c r="H1016">
        <v>1600</v>
      </c>
    </row>
    <row r="1017" spans="2:8">
      <c r="B1017" t="s">
        <v>463</v>
      </c>
      <c r="C1017" t="s">
        <v>184</v>
      </c>
      <c r="D1017">
        <v>3854</v>
      </c>
      <c r="E1017">
        <v>3856</v>
      </c>
      <c r="F1017">
        <v>3853</v>
      </c>
      <c r="G1017">
        <v>3855</v>
      </c>
      <c r="H1017">
        <v>500</v>
      </c>
    </row>
    <row r="1018" spans="2:8">
      <c r="B1018" t="s">
        <v>463</v>
      </c>
      <c r="C1018" t="s">
        <v>185</v>
      </c>
      <c r="D1018">
        <v>3856</v>
      </c>
      <c r="E1018">
        <v>3856</v>
      </c>
      <c r="F1018">
        <v>3856</v>
      </c>
      <c r="G1018">
        <v>3856</v>
      </c>
      <c r="H1018">
        <v>300</v>
      </c>
    </row>
    <row r="1019" spans="2:8">
      <c r="B1019" t="s">
        <v>463</v>
      </c>
      <c r="C1019" t="s">
        <v>186</v>
      </c>
      <c r="D1019">
        <v>3856</v>
      </c>
      <c r="E1019">
        <v>3856</v>
      </c>
      <c r="F1019">
        <v>3851</v>
      </c>
      <c r="G1019">
        <v>3851</v>
      </c>
      <c r="H1019">
        <v>1500</v>
      </c>
    </row>
    <row r="1020" spans="2:8">
      <c r="B1020" t="s">
        <v>463</v>
      </c>
      <c r="C1020" t="s">
        <v>187</v>
      </c>
      <c r="D1020">
        <v>3850</v>
      </c>
      <c r="E1020">
        <v>3850</v>
      </c>
      <c r="F1020">
        <v>3849</v>
      </c>
      <c r="G1020">
        <v>3849</v>
      </c>
      <c r="H1020">
        <v>1400</v>
      </c>
    </row>
    <row r="1021" spans="2:8">
      <c r="B1021" t="s">
        <v>463</v>
      </c>
      <c r="C1021" t="s">
        <v>188</v>
      </c>
      <c r="D1021">
        <v>3849</v>
      </c>
      <c r="E1021">
        <v>3852</v>
      </c>
      <c r="F1021">
        <v>3849</v>
      </c>
      <c r="G1021">
        <v>3852</v>
      </c>
      <c r="H1021">
        <v>1700</v>
      </c>
    </row>
    <row r="1022" spans="2:8">
      <c r="B1022" t="s">
        <v>463</v>
      </c>
      <c r="C1022" t="s">
        <v>189</v>
      </c>
      <c r="D1022">
        <v>3852</v>
      </c>
      <c r="E1022">
        <v>3853</v>
      </c>
      <c r="F1022">
        <v>3852</v>
      </c>
      <c r="G1022">
        <v>3853</v>
      </c>
      <c r="H1022">
        <v>600</v>
      </c>
    </row>
    <row r="1023" spans="2:8">
      <c r="B1023" t="s">
        <v>463</v>
      </c>
      <c r="C1023" t="s">
        <v>190</v>
      </c>
      <c r="D1023">
        <v>3854</v>
      </c>
      <c r="E1023">
        <v>3855</v>
      </c>
      <c r="F1023">
        <v>3854</v>
      </c>
      <c r="G1023">
        <v>3855</v>
      </c>
      <c r="H1023">
        <v>1600</v>
      </c>
    </row>
    <row r="1024" spans="2:8">
      <c r="B1024" t="s">
        <v>463</v>
      </c>
      <c r="C1024" t="s">
        <v>191</v>
      </c>
      <c r="D1024">
        <v>3855</v>
      </c>
      <c r="E1024">
        <v>3859</v>
      </c>
      <c r="F1024">
        <v>3854</v>
      </c>
      <c r="G1024">
        <v>3858</v>
      </c>
      <c r="H1024">
        <v>2000</v>
      </c>
    </row>
    <row r="1025" spans="2:8">
      <c r="B1025" t="s">
        <v>463</v>
      </c>
      <c r="C1025" t="s">
        <v>192</v>
      </c>
      <c r="D1025">
        <v>3857</v>
      </c>
      <c r="E1025">
        <v>3860</v>
      </c>
      <c r="F1025">
        <v>3857</v>
      </c>
      <c r="G1025">
        <v>3860</v>
      </c>
      <c r="H1025">
        <v>1300</v>
      </c>
    </row>
    <row r="1026" spans="2:8">
      <c r="B1026" t="s">
        <v>463</v>
      </c>
      <c r="C1026" t="s">
        <v>193</v>
      </c>
      <c r="D1026">
        <v>3860</v>
      </c>
      <c r="E1026">
        <v>3876</v>
      </c>
      <c r="F1026">
        <v>3859</v>
      </c>
      <c r="G1026">
        <v>3876</v>
      </c>
      <c r="H1026">
        <v>11600</v>
      </c>
    </row>
    <row r="1027" spans="2:8">
      <c r="B1027" t="s">
        <v>463</v>
      </c>
      <c r="C1027" t="s">
        <v>194</v>
      </c>
      <c r="D1027">
        <v>3876</v>
      </c>
      <c r="E1027">
        <v>3876</v>
      </c>
      <c r="F1027">
        <v>3873</v>
      </c>
      <c r="G1027">
        <v>3875</v>
      </c>
      <c r="H1027">
        <v>2000</v>
      </c>
    </row>
    <row r="1028" spans="2:8">
      <c r="B1028" t="s">
        <v>463</v>
      </c>
      <c r="C1028" t="s">
        <v>195</v>
      </c>
      <c r="D1028">
        <v>3874</v>
      </c>
      <c r="E1028">
        <v>3875</v>
      </c>
      <c r="F1028">
        <v>3873</v>
      </c>
      <c r="G1028">
        <v>3875</v>
      </c>
      <c r="H1028">
        <v>2300</v>
      </c>
    </row>
    <row r="1029" spans="2:8">
      <c r="B1029" t="s">
        <v>463</v>
      </c>
      <c r="C1029" t="s">
        <v>196</v>
      </c>
      <c r="D1029">
        <v>3874</v>
      </c>
      <c r="E1029">
        <v>3874</v>
      </c>
      <c r="F1029">
        <v>3868</v>
      </c>
      <c r="G1029">
        <v>3872</v>
      </c>
      <c r="H1029">
        <v>2800</v>
      </c>
    </row>
    <row r="1030" spans="2:8">
      <c r="B1030" t="s">
        <v>463</v>
      </c>
      <c r="C1030" t="s">
        <v>197</v>
      </c>
      <c r="D1030">
        <v>3873</v>
      </c>
      <c r="E1030">
        <v>3875</v>
      </c>
      <c r="F1030">
        <v>3871</v>
      </c>
      <c r="G1030">
        <v>3871</v>
      </c>
      <c r="H1030">
        <v>1500</v>
      </c>
    </row>
    <row r="1031" spans="2:8">
      <c r="B1031" t="s">
        <v>463</v>
      </c>
      <c r="C1031" t="s">
        <v>198</v>
      </c>
      <c r="D1031">
        <v>3873</v>
      </c>
      <c r="E1031">
        <v>3875</v>
      </c>
      <c r="F1031">
        <v>3870</v>
      </c>
      <c r="G1031">
        <v>3875</v>
      </c>
      <c r="H1031">
        <v>1900</v>
      </c>
    </row>
    <row r="1032" spans="2:8">
      <c r="B1032" t="s">
        <v>463</v>
      </c>
      <c r="C1032" t="s">
        <v>199</v>
      </c>
      <c r="D1032">
        <v>3874</v>
      </c>
      <c r="E1032">
        <v>3877</v>
      </c>
      <c r="F1032">
        <v>3874</v>
      </c>
      <c r="G1032">
        <v>3876</v>
      </c>
      <c r="H1032">
        <v>600</v>
      </c>
    </row>
    <row r="1033" spans="2:8">
      <c r="B1033" t="s">
        <v>463</v>
      </c>
      <c r="C1033" t="s">
        <v>200</v>
      </c>
      <c r="D1033">
        <v>3875</v>
      </c>
      <c r="E1033">
        <v>3876</v>
      </c>
      <c r="F1033">
        <v>3874</v>
      </c>
      <c r="G1033">
        <v>3874</v>
      </c>
      <c r="H1033">
        <v>1500</v>
      </c>
    </row>
    <row r="1034" spans="2:8">
      <c r="B1034" t="s">
        <v>463</v>
      </c>
      <c r="C1034" t="s">
        <v>201</v>
      </c>
      <c r="D1034">
        <v>3873</v>
      </c>
      <c r="E1034">
        <v>3877</v>
      </c>
      <c r="F1034">
        <v>3873</v>
      </c>
      <c r="G1034">
        <v>3875</v>
      </c>
      <c r="H1034">
        <v>1800</v>
      </c>
    </row>
    <row r="1035" spans="2:8">
      <c r="B1035" t="s">
        <v>463</v>
      </c>
      <c r="C1035" t="s">
        <v>202</v>
      </c>
      <c r="D1035">
        <v>3876</v>
      </c>
      <c r="E1035">
        <v>3881</v>
      </c>
      <c r="F1035">
        <v>3870</v>
      </c>
      <c r="G1035">
        <v>3881</v>
      </c>
      <c r="H1035">
        <v>13700</v>
      </c>
    </row>
    <row r="1036" spans="2:8">
      <c r="B1036" t="s">
        <v>463</v>
      </c>
      <c r="C1036" t="s">
        <v>203</v>
      </c>
      <c r="D1036">
        <v>3880</v>
      </c>
      <c r="E1036">
        <v>3880</v>
      </c>
      <c r="F1036">
        <v>3878</v>
      </c>
      <c r="G1036">
        <v>3878</v>
      </c>
      <c r="H1036">
        <v>900</v>
      </c>
    </row>
    <row r="1037" spans="2:8">
      <c r="B1037" t="s">
        <v>463</v>
      </c>
      <c r="C1037" t="s">
        <v>204</v>
      </c>
      <c r="D1037">
        <v>3876</v>
      </c>
      <c r="E1037">
        <v>3877</v>
      </c>
      <c r="F1037">
        <v>3876</v>
      </c>
      <c r="G1037">
        <v>3877</v>
      </c>
      <c r="H1037">
        <v>700</v>
      </c>
    </row>
    <row r="1038" spans="2:8">
      <c r="B1038" t="s">
        <v>463</v>
      </c>
      <c r="C1038" t="s">
        <v>205</v>
      </c>
      <c r="D1038">
        <v>3877</v>
      </c>
      <c r="E1038">
        <v>3879</v>
      </c>
      <c r="F1038">
        <v>3877</v>
      </c>
      <c r="G1038">
        <v>3879</v>
      </c>
      <c r="H1038">
        <v>400</v>
      </c>
    </row>
    <row r="1039" spans="2:8">
      <c r="B1039" t="s">
        <v>463</v>
      </c>
      <c r="C1039" t="s">
        <v>206</v>
      </c>
      <c r="D1039">
        <v>3879</v>
      </c>
      <c r="E1039">
        <v>3880</v>
      </c>
      <c r="F1039">
        <v>3876</v>
      </c>
      <c r="G1039">
        <v>3880</v>
      </c>
      <c r="H1039">
        <v>2600</v>
      </c>
    </row>
    <row r="1040" spans="2:8">
      <c r="B1040" t="s">
        <v>463</v>
      </c>
      <c r="C1040" t="s">
        <v>207</v>
      </c>
      <c r="D1040">
        <v>3881</v>
      </c>
      <c r="E1040">
        <v>3882</v>
      </c>
      <c r="F1040">
        <v>3881</v>
      </c>
      <c r="G1040">
        <v>3882</v>
      </c>
      <c r="H1040">
        <v>600</v>
      </c>
    </row>
    <row r="1041" spans="2:8">
      <c r="B1041" t="s">
        <v>463</v>
      </c>
      <c r="C1041" t="s">
        <v>208</v>
      </c>
      <c r="D1041">
        <v>3882</v>
      </c>
      <c r="E1041">
        <v>3882</v>
      </c>
      <c r="F1041">
        <v>3881</v>
      </c>
      <c r="G1041">
        <v>3881</v>
      </c>
      <c r="H1041">
        <v>200</v>
      </c>
    </row>
    <row r="1042" spans="2:8">
      <c r="B1042" t="s">
        <v>463</v>
      </c>
      <c r="C1042" t="s">
        <v>209</v>
      </c>
      <c r="D1042">
        <v>3883</v>
      </c>
      <c r="E1042">
        <v>3883</v>
      </c>
      <c r="F1042">
        <v>3883</v>
      </c>
      <c r="G1042">
        <v>3883</v>
      </c>
      <c r="H1042">
        <v>100</v>
      </c>
    </row>
    <row r="1043" spans="2:8">
      <c r="B1043" t="s">
        <v>463</v>
      </c>
      <c r="C1043" t="s">
        <v>210</v>
      </c>
      <c r="D1043">
        <v>3881</v>
      </c>
      <c r="E1043">
        <v>3881</v>
      </c>
      <c r="F1043">
        <v>3877</v>
      </c>
      <c r="G1043">
        <v>3877</v>
      </c>
      <c r="H1043">
        <v>2200</v>
      </c>
    </row>
    <row r="1044" spans="2:8">
      <c r="B1044" t="s">
        <v>463</v>
      </c>
      <c r="C1044" t="s">
        <v>211</v>
      </c>
      <c r="D1044">
        <v>3876</v>
      </c>
      <c r="E1044">
        <v>3876</v>
      </c>
      <c r="F1044">
        <v>3876</v>
      </c>
      <c r="G1044">
        <v>3876</v>
      </c>
      <c r="H1044">
        <v>700</v>
      </c>
    </row>
    <row r="1045" spans="2:8">
      <c r="B1045" t="s">
        <v>463</v>
      </c>
      <c r="C1045" t="s">
        <v>212</v>
      </c>
      <c r="D1045">
        <v>3875</v>
      </c>
      <c r="E1045">
        <v>3875</v>
      </c>
      <c r="F1045">
        <v>3870</v>
      </c>
      <c r="G1045">
        <v>3872</v>
      </c>
      <c r="H1045">
        <v>4400</v>
      </c>
    </row>
    <row r="1046" spans="2:8">
      <c r="B1046" t="s">
        <v>463</v>
      </c>
      <c r="C1046" t="s">
        <v>213</v>
      </c>
      <c r="D1046">
        <v>3872</v>
      </c>
      <c r="E1046">
        <v>3872</v>
      </c>
      <c r="F1046">
        <v>3869</v>
      </c>
      <c r="G1046">
        <v>3869</v>
      </c>
      <c r="H1046">
        <v>800</v>
      </c>
    </row>
    <row r="1047" spans="2:8">
      <c r="B1047" t="s">
        <v>463</v>
      </c>
      <c r="C1047" t="s">
        <v>214</v>
      </c>
      <c r="D1047">
        <v>3870</v>
      </c>
      <c r="E1047">
        <v>3872</v>
      </c>
      <c r="F1047">
        <v>3870</v>
      </c>
      <c r="G1047">
        <v>3872</v>
      </c>
      <c r="H1047">
        <v>1600</v>
      </c>
    </row>
    <row r="1048" spans="2:8">
      <c r="B1048" t="s">
        <v>463</v>
      </c>
      <c r="C1048" t="s">
        <v>215</v>
      </c>
      <c r="D1048">
        <v>3872</v>
      </c>
      <c r="E1048">
        <v>3872</v>
      </c>
      <c r="F1048">
        <v>3870</v>
      </c>
      <c r="G1048">
        <v>3870</v>
      </c>
      <c r="H1048">
        <v>1600</v>
      </c>
    </row>
    <row r="1049" spans="2:8">
      <c r="B1049" t="s">
        <v>463</v>
      </c>
      <c r="C1049" t="s">
        <v>216</v>
      </c>
      <c r="D1049">
        <v>3872</v>
      </c>
      <c r="E1049">
        <v>3872</v>
      </c>
      <c r="F1049">
        <v>3866</v>
      </c>
      <c r="G1049">
        <v>3866</v>
      </c>
      <c r="H1049">
        <v>4500</v>
      </c>
    </row>
    <row r="1050" spans="2:8">
      <c r="B1050" t="s">
        <v>463</v>
      </c>
      <c r="C1050" t="s">
        <v>217</v>
      </c>
      <c r="D1050">
        <v>3866</v>
      </c>
      <c r="E1050">
        <v>3868</v>
      </c>
      <c r="F1050">
        <v>3866</v>
      </c>
      <c r="G1050">
        <v>3867</v>
      </c>
      <c r="H1050">
        <v>2000</v>
      </c>
    </row>
    <row r="1051" spans="2:8">
      <c r="B1051" t="s">
        <v>463</v>
      </c>
      <c r="C1051" t="s">
        <v>218</v>
      </c>
      <c r="D1051">
        <v>3867</v>
      </c>
      <c r="E1051">
        <v>3870</v>
      </c>
      <c r="F1051">
        <v>3865</v>
      </c>
      <c r="G1051">
        <v>3865</v>
      </c>
      <c r="H1051">
        <v>4900</v>
      </c>
    </row>
    <row r="1052" spans="2:8">
      <c r="B1052" t="s">
        <v>463</v>
      </c>
      <c r="C1052" t="s">
        <v>219</v>
      </c>
      <c r="D1052">
        <v>3864</v>
      </c>
      <c r="E1052">
        <v>3865</v>
      </c>
      <c r="F1052">
        <v>3861</v>
      </c>
      <c r="G1052">
        <v>3862</v>
      </c>
      <c r="H1052">
        <v>4700</v>
      </c>
    </row>
    <row r="1053" spans="2:8">
      <c r="B1053" t="s">
        <v>463</v>
      </c>
      <c r="C1053" t="s">
        <v>220</v>
      </c>
      <c r="D1053">
        <v>3863</v>
      </c>
      <c r="E1053">
        <v>3866</v>
      </c>
      <c r="F1053">
        <v>3863</v>
      </c>
      <c r="G1053">
        <v>3865</v>
      </c>
      <c r="H1053">
        <v>1100</v>
      </c>
    </row>
    <row r="1054" spans="2:8">
      <c r="B1054" t="s">
        <v>463</v>
      </c>
      <c r="C1054" t="s">
        <v>221</v>
      </c>
      <c r="D1054">
        <v>3867</v>
      </c>
      <c r="E1054">
        <v>3869</v>
      </c>
      <c r="F1054">
        <v>3867</v>
      </c>
      <c r="G1054">
        <v>3867</v>
      </c>
      <c r="H1054">
        <v>2700</v>
      </c>
    </row>
    <row r="1055" spans="2:8">
      <c r="B1055" t="s">
        <v>463</v>
      </c>
      <c r="C1055" t="s">
        <v>222</v>
      </c>
      <c r="D1055">
        <v>3867</v>
      </c>
      <c r="E1055">
        <v>3871</v>
      </c>
      <c r="F1055">
        <v>3867</v>
      </c>
      <c r="G1055">
        <v>3871</v>
      </c>
      <c r="H1055">
        <v>1300</v>
      </c>
    </row>
    <row r="1056" spans="2:8">
      <c r="B1056" t="s">
        <v>463</v>
      </c>
      <c r="C1056" t="s">
        <v>223</v>
      </c>
      <c r="D1056">
        <v>3870</v>
      </c>
      <c r="E1056">
        <v>3870</v>
      </c>
      <c r="F1056">
        <v>3869</v>
      </c>
      <c r="G1056">
        <v>3869</v>
      </c>
      <c r="H1056">
        <v>1000</v>
      </c>
    </row>
    <row r="1057" spans="2:8">
      <c r="B1057" t="s">
        <v>463</v>
      </c>
      <c r="C1057" t="s">
        <v>224</v>
      </c>
      <c r="D1057">
        <v>3868</v>
      </c>
      <c r="E1057">
        <v>3869</v>
      </c>
      <c r="F1057">
        <v>3867</v>
      </c>
      <c r="G1057">
        <v>3869</v>
      </c>
      <c r="H1057">
        <v>700</v>
      </c>
    </row>
    <row r="1058" spans="2:8">
      <c r="B1058" t="s">
        <v>463</v>
      </c>
      <c r="C1058" t="s">
        <v>225</v>
      </c>
      <c r="D1058">
        <v>3870</v>
      </c>
      <c r="E1058">
        <v>3870</v>
      </c>
      <c r="F1058">
        <v>3870</v>
      </c>
      <c r="G1058">
        <v>3870</v>
      </c>
      <c r="H1058">
        <v>500</v>
      </c>
    </row>
    <row r="1059" spans="2:8">
      <c r="B1059" t="s">
        <v>463</v>
      </c>
      <c r="C1059" t="s">
        <v>226</v>
      </c>
      <c r="D1059">
        <v>3870</v>
      </c>
      <c r="E1059">
        <v>3870</v>
      </c>
      <c r="F1059">
        <v>3866</v>
      </c>
      <c r="G1059">
        <v>3866</v>
      </c>
      <c r="H1059">
        <v>2800</v>
      </c>
    </row>
    <row r="1060" spans="2:8">
      <c r="B1060" t="s">
        <v>463</v>
      </c>
      <c r="C1060" t="s">
        <v>227</v>
      </c>
      <c r="D1060">
        <v>3865</v>
      </c>
      <c r="E1060">
        <v>3865</v>
      </c>
      <c r="F1060">
        <v>3862</v>
      </c>
      <c r="G1060">
        <v>3862</v>
      </c>
      <c r="H1060">
        <v>1100</v>
      </c>
    </row>
    <row r="1061" spans="2:8">
      <c r="B1061" t="s">
        <v>463</v>
      </c>
      <c r="C1061" t="s">
        <v>228</v>
      </c>
      <c r="D1061">
        <v>3864</v>
      </c>
      <c r="E1061">
        <v>3864</v>
      </c>
      <c r="F1061">
        <v>3860</v>
      </c>
      <c r="G1061">
        <v>3862</v>
      </c>
      <c r="H1061">
        <v>1600</v>
      </c>
    </row>
    <row r="1062" spans="2:8">
      <c r="B1062" t="s">
        <v>463</v>
      </c>
      <c r="C1062" t="s">
        <v>229</v>
      </c>
      <c r="D1062">
        <v>3862</v>
      </c>
      <c r="E1062">
        <v>3866</v>
      </c>
      <c r="F1062">
        <v>3862</v>
      </c>
      <c r="G1062">
        <v>3866</v>
      </c>
      <c r="H1062">
        <v>2500</v>
      </c>
    </row>
    <row r="1063" spans="2:8">
      <c r="B1063" t="s">
        <v>463</v>
      </c>
      <c r="C1063" t="s">
        <v>230</v>
      </c>
      <c r="D1063">
        <v>3864</v>
      </c>
      <c r="E1063">
        <v>3868</v>
      </c>
      <c r="F1063">
        <v>3864</v>
      </c>
      <c r="G1063">
        <v>3868</v>
      </c>
      <c r="H1063">
        <v>1200</v>
      </c>
    </row>
    <row r="1064" spans="2:8">
      <c r="B1064" t="s">
        <v>463</v>
      </c>
      <c r="C1064" t="s">
        <v>231</v>
      </c>
      <c r="D1064">
        <v>3869</v>
      </c>
      <c r="E1064">
        <v>3870</v>
      </c>
      <c r="F1064">
        <v>3868</v>
      </c>
      <c r="G1064">
        <v>3870</v>
      </c>
      <c r="H1064">
        <v>1700</v>
      </c>
    </row>
    <row r="1065" spans="2:8">
      <c r="B1065" t="s">
        <v>463</v>
      </c>
      <c r="C1065" t="s">
        <v>232</v>
      </c>
      <c r="D1065" t="s">
        <v>8</v>
      </c>
      <c r="E1065" t="s">
        <v>8</v>
      </c>
      <c r="F1065" t="s">
        <v>8</v>
      </c>
      <c r="G1065" t="s">
        <v>8</v>
      </c>
      <c r="H1065">
        <v>0</v>
      </c>
    </row>
    <row r="1066" spans="2:8">
      <c r="B1066" t="s">
        <v>463</v>
      </c>
      <c r="C1066" t="s">
        <v>233</v>
      </c>
      <c r="D1066">
        <v>3872</v>
      </c>
      <c r="E1066">
        <v>3879</v>
      </c>
      <c r="F1066">
        <v>3872</v>
      </c>
      <c r="G1066">
        <v>3879</v>
      </c>
      <c r="H1066">
        <v>3300</v>
      </c>
    </row>
    <row r="1067" spans="2:8">
      <c r="B1067" t="s">
        <v>463</v>
      </c>
      <c r="C1067" t="s">
        <v>234</v>
      </c>
      <c r="D1067">
        <v>3880</v>
      </c>
      <c r="E1067">
        <v>3884</v>
      </c>
      <c r="F1067">
        <v>3879</v>
      </c>
      <c r="G1067">
        <v>3879</v>
      </c>
      <c r="H1067">
        <v>2300</v>
      </c>
    </row>
    <row r="1068" spans="2:8">
      <c r="B1068" t="s">
        <v>463</v>
      </c>
      <c r="C1068" t="s">
        <v>235</v>
      </c>
      <c r="D1068">
        <v>3880</v>
      </c>
      <c r="E1068">
        <v>3880</v>
      </c>
      <c r="F1068">
        <v>3880</v>
      </c>
      <c r="G1068">
        <v>3880</v>
      </c>
      <c r="H1068">
        <v>300</v>
      </c>
    </row>
    <row r="1069" spans="2:8">
      <c r="B1069" t="s">
        <v>463</v>
      </c>
      <c r="C1069" t="s">
        <v>236</v>
      </c>
      <c r="D1069">
        <v>3881</v>
      </c>
      <c r="E1069">
        <v>3882</v>
      </c>
      <c r="F1069">
        <v>3880</v>
      </c>
      <c r="G1069">
        <v>3882</v>
      </c>
      <c r="H1069">
        <v>4200</v>
      </c>
    </row>
    <row r="1070" spans="2:8">
      <c r="B1070" t="s">
        <v>463</v>
      </c>
      <c r="C1070" t="s">
        <v>237</v>
      </c>
      <c r="D1070">
        <v>3883</v>
      </c>
      <c r="E1070">
        <v>3884</v>
      </c>
      <c r="F1070">
        <v>3882</v>
      </c>
      <c r="G1070">
        <v>3882</v>
      </c>
      <c r="H1070">
        <v>2800</v>
      </c>
    </row>
    <row r="1071" spans="2:8">
      <c r="B1071" t="s">
        <v>463</v>
      </c>
      <c r="C1071" t="s">
        <v>238</v>
      </c>
      <c r="D1071">
        <v>3883</v>
      </c>
      <c r="E1071">
        <v>3884</v>
      </c>
      <c r="F1071">
        <v>3883</v>
      </c>
      <c r="G1071">
        <v>3884</v>
      </c>
      <c r="H1071">
        <v>900</v>
      </c>
    </row>
    <row r="1072" spans="2:8">
      <c r="B1072" t="s">
        <v>463</v>
      </c>
      <c r="C1072" t="s">
        <v>239</v>
      </c>
      <c r="D1072">
        <v>3884</v>
      </c>
      <c r="E1072">
        <v>3886</v>
      </c>
      <c r="F1072">
        <v>3884</v>
      </c>
      <c r="G1072">
        <v>3886</v>
      </c>
      <c r="H1072">
        <v>2500</v>
      </c>
    </row>
    <row r="1073" spans="2:8">
      <c r="B1073" t="s">
        <v>463</v>
      </c>
      <c r="C1073" t="s">
        <v>240</v>
      </c>
      <c r="D1073">
        <v>3885</v>
      </c>
      <c r="E1073">
        <v>3885</v>
      </c>
      <c r="F1073">
        <v>3882</v>
      </c>
      <c r="G1073">
        <v>3882</v>
      </c>
      <c r="H1073">
        <v>2300</v>
      </c>
    </row>
    <row r="1074" spans="2:8">
      <c r="B1074" t="s">
        <v>463</v>
      </c>
      <c r="C1074" t="s">
        <v>241</v>
      </c>
      <c r="D1074">
        <v>3883</v>
      </c>
      <c r="E1074">
        <v>3884</v>
      </c>
      <c r="F1074">
        <v>3882</v>
      </c>
      <c r="G1074">
        <v>3884</v>
      </c>
      <c r="H1074">
        <v>1000</v>
      </c>
    </row>
    <row r="1075" spans="2:8">
      <c r="B1075" t="s">
        <v>463</v>
      </c>
      <c r="C1075" t="s">
        <v>242</v>
      </c>
      <c r="D1075">
        <v>3882</v>
      </c>
      <c r="E1075">
        <v>3882</v>
      </c>
      <c r="F1075">
        <v>3881</v>
      </c>
      <c r="G1075">
        <v>3882</v>
      </c>
      <c r="H1075">
        <v>1100</v>
      </c>
    </row>
    <row r="1076" spans="2:8">
      <c r="B1076" t="s">
        <v>463</v>
      </c>
      <c r="C1076" t="s">
        <v>243</v>
      </c>
      <c r="D1076">
        <v>3881</v>
      </c>
      <c r="E1076">
        <v>3882</v>
      </c>
      <c r="F1076">
        <v>3880</v>
      </c>
      <c r="G1076">
        <v>3880</v>
      </c>
      <c r="H1076">
        <v>1300</v>
      </c>
    </row>
    <row r="1077" spans="2:8">
      <c r="B1077" t="s">
        <v>463</v>
      </c>
      <c r="C1077" t="s">
        <v>244</v>
      </c>
      <c r="D1077">
        <v>3882</v>
      </c>
      <c r="E1077">
        <v>3882</v>
      </c>
      <c r="F1077">
        <v>3881</v>
      </c>
      <c r="G1077">
        <v>3881</v>
      </c>
      <c r="H1077">
        <v>400</v>
      </c>
    </row>
    <row r="1078" spans="2:8">
      <c r="B1078" t="s">
        <v>463</v>
      </c>
      <c r="C1078" t="s">
        <v>245</v>
      </c>
      <c r="D1078">
        <v>3880</v>
      </c>
      <c r="E1078">
        <v>3882</v>
      </c>
      <c r="F1078">
        <v>3879</v>
      </c>
      <c r="G1078">
        <v>3882</v>
      </c>
      <c r="H1078">
        <v>2500</v>
      </c>
    </row>
    <row r="1079" spans="2:8">
      <c r="B1079" t="s">
        <v>463</v>
      </c>
      <c r="C1079" t="s">
        <v>246</v>
      </c>
      <c r="D1079">
        <v>3882</v>
      </c>
      <c r="E1079">
        <v>3894</v>
      </c>
      <c r="F1079">
        <v>3882</v>
      </c>
      <c r="G1079">
        <v>3894</v>
      </c>
      <c r="H1079">
        <v>9100</v>
      </c>
    </row>
    <row r="1080" spans="2:8">
      <c r="B1080" t="s">
        <v>463</v>
      </c>
      <c r="C1080" t="s">
        <v>247</v>
      </c>
      <c r="D1080">
        <v>3893</v>
      </c>
      <c r="E1080">
        <v>3897</v>
      </c>
      <c r="F1080">
        <v>3893</v>
      </c>
      <c r="G1080">
        <v>3893</v>
      </c>
      <c r="H1080">
        <v>4600</v>
      </c>
    </row>
    <row r="1081" spans="2:8">
      <c r="B1081" t="s">
        <v>463</v>
      </c>
      <c r="C1081" t="s">
        <v>248</v>
      </c>
      <c r="D1081">
        <v>3892</v>
      </c>
      <c r="E1081">
        <v>3892</v>
      </c>
      <c r="F1081">
        <v>3892</v>
      </c>
      <c r="G1081">
        <v>3892</v>
      </c>
      <c r="H1081">
        <v>400</v>
      </c>
    </row>
    <row r="1082" spans="2:8">
      <c r="B1082" t="s">
        <v>463</v>
      </c>
      <c r="C1082" t="s">
        <v>249</v>
      </c>
      <c r="D1082">
        <v>3892</v>
      </c>
      <c r="E1082">
        <v>3892</v>
      </c>
      <c r="F1082">
        <v>3890</v>
      </c>
      <c r="G1082">
        <v>3890</v>
      </c>
      <c r="H1082">
        <v>1500</v>
      </c>
    </row>
    <row r="1083" spans="2:8">
      <c r="B1083" t="s">
        <v>463</v>
      </c>
      <c r="C1083" t="s">
        <v>250</v>
      </c>
      <c r="D1083">
        <v>3890</v>
      </c>
      <c r="E1083">
        <v>3890</v>
      </c>
      <c r="F1083">
        <v>3890</v>
      </c>
      <c r="G1083">
        <v>3890</v>
      </c>
      <c r="H1083">
        <v>200</v>
      </c>
    </row>
    <row r="1084" spans="2:8">
      <c r="B1084" t="s">
        <v>463</v>
      </c>
      <c r="C1084" t="s">
        <v>251</v>
      </c>
      <c r="D1084">
        <v>3891</v>
      </c>
      <c r="E1084">
        <v>3891</v>
      </c>
      <c r="F1084">
        <v>3890</v>
      </c>
      <c r="G1084">
        <v>3890</v>
      </c>
      <c r="H1084">
        <v>400</v>
      </c>
    </row>
    <row r="1085" spans="2:8">
      <c r="B1085" t="s">
        <v>463</v>
      </c>
      <c r="C1085" t="s">
        <v>252</v>
      </c>
      <c r="D1085">
        <v>3890</v>
      </c>
      <c r="E1085">
        <v>3892</v>
      </c>
      <c r="F1085">
        <v>3890</v>
      </c>
      <c r="G1085">
        <v>3892</v>
      </c>
      <c r="H1085">
        <v>400</v>
      </c>
    </row>
    <row r="1086" spans="2:8">
      <c r="B1086" t="s">
        <v>463</v>
      </c>
      <c r="C1086" t="s">
        <v>253</v>
      </c>
      <c r="D1086">
        <v>3891</v>
      </c>
      <c r="E1086">
        <v>3894</v>
      </c>
      <c r="F1086">
        <v>3891</v>
      </c>
      <c r="G1086">
        <v>3893</v>
      </c>
      <c r="H1086">
        <v>2100</v>
      </c>
    </row>
    <row r="1087" spans="2:8">
      <c r="B1087" t="s">
        <v>463</v>
      </c>
      <c r="C1087" t="s">
        <v>254</v>
      </c>
      <c r="D1087">
        <v>3893</v>
      </c>
      <c r="E1087">
        <v>3895</v>
      </c>
      <c r="F1087">
        <v>3893</v>
      </c>
      <c r="G1087">
        <v>3894</v>
      </c>
      <c r="H1087">
        <v>300</v>
      </c>
    </row>
    <row r="1088" spans="2:8">
      <c r="B1088" t="s">
        <v>463</v>
      </c>
      <c r="C1088" t="s">
        <v>255</v>
      </c>
      <c r="D1088">
        <v>3894</v>
      </c>
      <c r="E1088">
        <v>3899</v>
      </c>
      <c r="F1088">
        <v>3894</v>
      </c>
      <c r="G1088">
        <v>3897</v>
      </c>
      <c r="H1088">
        <v>15000</v>
      </c>
    </row>
    <row r="1089" spans="2:8">
      <c r="B1089" t="s">
        <v>463</v>
      </c>
      <c r="C1089" t="s">
        <v>256</v>
      </c>
      <c r="D1089">
        <v>3898</v>
      </c>
      <c r="E1089">
        <v>3903</v>
      </c>
      <c r="F1089">
        <v>3898</v>
      </c>
      <c r="G1089">
        <v>3903</v>
      </c>
      <c r="H1089">
        <v>5100</v>
      </c>
    </row>
    <row r="1090" spans="2:8">
      <c r="B1090" t="s">
        <v>463</v>
      </c>
      <c r="C1090" t="s">
        <v>257</v>
      </c>
      <c r="D1090">
        <v>3901</v>
      </c>
      <c r="E1090">
        <v>3903</v>
      </c>
      <c r="F1090">
        <v>3901</v>
      </c>
      <c r="G1090">
        <v>3903</v>
      </c>
      <c r="H1090">
        <v>1800</v>
      </c>
    </row>
    <row r="1091" spans="2:8">
      <c r="B1091" t="s">
        <v>463</v>
      </c>
      <c r="C1091" t="s">
        <v>258</v>
      </c>
      <c r="D1091">
        <v>3904</v>
      </c>
      <c r="E1091">
        <v>3910</v>
      </c>
      <c r="F1091">
        <v>3904</v>
      </c>
      <c r="G1091">
        <v>3907</v>
      </c>
      <c r="H1091">
        <v>4800</v>
      </c>
    </row>
    <row r="1092" spans="2:8">
      <c r="B1092" t="s">
        <v>463</v>
      </c>
      <c r="C1092" t="s">
        <v>259</v>
      </c>
      <c r="D1092">
        <v>3907</v>
      </c>
      <c r="E1092">
        <v>3909</v>
      </c>
      <c r="F1092">
        <v>3906</v>
      </c>
      <c r="G1092">
        <v>3906</v>
      </c>
      <c r="H1092">
        <v>2700</v>
      </c>
    </row>
    <row r="1093" spans="2:8">
      <c r="B1093" t="s">
        <v>463</v>
      </c>
      <c r="C1093" t="s">
        <v>260</v>
      </c>
      <c r="D1093">
        <v>3908</v>
      </c>
      <c r="E1093">
        <v>3910</v>
      </c>
      <c r="F1093">
        <v>3908</v>
      </c>
      <c r="G1093">
        <v>3909</v>
      </c>
      <c r="H1093">
        <v>1600</v>
      </c>
    </row>
    <row r="1094" spans="2:8">
      <c r="B1094" t="s">
        <v>463</v>
      </c>
      <c r="C1094" t="s">
        <v>261</v>
      </c>
      <c r="D1094">
        <v>3909</v>
      </c>
      <c r="E1094">
        <v>3909</v>
      </c>
      <c r="F1094">
        <v>3907</v>
      </c>
      <c r="G1094">
        <v>3907</v>
      </c>
      <c r="H1094">
        <v>1000</v>
      </c>
    </row>
    <row r="1095" spans="2:8">
      <c r="B1095" t="s">
        <v>463</v>
      </c>
      <c r="C1095" t="s">
        <v>262</v>
      </c>
      <c r="D1095">
        <v>3908</v>
      </c>
      <c r="E1095">
        <v>3908</v>
      </c>
      <c r="F1095">
        <v>3906</v>
      </c>
      <c r="G1095">
        <v>3906</v>
      </c>
      <c r="H1095">
        <v>1500</v>
      </c>
    </row>
    <row r="1096" spans="2:8">
      <c r="B1096" t="s">
        <v>463</v>
      </c>
      <c r="C1096" t="s">
        <v>263</v>
      </c>
      <c r="D1096">
        <v>3904</v>
      </c>
      <c r="E1096">
        <v>3906</v>
      </c>
      <c r="F1096">
        <v>3904</v>
      </c>
      <c r="G1096">
        <v>3905</v>
      </c>
      <c r="H1096">
        <v>1300</v>
      </c>
    </row>
    <row r="1097" spans="2:8">
      <c r="B1097" t="s">
        <v>463</v>
      </c>
      <c r="C1097" t="s">
        <v>264</v>
      </c>
      <c r="D1097">
        <v>3905</v>
      </c>
      <c r="E1097">
        <v>3906</v>
      </c>
      <c r="F1097">
        <v>3905</v>
      </c>
      <c r="G1097">
        <v>3906</v>
      </c>
      <c r="H1097">
        <v>1100</v>
      </c>
    </row>
    <row r="1098" spans="2:8">
      <c r="B1098" t="s">
        <v>463</v>
      </c>
      <c r="C1098" t="s">
        <v>265</v>
      </c>
      <c r="D1098">
        <v>3906</v>
      </c>
      <c r="E1098">
        <v>3907</v>
      </c>
      <c r="F1098">
        <v>3906</v>
      </c>
      <c r="G1098">
        <v>3907</v>
      </c>
      <c r="H1098">
        <v>300</v>
      </c>
    </row>
    <row r="1099" spans="2:8">
      <c r="B1099" t="s">
        <v>463</v>
      </c>
      <c r="C1099" t="s">
        <v>266</v>
      </c>
      <c r="D1099">
        <v>3908</v>
      </c>
      <c r="E1099">
        <v>3908</v>
      </c>
      <c r="F1099">
        <v>3907</v>
      </c>
      <c r="G1099">
        <v>3907</v>
      </c>
      <c r="H1099">
        <v>400</v>
      </c>
    </row>
    <row r="1100" spans="2:8">
      <c r="B1100" t="s">
        <v>463</v>
      </c>
      <c r="C1100" t="s">
        <v>267</v>
      </c>
      <c r="D1100">
        <v>3908</v>
      </c>
      <c r="E1100">
        <v>3917</v>
      </c>
      <c r="F1100">
        <v>3908</v>
      </c>
      <c r="G1100">
        <v>3917</v>
      </c>
      <c r="H1100">
        <v>4100</v>
      </c>
    </row>
    <row r="1101" spans="2:8">
      <c r="B1101" t="s">
        <v>463</v>
      </c>
      <c r="C1101" t="s">
        <v>268</v>
      </c>
      <c r="D1101">
        <v>3917</v>
      </c>
      <c r="E1101">
        <v>3917</v>
      </c>
      <c r="F1101">
        <v>3917</v>
      </c>
      <c r="G1101">
        <v>3917</v>
      </c>
      <c r="H1101">
        <v>1100</v>
      </c>
    </row>
    <row r="1102" spans="2:8">
      <c r="B1102" t="s">
        <v>463</v>
      </c>
      <c r="C1102" t="s">
        <v>269</v>
      </c>
      <c r="D1102">
        <v>3916</v>
      </c>
      <c r="E1102">
        <v>3916</v>
      </c>
      <c r="F1102">
        <v>3915</v>
      </c>
      <c r="G1102">
        <v>3915</v>
      </c>
      <c r="H1102">
        <v>1000</v>
      </c>
    </row>
    <row r="1103" spans="2:8">
      <c r="B1103" t="s">
        <v>463</v>
      </c>
      <c r="C1103" t="s">
        <v>270</v>
      </c>
      <c r="D1103">
        <v>3915</v>
      </c>
      <c r="E1103">
        <v>3916</v>
      </c>
      <c r="F1103">
        <v>3914</v>
      </c>
      <c r="G1103">
        <v>3914</v>
      </c>
      <c r="H1103">
        <v>5000</v>
      </c>
    </row>
    <row r="1104" spans="2:8">
      <c r="B1104" t="s">
        <v>463</v>
      </c>
      <c r="C1104" t="s">
        <v>271</v>
      </c>
      <c r="D1104">
        <v>3914</v>
      </c>
      <c r="E1104">
        <v>3917</v>
      </c>
      <c r="F1104">
        <v>3914</v>
      </c>
      <c r="G1104">
        <v>3917</v>
      </c>
      <c r="H1104">
        <v>2300</v>
      </c>
    </row>
    <row r="1105" spans="2:8">
      <c r="B1105" t="s">
        <v>463</v>
      </c>
      <c r="C1105" t="s">
        <v>272</v>
      </c>
      <c r="D1105">
        <v>3916</v>
      </c>
      <c r="E1105">
        <v>3917</v>
      </c>
      <c r="F1105">
        <v>3916</v>
      </c>
      <c r="G1105">
        <v>3917</v>
      </c>
      <c r="H1105">
        <v>200</v>
      </c>
    </row>
    <row r="1106" spans="2:8">
      <c r="B1106" t="s">
        <v>463</v>
      </c>
      <c r="C1106" t="s">
        <v>273</v>
      </c>
      <c r="D1106">
        <v>3918</v>
      </c>
      <c r="E1106">
        <v>3919</v>
      </c>
      <c r="F1106">
        <v>3918</v>
      </c>
      <c r="G1106">
        <v>3919</v>
      </c>
      <c r="H1106">
        <v>1700</v>
      </c>
    </row>
    <row r="1107" spans="2:8">
      <c r="B1107" t="s">
        <v>463</v>
      </c>
      <c r="C1107" t="s">
        <v>274</v>
      </c>
      <c r="D1107">
        <v>3919</v>
      </c>
      <c r="E1107">
        <v>3919</v>
      </c>
      <c r="F1107">
        <v>3917</v>
      </c>
      <c r="G1107">
        <v>3917</v>
      </c>
      <c r="H1107">
        <v>1000</v>
      </c>
    </row>
    <row r="1108" spans="2:8">
      <c r="B1108" t="s">
        <v>463</v>
      </c>
      <c r="C1108" t="s">
        <v>275</v>
      </c>
      <c r="D1108">
        <v>3918</v>
      </c>
      <c r="E1108">
        <v>3918</v>
      </c>
      <c r="F1108">
        <v>3918</v>
      </c>
      <c r="G1108">
        <v>3918</v>
      </c>
      <c r="H1108">
        <v>400</v>
      </c>
    </row>
    <row r="1109" spans="2:8">
      <c r="B1109" t="s">
        <v>463</v>
      </c>
      <c r="C1109" t="s">
        <v>276</v>
      </c>
      <c r="D1109">
        <v>3918</v>
      </c>
      <c r="E1109">
        <v>3920</v>
      </c>
      <c r="F1109">
        <v>3916</v>
      </c>
      <c r="G1109">
        <v>3917</v>
      </c>
      <c r="H1109">
        <v>11900</v>
      </c>
    </row>
    <row r="1110" spans="2:8">
      <c r="B1110" t="s">
        <v>463</v>
      </c>
      <c r="C1110" t="s">
        <v>277</v>
      </c>
      <c r="D1110">
        <v>3915</v>
      </c>
      <c r="E1110">
        <v>3915</v>
      </c>
      <c r="F1110">
        <v>3907</v>
      </c>
      <c r="G1110">
        <v>3907</v>
      </c>
      <c r="H1110">
        <v>20000</v>
      </c>
    </row>
    <row r="1111" spans="2:8">
      <c r="B1111" t="s">
        <v>463</v>
      </c>
      <c r="C1111" t="s">
        <v>278</v>
      </c>
      <c r="D1111">
        <v>3908</v>
      </c>
      <c r="E1111">
        <v>3908</v>
      </c>
      <c r="F1111">
        <v>3907</v>
      </c>
      <c r="G1111">
        <v>3907</v>
      </c>
      <c r="H1111">
        <v>700</v>
      </c>
    </row>
    <row r="1112" spans="2:8">
      <c r="B1112" t="s">
        <v>463</v>
      </c>
      <c r="C1112" t="s">
        <v>279</v>
      </c>
      <c r="D1112">
        <v>3907</v>
      </c>
      <c r="E1112">
        <v>3907</v>
      </c>
      <c r="F1112">
        <v>3901</v>
      </c>
      <c r="G1112">
        <v>3901</v>
      </c>
      <c r="H1112">
        <v>2800</v>
      </c>
    </row>
    <row r="1113" spans="2:8">
      <c r="B1113" t="s">
        <v>463</v>
      </c>
      <c r="C1113" t="s">
        <v>280</v>
      </c>
      <c r="D1113">
        <v>3900</v>
      </c>
      <c r="E1113">
        <v>3901</v>
      </c>
      <c r="F1113">
        <v>3896</v>
      </c>
      <c r="G1113">
        <v>3897</v>
      </c>
      <c r="H1113">
        <v>4200</v>
      </c>
    </row>
    <row r="1114" spans="2:8">
      <c r="B1114" t="s">
        <v>463</v>
      </c>
      <c r="C1114" t="s">
        <v>281</v>
      </c>
      <c r="D1114" t="s">
        <v>8</v>
      </c>
      <c r="E1114" t="s">
        <v>8</v>
      </c>
      <c r="F1114" t="s">
        <v>8</v>
      </c>
      <c r="G1114" t="s">
        <v>8</v>
      </c>
      <c r="H1114">
        <v>0</v>
      </c>
    </row>
    <row r="1115" spans="2:8">
      <c r="B1115" t="s">
        <v>463</v>
      </c>
      <c r="C1115" t="s">
        <v>282</v>
      </c>
      <c r="D1115">
        <v>3897</v>
      </c>
      <c r="E1115">
        <v>3898</v>
      </c>
      <c r="F1115">
        <v>3897</v>
      </c>
      <c r="G1115">
        <v>3898</v>
      </c>
      <c r="H1115">
        <v>1200</v>
      </c>
    </row>
    <row r="1116" spans="2:8">
      <c r="B1116" t="s">
        <v>463</v>
      </c>
      <c r="C1116" t="s">
        <v>283</v>
      </c>
      <c r="D1116">
        <v>3899</v>
      </c>
      <c r="E1116">
        <v>3900</v>
      </c>
      <c r="F1116">
        <v>3898</v>
      </c>
      <c r="G1116">
        <v>3898</v>
      </c>
      <c r="H1116">
        <v>900</v>
      </c>
    </row>
    <row r="1117" spans="2:8">
      <c r="B1117" t="s">
        <v>463</v>
      </c>
      <c r="C1117" t="s">
        <v>284</v>
      </c>
      <c r="D1117">
        <v>3900</v>
      </c>
      <c r="E1117">
        <v>3902</v>
      </c>
      <c r="F1117">
        <v>3900</v>
      </c>
      <c r="G1117">
        <v>3902</v>
      </c>
      <c r="H1117">
        <v>1700</v>
      </c>
    </row>
    <row r="1118" spans="2:8">
      <c r="B1118" t="s">
        <v>463</v>
      </c>
      <c r="C1118" t="s">
        <v>285</v>
      </c>
      <c r="D1118">
        <v>3903</v>
      </c>
      <c r="E1118">
        <v>3903</v>
      </c>
      <c r="F1118">
        <v>3900</v>
      </c>
      <c r="G1118">
        <v>3900</v>
      </c>
      <c r="H1118">
        <v>1900</v>
      </c>
    </row>
    <row r="1119" spans="2:8">
      <c r="B1119" t="s">
        <v>463</v>
      </c>
      <c r="C1119" t="s">
        <v>286</v>
      </c>
      <c r="D1119">
        <v>3900</v>
      </c>
      <c r="E1119">
        <v>3905</v>
      </c>
      <c r="F1119">
        <v>3900</v>
      </c>
      <c r="G1119">
        <v>3905</v>
      </c>
      <c r="H1119">
        <v>1500</v>
      </c>
    </row>
    <row r="1120" spans="2:8">
      <c r="B1120" t="s">
        <v>463</v>
      </c>
      <c r="C1120" t="s">
        <v>287</v>
      </c>
      <c r="D1120">
        <v>3905</v>
      </c>
      <c r="E1120">
        <v>3906</v>
      </c>
      <c r="F1120">
        <v>3903</v>
      </c>
      <c r="G1120">
        <v>3904</v>
      </c>
      <c r="H1120">
        <v>2000</v>
      </c>
    </row>
    <row r="1121" spans="2:8">
      <c r="B1121" t="s">
        <v>463</v>
      </c>
      <c r="C1121" t="s">
        <v>288</v>
      </c>
      <c r="D1121">
        <v>3903</v>
      </c>
      <c r="E1121">
        <v>3905</v>
      </c>
      <c r="F1121">
        <v>3903</v>
      </c>
      <c r="G1121">
        <v>3904</v>
      </c>
      <c r="H1121">
        <v>800</v>
      </c>
    </row>
    <row r="1122" spans="2:8">
      <c r="B1122" t="s">
        <v>463</v>
      </c>
      <c r="C1122" t="s">
        <v>289</v>
      </c>
      <c r="D1122">
        <v>3906</v>
      </c>
      <c r="E1122">
        <v>3908</v>
      </c>
      <c r="F1122">
        <v>3906</v>
      </c>
      <c r="G1122">
        <v>3907</v>
      </c>
      <c r="H1122">
        <v>2500</v>
      </c>
    </row>
    <row r="1123" spans="2:8">
      <c r="B1123" t="s">
        <v>463</v>
      </c>
      <c r="C1123" t="s">
        <v>290</v>
      </c>
      <c r="D1123">
        <v>3907</v>
      </c>
      <c r="E1123">
        <v>3908</v>
      </c>
      <c r="F1123">
        <v>3906</v>
      </c>
      <c r="G1123">
        <v>3906</v>
      </c>
      <c r="H1123">
        <v>700</v>
      </c>
    </row>
    <row r="1124" spans="2:8">
      <c r="B1124" t="s">
        <v>463</v>
      </c>
      <c r="C1124" t="s">
        <v>291</v>
      </c>
      <c r="D1124">
        <v>3906</v>
      </c>
      <c r="E1124">
        <v>3907</v>
      </c>
      <c r="F1124">
        <v>3906</v>
      </c>
      <c r="G1124">
        <v>3907</v>
      </c>
      <c r="H1124">
        <v>800</v>
      </c>
    </row>
    <row r="1125" spans="2:8">
      <c r="B1125" t="s">
        <v>463</v>
      </c>
      <c r="C1125" t="s">
        <v>292</v>
      </c>
      <c r="D1125">
        <v>3908</v>
      </c>
      <c r="E1125">
        <v>3908</v>
      </c>
      <c r="F1125">
        <v>3905</v>
      </c>
      <c r="G1125">
        <v>3905</v>
      </c>
      <c r="H1125">
        <v>2100</v>
      </c>
    </row>
    <row r="1126" spans="2:8">
      <c r="B1126" t="s">
        <v>463</v>
      </c>
      <c r="C1126" t="s">
        <v>293</v>
      </c>
      <c r="D1126">
        <v>3908</v>
      </c>
      <c r="E1126">
        <v>3911</v>
      </c>
      <c r="F1126">
        <v>3908</v>
      </c>
      <c r="G1126">
        <v>3910</v>
      </c>
      <c r="H1126">
        <v>2500</v>
      </c>
    </row>
    <row r="1127" spans="2:8">
      <c r="B1127" t="s">
        <v>463</v>
      </c>
      <c r="C1127" t="s">
        <v>294</v>
      </c>
      <c r="D1127">
        <v>3910</v>
      </c>
      <c r="E1127">
        <v>3910</v>
      </c>
      <c r="F1127">
        <v>3909</v>
      </c>
      <c r="G1127">
        <v>3909</v>
      </c>
      <c r="H1127">
        <v>800</v>
      </c>
    </row>
    <row r="1128" spans="2:8">
      <c r="B1128" t="s">
        <v>463</v>
      </c>
      <c r="C1128" t="s">
        <v>295</v>
      </c>
      <c r="D1128">
        <v>3911</v>
      </c>
      <c r="E1128">
        <v>3911</v>
      </c>
      <c r="F1128">
        <v>3911</v>
      </c>
      <c r="G1128">
        <v>3911</v>
      </c>
      <c r="H1128">
        <v>200</v>
      </c>
    </row>
    <row r="1129" spans="2:8">
      <c r="B1129" t="s">
        <v>463</v>
      </c>
      <c r="C1129" t="s">
        <v>296</v>
      </c>
      <c r="D1129" t="s">
        <v>8</v>
      </c>
      <c r="E1129" t="s">
        <v>8</v>
      </c>
      <c r="F1129" t="s">
        <v>8</v>
      </c>
      <c r="G1129" t="s">
        <v>8</v>
      </c>
      <c r="H1129">
        <v>0</v>
      </c>
    </row>
    <row r="1130" spans="2:8">
      <c r="B1130" t="s">
        <v>463</v>
      </c>
      <c r="C1130" t="s">
        <v>297</v>
      </c>
      <c r="D1130">
        <v>3911</v>
      </c>
      <c r="E1130">
        <v>3912</v>
      </c>
      <c r="F1130">
        <v>3908</v>
      </c>
      <c r="G1130">
        <v>3908</v>
      </c>
      <c r="H1130">
        <v>5300</v>
      </c>
    </row>
    <row r="1131" spans="2:8">
      <c r="B1131" t="s">
        <v>463</v>
      </c>
      <c r="C1131" t="s">
        <v>298</v>
      </c>
      <c r="D1131">
        <v>3909</v>
      </c>
      <c r="E1131">
        <v>3913</v>
      </c>
      <c r="F1131">
        <v>3909</v>
      </c>
      <c r="G1131">
        <v>3912</v>
      </c>
      <c r="H1131">
        <v>800</v>
      </c>
    </row>
    <row r="1132" spans="2:8">
      <c r="B1132" t="s">
        <v>463</v>
      </c>
      <c r="C1132" t="s">
        <v>299</v>
      </c>
      <c r="D1132">
        <v>3914</v>
      </c>
      <c r="E1132">
        <v>3914</v>
      </c>
      <c r="F1132">
        <v>3914</v>
      </c>
      <c r="G1132">
        <v>3914</v>
      </c>
      <c r="H1132">
        <v>900</v>
      </c>
    </row>
    <row r="1133" spans="2:8">
      <c r="B1133" t="s">
        <v>463</v>
      </c>
      <c r="C1133" t="s">
        <v>300</v>
      </c>
      <c r="D1133">
        <v>3914</v>
      </c>
      <c r="E1133">
        <v>3914</v>
      </c>
      <c r="F1133">
        <v>3913</v>
      </c>
      <c r="G1133">
        <v>3913</v>
      </c>
      <c r="H1133">
        <v>1200</v>
      </c>
    </row>
    <row r="1134" spans="2:8">
      <c r="B1134" t="s">
        <v>463</v>
      </c>
      <c r="C1134" t="s">
        <v>301</v>
      </c>
      <c r="D1134">
        <v>3912</v>
      </c>
      <c r="E1134">
        <v>3913</v>
      </c>
      <c r="F1134">
        <v>3911</v>
      </c>
      <c r="G1134">
        <v>3913</v>
      </c>
      <c r="H1134">
        <v>1300</v>
      </c>
    </row>
    <row r="1135" spans="2:8">
      <c r="B1135" t="s">
        <v>463</v>
      </c>
      <c r="C1135" t="s">
        <v>302</v>
      </c>
      <c r="D1135">
        <v>3913</v>
      </c>
      <c r="E1135">
        <v>3916</v>
      </c>
      <c r="F1135">
        <v>3913</v>
      </c>
      <c r="G1135">
        <v>3915</v>
      </c>
      <c r="H1135">
        <v>2600</v>
      </c>
    </row>
    <row r="1136" spans="2:8">
      <c r="B1136" t="s">
        <v>463</v>
      </c>
      <c r="C1136" t="s">
        <v>303</v>
      </c>
      <c r="D1136">
        <v>3915</v>
      </c>
      <c r="E1136">
        <v>3915</v>
      </c>
      <c r="F1136">
        <v>3915</v>
      </c>
      <c r="G1136">
        <v>3915</v>
      </c>
      <c r="H1136">
        <v>300</v>
      </c>
    </row>
    <row r="1137" spans="2:8">
      <c r="B1137" t="s">
        <v>463</v>
      </c>
      <c r="C1137" t="s">
        <v>304</v>
      </c>
      <c r="D1137">
        <v>3915</v>
      </c>
      <c r="E1137">
        <v>3915</v>
      </c>
      <c r="F1137">
        <v>3914</v>
      </c>
      <c r="G1137">
        <v>3915</v>
      </c>
      <c r="H1137">
        <v>1400</v>
      </c>
    </row>
    <row r="1138" spans="2:8">
      <c r="B1138" t="s">
        <v>463</v>
      </c>
      <c r="C1138" t="s">
        <v>305</v>
      </c>
      <c r="D1138">
        <v>3916</v>
      </c>
      <c r="E1138">
        <v>3916</v>
      </c>
      <c r="F1138">
        <v>3913</v>
      </c>
      <c r="G1138">
        <v>3913</v>
      </c>
      <c r="H1138">
        <v>2800</v>
      </c>
    </row>
    <row r="1139" spans="2:8">
      <c r="B1139" t="s">
        <v>463</v>
      </c>
      <c r="C1139" t="s">
        <v>306</v>
      </c>
      <c r="D1139">
        <v>3913</v>
      </c>
      <c r="E1139">
        <v>3917</v>
      </c>
      <c r="F1139">
        <v>3912</v>
      </c>
      <c r="G1139">
        <v>3915</v>
      </c>
      <c r="H1139">
        <v>4500</v>
      </c>
    </row>
    <row r="1140" spans="2:8">
      <c r="B1140" t="s">
        <v>463</v>
      </c>
      <c r="C1140" t="s">
        <v>307</v>
      </c>
      <c r="D1140">
        <v>3914</v>
      </c>
      <c r="E1140">
        <v>3915</v>
      </c>
      <c r="F1140">
        <v>3914</v>
      </c>
      <c r="G1140">
        <v>3915</v>
      </c>
      <c r="H1140">
        <v>1000</v>
      </c>
    </row>
    <row r="1141" spans="2:8">
      <c r="B1141" t="s">
        <v>463</v>
      </c>
      <c r="C1141" t="s">
        <v>308</v>
      </c>
      <c r="D1141">
        <v>3916</v>
      </c>
      <c r="E1141">
        <v>3916</v>
      </c>
      <c r="F1141">
        <v>3915</v>
      </c>
      <c r="G1141">
        <v>3915</v>
      </c>
      <c r="H1141">
        <v>800</v>
      </c>
    </row>
    <row r="1142" spans="2:8">
      <c r="B1142" t="s">
        <v>463</v>
      </c>
      <c r="C1142" t="s">
        <v>309</v>
      </c>
      <c r="D1142">
        <v>3916</v>
      </c>
      <c r="E1142">
        <v>3917</v>
      </c>
      <c r="F1142">
        <v>3915</v>
      </c>
      <c r="G1142">
        <v>3915</v>
      </c>
      <c r="H1142">
        <v>3000</v>
      </c>
    </row>
    <row r="1143" spans="2:8">
      <c r="B1143" t="s">
        <v>463</v>
      </c>
      <c r="C1143" t="s">
        <v>310</v>
      </c>
      <c r="D1143">
        <v>3916</v>
      </c>
      <c r="E1143">
        <v>3919</v>
      </c>
      <c r="F1143">
        <v>3916</v>
      </c>
      <c r="G1143">
        <v>3919</v>
      </c>
      <c r="H1143">
        <v>1400</v>
      </c>
    </row>
    <row r="1144" spans="2:8">
      <c r="B1144" t="s">
        <v>463</v>
      </c>
      <c r="C1144" t="s">
        <v>311</v>
      </c>
      <c r="D1144">
        <v>3918</v>
      </c>
      <c r="E1144">
        <v>3922</v>
      </c>
      <c r="F1144">
        <v>3918</v>
      </c>
      <c r="G1144">
        <v>3920</v>
      </c>
      <c r="H1144">
        <v>6700</v>
      </c>
    </row>
    <row r="1145" spans="2:8">
      <c r="B1145" t="s">
        <v>463</v>
      </c>
      <c r="C1145" t="s">
        <v>312</v>
      </c>
      <c r="D1145">
        <v>3922</v>
      </c>
      <c r="E1145">
        <v>3923</v>
      </c>
      <c r="F1145">
        <v>3922</v>
      </c>
      <c r="G1145">
        <v>3922</v>
      </c>
      <c r="H1145">
        <v>700</v>
      </c>
    </row>
    <row r="1146" spans="2:8">
      <c r="B1146" t="s">
        <v>463</v>
      </c>
      <c r="C1146" t="s">
        <v>313</v>
      </c>
      <c r="D1146">
        <v>3922</v>
      </c>
      <c r="E1146">
        <v>3927</v>
      </c>
      <c r="F1146">
        <v>3922</v>
      </c>
      <c r="G1146">
        <v>3925</v>
      </c>
      <c r="H1146">
        <v>8600</v>
      </c>
    </row>
    <row r="1147" spans="2:8">
      <c r="B1147" t="s">
        <v>463</v>
      </c>
      <c r="C1147" t="s">
        <v>314</v>
      </c>
      <c r="D1147">
        <v>3926</v>
      </c>
      <c r="E1147">
        <v>3928</v>
      </c>
      <c r="F1147">
        <v>3926</v>
      </c>
      <c r="G1147">
        <v>3926</v>
      </c>
      <c r="H1147">
        <v>2100</v>
      </c>
    </row>
    <row r="1148" spans="2:8">
      <c r="B1148" t="s">
        <v>463</v>
      </c>
      <c r="C1148" t="s">
        <v>315</v>
      </c>
      <c r="D1148">
        <v>3928</v>
      </c>
      <c r="E1148">
        <v>3931</v>
      </c>
      <c r="F1148">
        <v>3926</v>
      </c>
      <c r="G1148">
        <v>3930</v>
      </c>
      <c r="H1148">
        <v>7600</v>
      </c>
    </row>
    <row r="1149" spans="2:8">
      <c r="B1149" t="s">
        <v>463</v>
      </c>
      <c r="C1149" t="s">
        <v>316</v>
      </c>
      <c r="D1149">
        <v>3929</v>
      </c>
      <c r="E1149">
        <v>3929</v>
      </c>
      <c r="F1149">
        <v>3929</v>
      </c>
      <c r="G1149">
        <v>3929</v>
      </c>
      <c r="H1149">
        <v>300</v>
      </c>
    </row>
    <row r="1150" spans="2:8">
      <c r="B1150" t="s">
        <v>463</v>
      </c>
      <c r="C1150" t="s">
        <v>317</v>
      </c>
      <c r="D1150">
        <v>3926</v>
      </c>
      <c r="E1150">
        <v>3926</v>
      </c>
      <c r="F1150">
        <v>3918</v>
      </c>
      <c r="G1150">
        <v>3919</v>
      </c>
      <c r="H1150">
        <v>22400</v>
      </c>
    </row>
    <row r="1151" spans="2:8">
      <c r="B1151" t="s">
        <v>463</v>
      </c>
      <c r="C1151" t="s">
        <v>318</v>
      </c>
      <c r="D1151">
        <v>3918</v>
      </c>
      <c r="E1151">
        <v>3922</v>
      </c>
      <c r="F1151">
        <v>3917</v>
      </c>
      <c r="G1151">
        <v>3922</v>
      </c>
      <c r="H1151">
        <v>3500</v>
      </c>
    </row>
    <row r="1152" spans="2:8">
      <c r="B1152" t="s">
        <v>463</v>
      </c>
      <c r="C1152" t="s">
        <v>319</v>
      </c>
      <c r="D1152">
        <v>3923</v>
      </c>
      <c r="E1152">
        <v>3924</v>
      </c>
      <c r="F1152">
        <v>3920</v>
      </c>
      <c r="G1152">
        <v>3921</v>
      </c>
      <c r="H1152">
        <v>2100</v>
      </c>
    </row>
    <row r="1153" spans="2:8">
      <c r="B1153" t="s">
        <v>463</v>
      </c>
      <c r="C1153" t="s">
        <v>320</v>
      </c>
      <c r="D1153">
        <v>3922</v>
      </c>
      <c r="E1153">
        <v>3922</v>
      </c>
      <c r="F1153">
        <v>3917</v>
      </c>
      <c r="G1153">
        <v>3919</v>
      </c>
      <c r="H1153">
        <v>3400</v>
      </c>
    </row>
    <row r="1154" spans="2:8">
      <c r="B1154" t="s">
        <v>463</v>
      </c>
      <c r="C1154" t="s">
        <v>321</v>
      </c>
      <c r="D1154">
        <v>3920</v>
      </c>
      <c r="E1154">
        <v>3923</v>
      </c>
      <c r="F1154">
        <v>3920</v>
      </c>
      <c r="G1154">
        <v>3923</v>
      </c>
      <c r="H1154">
        <v>1400</v>
      </c>
    </row>
    <row r="1155" spans="2:8">
      <c r="B1155" t="s">
        <v>463</v>
      </c>
      <c r="C1155" t="s">
        <v>322</v>
      </c>
      <c r="D1155">
        <v>3923</v>
      </c>
      <c r="E1155">
        <v>3932</v>
      </c>
      <c r="F1155">
        <v>3922</v>
      </c>
      <c r="G1155">
        <v>3928</v>
      </c>
      <c r="H1155">
        <v>11600</v>
      </c>
    </row>
    <row r="1156" spans="2:8">
      <c r="B1156" t="s">
        <v>463</v>
      </c>
      <c r="C1156" t="s">
        <v>323</v>
      </c>
      <c r="D1156">
        <v>3929</v>
      </c>
      <c r="E1156">
        <v>3930</v>
      </c>
      <c r="F1156">
        <v>3928</v>
      </c>
      <c r="G1156">
        <v>3930</v>
      </c>
      <c r="H1156">
        <v>1500</v>
      </c>
    </row>
    <row r="1157" spans="2:8">
      <c r="B1157" t="s">
        <v>463</v>
      </c>
      <c r="C1157" t="s">
        <v>324</v>
      </c>
      <c r="D1157">
        <v>3930</v>
      </c>
      <c r="E1157">
        <v>3930</v>
      </c>
      <c r="F1157">
        <v>3927</v>
      </c>
      <c r="G1157">
        <v>3927</v>
      </c>
      <c r="H1157">
        <v>2900</v>
      </c>
    </row>
    <row r="1158" spans="2:8">
      <c r="B1158" t="s">
        <v>463</v>
      </c>
      <c r="C1158" t="s">
        <v>325</v>
      </c>
      <c r="D1158">
        <v>3927</v>
      </c>
      <c r="E1158">
        <v>3933</v>
      </c>
      <c r="F1158">
        <v>3926</v>
      </c>
      <c r="G1158">
        <v>3930</v>
      </c>
      <c r="H1158">
        <v>11500</v>
      </c>
    </row>
    <row r="1159" spans="2:8">
      <c r="B1159" t="s">
        <v>463</v>
      </c>
      <c r="C1159" t="s">
        <v>326</v>
      </c>
      <c r="D1159">
        <v>3929</v>
      </c>
      <c r="E1159">
        <v>3929</v>
      </c>
      <c r="F1159">
        <v>3926</v>
      </c>
      <c r="G1159">
        <v>3926</v>
      </c>
      <c r="H1159">
        <v>1600</v>
      </c>
    </row>
    <row r="1160" spans="2:8">
      <c r="B1160" t="s">
        <v>463</v>
      </c>
      <c r="C1160" t="s">
        <v>327</v>
      </c>
      <c r="D1160">
        <v>3926</v>
      </c>
      <c r="E1160">
        <v>3926</v>
      </c>
      <c r="F1160">
        <v>3921</v>
      </c>
      <c r="G1160">
        <v>3921</v>
      </c>
      <c r="H1160">
        <v>3700</v>
      </c>
    </row>
    <row r="1161" spans="2:8">
      <c r="B1161" t="s">
        <v>463</v>
      </c>
      <c r="C1161" t="s">
        <v>328</v>
      </c>
      <c r="D1161">
        <v>3920</v>
      </c>
      <c r="E1161">
        <v>3923</v>
      </c>
      <c r="F1161">
        <v>3918</v>
      </c>
      <c r="G1161">
        <v>3923</v>
      </c>
      <c r="H1161">
        <v>1600</v>
      </c>
    </row>
    <row r="1162" spans="2:8">
      <c r="B1162" t="s">
        <v>463</v>
      </c>
      <c r="C1162" t="s">
        <v>329</v>
      </c>
      <c r="D1162">
        <v>3924</v>
      </c>
      <c r="E1162">
        <v>3925</v>
      </c>
      <c r="F1162">
        <v>3922</v>
      </c>
      <c r="G1162">
        <v>3922</v>
      </c>
      <c r="H1162">
        <v>5600</v>
      </c>
    </row>
    <row r="1163" spans="2:8">
      <c r="B1163" t="s">
        <v>463</v>
      </c>
      <c r="C1163" t="s">
        <v>330</v>
      </c>
      <c r="D1163">
        <v>3921</v>
      </c>
      <c r="E1163">
        <v>3922</v>
      </c>
      <c r="F1163">
        <v>3918</v>
      </c>
      <c r="G1163">
        <v>3918</v>
      </c>
      <c r="H1163">
        <v>7100</v>
      </c>
    </row>
    <row r="1164" spans="2:8">
      <c r="B1164" t="s">
        <v>463</v>
      </c>
      <c r="C1164" t="s">
        <v>331</v>
      </c>
      <c r="D1164">
        <v>3919</v>
      </c>
      <c r="E1164">
        <v>3920</v>
      </c>
      <c r="F1164">
        <v>3919</v>
      </c>
      <c r="G1164">
        <v>3919</v>
      </c>
      <c r="H1164">
        <v>2700</v>
      </c>
    </row>
    <row r="1165" spans="2:8">
      <c r="B1165" t="s">
        <v>463</v>
      </c>
      <c r="C1165" t="s">
        <v>332</v>
      </c>
      <c r="D1165">
        <v>3919</v>
      </c>
      <c r="E1165">
        <v>3920</v>
      </c>
      <c r="F1165">
        <v>3919</v>
      </c>
      <c r="G1165">
        <v>3920</v>
      </c>
      <c r="H1165">
        <v>600</v>
      </c>
    </row>
    <row r="1166" spans="2:8">
      <c r="B1166" t="s">
        <v>463</v>
      </c>
      <c r="C1166" t="s">
        <v>333</v>
      </c>
      <c r="D1166">
        <v>3921</v>
      </c>
      <c r="E1166">
        <v>3921</v>
      </c>
      <c r="F1166">
        <v>3919</v>
      </c>
      <c r="G1166">
        <v>3919</v>
      </c>
      <c r="H1166">
        <v>4700</v>
      </c>
    </row>
    <row r="1167" spans="2:8">
      <c r="B1167" t="s">
        <v>463</v>
      </c>
      <c r="C1167" t="s">
        <v>334</v>
      </c>
      <c r="D1167">
        <v>3919</v>
      </c>
      <c r="E1167">
        <v>3920</v>
      </c>
      <c r="F1167">
        <v>3919</v>
      </c>
      <c r="G1167">
        <v>3920</v>
      </c>
      <c r="H1167">
        <v>500</v>
      </c>
    </row>
    <row r="1168" spans="2:8">
      <c r="B1168" t="s">
        <v>463</v>
      </c>
      <c r="C1168" t="s">
        <v>335</v>
      </c>
      <c r="D1168">
        <v>3919</v>
      </c>
      <c r="E1168">
        <v>3919</v>
      </c>
      <c r="F1168">
        <v>3919</v>
      </c>
      <c r="G1168">
        <v>3919</v>
      </c>
      <c r="H1168">
        <v>500</v>
      </c>
    </row>
    <row r="1169" spans="2:8">
      <c r="B1169" t="s">
        <v>463</v>
      </c>
      <c r="C1169" t="s">
        <v>336</v>
      </c>
      <c r="D1169">
        <v>3920</v>
      </c>
      <c r="E1169">
        <v>3922</v>
      </c>
      <c r="F1169">
        <v>3920</v>
      </c>
      <c r="G1169">
        <v>3922</v>
      </c>
      <c r="H1169">
        <v>1200</v>
      </c>
    </row>
    <row r="1170" spans="2:8">
      <c r="B1170" t="s">
        <v>463</v>
      </c>
      <c r="C1170" t="s">
        <v>337</v>
      </c>
      <c r="D1170">
        <v>3922</v>
      </c>
      <c r="E1170">
        <v>3922</v>
      </c>
      <c r="F1170">
        <v>3913</v>
      </c>
      <c r="G1170">
        <v>3915</v>
      </c>
      <c r="H1170">
        <v>17100</v>
      </c>
    </row>
    <row r="1171" spans="2:8">
      <c r="B1171" t="s">
        <v>463</v>
      </c>
      <c r="C1171" t="s">
        <v>338</v>
      </c>
      <c r="D1171">
        <v>3915</v>
      </c>
      <c r="E1171">
        <v>3915</v>
      </c>
      <c r="F1171">
        <v>3912</v>
      </c>
      <c r="G1171">
        <v>3913</v>
      </c>
      <c r="H1171">
        <v>4900</v>
      </c>
    </row>
    <row r="1172" spans="2:8">
      <c r="B1172" t="s">
        <v>463</v>
      </c>
      <c r="C1172" t="s">
        <v>339</v>
      </c>
      <c r="D1172" t="s">
        <v>8</v>
      </c>
      <c r="E1172" t="s">
        <v>8</v>
      </c>
      <c r="F1172" t="s">
        <v>8</v>
      </c>
      <c r="G1172" t="s">
        <v>8</v>
      </c>
      <c r="H1172">
        <v>0</v>
      </c>
    </row>
    <row r="1173" spans="2:8">
      <c r="B1173" t="s">
        <v>463</v>
      </c>
      <c r="C1173" t="s">
        <v>340</v>
      </c>
      <c r="D1173">
        <v>3913</v>
      </c>
      <c r="E1173">
        <v>3915</v>
      </c>
      <c r="F1173">
        <v>3913</v>
      </c>
      <c r="G1173">
        <v>3915</v>
      </c>
      <c r="H1173">
        <v>1600</v>
      </c>
    </row>
    <row r="1174" spans="2:8">
      <c r="B1174" t="s">
        <v>463</v>
      </c>
      <c r="C1174" t="s">
        <v>341</v>
      </c>
      <c r="D1174">
        <v>3915</v>
      </c>
      <c r="E1174">
        <v>3915</v>
      </c>
      <c r="F1174">
        <v>3913</v>
      </c>
      <c r="G1174">
        <v>3913</v>
      </c>
      <c r="H1174">
        <v>2900</v>
      </c>
    </row>
    <row r="1175" spans="2:8">
      <c r="B1175" t="s">
        <v>463</v>
      </c>
      <c r="C1175" t="s">
        <v>342</v>
      </c>
      <c r="D1175">
        <v>3913</v>
      </c>
      <c r="E1175">
        <v>3916</v>
      </c>
      <c r="F1175">
        <v>3912</v>
      </c>
      <c r="G1175">
        <v>3916</v>
      </c>
      <c r="H1175">
        <v>2600</v>
      </c>
    </row>
    <row r="1176" spans="2:8">
      <c r="B1176" t="s">
        <v>463</v>
      </c>
      <c r="C1176" t="s">
        <v>343</v>
      </c>
      <c r="D1176">
        <v>3915</v>
      </c>
      <c r="E1176">
        <v>3915</v>
      </c>
      <c r="F1176">
        <v>3915</v>
      </c>
      <c r="G1176">
        <v>3915</v>
      </c>
      <c r="H1176">
        <v>700</v>
      </c>
    </row>
    <row r="1177" spans="2:8">
      <c r="B1177" t="s">
        <v>463</v>
      </c>
      <c r="C1177" t="s">
        <v>344</v>
      </c>
      <c r="D1177">
        <v>3913</v>
      </c>
      <c r="E1177">
        <v>3913</v>
      </c>
      <c r="F1177">
        <v>3912</v>
      </c>
      <c r="G1177">
        <v>3912</v>
      </c>
      <c r="H1177">
        <v>900</v>
      </c>
    </row>
    <row r="1178" spans="2:8">
      <c r="B1178" t="s">
        <v>463</v>
      </c>
      <c r="C1178" t="s">
        <v>345</v>
      </c>
      <c r="D1178">
        <v>3911</v>
      </c>
      <c r="E1178">
        <v>3911</v>
      </c>
      <c r="F1178">
        <v>3910</v>
      </c>
      <c r="G1178">
        <v>3910</v>
      </c>
      <c r="H1178">
        <v>1300</v>
      </c>
    </row>
    <row r="1179" spans="2:8">
      <c r="B1179" t="s">
        <v>463</v>
      </c>
      <c r="C1179" t="s">
        <v>346</v>
      </c>
      <c r="D1179">
        <v>3910</v>
      </c>
      <c r="E1179">
        <v>3911</v>
      </c>
      <c r="F1179">
        <v>3908</v>
      </c>
      <c r="G1179">
        <v>3908</v>
      </c>
      <c r="H1179">
        <v>1700</v>
      </c>
    </row>
    <row r="1180" spans="2:8">
      <c r="B1180" t="s">
        <v>463</v>
      </c>
      <c r="C1180" t="s">
        <v>347</v>
      </c>
      <c r="D1180">
        <v>3907</v>
      </c>
      <c r="E1180">
        <v>3907</v>
      </c>
      <c r="F1180">
        <v>3903</v>
      </c>
      <c r="G1180">
        <v>3903</v>
      </c>
      <c r="H1180">
        <v>3200</v>
      </c>
    </row>
    <row r="1181" spans="2:8">
      <c r="B1181" t="s">
        <v>463</v>
      </c>
      <c r="C1181" t="s">
        <v>348</v>
      </c>
      <c r="D1181">
        <v>3903</v>
      </c>
      <c r="E1181">
        <v>3904</v>
      </c>
      <c r="F1181">
        <v>3902</v>
      </c>
      <c r="G1181">
        <v>3903</v>
      </c>
      <c r="H1181">
        <v>2000</v>
      </c>
    </row>
    <row r="1182" spans="2:8">
      <c r="B1182" t="s">
        <v>463</v>
      </c>
      <c r="C1182" t="s">
        <v>349</v>
      </c>
      <c r="D1182">
        <v>3902</v>
      </c>
      <c r="E1182">
        <v>3902</v>
      </c>
      <c r="F1182">
        <v>3897</v>
      </c>
      <c r="G1182">
        <v>3899</v>
      </c>
      <c r="H1182">
        <v>2800</v>
      </c>
    </row>
    <row r="1183" spans="2:8">
      <c r="B1183" t="s">
        <v>463</v>
      </c>
      <c r="C1183" t="s">
        <v>350</v>
      </c>
      <c r="D1183">
        <v>3898</v>
      </c>
      <c r="E1183">
        <v>3900</v>
      </c>
      <c r="F1183">
        <v>3898</v>
      </c>
      <c r="G1183">
        <v>3899</v>
      </c>
      <c r="H1183">
        <v>800</v>
      </c>
    </row>
    <row r="1184" spans="2:8">
      <c r="B1184" t="s">
        <v>463</v>
      </c>
      <c r="C1184" t="s">
        <v>351</v>
      </c>
      <c r="D1184">
        <v>3900</v>
      </c>
      <c r="E1184">
        <v>3904</v>
      </c>
      <c r="F1184">
        <v>3899</v>
      </c>
      <c r="G1184">
        <v>3904</v>
      </c>
      <c r="H1184">
        <v>3400</v>
      </c>
    </row>
    <row r="1185" spans="2:8">
      <c r="B1185" t="s">
        <v>463</v>
      </c>
      <c r="C1185" t="s">
        <v>352</v>
      </c>
      <c r="D1185">
        <v>3905</v>
      </c>
      <c r="E1185">
        <v>3905</v>
      </c>
      <c r="F1185">
        <v>3901</v>
      </c>
      <c r="G1185">
        <v>3905</v>
      </c>
      <c r="H1185">
        <v>2900</v>
      </c>
    </row>
    <row r="1186" spans="2:8">
      <c r="B1186" t="s">
        <v>463</v>
      </c>
      <c r="C1186" t="s">
        <v>353</v>
      </c>
      <c r="D1186">
        <v>3906</v>
      </c>
      <c r="E1186">
        <v>3908</v>
      </c>
      <c r="F1186">
        <v>3906</v>
      </c>
      <c r="G1186">
        <v>3906</v>
      </c>
      <c r="H1186">
        <v>1000</v>
      </c>
    </row>
    <row r="1187" spans="2:8">
      <c r="B1187" t="s">
        <v>463</v>
      </c>
      <c r="C1187" t="s">
        <v>354</v>
      </c>
      <c r="D1187">
        <v>3908</v>
      </c>
      <c r="E1187">
        <v>3908</v>
      </c>
      <c r="F1187">
        <v>3908</v>
      </c>
      <c r="G1187">
        <v>3908</v>
      </c>
      <c r="H1187">
        <v>1700</v>
      </c>
    </row>
    <row r="1188" spans="2:8">
      <c r="B1188" t="s">
        <v>463</v>
      </c>
      <c r="C1188" t="s">
        <v>355</v>
      </c>
      <c r="D1188">
        <v>3908</v>
      </c>
      <c r="E1188">
        <v>3908</v>
      </c>
      <c r="F1188">
        <v>3906</v>
      </c>
      <c r="G1188">
        <v>3908</v>
      </c>
      <c r="H1188">
        <v>1200</v>
      </c>
    </row>
    <row r="1189" spans="2:8">
      <c r="B1189" t="s">
        <v>463</v>
      </c>
      <c r="C1189" t="s">
        <v>356</v>
      </c>
      <c r="D1189">
        <v>3908</v>
      </c>
      <c r="E1189">
        <v>3908</v>
      </c>
      <c r="F1189">
        <v>3908</v>
      </c>
      <c r="G1189">
        <v>3908</v>
      </c>
      <c r="H1189">
        <v>100</v>
      </c>
    </row>
    <row r="1190" spans="2:8">
      <c r="B1190" t="s">
        <v>463</v>
      </c>
      <c r="C1190" t="s">
        <v>357</v>
      </c>
      <c r="D1190">
        <v>3908</v>
      </c>
      <c r="E1190">
        <v>3910</v>
      </c>
      <c r="F1190">
        <v>3908</v>
      </c>
      <c r="G1190">
        <v>3908</v>
      </c>
      <c r="H1190">
        <v>2200</v>
      </c>
    </row>
    <row r="1191" spans="2:8">
      <c r="B1191" t="s">
        <v>463</v>
      </c>
      <c r="C1191" t="s">
        <v>358</v>
      </c>
      <c r="D1191">
        <v>3909</v>
      </c>
      <c r="E1191">
        <v>3910</v>
      </c>
      <c r="F1191">
        <v>3909</v>
      </c>
      <c r="G1191">
        <v>3910</v>
      </c>
      <c r="H1191">
        <v>1000</v>
      </c>
    </row>
    <row r="1192" spans="2:8">
      <c r="B1192" t="s">
        <v>463</v>
      </c>
      <c r="C1192" t="s">
        <v>359</v>
      </c>
      <c r="D1192" t="s">
        <v>8</v>
      </c>
      <c r="E1192" t="s">
        <v>8</v>
      </c>
      <c r="F1192" t="s">
        <v>8</v>
      </c>
      <c r="G1192" t="s">
        <v>8</v>
      </c>
      <c r="H1192">
        <v>0</v>
      </c>
    </row>
    <row r="1193" spans="2:8">
      <c r="B1193" t="s">
        <v>463</v>
      </c>
      <c r="C1193" t="s">
        <v>360</v>
      </c>
      <c r="D1193">
        <v>3912</v>
      </c>
      <c r="E1193">
        <v>3912</v>
      </c>
      <c r="F1193">
        <v>3910</v>
      </c>
      <c r="G1193">
        <v>3910</v>
      </c>
      <c r="H1193">
        <v>1100</v>
      </c>
    </row>
    <row r="1194" spans="2:8">
      <c r="B1194" t="s">
        <v>463</v>
      </c>
      <c r="C1194" t="s">
        <v>361</v>
      </c>
      <c r="D1194">
        <v>3911</v>
      </c>
      <c r="E1194">
        <v>3911</v>
      </c>
      <c r="F1194">
        <v>3911</v>
      </c>
      <c r="G1194">
        <v>3911</v>
      </c>
      <c r="H1194">
        <v>1000</v>
      </c>
    </row>
    <row r="1195" spans="2:8">
      <c r="B1195" t="s">
        <v>463</v>
      </c>
      <c r="C1195" t="s">
        <v>362</v>
      </c>
      <c r="D1195">
        <v>3910</v>
      </c>
      <c r="E1195">
        <v>3910</v>
      </c>
      <c r="F1195">
        <v>3907</v>
      </c>
      <c r="G1195">
        <v>3908</v>
      </c>
      <c r="H1195">
        <v>3900</v>
      </c>
    </row>
    <row r="1196" spans="2:8">
      <c r="B1196" t="s">
        <v>463</v>
      </c>
      <c r="C1196" t="s">
        <v>363</v>
      </c>
      <c r="D1196">
        <v>3907</v>
      </c>
      <c r="E1196">
        <v>3907</v>
      </c>
      <c r="F1196">
        <v>3907</v>
      </c>
      <c r="G1196">
        <v>3907</v>
      </c>
      <c r="H1196">
        <v>600</v>
      </c>
    </row>
    <row r="1197" spans="2:8">
      <c r="B1197" t="s">
        <v>463</v>
      </c>
      <c r="C1197" t="s">
        <v>364</v>
      </c>
      <c r="D1197">
        <v>3906</v>
      </c>
      <c r="E1197">
        <v>3906</v>
      </c>
      <c r="F1197">
        <v>3906</v>
      </c>
      <c r="G1197">
        <v>3906</v>
      </c>
      <c r="H1197">
        <v>500</v>
      </c>
    </row>
    <row r="1198" spans="2:8">
      <c r="B1198" t="s">
        <v>463</v>
      </c>
      <c r="C1198" t="s">
        <v>365</v>
      </c>
      <c r="D1198">
        <v>3906</v>
      </c>
      <c r="E1198">
        <v>3906</v>
      </c>
      <c r="F1198">
        <v>3906</v>
      </c>
      <c r="G1198">
        <v>3906</v>
      </c>
      <c r="H1198">
        <v>200</v>
      </c>
    </row>
    <row r="1199" spans="2:8">
      <c r="B1199" t="s">
        <v>463</v>
      </c>
      <c r="C1199" t="s">
        <v>366</v>
      </c>
      <c r="D1199">
        <v>3906</v>
      </c>
      <c r="E1199">
        <v>3907</v>
      </c>
      <c r="F1199">
        <v>3905</v>
      </c>
      <c r="G1199">
        <v>3905</v>
      </c>
      <c r="H1199">
        <v>2400</v>
      </c>
    </row>
    <row r="1200" spans="2:8">
      <c r="B1200" t="s">
        <v>463</v>
      </c>
      <c r="C1200" t="s">
        <v>367</v>
      </c>
      <c r="D1200">
        <v>3906</v>
      </c>
      <c r="E1200">
        <v>3907</v>
      </c>
      <c r="F1200">
        <v>3906</v>
      </c>
      <c r="G1200">
        <v>3907</v>
      </c>
      <c r="H1200">
        <v>900</v>
      </c>
    </row>
    <row r="1201" spans="2:8">
      <c r="B1201" t="s">
        <v>463</v>
      </c>
      <c r="C1201" t="s">
        <v>368</v>
      </c>
      <c r="D1201">
        <v>3907</v>
      </c>
      <c r="E1201">
        <v>3907</v>
      </c>
      <c r="F1201">
        <v>3906</v>
      </c>
      <c r="G1201">
        <v>3906</v>
      </c>
      <c r="H1201">
        <v>1700</v>
      </c>
    </row>
    <row r="1202" spans="2:8">
      <c r="B1202" t="s">
        <v>463</v>
      </c>
      <c r="C1202" t="s">
        <v>369</v>
      </c>
      <c r="D1202">
        <v>3905</v>
      </c>
      <c r="E1202">
        <v>3905</v>
      </c>
      <c r="F1202">
        <v>3904</v>
      </c>
      <c r="G1202">
        <v>3904</v>
      </c>
      <c r="H1202">
        <v>900</v>
      </c>
    </row>
    <row r="1203" spans="2:8">
      <c r="B1203" t="s">
        <v>463</v>
      </c>
      <c r="C1203" t="s">
        <v>370</v>
      </c>
      <c r="D1203">
        <v>3904</v>
      </c>
      <c r="E1203">
        <v>3904</v>
      </c>
      <c r="F1203">
        <v>3904</v>
      </c>
      <c r="G1203">
        <v>3904</v>
      </c>
      <c r="H1203">
        <v>400</v>
      </c>
    </row>
    <row r="1204" spans="2:8">
      <c r="B1204" t="s">
        <v>463</v>
      </c>
      <c r="C1204" t="s">
        <v>371</v>
      </c>
      <c r="D1204">
        <v>3905</v>
      </c>
      <c r="E1204">
        <v>3908</v>
      </c>
      <c r="F1204">
        <v>3905</v>
      </c>
      <c r="G1204">
        <v>3907</v>
      </c>
      <c r="H1204">
        <v>800</v>
      </c>
    </row>
    <row r="1205" spans="2:8">
      <c r="B1205" t="s">
        <v>463</v>
      </c>
      <c r="C1205" t="s">
        <v>372</v>
      </c>
      <c r="D1205">
        <v>3907</v>
      </c>
      <c r="E1205">
        <v>3907</v>
      </c>
      <c r="F1205">
        <v>3906</v>
      </c>
      <c r="G1205">
        <v>3906</v>
      </c>
      <c r="H1205">
        <v>1800</v>
      </c>
    </row>
    <row r="1206" spans="2:8">
      <c r="B1206" t="s">
        <v>463</v>
      </c>
      <c r="C1206" t="s">
        <v>373</v>
      </c>
      <c r="D1206">
        <v>3906</v>
      </c>
      <c r="E1206">
        <v>3906</v>
      </c>
      <c r="F1206">
        <v>3904</v>
      </c>
      <c r="G1206">
        <v>3905</v>
      </c>
      <c r="H1206">
        <v>1700</v>
      </c>
    </row>
    <row r="1207" spans="2:8">
      <c r="B1207" t="s">
        <v>463</v>
      </c>
      <c r="C1207" t="s">
        <v>374</v>
      </c>
      <c r="D1207">
        <v>3905</v>
      </c>
      <c r="E1207">
        <v>3905</v>
      </c>
      <c r="F1207">
        <v>3904</v>
      </c>
      <c r="G1207">
        <v>3904</v>
      </c>
      <c r="H1207">
        <v>1200</v>
      </c>
    </row>
    <row r="1208" spans="2:8">
      <c r="B1208" t="s">
        <v>463</v>
      </c>
      <c r="C1208" t="s">
        <v>375</v>
      </c>
      <c r="D1208">
        <v>3903</v>
      </c>
      <c r="E1208">
        <v>3904</v>
      </c>
      <c r="F1208">
        <v>3903</v>
      </c>
      <c r="G1208">
        <v>3904</v>
      </c>
      <c r="H1208">
        <v>2900</v>
      </c>
    </row>
    <row r="1209" spans="2:8">
      <c r="B1209" t="s">
        <v>463</v>
      </c>
      <c r="C1209" t="s">
        <v>376</v>
      </c>
      <c r="D1209">
        <v>3904</v>
      </c>
      <c r="E1209">
        <v>3904</v>
      </c>
      <c r="F1209">
        <v>3903</v>
      </c>
      <c r="G1209">
        <v>3903</v>
      </c>
      <c r="H1209">
        <v>1600</v>
      </c>
    </row>
    <row r="1210" spans="2:8">
      <c r="B1210" t="s">
        <v>463</v>
      </c>
      <c r="C1210" t="s">
        <v>377</v>
      </c>
      <c r="D1210">
        <v>3903</v>
      </c>
      <c r="E1210">
        <v>3903</v>
      </c>
      <c r="F1210">
        <v>3901</v>
      </c>
      <c r="G1210">
        <v>3901</v>
      </c>
      <c r="H1210">
        <v>1200</v>
      </c>
    </row>
    <row r="1211" spans="2:8">
      <c r="B1211" t="s">
        <v>463</v>
      </c>
      <c r="C1211" t="s">
        <v>378</v>
      </c>
      <c r="D1211">
        <v>3901</v>
      </c>
      <c r="E1211">
        <v>3902</v>
      </c>
      <c r="F1211">
        <v>3901</v>
      </c>
      <c r="G1211">
        <v>3902</v>
      </c>
      <c r="H1211">
        <v>900</v>
      </c>
    </row>
    <row r="1212" spans="2:8">
      <c r="B1212" t="s">
        <v>463</v>
      </c>
      <c r="C1212" t="s">
        <v>379</v>
      </c>
      <c r="D1212">
        <v>3903</v>
      </c>
      <c r="E1212">
        <v>3903</v>
      </c>
      <c r="F1212">
        <v>3902</v>
      </c>
      <c r="G1212">
        <v>3903</v>
      </c>
      <c r="H1212">
        <v>400</v>
      </c>
    </row>
    <row r="1213" spans="2:8">
      <c r="B1213" t="s">
        <v>463</v>
      </c>
      <c r="C1213" t="s">
        <v>380</v>
      </c>
      <c r="D1213">
        <v>3901</v>
      </c>
      <c r="E1213">
        <v>3902</v>
      </c>
      <c r="F1213">
        <v>3901</v>
      </c>
      <c r="G1213">
        <v>3901</v>
      </c>
      <c r="H1213">
        <v>1000</v>
      </c>
    </row>
    <row r="1214" spans="2:8">
      <c r="B1214" t="s">
        <v>463</v>
      </c>
      <c r="C1214" t="s">
        <v>381</v>
      </c>
      <c r="D1214">
        <v>3902</v>
      </c>
      <c r="E1214">
        <v>3904</v>
      </c>
      <c r="F1214">
        <v>3902</v>
      </c>
      <c r="G1214">
        <v>3904</v>
      </c>
      <c r="H1214">
        <v>1800</v>
      </c>
    </row>
    <row r="1215" spans="2:8">
      <c r="B1215" t="s">
        <v>463</v>
      </c>
      <c r="C1215" t="s">
        <v>382</v>
      </c>
      <c r="D1215">
        <v>3905</v>
      </c>
      <c r="E1215">
        <v>3905</v>
      </c>
      <c r="F1215">
        <v>3900</v>
      </c>
      <c r="G1215">
        <v>3900</v>
      </c>
      <c r="H1215">
        <v>3600</v>
      </c>
    </row>
    <row r="1216" spans="2:8">
      <c r="B1216" t="s">
        <v>463</v>
      </c>
      <c r="C1216" t="s">
        <v>383</v>
      </c>
      <c r="D1216">
        <v>3901</v>
      </c>
      <c r="E1216">
        <v>3901</v>
      </c>
      <c r="F1216">
        <v>3901</v>
      </c>
      <c r="G1216">
        <v>3901</v>
      </c>
      <c r="H1216">
        <v>400</v>
      </c>
    </row>
    <row r="1217" spans="2:8">
      <c r="B1217" t="s">
        <v>463</v>
      </c>
      <c r="C1217" t="s">
        <v>384</v>
      </c>
      <c r="D1217">
        <v>3902</v>
      </c>
      <c r="E1217">
        <v>3902</v>
      </c>
      <c r="F1217">
        <v>3902</v>
      </c>
      <c r="G1217">
        <v>3902</v>
      </c>
      <c r="H1217">
        <v>1200</v>
      </c>
    </row>
    <row r="1218" spans="2:8">
      <c r="B1218" t="s">
        <v>463</v>
      </c>
      <c r="C1218" t="s">
        <v>385</v>
      </c>
      <c r="D1218">
        <v>3902</v>
      </c>
      <c r="E1218">
        <v>3904</v>
      </c>
      <c r="F1218">
        <v>3902</v>
      </c>
      <c r="G1218">
        <v>3904</v>
      </c>
      <c r="H1218">
        <v>400</v>
      </c>
    </row>
    <row r="1219" spans="2:8">
      <c r="B1219" t="s">
        <v>463</v>
      </c>
      <c r="C1219" t="s">
        <v>386</v>
      </c>
      <c r="D1219">
        <v>3903</v>
      </c>
      <c r="E1219">
        <v>3903</v>
      </c>
      <c r="F1219">
        <v>3903</v>
      </c>
      <c r="G1219">
        <v>3903</v>
      </c>
      <c r="H1219">
        <v>400</v>
      </c>
    </row>
    <row r="1220" spans="2:8">
      <c r="B1220" t="s">
        <v>463</v>
      </c>
      <c r="C1220" t="s">
        <v>387</v>
      </c>
      <c r="D1220">
        <v>3903</v>
      </c>
      <c r="E1220">
        <v>3904</v>
      </c>
      <c r="F1220">
        <v>3903</v>
      </c>
      <c r="G1220">
        <v>3904</v>
      </c>
      <c r="H1220">
        <v>900</v>
      </c>
    </row>
    <row r="1221" spans="2:8">
      <c r="B1221" t="s">
        <v>463</v>
      </c>
      <c r="C1221" t="s">
        <v>388</v>
      </c>
      <c r="D1221">
        <v>3904</v>
      </c>
      <c r="E1221">
        <v>3904</v>
      </c>
      <c r="F1221">
        <v>3903</v>
      </c>
      <c r="G1221">
        <v>3903</v>
      </c>
      <c r="H1221">
        <v>500</v>
      </c>
    </row>
    <row r="1222" spans="2:8">
      <c r="B1222" t="s">
        <v>463</v>
      </c>
      <c r="C1222" t="s">
        <v>389</v>
      </c>
      <c r="D1222">
        <v>3905</v>
      </c>
      <c r="E1222">
        <v>3906</v>
      </c>
      <c r="F1222">
        <v>3905</v>
      </c>
      <c r="G1222">
        <v>3906</v>
      </c>
      <c r="H1222">
        <v>1100</v>
      </c>
    </row>
    <row r="1223" spans="2:8">
      <c r="B1223" t="s">
        <v>463</v>
      </c>
      <c r="C1223" t="s">
        <v>390</v>
      </c>
      <c r="D1223">
        <v>3907</v>
      </c>
      <c r="E1223">
        <v>3907</v>
      </c>
      <c r="F1223">
        <v>3906</v>
      </c>
      <c r="G1223">
        <v>3907</v>
      </c>
      <c r="H1223">
        <v>2500</v>
      </c>
    </row>
    <row r="1224" spans="2:8">
      <c r="B1224" t="s">
        <v>463</v>
      </c>
      <c r="C1224" t="s">
        <v>391</v>
      </c>
      <c r="D1224">
        <v>3907</v>
      </c>
      <c r="E1224">
        <v>3908</v>
      </c>
      <c r="F1224">
        <v>3906</v>
      </c>
      <c r="G1224">
        <v>3906</v>
      </c>
      <c r="H1224">
        <v>1300</v>
      </c>
    </row>
    <row r="1225" spans="2:8">
      <c r="B1225" t="s">
        <v>463</v>
      </c>
      <c r="C1225" t="s">
        <v>392</v>
      </c>
      <c r="D1225">
        <v>3906</v>
      </c>
      <c r="E1225">
        <v>3909</v>
      </c>
      <c r="F1225">
        <v>3906</v>
      </c>
      <c r="G1225">
        <v>3908</v>
      </c>
      <c r="H1225">
        <v>5100</v>
      </c>
    </row>
    <row r="1226" spans="2:8">
      <c r="B1226" t="s">
        <v>463</v>
      </c>
      <c r="C1226" t="s">
        <v>393</v>
      </c>
      <c r="D1226">
        <v>3909</v>
      </c>
      <c r="E1226">
        <v>3911</v>
      </c>
      <c r="F1226">
        <v>3909</v>
      </c>
      <c r="G1226">
        <v>3911</v>
      </c>
      <c r="H1226">
        <v>1100</v>
      </c>
    </row>
    <row r="1227" spans="2:8">
      <c r="B1227" t="s">
        <v>463</v>
      </c>
      <c r="C1227" t="s">
        <v>394</v>
      </c>
      <c r="D1227">
        <v>3911</v>
      </c>
      <c r="E1227">
        <v>3911</v>
      </c>
      <c r="F1227">
        <v>3910</v>
      </c>
      <c r="G1227">
        <v>3910</v>
      </c>
      <c r="H1227">
        <v>300</v>
      </c>
    </row>
    <row r="1228" spans="2:8">
      <c r="B1228" t="s">
        <v>463</v>
      </c>
      <c r="C1228" t="s">
        <v>395</v>
      </c>
      <c r="D1228">
        <v>3910</v>
      </c>
      <c r="E1228">
        <v>3913</v>
      </c>
      <c r="F1228">
        <v>3909</v>
      </c>
      <c r="G1228">
        <v>3913</v>
      </c>
      <c r="H1228">
        <v>5700</v>
      </c>
    </row>
    <row r="1229" spans="2:8">
      <c r="B1229" t="s">
        <v>463</v>
      </c>
      <c r="C1229" t="s">
        <v>396</v>
      </c>
      <c r="D1229">
        <v>3913</v>
      </c>
      <c r="E1229">
        <v>3913</v>
      </c>
      <c r="F1229">
        <v>3911</v>
      </c>
      <c r="G1229">
        <v>3911</v>
      </c>
      <c r="H1229">
        <v>1800</v>
      </c>
    </row>
    <row r="1230" spans="2:8">
      <c r="B1230" t="s">
        <v>463</v>
      </c>
      <c r="C1230" t="s">
        <v>397</v>
      </c>
      <c r="D1230">
        <v>3911</v>
      </c>
      <c r="E1230">
        <v>3911</v>
      </c>
      <c r="F1230">
        <v>3910</v>
      </c>
      <c r="G1230">
        <v>3910</v>
      </c>
      <c r="H1230">
        <v>5200</v>
      </c>
    </row>
    <row r="1231" spans="2:8">
      <c r="B1231" t="s">
        <v>463</v>
      </c>
      <c r="C1231" t="s">
        <v>398</v>
      </c>
      <c r="D1231">
        <v>3910</v>
      </c>
      <c r="E1231">
        <v>3910</v>
      </c>
      <c r="F1231">
        <v>3909</v>
      </c>
      <c r="G1231">
        <v>3909</v>
      </c>
      <c r="H1231">
        <v>3700</v>
      </c>
    </row>
    <row r="1232" spans="2:8">
      <c r="B1232" t="s">
        <v>463</v>
      </c>
      <c r="C1232" t="s">
        <v>399</v>
      </c>
      <c r="D1232">
        <v>3909</v>
      </c>
      <c r="E1232">
        <v>3909</v>
      </c>
      <c r="F1232">
        <v>3909</v>
      </c>
      <c r="G1232">
        <v>3909</v>
      </c>
      <c r="H1232">
        <v>500</v>
      </c>
    </row>
    <row r="1233" spans="2:8">
      <c r="B1233" t="s">
        <v>463</v>
      </c>
      <c r="C1233" t="s">
        <v>400</v>
      </c>
      <c r="D1233">
        <v>3909</v>
      </c>
      <c r="E1233">
        <v>3909</v>
      </c>
      <c r="F1233">
        <v>3908</v>
      </c>
      <c r="G1233">
        <v>3908</v>
      </c>
      <c r="H1233">
        <v>1400</v>
      </c>
    </row>
    <row r="1234" spans="2:8">
      <c r="B1234" t="s">
        <v>463</v>
      </c>
      <c r="C1234" t="s">
        <v>401</v>
      </c>
      <c r="D1234">
        <v>3908</v>
      </c>
      <c r="E1234">
        <v>3911</v>
      </c>
      <c r="F1234">
        <v>3908</v>
      </c>
      <c r="G1234">
        <v>3911</v>
      </c>
      <c r="H1234">
        <v>1600</v>
      </c>
    </row>
    <row r="1235" spans="2:8">
      <c r="B1235" t="s">
        <v>463</v>
      </c>
      <c r="C1235" t="s">
        <v>402</v>
      </c>
      <c r="D1235">
        <v>3910</v>
      </c>
      <c r="E1235">
        <v>3910</v>
      </c>
      <c r="F1235">
        <v>3909</v>
      </c>
      <c r="G1235">
        <v>3909</v>
      </c>
      <c r="H1235">
        <v>1600</v>
      </c>
    </row>
    <row r="1236" spans="2:8">
      <c r="B1236" t="s">
        <v>463</v>
      </c>
      <c r="C1236" t="s">
        <v>403</v>
      </c>
      <c r="D1236">
        <v>3910</v>
      </c>
      <c r="E1236">
        <v>3910</v>
      </c>
      <c r="F1236">
        <v>3905</v>
      </c>
      <c r="G1236">
        <v>3906</v>
      </c>
      <c r="H1236">
        <v>4600</v>
      </c>
    </row>
    <row r="1237" spans="2:8">
      <c r="B1237" t="s">
        <v>463</v>
      </c>
      <c r="C1237" t="s">
        <v>404</v>
      </c>
      <c r="D1237" t="s">
        <v>8</v>
      </c>
      <c r="E1237" t="s">
        <v>8</v>
      </c>
      <c r="F1237" t="s">
        <v>8</v>
      </c>
      <c r="G1237" t="s">
        <v>8</v>
      </c>
      <c r="H1237">
        <v>0</v>
      </c>
    </row>
    <row r="1238" spans="2:8">
      <c r="B1238" t="s">
        <v>463</v>
      </c>
      <c r="C1238" t="s">
        <v>405</v>
      </c>
      <c r="D1238">
        <v>3907</v>
      </c>
      <c r="E1238">
        <v>3907</v>
      </c>
      <c r="F1238">
        <v>3907</v>
      </c>
      <c r="G1238">
        <v>3907</v>
      </c>
      <c r="H1238">
        <v>100</v>
      </c>
    </row>
    <row r="1239" spans="2:8">
      <c r="B1239" t="s">
        <v>463</v>
      </c>
      <c r="C1239" t="s">
        <v>406</v>
      </c>
      <c r="D1239">
        <v>3907</v>
      </c>
      <c r="E1239">
        <v>3907</v>
      </c>
      <c r="F1239">
        <v>3905</v>
      </c>
      <c r="G1239">
        <v>3905</v>
      </c>
      <c r="H1239">
        <v>2700</v>
      </c>
    </row>
    <row r="1240" spans="2:8">
      <c r="B1240" t="s">
        <v>463</v>
      </c>
      <c r="C1240" t="s">
        <v>407</v>
      </c>
      <c r="D1240">
        <v>3905</v>
      </c>
      <c r="E1240">
        <v>3907</v>
      </c>
      <c r="F1240">
        <v>3905</v>
      </c>
      <c r="G1240">
        <v>3906</v>
      </c>
      <c r="H1240">
        <v>4300</v>
      </c>
    </row>
    <row r="1241" spans="2:8">
      <c r="B1241" t="s">
        <v>463</v>
      </c>
      <c r="C1241" t="s">
        <v>408</v>
      </c>
      <c r="D1241">
        <v>3905</v>
      </c>
      <c r="E1241">
        <v>3906</v>
      </c>
      <c r="F1241">
        <v>3903</v>
      </c>
      <c r="G1241">
        <v>3904</v>
      </c>
      <c r="H1241">
        <v>7800</v>
      </c>
    </row>
    <row r="1242" spans="2:8">
      <c r="B1242" t="s">
        <v>463</v>
      </c>
      <c r="C1242" t="s">
        <v>409</v>
      </c>
      <c r="D1242">
        <v>3903</v>
      </c>
      <c r="E1242">
        <v>3907</v>
      </c>
      <c r="F1242">
        <v>3903</v>
      </c>
      <c r="G1242">
        <v>3907</v>
      </c>
      <c r="H1242">
        <v>3300</v>
      </c>
    </row>
    <row r="1243" spans="2:8">
      <c r="B1243" t="s">
        <v>463</v>
      </c>
      <c r="C1243" t="s">
        <v>410</v>
      </c>
      <c r="D1243">
        <v>3905</v>
      </c>
      <c r="E1243">
        <v>3906</v>
      </c>
      <c r="F1243">
        <v>3905</v>
      </c>
      <c r="G1243">
        <v>3905</v>
      </c>
      <c r="H1243">
        <v>600</v>
      </c>
    </row>
    <row r="1244" spans="2:8">
      <c r="B1244" t="s">
        <v>463</v>
      </c>
      <c r="C1244" t="s">
        <v>411</v>
      </c>
      <c r="D1244">
        <v>3905</v>
      </c>
      <c r="E1244">
        <v>3907</v>
      </c>
      <c r="F1244">
        <v>3905</v>
      </c>
      <c r="G1244">
        <v>3907</v>
      </c>
      <c r="H1244">
        <v>800</v>
      </c>
    </row>
    <row r="1245" spans="2:8">
      <c r="B1245" t="s">
        <v>463</v>
      </c>
      <c r="C1245" t="s">
        <v>412</v>
      </c>
      <c r="D1245">
        <v>3907</v>
      </c>
      <c r="E1245">
        <v>3909</v>
      </c>
      <c r="F1245">
        <v>3907</v>
      </c>
      <c r="G1245">
        <v>3908</v>
      </c>
      <c r="H1245">
        <v>1000</v>
      </c>
    </row>
    <row r="1246" spans="2:8">
      <c r="B1246" t="s">
        <v>463</v>
      </c>
      <c r="C1246" t="s">
        <v>413</v>
      </c>
      <c r="D1246">
        <v>3909</v>
      </c>
      <c r="E1246">
        <v>3910</v>
      </c>
      <c r="F1246">
        <v>3909</v>
      </c>
      <c r="G1246">
        <v>3910</v>
      </c>
      <c r="H1246">
        <v>600</v>
      </c>
    </row>
    <row r="1247" spans="2:8">
      <c r="B1247" t="s">
        <v>463</v>
      </c>
      <c r="C1247" t="s">
        <v>414</v>
      </c>
      <c r="D1247">
        <v>3911</v>
      </c>
      <c r="E1247">
        <v>3911</v>
      </c>
      <c r="F1247">
        <v>3911</v>
      </c>
      <c r="G1247">
        <v>3911</v>
      </c>
      <c r="H1247">
        <v>200</v>
      </c>
    </row>
    <row r="1248" spans="2:8">
      <c r="B1248" t="s">
        <v>463</v>
      </c>
      <c r="C1248" t="s">
        <v>415</v>
      </c>
      <c r="D1248">
        <v>3911</v>
      </c>
      <c r="E1248">
        <v>3911</v>
      </c>
      <c r="F1248">
        <v>3908</v>
      </c>
      <c r="G1248">
        <v>3908</v>
      </c>
      <c r="H1248">
        <v>5300</v>
      </c>
    </row>
    <row r="1249" spans="2:8">
      <c r="B1249" t="s">
        <v>463</v>
      </c>
      <c r="C1249" t="s">
        <v>416</v>
      </c>
      <c r="D1249">
        <v>3909</v>
      </c>
      <c r="E1249">
        <v>3909</v>
      </c>
      <c r="F1249">
        <v>3909</v>
      </c>
      <c r="G1249">
        <v>3909</v>
      </c>
      <c r="H1249">
        <v>100</v>
      </c>
    </row>
    <row r="1250" spans="2:8">
      <c r="B1250" t="s">
        <v>463</v>
      </c>
      <c r="C1250" t="s">
        <v>417</v>
      </c>
      <c r="D1250">
        <v>3910</v>
      </c>
      <c r="E1250">
        <v>3911</v>
      </c>
      <c r="F1250">
        <v>3910</v>
      </c>
      <c r="G1250">
        <v>3911</v>
      </c>
      <c r="H1250">
        <v>1900</v>
      </c>
    </row>
    <row r="1251" spans="2:8">
      <c r="B1251" t="s">
        <v>463</v>
      </c>
      <c r="C1251" t="s">
        <v>418</v>
      </c>
      <c r="D1251">
        <v>3912</v>
      </c>
      <c r="E1251">
        <v>3912</v>
      </c>
      <c r="F1251">
        <v>3911</v>
      </c>
      <c r="G1251">
        <v>3911</v>
      </c>
      <c r="H1251">
        <v>1500</v>
      </c>
    </row>
    <row r="1252" spans="2:8">
      <c r="B1252" t="s">
        <v>463</v>
      </c>
      <c r="C1252" t="s">
        <v>419</v>
      </c>
      <c r="D1252">
        <v>3911</v>
      </c>
      <c r="E1252">
        <v>3912</v>
      </c>
      <c r="F1252">
        <v>3911</v>
      </c>
      <c r="G1252">
        <v>3912</v>
      </c>
      <c r="H1252">
        <v>1200</v>
      </c>
    </row>
    <row r="1253" spans="2:8">
      <c r="B1253" t="s">
        <v>463</v>
      </c>
      <c r="C1253" t="s">
        <v>420</v>
      </c>
      <c r="D1253">
        <v>3913</v>
      </c>
      <c r="E1253">
        <v>3916</v>
      </c>
      <c r="F1253">
        <v>3913</v>
      </c>
      <c r="G1253">
        <v>3916</v>
      </c>
      <c r="H1253">
        <v>900</v>
      </c>
    </row>
    <row r="1254" spans="2:8">
      <c r="B1254" t="s">
        <v>463</v>
      </c>
      <c r="C1254" t="s">
        <v>421</v>
      </c>
      <c r="D1254">
        <v>3916</v>
      </c>
      <c r="E1254">
        <v>3918</v>
      </c>
      <c r="F1254">
        <v>3915</v>
      </c>
      <c r="G1254">
        <v>3916</v>
      </c>
      <c r="H1254">
        <v>1200</v>
      </c>
    </row>
    <row r="1255" spans="2:8">
      <c r="B1255" t="s">
        <v>463</v>
      </c>
      <c r="C1255" t="s">
        <v>422</v>
      </c>
      <c r="D1255">
        <v>3916</v>
      </c>
      <c r="E1255">
        <v>3916</v>
      </c>
      <c r="F1255">
        <v>3915</v>
      </c>
      <c r="G1255">
        <v>3916</v>
      </c>
      <c r="H1255">
        <v>2300</v>
      </c>
    </row>
    <row r="1256" spans="2:8">
      <c r="B1256" t="s">
        <v>463</v>
      </c>
      <c r="C1256" t="s">
        <v>423</v>
      </c>
      <c r="D1256">
        <v>3918</v>
      </c>
      <c r="E1256">
        <v>3920</v>
      </c>
      <c r="F1256">
        <v>3918</v>
      </c>
      <c r="G1256">
        <v>3920</v>
      </c>
      <c r="H1256">
        <v>1400</v>
      </c>
    </row>
    <row r="1257" spans="2:8">
      <c r="B1257" t="s">
        <v>463</v>
      </c>
      <c r="C1257" t="s">
        <v>424</v>
      </c>
      <c r="D1257">
        <v>3920</v>
      </c>
      <c r="E1257">
        <v>3920</v>
      </c>
      <c r="F1257">
        <v>3917</v>
      </c>
      <c r="G1257">
        <v>3917</v>
      </c>
      <c r="H1257">
        <v>2800</v>
      </c>
    </row>
    <row r="1258" spans="2:8">
      <c r="B1258" t="s">
        <v>463</v>
      </c>
      <c r="C1258" t="s">
        <v>425</v>
      </c>
      <c r="D1258">
        <v>3918</v>
      </c>
      <c r="E1258">
        <v>3918</v>
      </c>
      <c r="F1258">
        <v>3918</v>
      </c>
      <c r="G1258">
        <v>3918</v>
      </c>
      <c r="H1258">
        <v>600</v>
      </c>
    </row>
    <row r="1259" spans="2:8">
      <c r="B1259" t="s">
        <v>463</v>
      </c>
      <c r="C1259" t="s">
        <v>426</v>
      </c>
      <c r="D1259">
        <v>3918</v>
      </c>
      <c r="E1259">
        <v>3918</v>
      </c>
      <c r="F1259">
        <v>3916</v>
      </c>
      <c r="G1259">
        <v>3918</v>
      </c>
      <c r="H1259">
        <v>3200</v>
      </c>
    </row>
    <row r="1260" spans="2:8">
      <c r="B1260" t="s">
        <v>463</v>
      </c>
      <c r="C1260" t="s">
        <v>427</v>
      </c>
      <c r="D1260">
        <v>3917</v>
      </c>
      <c r="E1260">
        <v>3917</v>
      </c>
      <c r="F1260">
        <v>3916</v>
      </c>
      <c r="G1260">
        <v>3916</v>
      </c>
      <c r="H1260">
        <v>1600</v>
      </c>
    </row>
    <row r="1261" spans="2:8">
      <c r="B1261" t="s">
        <v>463</v>
      </c>
      <c r="C1261" t="s">
        <v>428</v>
      </c>
      <c r="D1261">
        <v>3916</v>
      </c>
      <c r="E1261">
        <v>3916</v>
      </c>
      <c r="F1261">
        <v>3916</v>
      </c>
      <c r="G1261">
        <v>3916</v>
      </c>
      <c r="H1261">
        <v>1100</v>
      </c>
    </row>
    <row r="1262" spans="2:8">
      <c r="B1262" t="s">
        <v>463</v>
      </c>
      <c r="C1262" t="s">
        <v>429</v>
      </c>
      <c r="D1262">
        <v>3916</v>
      </c>
      <c r="E1262">
        <v>3916</v>
      </c>
      <c r="F1262">
        <v>3916</v>
      </c>
      <c r="G1262">
        <v>3916</v>
      </c>
      <c r="H1262">
        <v>200</v>
      </c>
    </row>
    <row r="1263" spans="2:8">
      <c r="B1263" t="s">
        <v>463</v>
      </c>
      <c r="C1263" t="s">
        <v>430</v>
      </c>
      <c r="D1263">
        <v>3916</v>
      </c>
      <c r="E1263">
        <v>3916</v>
      </c>
      <c r="F1263">
        <v>3916</v>
      </c>
      <c r="G1263">
        <v>3916</v>
      </c>
      <c r="H1263">
        <v>200</v>
      </c>
    </row>
    <row r="1264" spans="2:8">
      <c r="B1264" t="s">
        <v>463</v>
      </c>
      <c r="C1264" t="s">
        <v>431</v>
      </c>
      <c r="D1264">
        <v>3916</v>
      </c>
      <c r="E1264">
        <v>3917</v>
      </c>
      <c r="F1264">
        <v>3916</v>
      </c>
      <c r="G1264">
        <v>3917</v>
      </c>
      <c r="H1264">
        <v>300</v>
      </c>
    </row>
    <row r="1265" spans="2:8">
      <c r="B1265" t="s">
        <v>463</v>
      </c>
      <c r="C1265" t="s">
        <v>9</v>
      </c>
      <c r="D1265">
        <v>3917</v>
      </c>
      <c r="E1265">
        <v>3917</v>
      </c>
      <c r="F1265">
        <v>3912</v>
      </c>
      <c r="G1265">
        <v>3912</v>
      </c>
      <c r="H1265">
        <v>4800</v>
      </c>
    </row>
    <row r="1266" spans="2:8">
      <c r="B1266" t="s">
        <v>463</v>
      </c>
      <c r="C1266" t="s">
        <v>10</v>
      </c>
      <c r="D1266">
        <v>3913</v>
      </c>
      <c r="E1266">
        <v>3913</v>
      </c>
      <c r="F1266">
        <v>3913</v>
      </c>
      <c r="G1266">
        <v>3913</v>
      </c>
      <c r="H1266">
        <v>1000</v>
      </c>
    </row>
    <row r="1267" spans="2:8">
      <c r="B1267" t="s">
        <v>463</v>
      </c>
      <c r="C1267" t="s">
        <v>11</v>
      </c>
      <c r="D1267">
        <v>3914</v>
      </c>
      <c r="E1267">
        <v>3915</v>
      </c>
      <c r="F1267">
        <v>3914</v>
      </c>
      <c r="G1267">
        <v>3915</v>
      </c>
      <c r="H1267">
        <v>700</v>
      </c>
    </row>
    <row r="1268" spans="2:8">
      <c r="B1268" t="s">
        <v>463</v>
      </c>
      <c r="C1268" t="s">
        <v>12</v>
      </c>
      <c r="D1268">
        <v>3915</v>
      </c>
      <c r="E1268">
        <v>3915</v>
      </c>
      <c r="F1268">
        <v>3914</v>
      </c>
      <c r="G1268">
        <v>3914</v>
      </c>
      <c r="H1268">
        <v>1100</v>
      </c>
    </row>
    <row r="1269" spans="2:8">
      <c r="B1269" t="s">
        <v>463</v>
      </c>
      <c r="C1269" t="s">
        <v>13</v>
      </c>
      <c r="D1269">
        <v>3913</v>
      </c>
      <c r="E1269">
        <v>3913</v>
      </c>
      <c r="F1269">
        <v>3912</v>
      </c>
      <c r="G1269">
        <v>3912</v>
      </c>
      <c r="H1269">
        <v>2100</v>
      </c>
    </row>
    <row r="1270" spans="2:8">
      <c r="B1270" t="s">
        <v>463</v>
      </c>
      <c r="C1270" t="s">
        <v>14</v>
      </c>
      <c r="D1270">
        <v>3914</v>
      </c>
      <c r="E1270">
        <v>3914</v>
      </c>
      <c r="F1270">
        <v>3913</v>
      </c>
      <c r="G1270">
        <v>3913</v>
      </c>
      <c r="H1270">
        <v>1700</v>
      </c>
    </row>
    <row r="1271" spans="2:8">
      <c r="B1271" t="s">
        <v>463</v>
      </c>
      <c r="C1271" t="s">
        <v>15</v>
      </c>
      <c r="D1271">
        <v>3913</v>
      </c>
      <c r="E1271">
        <v>3913</v>
      </c>
      <c r="F1271">
        <v>3911</v>
      </c>
      <c r="G1271">
        <v>3911</v>
      </c>
      <c r="H1271">
        <v>2600</v>
      </c>
    </row>
    <row r="1272" spans="2:8">
      <c r="B1272" t="s">
        <v>463</v>
      </c>
      <c r="C1272" t="s">
        <v>16</v>
      </c>
      <c r="D1272">
        <v>3910</v>
      </c>
      <c r="E1272">
        <v>3910</v>
      </c>
      <c r="F1272">
        <v>3908</v>
      </c>
      <c r="G1272">
        <v>3908</v>
      </c>
      <c r="H1272">
        <v>2800</v>
      </c>
    </row>
    <row r="1273" spans="2:8">
      <c r="B1273" t="s">
        <v>463</v>
      </c>
      <c r="C1273" t="s">
        <v>17</v>
      </c>
      <c r="D1273">
        <v>3909</v>
      </c>
      <c r="E1273">
        <v>3909</v>
      </c>
      <c r="F1273">
        <v>3909</v>
      </c>
      <c r="G1273">
        <v>3909</v>
      </c>
      <c r="H1273">
        <v>200</v>
      </c>
    </row>
    <row r="1274" spans="2:8">
      <c r="B1274" t="s">
        <v>463</v>
      </c>
      <c r="C1274" t="s">
        <v>18</v>
      </c>
      <c r="D1274">
        <v>3908</v>
      </c>
      <c r="E1274">
        <v>3909</v>
      </c>
      <c r="F1274">
        <v>3908</v>
      </c>
      <c r="G1274">
        <v>3909</v>
      </c>
      <c r="H1274">
        <v>500</v>
      </c>
    </row>
    <row r="1275" spans="2:8">
      <c r="B1275" t="s">
        <v>463</v>
      </c>
      <c r="C1275" t="s">
        <v>19</v>
      </c>
      <c r="D1275">
        <v>3908</v>
      </c>
      <c r="E1275">
        <v>3909</v>
      </c>
      <c r="F1275">
        <v>3907</v>
      </c>
      <c r="G1275">
        <v>3909</v>
      </c>
      <c r="H1275">
        <v>4000</v>
      </c>
    </row>
    <row r="1276" spans="2:8">
      <c r="B1276" t="s">
        <v>463</v>
      </c>
      <c r="C1276" t="s">
        <v>20</v>
      </c>
      <c r="D1276">
        <v>3910</v>
      </c>
      <c r="E1276">
        <v>3911</v>
      </c>
      <c r="F1276">
        <v>3910</v>
      </c>
      <c r="G1276">
        <v>3910</v>
      </c>
      <c r="H1276">
        <v>2300</v>
      </c>
    </row>
    <row r="1277" spans="2:8">
      <c r="B1277" t="s">
        <v>463</v>
      </c>
      <c r="C1277" t="s">
        <v>21</v>
      </c>
      <c r="D1277">
        <v>3912</v>
      </c>
      <c r="E1277">
        <v>3914</v>
      </c>
      <c r="F1277">
        <v>3912</v>
      </c>
      <c r="G1277">
        <v>3913</v>
      </c>
      <c r="H1277">
        <v>2700</v>
      </c>
    </row>
    <row r="1278" spans="2:8">
      <c r="B1278" t="s">
        <v>463</v>
      </c>
      <c r="C1278" t="s">
        <v>22</v>
      </c>
      <c r="D1278">
        <v>3914</v>
      </c>
      <c r="E1278">
        <v>3914</v>
      </c>
      <c r="F1278">
        <v>3910</v>
      </c>
      <c r="G1278">
        <v>3910</v>
      </c>
      <c r="H1278">
        <v>6400</v>
      </c>
    </row>
    <row r="1279" spans="2:8">
      <c r="B1279" t="s">
        <v>463</v>
      </c>
      <c r="C1279" t="s">
        <v>23</v>
      </c>
      <c r="D1279">
        <v>3910</v>
      </c>
      <c r="E1279">
        <v>3911</v>
      </c>
      <c r="F1279">
        <v>3909</v>
      </c>
      <c r="G1279">
        <v>3909</v>
      </c>
      <c r="H1279">
        <v>2700</v>
      </c>
    </row>
    <row r="1280" spans="2:8">
      <c r="B1280" t="s">
        <v>463</v>
      </c>
      <c r="C1280" t="s">
        <v>24</v>
      </c>
      <c r="D1280">
        <v>3910</v>
      </c>
      <c r="E1280">
        <v>3910</v>
      </c>
      <c r="F1280">
        <v>3909</v>
      </c>
      <c r="G1280">
        <v>3909</v>
      </c>
      <c r="H1280">
        <v>1500</v>
      </c>
    </row>
    <row r="1281" spans="2:8">
      <c r="B1281" t="s">
        <v>463</v>
      </c>
      <c r="C1281" t="s">
        <v>25</v>
      </c>
      <c r="D1281">
        <v>3909</v>
      </c>
      <c r="E1281">
        <v>3910</v>
      </c>
      <c r="F1281">
        <v>3909</v>
      </c>
      <c r="G1281">
        <v>3910</v>
      </c>
      <c r="H1281">
        <v>1100</v>
      </c>
    </row>
    <row r="1282" spans="2:8">
      <c r="B1282" t="s">
        <v>463</v>
      </c>
      <c r="C1282" t="s">
        <v>26</v>
      </c>
      <c r="D1282">
        <v>3911</v>
      </c>
      <c r="E1282">
        <v>3911</v>
      </c>
      <c r="F1282">
        <v>3911</v>
      </c>
      <c r="G1282">
        <v>3911</v>
      </c>
      <c r="H1282">
        <v>300</v>
      </c>
    </row>
    <row r="1283" spans="2:8">
      <c r="B1283" t="s">
        <v>463</v>
      </c>
      <c r="C1283" t="s">
        <v>27</v>
      </c>
      <c r="D1283">
        <v>3910</v>
      </c>
      <c r="E1283">
        <v>3911</v>
      </c>
      <c r="F1283">
        <v>3910</v>
      </c>
      <c r="G1283">
        <v>3910</v>
      </c>
      <c r="H1283">
        <v>1600</v>
      </c>
    </row>
    <row r="1284" spans="2:8">
      <c r="B1284" t="s">
        <v>463</v>
      </c>
      <c r="C1284" t="s">
        <v>28</v>
      </c>
      <c r="D1284">
        <v>3911</v>
      </c>
      <c r="E1284">
        <v>3912</v>
      </c>
      <c r="F1284">
        <v>3911</v>
      </c>
      <c r="G1284">
        <v>3912</v>
      </c>
      <c r="H1284">
        <v>900</v>
      </c>
    </row>
    <row r="1285" spans="2:8">
      <c r="B1285" t="s">
        <v>463</v>
      </c>
      <c r="C1285" t="s">
        <v>29</v>
      </c>
      <c r="D1285">
        <v>3913</v>
      </c>
      <c r="E1285">
        <v>3913</v>
      </c>
      <c r="F1285">
        <v>3913</v>
      </c>
      <c r="G1285">
        <v>3913</v>
      </c>
      <c r="H1285">
        <v>200</v>
      </c>
    </row>
    <row r="1286" spans="2:8">
      <c r="B1286" t="s">
        <v>463</v>
      </c>
      <c r="C1286" t="s">
        <v>30</v>
      </c>
      <c r="D1286">
        <v>3913</v>
      </c>
      <c r="E1286">
        <v>3913</v>
      </c>
      <c r="F1286">
        <v>3913</v>
      </c>
      <c r="G1286">
        <v>3913</v>
      </c>
      <c r="H1286">
        <v>1200</v>
      </c>
    </row>
    <row r="1287" spans="2:8">
      <c r="B1287" t="s">
        <v>463</v>
      </c>
      <c r="C1287" t="s">
        <v>31</v>
      </c>
      <c r="D1287">
        <v>3913</v>
      </c>
      <c r="E1287">
        <v>3914</v>
      </c>
      <c r="F1287">
        <v>3912</v>
      </c>
      <c r="G1287">
        <v>3914</v>
      </c>
      <c r="H1287">
        <v>900</v>
      </c>
    </row>
    <row r="1288" spans="2:8">
      <c r="B1288" t="s">
        <v>463</v>
      </c>
      <c r="C1288" t="s">
        <v>32</v>
      </c>
      <c r="D1288">
        <v>3914</v>
      </c>
      <c r="E1288">
        <v>3915</v>
      </c>
      <c r="F1288">
        <v>3912</v>
      </c>
      <c r="G1288">
        <v>3912</v>
      </c>
      <c r="H1288">
        <v>4300</v>
      </c>
    </row>
    <row r="1289" spans="2:8">
      <c r="B1289" t="s">
        <v>463</v>
      </c>
      <c r="C1289" t="s">
        <v>33</v>
      </c>
      <c r="D1289">
        <v>3912</v>
      </c>
      <c r="E1289">
        <v>3913</v>
      </c>
      <c r="F1289">
        <v>3912</v>
      </c>
      <c r="G1289">
        <v>3912</v>
      </c>
      <c r="H1289">
        <v>1800</v>
      </c>
    </row>
    <row r="1290" spans="2:8">
      <c r="B1290" t="s">
        <v>463</v>
      </c>
      <c r="C1290" t="s">
        <v>34</v>
      </c>
      <c r="D1290">
        <v>3913</v>
      </c>
      <c r="E1290">
        <v>3914</v>
      </c>
      <c r="F1290">
        <v>3913</v>
      </c>
      <c r="G1290">
        <v>3913</v>
      </c>
      <c r="H1290">
        <v>700</v>
      </c>
    </row>
    <row r="1291" spans="2:8">
      <c r="B1291" t="s">
        <v>463</v>
      </c>
      <c r="C1291" t="s">
        <v>35</v>
      </c>
      <c r="D1291">
        <v>3913</v>
      </c>
      <c r="E1291">
        <v>3914</v>
      </c>
      <c r="F1291">
        <v>3913</v>
      </c>
      <c r="G1291">
        <v>3913</v>
      </c>
      <c r="H1291">
        <v>2000</v>
      </c>
    </row>
    <row r="1292" spans="2:8">
      <c r="B1292" t="s">
        <v>463</v>
      </c>
      <c r="C1292" t="s">
        <v>36</v>
      </c>
      <c r="D1292">
        <v>3912</v>
      </c>
      <c r="E1292">
        <v>3913</v>
      </c>
      <c r="F1292">
        <v>3912</v>
      </c>
      <c r="G1292">
        <v>3913</v>
      </c>
      <c r="H1292">
        <v>1100</v>
      </c>
    </row>
    <row r="1293" spans="2:8">
      <c r="B1293" t="s">
        <v>463</v>
      </c>
      <c r="C1293" t="s">
        <v>37</v>
      </c>
      <c r="D1293">
        <v>3914</v>
      </c>
      <c r="E1293">
        <v>3914</v>
      </c>
      <c r="F1293">
        <v>3913</v>
      </c>
      <c r="G1293">
        <v>3914</v>
      </c>
      <c r="H1293">
        <v>1000</v>
      </c>
    </row>
    <row r="1294" spans="2:8">
      <c r="B1294" t="s">
        <v>463</v>
      </c>
      <c r="C1294" t="s">
        <v>38</v>
      </c>
      <c r="D1294">
        <v>3914</v>
      </c>
      <c r="E1294">
        <v>3915</v>
      </c>
      <c r="F1294">
        <v>3912</v>
      </c>
      <c r="G1294">
        <v>3912</v>
      </c>
      <c r="H1294">
        <v>5100</v>
      </c>
    </row>
    <row r="1295" spans="2:8">
      <c r="B1295" t="s">
        <v>463</v>
      </c>
      <c r="C1295" t="s">
        <v>39</v>
      </c>
      <c r="D1295">
        <v>3913</v>
      </c>
      <c r="E1295">
        <v>3913</v>
      </c>
      <c r="F1295">
        <v>3909</v>
      </c>
      <c r="G1295">
        <v>3912</v>
      </c>
      <c r="H1295">
        <v>9100</v>
      </c>
    </row>
    <row r="1296" spans="2:8">
      <c r="B1296" t="s">
        <v>463</v>
      </c>
      <c r="C1296" t="s">
        <v>40</v>
      </c>
      <c r="D1296">
        <v>3912</v>
      </c>
      <c r="E1296">
        <v>3915</v>
      </c>
      <c r="F1296">
        <v>3912</v>
      </c>
      <c r="G1296">
        <v>3915</v>
      </c>
      <c r="H1296">
        <v>2500</v>
      </c>
    </row>
    <row r="1297" spans="2:8">
      <c r="B1297" t="s">
        <v>463</v>
      </c>
      <c r="C1297" t="s">
        <v>41</v>
      </c>
      <c r="D1297">
        <v>3916</v>
      </c>
      <c r="E1297">
        <v>3916</v>
      </c>
      <c r="F1297">
        <v>3916</v>
      </c>
      <c r="G1297">
        <v>3916</v>
      </c>
      <c r="H1297">
        <v>200</v>
      </c>
    </row>
    <row r="1298" spans="2:8">
      <c r="B1298" t="s">
        <v>463</v>
      </c>
      <c r="C1298" t="s">
        <v>42</v>
      </c>
      <c r="D1298">
        <v>3917</v>
      </c>
      <c r="E1298">
        <v>3917</v>
      </c>
      <c r="F1298">
        <v>3914</v>
      </c>
      <c r="G1298">
        <v>3914</v>
      </c>
      <c r="H1298">
        <v>2500</v>
      </c>
    </row>
    <row r="1299" spans="2:8">
      <c r="B1299" t="s">
        <v>463</v>
      </c>
      <c r="C1299" t="s">
        <v>43</v>
      </c>
      <c r="D1299">
        <v>3915</v>
      </c>
      <c r="E1299">
        <v>3915</v>
      </c>
      <c r="F1299">
        <v>3914</v>
      </c>
      <c r="G1299">
        <v>3914</v>
      </c>
      <c r="H1299">
        <v>900</v>
      </c>
    </row>
    <row r="1300" spans="2:8">
      <c r="B1300" t="s">
        <v>463</v>
      </c>
      <c r="C1300" t="s">
        <v>44</v>
      </c>
      <c r="D1300">
        <v>3914</v>
      </c>
      <c r="E1300">
        <v>3914</v>
      </c>
      <c r="F1300">
        <v>3912</v>
      </c>
      <c r="G1300">
        <v>3913</v>
      </c>
      <c r="H1300">
        <v>2500</v>
      </c>
    </row>
    <row r="1301" spans="2:8">
      <c r="B1301" t="s">
        <v>463</v>
      </c>
      <c r="C1301" t="s">
        <v>45</v>
      </c>
      <c r="D1301">
        <v>3915</v>
      </c>
      <c r="E1301">
        <v>3917</v>
      </c>
      <c r="F1301">
        <v>3915</v>
      </c>
      <c r="G1301">
        <v>3917</v>
      </c>
      <c r="H1301">
        <v>2400</v>
      </c>
    </row>
    <row r="1302" spans="2:8">
      <c r="B1302" t="s">
        <v>463</v>
      </c>
      <c r="C1302" t="s">
        <v>46</v>
      </c>
      <c r="D1302">
        <v>3918</v>
      </c>
      <c r="E1302">
        <v>3918</v>
      </c>
      <c r="F1302">
        <v>3916</v>
      </c>
      <c r="G1302">
        <v>3916</v>
      </c>
      <c r="H1302">
        <v>1700</v>
      </c>
    </row>
    <row r="1303" spans="2:8">
      <c r="B1303" t="s">
        <v>463</v>
      </c>
      <c r="C1303" t="s">
        <v>47</v>
      </c>
      <c r="D1303">
        <v>3916</v>
      </c>
      <c r="E1303">
        <v>3916</v>
      </c>
      <c r="F1303">
        <v>3915</v>
      </c>
      <c r="G1303">
        <v>3915</v>
      </c>
      <c r="H1303">
        <v>200</v>
      </c>
    </row>
    <row r="1304" spans="2:8">
      <c r="B1304" t="s">
        <v>463</v>
      </c>
      <c r="C1304" t="s">
        <v>48</v>
      </c>
      <c r="D1304">
        <v>3916</v>
      </c>
      <c r="E1304">
        <v>3916</v>
      </c>
      <c r="F1304">
        <v>3915</v>
      </c>
      <c r="G1304">
        <v>3916</v>
      </c>
      <c r="H1304">
        <v>700</v>
      </c>
    </row>
    <row r="1305" spans="2:8">
      <c r="B1305" t="s">
        <v>463</v>
      </c>
      <c r="C1305" t="s">
        <v>49</v>
      </c>
      <c r="D1305">
        <v>3916</v>
      </c>
      <c r="E1305">
        <v>3916</v>
      </c>
      <c r="F1305">
        <v>3914</v>
      </c>
      <c r="G1305">
        <v>3914</v>
      </c>
      <c r="H1305">
        <v>2400</v>
      </c>
    </row>
    <row r="1306" spans="2:8">
      <c r="B1306" t="s">
        <v>463</v>
      </c>
      <c r="C1306" t="s">
        <v>50</v>
      </c>
      <c r="D1306">
        <v>3915</v>
      </c>
      <c r="E1306">
        <v>3915</v>
      </c>
      <c r="F1306">
        <v>3915</v>
      </c>
      <c r="G1306">
        <v>3915</v>
      </c>
      <c r="H1306">
        <v>1500</v>
      </c>
    </row>
    <row r="1307" spans="2:8">
      <c r="B1307" t="s">
        <v>463</v>
      </c>
      <c r="C1307" t="s">
        <v>51</v>
      </c>
      <c r="D1307">
        <v>3915</v>
      </c>
      <c r="E1307">
        <v>3915</v>
      </c>
      <c r="F1307">
        <v>3913</v>
      </c>
      <c r="G1307">
        <v>3913</v>
      </c>
      <c r="H1307">
        <v>800</v>
      </c>
    </row>
    <row r="1308" spans="2:8">
      <c r="B1308" t="s">
        <v>463</v>
      </c>
      <c r="C1308" t="s">
        <v>52</v>
      </c>
      <c r="D1308">
        <v>3914</v>
      </c>
      <c r="E1308">
        <v>3914</v>
      </c>
      <c r="F1308">
        <v>3913</v>
      </c>
      <c r="G1308">
        <v>3913</v>
      </c>
      <c r="H1308">
        <v>2800</v>
      </c>
    </row>
    <row r="1309" spans="2:8">
      <c r="B1309" t="s">
        <v>463</v>
      </c>
      <c r="C1309" t="s">
        <v>53</v>
      </c>
      <c r="D1309">
        <v>3913</v>
      </c>
      <c r="E1309">
        <v>3916</v>
      </c>
      <c r="F1309">
        <v>3913</v>
      </c>
      <c r="G1309">
        <v>3916</v>
      </c>
      <c r="H1309">
        <v>5400</v>
      </c>
    </row>
    <row r="1310" spans="2:8">
      <c r="B1310" t="s">
        <v>463</v>
      </c>
      <c r="C1310" t="s">
        <v>54</v>
      </c>
      <c r="D1310">
        <v>3916</v>
      </c>
      <c r="E1310">
        <v>3917</v>
      </c>
      <c r="F1310">
        <v>3914</v>
      </c>
      <c r="G1310">
        <v>3914</v>
      </c>
      <c r="H1310">
        <v>3800</v>
      </c>
    </row>
    <row r="1311" spans="2:8">
      <c r="B1311" t="s">
        <v>463</v>
      </c>
      <c r="C1311" t="s">
        <v>55</v>
      </c>
      <c r="D1311">
        <v>3914</v>
      </c>
      <c r="E1311">
        <v>3914</v>
      </c>
      <c r="F1311">
        <v>3913</v>
      </c>
      <c r="G1311">
        <v>3914</v>
      </c>
      <c r="H1311">
        <v>1600</v>
      </c>
    </row>
    <row r="1312" spans="2:8">
      <c r="B1312" t="s">
        <v>463</v>
      </c>
      <c r="C1312" t="s">
        <v>56</v>
      </c>
      <c r="D1312">
        <v>3914</v>
      </c>
      <c r="E1312">
        <v>3915</v>
      </c>
      <c r="F1312">
        <v>3913</v>
      </c>
      <c r="G1312">
        <v>3915</v>
      </c>
      <c r="H1312">
        <v>1500</v>
      </c>
    </row>
    <row r="1313" spans="2:8">
      <c r="B1313" t="s">
        <v>463</v>
      </c>
      <c r="C1313" t="s">
        <v>57</v>
      </c>
      <c r="D1313">
        <v>3915</v>
      </c>
      <c r="E1313">
        <v>3915</v>
      </c>
      <c r="F1313">
        <v>3914</v>
      </c>
      <c r="G1313">
        <v>3914</v>
      </c>
      <c r="H1313">
        <v>900</v>
      </c>
    </row>
    <row r="1314" spans="2:8">
      <c r="B1314" t="s">
        <v>463</v>
      </c>
      <c r="C1314" t="s">
        <v>58</v>
      </c>
      <c r="D1314">
        <v>3915</v>
      </c>
      <c r="E1314">
        <v>3915</v>
      </c>
      <c r="F1314">
        <v>3914</v>
      </c>
      <c r="G1314">
        <v>3915</v>
      </c>
      <c r="H1314">
        <v>1500</v>
      </c>
    </row>
    <row r="1315" spans="2:8">
      <c r="B1315" t="s">
        <v>463</v>
      </c>
      <c r="C1315" t="s">
        <v>59</v>
      </c>
      <c r="D1315">
        <v>3915</v>
      </c>
      <c r="E1315">
        <v>3918</v>
      </c>
      <c r="F1315">
        <v>3915</v>
      </c>
      <c r="G1315">
        <v>3918</v>
      </c>
      <c r="H1315">
        <v>2400</v>
      </c>
    </row>
    <row r="1316" spans="2:8">
      <c r="B1316" t="s">
        <v>463</v>
      </c>
      <c r="C1316" t="s">
        <v>60</v>
      </c>
      <c r="D1316">
        <v>3917</v>
      </c>
      <c r="E1316">
        <v>3918</v>
      </c>
      <c r="F1316">
        <v>3917</v>
      </c>
      <c r="G1316">
        <v>3918</v>
      </c>
      <c r="H1316">
        <v>1600</v>
      </c>
    </row>
    <row r="1317" spans="2:8">
      <c r="B1317" t="s">
        <v>463</v>
      </c>
      <c r="C1317" t="s">
        <v>61</v>
      </c>
      <c r="D1317">
        <v>3918</v>
      </c>
      <c r="E1317">
        <v>3922</v>
      </c>
      <c r="F1317">
        <v>3918</v>
      </c>
      <c r="G1317">
        <v>3921</v>
      </c>
      <c r="H1317">
        <v>5100</v>
      </c>
    </row>
    <row r="1318" spans="2:8">
      <c r="B1318" t="s">
        <v>463</v>
      </c>
      <c r="C1318" t="s">
        <v>62</v>
      </c>
      <c r="D1318">
        <v>3920</v>
      </c>
      <c r="E1318">
        <v>3921</v>
      </c>
      <c r="F1318">
        <v>3917</v>
      </c>
      <c r="G1318">
        <v>3919</v>
      </c>
      <c r="H1318">
        <v>4600</v>
      </c>
    </row>
    <row r="1319" spans="2:8">
      <c r="B1319" t="s">
        <v>463</v>
      </c>
      <c r="C1319" t="s">
        <v>63</v>
      </c>
      <c r="D1319">
        <v>3918</v>
      </c>
      <c r="E1319">
        <v>3919</v>
      </c>
      <c r="F1319">
        <v>3918</v>
      </c>
      <c r="G1319">
        <v>3919</v>
      </c>
      <c r="H1319">
        <v>4000</v>
      </c>
    </row>
    <row r="1320" spans="2:8">
      <c r="B1320" t="s">
        <v>463</v>
      </c>
      <c r="C1320" t="s">
        <v>64</v>
      </c>
      <c r="D1320">
        <v>3919</v>
      </c>
      <c r="E1320">
        <v>3922</v>
      </c>
      <c r="F1320">
        <v>3919</v>
      </c>
      <c r="G1320">
        <v>3919</v>
      </c>
      <c r="H1320">
        <v>7000</v>
      </c>
    </row>
    <row r="1321" spans="2:8">
      <c r="B1321" t="s">
        <v>463</v>
      </c>
      <c r="C1321" t="s">
        <v>65</v>
      </c>
      <c r="D1321">
        <v>3919</v>
      </c>
      <c r="E1321">
        <v>3921</v>
      </c>
      <c r="F1321">
        <v>3918</v>
      </c>
      <c r="G1321">
        <v>3920</v>
      </c>
      <c r="H1321">
        <v>1800</v>
      </c>
    </row>
    <row r="1322" spans="2:8">
      <c r="B1322" t="s">
        <v>463</v>
      </c>
      <c r="C1322" t="s">
        <v>66</v>
      </c>
      <c r="D1322">
        <v>3920</v>
      </c>
      <c r="E1322">
        <v>3921</v>
      </c>
      <c r="F1322">
        <v>3916</v>
      </c>
      <c r="G1322">
        <v>3916</v>
      </c>
      <c r="H1322">
        <v>12300</v>
      </c>
    </row>
    <row r="1323" spans="2:8">
      <c r="B1323" t="s">
        <v>463</v>
      </c>
      <c r="C1323" t="s">
        <v>164</v>
      </c>
      <c r="D1323">
        <v>3917</v>
      </c>
      <c r="E1323">
        <v>3919</v>
      </c>
      <c r="F1323">
        <v>3916</v>
      </c>
      <c r="G1323">
        <v>3919</v>
      </c>
      <c r="H1323">
        <v>1800</v>
      </c>
    </row>
    <row r="1324" spans="2:8">
      <c r="B1324" t="s">
        <v>463</v>
      </c>
      <c r="C1324" t="s">
        <v>165</v>
      </c>
      <c r="D1324">
        <v>3918</v>
      </c>
      <c r="E1324">
        <v>3923</v>
      </c>
      <c r="F1324">
        <v>3918</v>
      </c>
      <c r="G1324">
        <v>3921</v>
      </c>
      <c r="H1324">
        <v>6000</v>
      </c>
    </row>
    <row r="1325" spans="2:8">
      <c r="B1325" t="s">
        <v>463</v>
      </c>
      <c r="C1325" t="s">
        <v>67</v>
      </c>
      <c r="D1325" t="s">
        <v>8</v>
      </c>
      <c r="E1325" t="s">
        <v>8</v>
      </c>
      <c r="F1325" t="s">
        <v>8</v>
      </c>
      <c r="G1325" t="s">
        <v>8</v>
      </c>
      <c r="H1325">
        <v>0</v>
      </c>
    </row>
    <row r="1326" spans="2:8">
      <c r="B1326" t="s">
        <v>463</v>
      </c>
      <c r="C1326" t="s">
        <v>68</v>
      </c>
      <c r="D1326" t="s">
        <v>8</v>
      </c>
      <c r="E1326" t="s">
        <v>8</v>
      </c>
      <c r="F1326" t="s">
        <v>8</v>
      </c>
      <c r="G1326" t="s">
        <v>8</v>
      </c>
      <c r="H1326">
        <v>0</v>
      </c>
    </row>
    <row r="1327" spans="2:8">
      <c r="B1327" t="s">
        <v>463</v>
      </c>
      <c r="C1327" t="s">
        <v>69</v>
      </c>
      <c r="D1327" t="s">
        <v>8</v>
      </c>
      <c r="E1327" t="s">
        <v>8</v>
      </c>
      <c r="F1327" t="s">
        <v>8</v>
      </c>
      <c r="G1327" t="s">
        <v>8</v>
      </c>
      <c r="H1327">
        <v>0</v>
      </c>
    </row>
    <row r="1328" spans="2:8">
      <c r="B1328" t="s">
        <v>463</v>
      </c>
      <c r="C1328" t="s">
        <v>70</v>
      </c>
      <c r="D1328" t="s">
        <v>8</v>
      </c>
      <c r="E1328" t="s">
        <v>8</v>
      </c>
      <c r="F1328" t="s">
        <v>8</v>
      </c>
      <c r="G1328" t="s">
        <v>8</v>
      </c>
      <c r="H1328">
        <v>0</v>
      </c>
    </row>
    <row r="1329" spans="2:8">
      <c r="B1329" t="s">
        <v>463</v>
      </c>
      <c r="C1329" t="s">
        <v>71</v>
      </c>
      <c r="D1329" t="s">
        <v>8</v>
      </c>
      <c r="E1329" t="s">
        <v>8</v>
      </c>
      <c r="F1329" t="s">
        <v>8</v>
      </c>
      <c r="G1329" t="s">
        <v>8</v>
      </c>
      <c r="H1329">
        <v>0</v>
      </c>
    </row>
    <row r="1330" spans="2:8">
      <c r="B1330" t="s">
        <v>463</v>
      </c>
      <c r="C1330" t="s">
        <v>72</v>
      </c>
      <c r="D1330">
        <v>3919</v>
      </c>
      <c r="E1330">
        <v>3919</v>
      </c>
      <c r="F1330">
        <v>3919</v>
      </c>
      <c r="G1330">
        <v>3919</v>
      </c>
      <c r="H1330">
        <v>474100</v>
      </c>
    </row>
    <row r="1331" spans="2:8">
      <c r="B1331" t="s">
        <v>587</v>
      </c>
      <c r="C1331" t="s">
        <v>166</v>
      </c>
      <c r="D1331">
        <v>3933</v>
      </c>
      <c r="E1331">
        <v>3946</v>
      </c>
      <c r="F1331">
        <v>3924</v>
      </c>
      <c r="G1331">
        <v>3930</v>
      </c>
      <c r="H1331">
        <v>68100</v>
      </c>
    </row>
    <row r="1332" spans="2:8">
      <c r="B1332" t="s">
        <v>587</v>
      </c>
      <c r="C1332" t="s">
        <v>167</v>
      </c>
      <c r="D1332">
        <v>3931</v>
      </c>
      <c r="E1332">
        <v>3942</v>
      </c>
      <c r="F1332">
        <v>3929</v>
      </c>
      <c r="G1332">
        <v>3932</v>
      </c>
      <c r="H1332">
        <v>6700</v>
      </c>
    </row>
    <row r="1333" spans="2:8">
      <c r="B1333" t="s">
        <v>587</v>
      </c>
      <c r="C1333" t="s">
        <v>168</v>
      </c>
      <c r="D1333">
        <v>3930</v>
      </c>
      <c r="E1333">
        <v>3938</v>
      </c>
      <c r="F1333">
        <v>3928</v>
      </c>
      <c r="G1333">
        <v>3938</v>
      </c>
      <c r="H1333">
        <v>6000</v>
      </c>
    </row>
    <row r="1334" spans="2:8">
      <c r="B1334" t="s">
        <v>587</v>
      </c>
      <c r="C1334" t="s">
        <v>169</v>
      </c>
      <c r="D1334">
        <v>3938</v>
      </c>
      <c r="E1334">
        <v>3938</v>
      </c>
      <c r="F1334">
        <v>3926</v>
      </c>
      <c r="G1334">
        <v>3928</v>
      </c>
      <c r="H1334">
        <v>5400</v>
      </c>
    </row>
    <row r="1335" spans="2:8">
      <c r="B1335" t="s">
        <v>587</v>
      </c>
      <c r="C1335" t="s">
        <v>170</v>
      </c>
      <c r="D1335">
        <v>3929</v>
      </c>
      <c r="E1335">
        <v>3931</v>
      </c>
      <c r="F1335">
        <v>3927</v>
      </c>
      <c r="G1335">
        <v>3928</v>
      </c>
      <c r="H1335">
        <v>2600</v>
      </c>
    </row>
    <row r="1336" spans="2:8">
      <c r="B1336" t="s">
        <v>587</v>
      </c>
      <c r="C1336" t="s">
        <v>171</v>
      </c>
      <c r="D1336">
        <v>3927</v>
      </c>
      <c r="E1336">
        <v>3927</v>
      </c>
      <c r="F1336">
        <v>3924</v>
      </c>
      <c r="G1336">
        <v>3924</v>
      </c>
      <c r="H1336">
        <v>2900</v>
      </c>
    </row>
    <row r="1337" spans="2:8">
      <c r="B1337" t="s">
        <v>587</v>
      </c>
      <c r="C1337" t="s">
        <v>172</v>
      </c>
      <c r="D1337">
        <v>3925</v>
      </c>
      <c r="E1337">
        <v>3925</v>
      </c>
      <c r="F1337">
        <v>3921</v>
      </c>
      <c r="G1337">
        <v>3922</v>
      </c>
      <c r="H1337">
        <v>3400</v>
      </c>
    </row>
    <row r="1338" spans="2:8">
      <c r="B1338" t="s">
        <v>587</v>
      </c>
      <c r="C1338" t="s">
        <v>173</v>
      </c>
      <c r="D1338">
        <v>3922</v>
      </c>
      <c r="E1338">
        <v>3924</v>
      </c>
      <c r="F1338">
        <v>3919</v>
      </c>
      <c r="G1338">
        <v>3924</v>
      </c>
      <c r="H1338">
        <v>6800</v>
      </c>
    </row>
    <row r="1339" spans="2:8">
      <c r="B1339" t="s">
        <v>587</v>
      </c>
      <c r="C1339" t="s">
        <v>174</v>
      </c>
      <c r="D1339">
        <v>3924</v>
      </c>
      <c r="E1339">
        <v>3930</v>
      </c>
      <c r="F1339">
        <v>3924</v>
      </c>
      <c r="G1339">
        <v>3928</v>
      </c>
      <c r="H1339">
        <v>4100</v>
      </c>
    </row>
    <row r="1340" spans="2:8">
      <c r="B1340" t="s">
        <v>587</v>
      </c>
      <c r="C1340" t="s">
        <v>175</v>
      </c>
      <c r="D1340">
        <v>3928</v>
      </c>
      <c r="E1340">
        <v>3928</v>
      </c>
      <c r="F1340">
        <v>3923</v>
      </c>
      <c r="G1340">
        <v>3923</v>
      </c>
      <c r="H1340">
        <v>4000</v>
      </c>
    </row>
    <row r="1341" spans="2:8">
      <c r="B1341" t="s">
        <v>587</v>
      </c>
      <c r="C1341" t="s">
        <v>176</v>
      </c>
      <c r="D1341">
        <v>3922</v>
      </c>
      <c r="E1341">
        <v>3936</v>
      </c>
      <c r="F1341">
        <v>3922</v>
      </c>
      <c r="G1341">
        <v>3933</v>
      </c>
      <c r="H1341">
        <v>9000</v>
      </c>
    </row>
    <row r="1342" spans="2:8">
      <c r="B1342" t="s">
        <v>587</v>
      </c>
      <c r="C1342" t="s">
        <v>177</v>
      </c>
      <c r="D1342">
        <v>3933</v>
      </c>
      <c r="E1342">
        <v>3933</v>
      </c>
      <c r="F1342">
        <v>3927</v>
      </c>
      <c r="G1342">
        <v>3929</v>
      </c>
      <c r="H1342">
        <v>4300</v>
      </c>
    </row>
    <row r="1343" spans="2:8">
      <c r="B1343" t="s">
        <v>587</v>
      </c>
      <c r="C1343" t="s">
        <v>178</v>
      </c>
      <c r="D1343">
        <v>3927</v>
      </c>
      <c r="E1343">
        <v>3933</v>
      </c>
      <c r="F1343">
        <v>3926</v>
      </c>
      <c r="G1343">
        <v>3929</v>
      </c>
      <c r="H1343">
        <v>3600</v>
      </c>
    </row>
    <row r="1344" spans="2:8">
      <c r="B1344" t="s">
        <v>587</v>
      </c>
      <c r="C1344" t="s">
        <v>179</v>
      </c>
      <c r="D1344">
        <v>3931</v>
      </c>
      <c r="E1344">
        <v>3935</v>
      </c>
      <c r="F1344">
        <v>3930</v>
      </c>
      <c r="G1344">
        <v>3933</v>
      </c>
      <c r="H1344">
        <v>2500</v>
      </c>
    </row>
    <row r="1345" spans="2:8">
      <c r="B1345" t="s">
        <v>587</v>
      </c>
      <c r="C1345" t="s">
        <v>180</v>
      </c>
      <c r="D1345">
        <v>3934</v>
      </c>
      <c r="E1345">
        <v>3941</v>
      </c>
      <c r="F1345">
        <v>3932</v>
      </c>
      <c r="G1345">
        <v>3939</v>
      </c>
      <c r="H1345">
        <v>9700</v>
      </c>
    </row>
    <row r="1346" spans="2:8">
      <c r="B1346" t="s">
        <v>587</v>
      </c>
      <c r="C1346" t="s">
        <v>181</v>
      </c>
      <c r="D1346">
        <v>3938</v>
      </c>
      <c r="E1346">
        <v>3940</v>
      </c>
      <c r="F1346">
        <v>3933</v>
      </c>
      <c r="G1346">
        <v>3933</v>
      </c>
      <c r="H1346">
        <v>5300</v>
      </c>
    </row>
    <row r="1347" spans="2:8">
      <c r="B1347" t="s">
        <v>587</v>
      </c>
      <c r="C1347" t="s">
        <v>182</v>
      </c>
      <c r="D1347">
        <v>3932</v>
      </c>
      <c r="E1347">
        <v>3932</v>
      </c>
      <c r="F1347">
        <v>3927</v>
      </c>
      <c r="G1347">
        <v>3931</v>
      </c>
      <c r="H1347">
        <v>4100</v>
      </c>
    </row>
    <row r="1348" spans="2:8">
      <c r="B1348" t="s">
        <v>587</v>
      </c>
      <c r="C1348" t="s">
        <v>183</v>
      </c>
      <c r="D1348">
        <v>3931</v>
      </c>
      <c r="E1348">
        <v>3936</v>
      </c>
      <c r="F1348">
        <v>3931</v>
      </c>
      <c r="G1348">
        <v>3934</v>
      </c>
      <c r="H1348">
        <v>6500</v>
      </c>
    </row>
    <row r="1349" spans="2:8">
      <c r="B1349" t="s">
        <v>587</v>
      </c>
      <c r="C1349" t="s">
        <v>184</v>
      </c>
      <c r="D1349">
        <v>3937</v>
      </c>
      <c r="E1349">
        <v>3942</v>
      </c>
      <c r="F1349">
        <v>3937</v>
      </c>
      <c r="G1349">
        <v>3939</v>
      </c>
      <c r="H1349">
        <v>3400</v>
      </c>
    </row>
    <row r="1350" spans="2:8">
      <c r="B1350" t="s">
        <v>587</v>
      </c>
      <c r="C1350" t="s">
        <v>185</v>
      </c>
      <c r="D1350">
        <v>3940</v>
      </c>
      <c r="E1350">
        <v>3954</v>
      </c>
      <c r="F1350">
        <v>3940</v>
      </c>
      <c r="G1350">
        <v>3952</v>
      </c>
      <c r="H1350">
        <v>10700</v>
      </c>
    </row>
    <row r="1351" spans="2:8">
      <c r="B1351" t="s">
        <v>587</v>
      </c>
      <c r="C1351" t="s">
        <v>186</v>
      </c>
      <c r="D1351">
        <v>3951</v>
      </c>
      <c r="E1351">
        <v>3954</v>
      </c>
      <c r="F1351">
        <v>3947</v>
      </c>
      <c r="G1351">
        <v>3949</v>
      </c>
      <c r="H1351">
        <v>4700</v>
      </c>
    </row>
    <row r="1352" spans="2:8">
      <c r="B1352" t="s">
        <v>587</v>
      </c>
      <c r="C1352" t="s">
        <v>187</v>
      </c>
      <c r="D1352">
        <v>3949</v>
      </c>
      <c r="E1352">
        <v>3953</v>
      </c>
      <c r="F1352">
        <v>3948</v>
      </c>
      <c r="G1352">
        <v>3953</v>
      </c>
      <c r="H1352">
        <v>5800</v>
      </c>
    </row>
    <row r="1353" spans="2:8">
      <c r="B1353" t="s">
        <v>587</v>
      </c>
      <c r="C1353" t="s">
        <v>188</v>
      </c>
      <c r="D1353">
        <v>3953</v>
      </c>
      <c r="E1353">
        <v>3953</v>
      </c>
      <c r="F1353">
        <v>3952</v>
      </c>
      <c r="G1353">
        <v>3952</v>
      </c>
      <c r="H1353">
        <v>1600</v>
      </c>
    </row>
    <row r="1354" spans="2:8">
      <c r="B1354" t="s">
        <v>587</v>
      </c>
      <c r="C1354" t="s">
        <v>189</v>
      </c>
      <c r="D1354">
        <v>3950</v>
      </c>
      <c r="E1354">
        <v>3954</v>
      </c>
      <c r="F1354">
        <v>3948</v>
      </c>
      <c r="G1354">
        <v>3948</v>
      </c>
      <c r="H1354">
        <v>1900</v>
      </c>
    </row>
    <row r="1355" spans="2:8">
      <c r="B1355" t="s">
        <v>587</v>
      </c>
      <c r="C1355" t="s">
        <v>190</v>
      </c>
      <c r="D1355">
        <v>3949</v>
      </c>
      <c r="E1355">
        <v>3950</v>
      </c>
      <c r="F1355">
        <v>3947</v>
      </c>
      <c r="G1355">
        <v>3950</v>
      </c>
      <c r="H1355">
        <v>900</v>
      </c>
    </row>
    <row r="1356" spans="2:8">
      <c r="B1356" t="s">
        <v>587</v>
      </c>
      <c r="C1356" t="s">
        <v>191</v>
      </c>
      <c r="D1356">
        <v>3950</v>
      </c>
      <c r="E1356">
        <v>3952</v>
      </c>
      <c r="F1356">
        <v>3949</v>
      </c>
      <c r="G1356">
        <v>3952</v>
      </c>
      <c r="H1356">
        <v>1100</v>
      </c>
    </row>
    <row r="1357" spans="2:8">
      <c r="B1357" t="s">
        <v>587</v>
      </c>
      <c r="C1357" t="s">
        <v>192</v>
      </c>
      <c r="D1357">
        <v>3951</v>
      </c>
      <c r="E1357">
        <v>3952</v>
      </c>
      <c r="F1357">
        <v>3946</v>
      </c>
      <c r="G1357">
        <v>3946</v>
      </c>
      <c r="H1357">
        <v>4100</v>
      </c>
    </row>
    <row r="1358" spans="2:8">
      <c r="B1358" t="s">
        <v>587</v>
      </c>
      <c r="C1358" t="s">
        <v>193</v>
      </c>
      <c r="D1358">
        <v>3944</v>
      </c>
      <c r="E1358">
        <v>3944</v>
      </c>
      <c r="F1358">
        <v>3940</v>
      </c>
      <c r="G1358">
        <v>3944</v>
      </c>
      <c r="H1358">
        <v>4300</v>
      </c>
    </row>
    <row r="1359" spans="2:8">
      <c r="B1359" t="s">
        <v>587</v>
      </c>
      <c r="C1359" t="s">
        <v>194</v>
      </c>
      <c r="D1359">
        <v>3945</v>
      </c>
      <c r="E1359">
        <v>3946</v>
      </c>
      <c r="F1359">
        <v>3942</v>
      </c>
      <c r="G1359">
        <v>3942</v>
      </c>
      <c r="H1359">
        <v>1600</v>
      </c>
    </row>
    <row r="1360" spans="2:8">
      <c r="B1360" t="s">
        <v>587</v>
      </c>
      <c r="C1360" t="s">
        <v>195</v>
      </c>
      <c r="D1360">
        <v>3943</v>
      </c>
      <c r="E1360">
        <v>3943</v>
      </c>
      <c r="F1360">
        <v>3939</v>
      </c>
      <c r="G1360">
        <v>3940</v>
      </c>
      <c r="H1360">
        <v>1700</v>
      </c>
    </row>
    <row r="1361" spans="2:8">
      <c r="B1361" t="s">
        <v>587</v>
      </c>
      <c r="C1361" t="s">
        <v>196</v>
      </c>
      <c r="D1361">
        <v>3940</v>
      </c>
      <c r="E1361">
        <v>3949</v>
      </c>
      <c r="F1361">
        <v>3940</v>
      </c>
      <c r="G1361">
        <v>3948</v>
      </c>
      <c r="H1361">
        <v>6500</v>
      </c>
    </row>
    <row r="1362" spans="2:8">
      <c r="B1362" t="s">
        <v>587</v>
      </c>
      <c r="C1362" t="s">
        <v>197</v>
      </c>
      <c r="D1362">
        <v>3946</v>
      </c>
      <c r="E1362">
        <v>3949</v>
      </c>
      <c r="F1362">
        <v>3945</v>
      </c>
      <c r="G1362">
        <v>3945</v>
      </c>
      <c r="H1362">
        <v>2000</v>
      </c>
    </row>
    <row r="1363" spans="2:8">
      <c r="B1363" t="s">
        <v>587</v>
      </c>
      <c r="C1363" t="s">
        <v>198</v>
      </c>
      <c r="D1363">
        <v>3946</v>
      </c>
      <c r="E1363">
        <v>3951</v>
      </c>
      <c r="F1363">
        <v>3945</v>
      </c>
      <c r="G1363">
        <v>3951</v>
      </c>
      <c r="H1363">
        <v>3900</v>
      </c>
    </row>
    <row r="1364" spans="2:8">
      <c r="B1364" t="s">
        <v>587</v>
      </c>
      <c r="C1364" t="s">
        <v>199</v>
      </c>
      <c r="D1364">
        <v>3952</v>
      </c>
      <c r="E1364">
        <v>3959</v>
      </c>
      <c r="F1364">
        <v>3952</v>
      </c>
      <c r="G1364">
        <v>3959</v>
      </c>
      <c r="H1364">
        <v>8600</v>
      </c>
    </row>
    <row r="1365" spans="2:8">
      <c r="B1365" t="s">
        <v>587</v>
      </c>
      <c r="C1365" t="s">
        <v>200</v>
      </c>
      <c r="D1365">
        <v>3959</v>
      </c>
      <c r="E1365">
        <v>3970</v>
      </c>
      <c r="F1365">
        <v>3959</v>
      </c>
      <c r="G1365">
        <v>3968</v>
      </c>
      <c r="H1365">
        <v>16600</v>
      </c>
    </row>
    <row r="1366" spans="2:8">
      <c r="B1366" t="s">
        <v>587</v>
      </c>
      <c r="C1366" t="s">
        <v>201</v>
      </c>
      <c r="D1366">
        <v>3966</v>
      </c>
      <c r="E1366">
        <v>3966</v>
      </c>
      <c r="F1366">
        <v>3965</v>
      </c>
      <c r="G1366">
        <v>3965</v>
      </c>
      <c r="H1366">
        <v>1200</v>
      </c>
    </row>
    <row r="1367" spans="2:8">
      <c r="B1367" t="s">
        <v>587</v>
      </c>
      <c r="C1367" t="s">
        <v>202</v>
      </c>
      <c r="D1367">
        <v>3965</v>
      </c>
      <c r="E1367">
        <v>3968</v>
      </c>
      <c r="F1367">
        <v>3965</v>
      </c>
      <c r="G1367">
        <v>3967</v>
      </c>
      <c r="H1367">
        <v>2600</v>
      </c>
    </row>
    <row r="1368" spans="2:8">
      <c r="B1368" t="s">
        <v>587</v>
      </c>
      <c r="C1368" t="s">
        <v>203</v>
      </c>
      <c r="D1368">
        <v>3968</v>
      </c>
      <c r="E1368">
        <v>3970</v>
      </c>
      <c r="F1368">
        <v>3966</v>
      </c>
      <c r="G1368">
        <v>3969</v>
      </c>
      <c r="H1368">
        <v>2200</v>
      </c>
    </row>
    <row r="1369" spans="2:8">
      <c r="B1369" t="s">
        <v>587</v>
      </c>
      <c r="C1369" t="s">
        <v>204</v>
      </c>
      <c r="D1369">
        <v>3968</v>
      </c>
      <c r="E1369">
        <v>3972</v>
      </c>
      <c r="F1369">
        <v>3968</v>
      </c>
      <c r="G1369">
        <v>3969</v>
      </c>
      <c r="H1369">
        <v>3100</v>
      </c>
    </row>
    <row r="1370" spans="2:8">
      <c r="B1370" t="s">
        <v>587</v>
      </c>
      <c r="C1370" t="s">
        <v>205</v>
      </c>
      <c r="D1370">
        <v>3970</v>
      </c>
      <c r="E1370">
        <v>3973</v>
      </c>
      <c r="F1370">
        <v>3968</v>
      </c>
      <c r="G1370">
        <v>3973</v>
      </c>
      <c r="H1370">
        <v>5900</v>
      </c>
    </row>
    <row r="1371" spans="2:8">
      <c r="B1371" t="s">
        <v>587</v>
      </c>
      <c r="C1371" t="s">
        <v>206</v>
      </c>
      <c r="D1371">
        <v>3973</v>
      </c>
      <c r="E1371">
        <v>3973</v>
      </c>
      <c r="F1371">
        <v>3971</v>
      </c>
      <c r="G1371">
        <v>3973</v>
      </c>
      <c r="H1371">
        <v>900</v>
      </c>
    </row>
    <row r="1372" spans="2:8">
      <c r="B1372" t="s">
        <v>587</v>
      </c>
      <c r="C1372" t="s">
        <v>207</v>
      </c>
      <c r="D1372">
        <v>3971</v>
      </c>
      <c r="E1372">
        <v>3971</v>
      </c>
      <c r="F1372">
        <v>3967</v>
      </c>
      <c r="G1372">
        <v>3969</v>
      </c>
      <c r="H1372">
        <v>3500</v>
      </c>
    </row>
    <row r="1373" spans="2:8">
      <c r="B1373" t="s">
        <v>587</v>
      </c>
      <c r="C1373" t="s">
        <v>208</v>
      </c>
      <c r="D1373">
        <v>3968</v>
      </c>
      <c r="E1373">
        <v>3968</v>
      </c>
      <c r="F1373">
        <v>3966</v>
      </c>
      <c r="G1373">
        <v>3966</v>
      </c>
      <c r="H1373">
        <v>1300</v>
      </c>
    </row>
    <row r="1374" spans="2:8">
      <c r="B1374" t="s">
        <v>587</v>
      </c>
      <c r="C1374" t="s">
        <v>209</v>
      </c>
      <c r="D1374">
        <v>3967</v>
      </c>
      <c r="E1374">
        <v>3974</v>
      </c>
      <c r="F1374">
        <v>3967</v>
      </c>
      <c r="G1374">
        <v>3972</v>
      </c>
      <c r="H1374">
        <v>7200</v>
      </c>
    </row>
    <row r="1375" spans="2:8">
      <c r="B1375" t="s">
        <v>587</v>
      </c>
      <c r="C1375" t="s">
        <v>210</v>
      </c>
      <c r="D1375">
        <v>3971</v>
      </c>
      <c r="E1375">
        <v>3971</v>
      </c>
      <c r="F1375">
        <v>3966</v>
      </c>
      <c r="G1375">
        <v>3968</v>
      </c>
      <c r="H1375">
        <v>2000</v>
      </c>
    </row>
    <row r="1376" spans="2:8">
      <c r="B1376" t="s">
        <v>587</v>
      </c>
      <c r="C1376" t="s">
        <v>211</v>
      </c>
      <c r="D1376">
        <v>3967</v>
      </c>
      <c r="E1376">
        <v>3969</v>
      </c>
      <c r="F1376">
        <v>3966</v>
      </c>
      <c r="G1376">
        <v>3968</v>
      </c>
      <c r="H1376">
        <v>8400</v>
      </c>
    </row>
    <row r="1377" spans="2:8">
      <c r="B1377" t="s">
        <v>587</v>
      </c>
      <c r="C1377" t="s">
        <v>212</v>
      </c>
      <c r="D1377">
        <v>3966</v>
      </c>
      <c r="E1377">
        <v>3966</v>
      </c>
      <c r="F1377">
        <v>3962</v>
      </c>
      <c r="G1377">
        <v>3966</v>
      </c>
      <c r="H1377">
        <v>2700</v>
      </c>
    </row>
    <row r="1378" spans="2:8">
      <c r="B1378" t="s">
        <v>587</v>
      </c>
      <c r="C1378" t="s">
        <v>213</v>
      </c>
      <c r="D1378">
        <v>3964</v>
      </c>
      <c r="E1378">
        <v>3965</v>
      </c>
      <c r="F1378">
        <v>3964</v>
      </c>
      <c r="G1378">
        <v>3965</v>
      </c>
      <c r="H1378">
        <v>1000</v>
      </c>
    </row>
    <row r="1379" spans="2:8">
      <c r="B1379" t="s">
        <v>587</v>
      </c>
      <c r="C1379" t="s">
        <v>214</v>
      </c>
      <c r="D1379">
        <v>3964</v>
      </c>
      <c r="E1379">
        <v>3969</v>
      </c>
      <c r="F1379">
        <v>3964</v>
      </c>
      <c r="G1379">
        <v>3969</v>
      </c>
      <c r="H1379">
        <v>1800</v>
      </c>
    </row>
    <row r="1380" spans="2:8">
      <c r="B1380" t="s">
        <v>587</v>
      </c>
      <c r="C1380" t="s">
        <v>215</v>
      </c>
      <c r="D1380">
        <v>3968</v>
      </c>
      <c r="E1380">
        <v>3974</v>
      </c>
      <c r="F1380">
        <v>3968</v>
      </c>
      <c r="G1380">
        <v>3974</v>
      </c>
      <c r="H1380">
        <v>5900</v>
      </c>
    </row>
    <row r="1381" spans="2:8">
      <c r="B1381" t="s">
        <v>587</v>
      </c>
      <c r="C1381" t="s">
        <v>216</v>
      </c>
      <c r="D1381">
        <v>3973</v>
      </c>
      <c r="E1381">
        <v>3973</v>
      </c>
      <c r="F1381">
        <v>3972</v>
      </c>
      <c r="G1381">
        <v>3972</v>
      </c>
      <c r="H1381">
        <v>900</v>
      </c>
    </row>
    <row r="1382" spans="2:8">
      <c r="B1382" t="s">
        <v>587</v>
      </c>
      <c r="C1382" t="s">
        <v>217</v>
      </c>
      <c r="D1382">
        <v>3971</v>
      </c>
      <c r="E1382">
        <v>3973</v>
      </c>
      <c r="F1382">
        <v>3971</v>
      </c>
      <c r="G1382">
        <v>3971</v>
      </c>
      <c r="H1382">
        <v>800</v>
      </c>
    </row>
    <row r="1383" spans="2:8">
      <c r="B1383" t="s">
        <v>587</v>
      </c>
      <c r="C1383" t="s">
        <v>218</v>
      </c>
      <c r="D1383">
        <v>3970</v>
      </c>
      <c r="E1383">
        <v>3970</v>
      </c>
      <c r="F1383">
        <v>3965</v>
      </c>
      <c r="G1383">
        <v>3965</v>
      </c>
      <c r="H1383">
        <v>2200</v>
      </c>
    </row>
    <row r="1384" spans="2:8">
      <c r="B1384" t="s">
        <v>587</v>
      </c>
      <c r="C1384" t="s">
        <v>219</v>
      </c>
      <c r="D1384">
        <v>3964</v>
      </c>
      <c r="E1384">
        <v>3966</v>
      </c>
      <c r="F1384">
        <v>3958</v>
      </c>
      <c r="G1384">
        <v>3964</v>
      </c>
      <c r="H1384">
        <v>19000</v>
      </c>
    </row>
    <row r="1385" spans="2:8">
      <c r="B1385" t="s">
        <v>587</v>
      </c>
      <c r="C1385" t="s">
        <v>220</v>
      </c>
      <c r="D1385">
        <v>3963</v>
      </c>
      <c r="E1385">
        <v>3963</v>
      </c>
      <c r="F1385">
        <v>3960</v>
      </c>
      <c r="G1385">
        <v>3960</v>
      </c>
      <c r="H1385">
        <v>1200</v>
      </c>
    </row>
    <row r="1386" spans="2:8">
      <c r="B1386" t="s">
        <v>587</v>
      </c>
      <c r="C1386" t="s">
        <v>221</v>
      </c>
      <c r="D1386">
        <v>3961</v>
      </c>
      <c r="E1386">
        <v>3965</v>
      </c>
      <c r="F1386">
        <v>3961</v>
      </c>
      <c r="G1386">
        <v>3965</v>
      </c>
      <c r="H1386">
        <v>1600</v>
      </c>
    </row>
    <row r="1387" spans="2:8">
      <c r="B1387" t="s">
        <v>587</v>
      </c>
      <c r="C1387" t="s">
        <v>222</v>
      </c>
      <c r="D1387">
        <v>3964</v>
      </c>
      <c r="E1387">
        <v>3968</v>
      </c>
      <c r="F1387">
        <v>3964</v>
      </c>
      <c r="G1387">
        <v>3968</v>
      </c>
      <c r="H1387">
        <v>1900</v>
      </c>
    </row>
    <row r="1388" spans="2:8">
      <c r="B1388" t="s">
        <v>587</v>
      </c>
      <c r="C1388" t="s">
        <v>223</v>
      </c>
      <c r="D1388" t="s">
        <v>8</v>
      </c>
      <c r="E1388" t="s">
        <v>8</v>
      </c>
      <c r="F1388" t="s">
        <v>8</v>
      </c>
      <c r="G1388" t="s">
        <v>8</v>
      </c>
      <c r="H1388">
        <v>0</v>
      </c>
    </row>
    <row r="1389" spans="2:8">
      <c r="B1389" t="s">
        <v>587</v>
      </c>
      <c r="C1389" t="s">
        <v>224</v>
      </c>
      <c r="D1389">
        <v>3968</v>
      </c>
      <c r="E1389">
        <v>3968</v>
      </c>
      <c r="F1389">
        <v>3968</v>
      </c>
      <c r="G1389">
        <v>3968</v>
      </c>
      <c r="H1389">
        <v>300</v>
      </c>
    </row>
    <row r="1390" spans="2:8">
      <c r="B1390" t="s">
        <v>587</v>
      </c>
      <c r="C1390" t="s">
        <v>225</v>
      </c>
      <c r="D1390">
        <v>3969</v>
      </c>
      <c r="E1390">
        <v>3975</v>
      </c>
      <c r="F1390">
        <v>3969</v>
      </c>
      <c r="G1390">
        <v>3975</v>
      </c>
      <c r="H1390">
        <v>2900</v>
      </c>
    </row>
    <row r="1391" spans="2:8">
      <c r="B1391" t="s">
        <v>587</v>
      </c>
      <c r="C1391" t="s">
        <v>226</v>
      </c>
      <c r="D1391">
        <v>3975</v>
      </c>
      <c r="E1391">
        <v>3982</v>
      </c>
      <c r="F1391">
        <v>3973</v>
      </c>
      <c r="G1391">
        <v>3982</v>
      </c>
      <c r="H1391">
        <v>17100</v>
      </c>
    </row>
    <row r="1392" spans="2:8">
      <c r="B1392" t="s">
        <v>587</v>
      </c>
      <c r="C1392" t="s">
        <v>227</v>
      </c>
      <c r="D1392">
        <v>3980</v>
      </c>
      <c r="E1392">
        <v>3984</v>
      </c>
      <c r="F1392">
        <v>3980</v>
      </c>
      <c r="G1392">
        <v>3984</v>
      </c>
      <c r="H1392">
        <v>1500</v>
      </c>
    </row>
    <row r="1393" spans="2:8">
      <c r="B1393" t="s">
        <v>587</v>
      </c>
      <c r="C1393" t="s">
        <v>228</v>
      </c>
      <c r="D1393">
        <v>3984</v>
      </c>
      <c r="E1393">
        <v>3985</v>
      </c>
      <c r="F1393">
        <v>3984</v>
      </c>
      <c r="G1393">
        <v>3985</v>
      </c>
      <c r="H1393">
        <v>800</v>
      </c>
    </row>
    <row r="1394" spans="2:8">
      <c r="B1394" t="s">
        <v>587</v>
      </c>
      <c r="C1394" t="s">
        <v>229</v>
      </c>
      <c r="D1394">
        <v>3983</v>
      </c>
      <c r="E1394">
        <v>3986</v>
      </c>
      <c r="F1394">
        <v>3983</v>
      </c>
      <c r="G1394">
        <v>3985</v>
      </c>
      <c r="H1394">
        <v>2400</v>
      </c>
    </row>
    <row r="1395" spans="2:8">
      <c r="B1395" t="s">
        <v>587</v>
      </c>
      <c r="C1395" t="s">
        <v>230</v>
      </c>
      <c r="D1395">
        <v>3986</v>
      </c>
      <c r="E1395">
        <v>3986</v>
      </c>
      <c r="F1395">
        <v>3984</v>
      </c>
      <c r="G1395">
        <v>3984</v>
      </c>
      <c r="H1395">
        <v>800</v>
      </c>
    </row>
    <row r="1396" spans="2:8">
      <c r="B1396" t="s">
        <v>587</v>
      </c>
      <c r="C1396" t="s">
        <v>231</v>
      </c>
      <c r="D1396">
        <v>3986</v>
      </c>
      <c r="E1396">
        <v>3986</v>
      </c>
      <c r="F1396">
        <v>3983</v>
      </c>
      <c r="G1396">
        <v>3983</v>
      </c>
      <c r="H1396">
        <v>4100</v>
      </c>
    </row>
    <row r="1397" spans="2:8">
      <c r="B1397" t="s">
        <v>587</v>
      </c>
      <c r="C1397" t="s">
        <v>232</v>
      </c>
      <c r="D1397">
        <v>3984</v>
      </c>
      <c r="E1397">
        <v>3984</v>
      </c>
      <c r="F1397">
        <v>3978</v>
      </c>
      <c r="G1397">
        <v>3978</v>
      </c>
      <c r="H1397">
        <v>2300</v>
      </c>
    </row>
    <row r="1398" spans="2:8">
      <c r="B1398" t="s">
        <v>587</v>
      </c>
      <c r="C1398" t="s">
        <v>233</v>
      </c>
      <c r="D1398">
        <v>3979</v>
      </c>
      <c r="E1398">
        <v>3979</v>
      </c>
      <c r="F1398">
        <v>3979</v>
      </c>
      <c r="G1398">
        <v>3979</v>
      </c>
      <c r="H1398">
        <v>500</v>
      </c>
    </row>
    <row r="1399" spans="2:8">
      <c r="B1399" t="s">
        <v>587</v>
      </c>
      <c r="C1399" t="s">
        <v>234</v>
      </c>
      <c r="D1399">
        <v>3979</v>
      </c>
      <c r="E1399">
        <v>3979</v>
      </c>
      <c r="F1399">
        <v>3973</v>
      </c>
      <c r="G1399">
        <v>3973</v>
      </c>
      <c r="H1399">
        <v>2600</v>
      </c>
    </row>
    <row r="1400" spans="2:8">
      <c r="B1400" t="s">
        <v>587</v>
      </c>
      <c r="C1400" t="s">
        <v>235</v>
      </c>
      <c r="D1400">
        <v>3974</v>
      </c>
      <c r="E1400">
        <v>3977</v>
      </c>
      <c r="F1400">
        <v>3973</v>
      </c>
      <c r="G1400">
        <v>3977</v>
      </c>
      <c r="H1400">
        <v>2700</v>
      </c>
    </row>
    <row r="1401" spans="2:8">
      <c r="B1401" t="s">
        <v>587</v>
      </c>
      <c r="C1401" t="s">
        <v>236</v>
      </c>
      <c r="D1401">
        <v>3976</v>
      </c>
      <c r="E1401">
        <v>3978</v>
      </c>
      <c r="F1401">
        <v>3974</v>
      </c>
      <c r="G1401">
        <v>3977</v>
      </c>
      <c r="H1401">
        <v>3800</v>
      </c>
    </row>
    <row r="1402" spans="2:8">
      <c r="B1402" t="s">
        <v>587</v>
      </c>
      <c r="C1402" t="s">
        <v>237</v>
      </c>
      <c r="D1402">
        <v>3977</v>
      </c>
      <c r="E1402">
        <v>3977</v>
      </c>
      <c r="F1402">
        <v>3977</v>
      </c>
      <c r="G1402">
        <v>3977</v>
      </c>
      <c r="H1402">
        <v>300</v>
      </c>
    </row>
    <row r="1403" spans="2:8">
      <c r="B1403" t="s">
        <v>587</v>
      </c>
      <c r="C1403" t="s">
        <v>238</v>
      </c>
      <c r="D1403">
        <v>3977</v>
      </c>
      <c r="E1403">
        <v>3978</v>
      </c>
      <c r="F1403">
        <v>3969</v>
      </c>
      <c r="G1403">
        <v>3969</v>
      </c>
      <c r="H1403">
        <v>3100</v>
      </c>
    </row>
    <row r="1404" spans="2:8">
      <c r="B1404" t="s">
        <v>587</v>
      </c>
      <c r="C1404" t="s">
        <v>239</v>
      </c>
      <c r="D1404">
        <v>3970</v>
      </c>
      <c r="E1404">
        <v>3975</v>
      </c>
      <c r="F1404">
        <v>3968</v>
      </c>
      <c r="G1404">
        <v>3975</v>
      </c>
      <c r="H1404">
        <v>2800</v>
      </c>
    </row>
    <row r="1405" spans="2:8">
      <c r="B1405" t="s">
        <v>587</v>
      </c>
      <c r="C1405" t="s">
        <v>240</v>
      </c>
      <c r="D1405">
        <v>3975</v>
      </c>
      <c r="E1405">
        <v>3976</v>
      </c>
      <c r="F1405">
        <v>3971</v>
      </c>
      <c r="G1405">
        <v>3971</v>
      </c>
      <c r="H1405">
        <v>1700</v>
      </c>
    </row>
    <row r="1406" spans="2:8">
      <c r="B1406" t="s">
        <v>587</v>
      </c>
      <c r="C1406" t="s">
        <v>241</v>
      </c>
      <c r="D1406">
        <v>3969</v>
      </c>
      <c r="E1406">
        <v>3973</v>
      </c>
      <c r="F1406">
        <v>3969</v>
      </c>
      <c r="G1406">
        <v>3973</v>
      </c>
      <c r="H1406">
        <v>2600</v>
      </c>
    </row>
    <row r="1407" spans="2:8">
      <c r="B1407" t="s">
        <v>587</v>
      </c>
      <c r="C1407" t="s">
        <v>242</v>
      </c>
      <c r="D1407">
        <v>3973</v>
      </c>
      <c r="E1407">
        <v>3973</v>
      </c>
      <c r="F1407">
        <v>3968</v>
      </c>
      <c r="G1407">
        <v>3968</v>
      </c>
      <c r="H1407">
        <v>2500</v>
      </c>
    </row>
    <row r="1408" spans="2:8">
      <c r="B1408" t="s">
        <v>587</v>
      </c>
      <c r="C1408" t="s">
        <v>243</v>
      </c>
      <c r="D1408">
        <v>3967</v>
      </c>
      <c r="E1408">
        <v>3967</v>
      </c>
      <c r="F1408">
        <v>3962</v>
      </c>
      <c r="G1408">
        <v>3962</v>
      </c>
      <c r="H1408">
        <v>4500</v>
      </c>
    </row>
    <row r="1409" spans="2:8">
      <c r="B1409" t="s">
        <v>587</v>
      </c>
      <c r="C1409" t="s">
        <v>244</v>
      </c>
      <c r="D1409">
        <v>3962</v>
      </c>
      <c r="E1409">
        <v>3964</v>
      </c>
      <c r="F1409">
        <v>3962</v>
      </c>
      <c r="G1409">
        <v>3964</v>
      </c>
      <c r="H1409">
        <v>3100</v>
      </c>
    </row>
    <row r="1410" spans="2:8">
      <c r="B1410" t="s">
        <v>587</v>
      </c>
      <c r="C1410" t="s">
        <v>245</v>
      </c>
      <c r="D1410">
        <v>3963</v>
      </c>
      <c r="E1410">
        <v>3968</v>
      </c>
      <c r="F1410">
        <v>3962</v>
      </c>
      <c r="G1410">
        <v>3968</v>
      </c>
      <c r="H1410">
        <v>2800</v>
      </c>
    </row>
    <row r="1411" spans="2:8">
      <c r="B1411" t="s">
        <v>587</v>
      </c>
      <c r="C1411" t="s">
        <v>246</v>
      </c>
      <c r="D1411">
        <v>3968</v>
      </c>
      <c r="E1411">
        <v>3970</v>
      </c>
      <c r="F1411">
        <v>3968</v>
      </c>
      <c r="G1411">
        <v>3970</v>
      </c>
      <c r="H1411">
        <v>1100</v>
      </c>
    </row>
    <row r="1412" spans="2:8">
      <c r="B1412" t="s">
        <v>587</v>
      </c>
      <c r="C1412" t="s">
        <v>247</v>
      </c>
      <c r="D1412">
        <v>3969</v>
      </c>
      <c r="E1412">
        <v>3977</v>
      </c>
      <c r="F1412">
        <v>3969</v>
      </c>
      <c r="G1412">
        <v>3977</v>
      </c>
      <c r="H1412">
        <v>5500</v>
      </c>
    </row>
    <row r="1413" spans="2:8">
      <c r="B1413" t="s">
        <v>587</v>
      </c>
      <c r="C1413" t="s">
        <v>248</v>
      </c>
      <c r="D1413">
        <v>3978</v>
      </c>
      <c r="E1413">
        <v>3980</v>
      </c>
      <c r="F1413">
        <v>3978</v>
      </c>
      <c r="G1413">
        <v>3980</v>
      </c>
      <c r="H1413">
        <v>1500</v>
      </c>
    </row>
    <row r="1414" spans="2:8">
      <c r="B1414" t="s">
        <v>587</v>
      </c>
      <c r="C1414" t="s">
        <v>249</v>
      </c>
      <c r="D1414">
        <v>3980</v>
      </c>
      <c r="E1414">
        <v>3983</v>
      </c>
      <c r="F1414">
        <v>3977</v>
      </c>
      <c r="G1414">
        <v>3979</v>
      </c>
      <c r="H1414">
        <v>4800</v>
      </c>
    </row>
    <row r="1415" spans="2:8">
      <c r="B1415" t="s">
        <v>587</v>
      </c>
      <c r="C1415" t="s">
        <v>250</v>
      </c>
      <c r="D1415">
        <v>3981</v>
      </c>
      <c r="E1415">
        <v>3993</v>
      </c>
      <c r="F1415">
        <v>3981</v>
      </c>
      <c r="G1415">
        <v>3993</v>
      </c>
      <c r="H1415">
        <v>11900</v>
      </c>
    </row>
    <row r="1416" spans="2:8">
      <c r="B1416" t="s">
        <v>587</v>
      </c>
      <c r="C1416" t="s">
        <v>251</v>
      </c>
      <c r="D1416">
        <v>3993</v>
      </c>
      <c r="E1416">
        <v>3996</v>
      </c>
      <c r="F1416">
        <v>3990</v>
      </c>
      <c r="G1416">
        <v>3995</v>
      </c>
      <c r="H1416">
        <v>5700</v>
      </c>
    </row>
    <row r="1417" spans="2:8">
      <c r="B1417" t="s">
        <v>587</v>
      </c>
      <c r="C1417" t="s">
        <v>252</v>
      </c>
      <c r="D1417">
        <v>3996</v>
      </c>
      <c r="E1417">
        <v>3996</v>
      </c>
      <c r="F1417">
        <v>3993</v>
      </c>
      <c r="G1417">
        <v>3995</v>
      </c>
      <c r="H1417">
        <v>3700</v>
      </c>
    </row>
    <row r="1418" spans="2:8">
      <c r="B1418" t="s">
        <v>587</v>
      </c>
      <c r="C1418" t="s">
        <v>253</v>
      </c>
      <c r="D1418">
        <v>3995</v>
      </c>
      <c r="E1418">
        <v>3996</v>
      </c>
      <c r="F1418">
        <v>3995</v>
      </c>
      <c r="G1418">
        <v>3995</v>
      </c>
      <c r="H1418">
        <v>900</v>
      </c>
    </row>
    <row r="1419" spans="2:8">
      <c r="B1419" t="s">
        <v>587</v>
      </c>
      <c r="C1419" t="s">
        <v>254</v>
      </c>
      <c r="D1419">
        <v>3995</v>
      </c>
      <c r="E1419">
        <v>3995</v>
      </c>
      <c r="F1419">
        <v>3991</v>
      </c>
      <c r="G1419">
        <v>3993</v>
      </c>
      <c r="H1419">
        <v>4800</v>
      </c>
    </row>
    <row r="1420" spans="2:8">
      <c r="B1420" t="s">
        <v>587</v>
      </c>
      <c r="C1420" t="s">
        <v>255</v>
      </c>
      <c r="D1420">
        <v>3991</v>
      </c>
      <c r="E1420">
        <v>3992</v>
      </c>
      <c r="F1420">
        <v>3990</v>
      </c>
      <c r="G1420">
        <v>3992</v>
      </c>
      <c r="H1420">
        <v>800</v>
      </c>
    </row>
    <row r="1421" spans="2:8">
      <c r="B1421" t="s">
        <v>587</v>
      </c>
      <c r="C1421" t="s">
        <v>256</v>
      </c>
      <c r="D1421">
        <v>3992</v>
      </c>
      <c r="E1421">
        <v>3993</v>
      </c>
      <c r="F1421">
        <v>3992</v>
      </c>
      <c r="G1421">
        <v>3993</v>
      </c>
      <c r="H1421">
        <v>5000</v>
      </c>
    </row>
    <row r="1422" spans="2:8">
      <c r="B1422" t="s">
        <v>587</v>
      </c>
      <c r="C1422" t="s">
        <v>257</v>
      </c>
      <c r="D1422">
        <v>3994</v>
      </c>
      <c r="E1422">
        <v>3995</v>
      </c>
      <c r="F1422">
        <v>3994</v>
      </c>
      <c r="G1422">
        <v>3995</v>
      </c>
      <c r="H1422">
        <v>1200</v>
      </c>
    </row>
    <row r="1423" spans="2:8">
      <c r="B1423" t="s">
        <v>587</v>
      </c>
      <c r="C1423" t="s">
        <v>258</v>
      </c>
      <c r="D1423">
        <v>3996</v>
      </c>
      <c r="E1423">
        <v>4003</v>
      </c>
      <c r="F1423">
        <v>3995</v>
      </c>
      <c r="G1423">
        <v>4003</v>
      </c>
      <c r="H1423">
        <v>36800</v>
      </c>
    </row>
    <row r="1424" spans="2:8">
      <c r="B1424" t="s">
        <v>587</v>
      </c>
      <c r="C1424" t="s">
        <v>259</v>
      </c>
      <c r="D1424">
        <v>4003</v>
      </c>
      <c r="E1424">
        <v>4004</v>
      </c>
      <c r="F1424">
        <v>4003</v>
      </c>
      <c r="G1424">
        <v>4003</v>
      </c>
      <c r="H1424">
        <v>3200</v>
      </c>
    </row>
    <row r="1425" spans="2:8">
      <c r="B1425" t="s">
        <v>587</v>
      </c>
      <c r="C1425" t="s">
        <v>260</v>
      </c>
      <c r="D1425">
        <v>4002</v>
      </c>
      <c r="E1425">
        <v>4002</v>
      </c>
      <c r="F1425">
        <v>3998</v>
      </c>
      <c r="G1425">
        <v>3998</v>
      </c>
      <c r="H1425">
        <v>5300</v>
      </c>
    </row>
    <row r="1426" spans="2:8">
      <c r="B1426" t="s">
        <v>587</v>
      </c>
      <c r="C1426" t="s">
        <v>261</v>
      </c>
      <c r="D1426">
        <v>3998</v>
      </c>
      <c r="E1426">
        <v>4000</v>
      </c>
      <c r="F1426">
        <v>3996</v>
      </c>
      <c r="G1426">
        <v>3996</v>
      </c>
      <c r="H1426">
        <v>3300</v>
      </c>
    </row>
    <row r="1427" spans="2:8">
      <c r="B1427" t="s">
        <v>587</v>
      </c>
      <c r="C1427" t="s">
        <v>262</v>
      </c>
      <c r="D1427">
        <v>3996</v>
      </c>
      <c r="E1427">
        <v>3996</v>
      </c>
      <c r="F1427">
        <v>3992</v>
      </c>
      <c r="G1427">
        <v>3992</v>
      </c>
      <c r="H1427">
        <v>1900</v>
      </c>
    </row>
    <row r="1428" spans="2:8">
      <c r="B1428" t="s">
        <v>587</v>
      </c>
      <c r="C1428" t="s">
        <v>263</v>
      </c>
      <c r="D1428">
        <v>3991</v>
      </c>
      <c r="E1428">
        <v>3991</v>
      </c>
      <c r="F1428">
        <v>3989</v>
      </c>
      <c r="G1428">
        <v>3991</v>
      </c>
      <c r="H1428">
        <v>4100</v>
      </c>
    </row>
    <row r="1429" spans="2:8">
      <c r="B1429" t="s">
        <v>587</v>
      </c>
      <c r="C1429" t="s">
        <v>264</v>
      </c>
      <c r="D1429">
        <v>3992</v>
      </c>
      <c r="E1429">
        <v>3993</v>
      </c>
      <c r="F1429">
        <v>3992</v>
      </c>
      <c r="G1429">
        <v>3992</v>
      </c>
      <c r="H1429">
        <v>700</v>
      </c>
    </row>
    <row r="1430" spans="2:8">
      <c r="B1430" t="s">
        <v>587</v>
      </c>
      <c r="C1430" t="s">
        <v>265</v>
      </c>
      <c r="D1430">
        <v>3993</v>
      </c>
      <c r="E1430">
        <v>3993</v>
      </c>
      <c r="F1430">
        <v>3989</v>
      </c>
      <c r="G1430">
        <v>3990</v>
      </c>
      <c r="H1430">
        <v>1400</v>
      </c>
    </row>
    <row r="1431" spans="2:8">
      <c r="B1431" t="s">
        <v>587</v>
      </c>
      <c r="C1431" t="s">
        <v>266</v>
      </c>
      <c r="D1431">
        <v>3990</v>
      </c>
      <c r="E1431">
        <v>3990</v>
      </c>
      <c r="F1431">
        <v>3989</v>
      </c>
      <c r="G1431">
        <v>3989</v>
      </c>
      <c r="H1431">
        <v>1100</v>
      </c>
    </row>
    <row r="1432" spans="2:8">
      <c r="B1432" t="s">
        <v>587</v>
      </c>
      <c r="C1432" t="s">
        <v>267</v>
      </c>
      <c r="D1432">
        <v>3989</v>
      </c>
      <c r="E1432">
        <v>3990</v>
      </c>
      <c r="F1432">
        <v>3989</v>
      </c>
      <c r="G1432">
        <v>3989</v>
      </c>
      <c r="H1432">
        <v>800</v>
      </c>
    </row>
    <row r="1433" spans="2:8">
      <c r="B1433" t="s">
        <v>587</v>
      </c>
      <c r="C1433" t="s">
        <v>268</v>
      </c>
      <c r="D1433">
        <v>3989</v>
      </c>
      <c r="E1433">
        <v>3989</v>
      </c>
      <c r="F1433">
        <v>3989</v>
      </c>
      <c r="G1433">
        <v>3989</v>
      </c>
      <c r="H1433">
        <v>600</v>
      </c>
    </row>
    <row r="1434" spans="2:8">
      <c r="B1434" t="s">
        <v>587</v>
      </c>
      <c r="C1434" t="s">
        <v>269</v>
      </c>
      <c r="D1434">
        <v>3989</v>
      </c>
      <c r="E1434">
        <v>3990</v>
      </c>
      <c r="F1434">
        <v>3986</v>
      </c>
      <c r="G1434">
        <v>3986</v>
      </c>
      <c r="H1434">
        <v>3300</v>
      </c>
    </row>
    <row r="1435" spans="2:8">
      <c r="B1435" t="s">
        <v>587</v>
      </c>
      <c r="C1435" t="s">
        <v>270</v>
      </c>
      <c r="D1435">
        <v>3986</v>
      </c>
      <c r="E1435">
        <v>3986</v>
      </c>
      <c r="F1435">
        <v>3984</v>
      </c>
      <c r="G1435">
        <v>3984</v>
      </c>
      <c r="H1435">
        <v>1900</v>
      </c>
    </row>
    <row r="1436" spans="2:8">
      <c r="B1436" t="s">
        <v>587</v>
      </c>
      <c r="C1436" t="s">
        <v>271</v>
      </c>
      <c r="D1436">
        <v>3984</v>
      </c>
      <c r="E1436">
        <v>3986</v>
      </c>
      <c r="F1436">
        <v>3984</v>
      </c>
      <c r="G1436">
        <v>3986</v>
      </c>
      <c r="H1436">
        <v>1500</v>
      </c>
    </row>
    <row r="1437" spans="2:8">
      <c r="B1437" t="s">
        <v>587</v>
      </c>
      <c r="C1437" t="s">
        <v>272</v>
      </c>
      <c r="D1437">
        <v>3986</v>
      </c>
      <c r="E1437">
        <v>3989</v>
      </c>
      <c r="F1437">
        <v>3986</v>
      </c>
      <c r="G1437">
        <v>3989</v>
      </c>
      <c r="H1437">
        <v>1100</v>
      </c>
    </row>
    <row r="1438" spans="2:8">
      <c r="B1438" t="s">
        <v>587</v>
      </c>
      <c r="C1438" t="s">
        <v>273</v>
      </c>
      <c r="D1438">
        <v>3988</v>
      </c>
      <c r="E1438">
        <v>3990</v>
      </c>
      <c r="F1438">
        <v>3988</v>
      </c>
      <c r="G1438">
        <v>3989</v>
      </c>
      <c r="H1438">
        <v>3600</v>
      </c>
    </row>
    <row r="1439" spans="2:8">
      <c r="B1439" t="s">
        <v>587</v>
      </c>
      <c r="C1439" t="s">
        <v>274</v>
      </c>
      <c r="D1439">
        <v>3989</v>
      </c>
      <c r="E1439">
        <v>3992</v>
      </c>
      <c r="F1439">
        <v>3989</v>
      </c>
      <c r="G1439">
        <v>3992</v>
      </c>
      <c r="H1439">
        <v>700</v>
      </c>
    </row>
    <row r="1440" spans="2:8">
      <c r="B1440" t="s">
        <v>587</v>
      </c>
      <c r="C1440" t="s">
        <v>275</v>
      </c>
      <c r="D1440">
        <v>3991</v>
      </c>
      <c r="E1440">
        <v>3993</v>
      </c>
      <c r="F1440">
        <v>3991</v>
      </c>
      <c r="G1440">
        <v>3993</v>
      </c>
      <c r="H1440">
        <v>1100</v>
      </c>
    </row>
    <row r="1441" spans="2:8">
      <c r="B1441" t="s">
        <v>587</v>
      </c>
      <c r="C1441" t="s">
        <v>276</v>
      </c>
      <c r="D1441">
        <v>3991</v>
      </c>
      <c r="E1441">
        <v>3992</v>
      </c>
      <c r="F1441">
        <v>3991</v>
      </c>
      <c r="G1441">
        <v>3992</v>
      </c>
      <c r="H1441">
        <v>400</v>
      </c>
    </row>
    <row r="1442" spans="2:8">
      <c r="B1442" t="s">
        <v>587</v>
      </c>
      <c r="C1442" t="s">
        <v>277</v>
      </c>
      <c r="D1442">
        <v>3992</v>
      </c>
      <c r="E1442">
        <v>3994</v>
      </c>
      <c r="F1442">
        <v>3992</v>
      </c>
      <c r="G1442">
        <v>3992</v>
      </c>
      <c r="H1442">
        <v>2200</v>
      </c>
    </row>
    <row r="1443" spans="2:8">
      <c r="B1443" t="s">
        <v>587</v>
      </c>
      <c r="C1443" t="s">
        <v>278</v>
      </c>
      <c r="D1443">
        <v>3992</v>
      </c>
      <c r="E1443">
        <v>3992</v>
      </c>
      <c r="F1443">
        <v>3991</v>
      </c>
      <c r="G1443">
        <v>3991</v>
      </c>
      <c r="H1443">
        <v>400</v>
      </c>
    </row>
    <row r="1444" spans="2:8">
      <c r="B1444" t="s">
        <v>587</v>
      </c>
      <c r="C1444" t="s">
        <v>279</v>
      </c>
      <c r="D1444">
        <v>3993</v>
      </c>
      <c r="E1444">
        <v>3993</v>
      </c>
      <c r="F1444">
        <v>3991</v>
      </c>
      <c r="G1444">
        <v>3992</v>
      </c>
      <c r="H1444">
        <v>2300</v>
      </c>
    </row>
    <row r="1445" spans="2:8">
      <c r="B1445" t="s">
        <v>587</v>
      </c>
      <c r="C1445" t="s">
        <v>280</v>
      </c>
      <c r="D1445">
        <v>3992</v>
      </c>
      <c r="E1445">
        <v>3992</v>
      </c>
      <c r="F1445">
        <v>3990</v>
      </c>
      <c r="G1445">
        <v>3990</v>
      </c>
      <c r="H1445">
        <v>2000</v>
      </c>
    </row>
    <row r="1446" spans="2:8">
      <c r="B1446" t="s">
        <v>587</v>
      </c>
      <c r="C1446" t="s">
        <v>281</v>
      </c>
      <c r="D1446">
        <v>3991</v>
      </c>
      <c r="E1446">
        <v>3991</v>
      </c>
      <c r="F1446">
        <v>3990</v>
      </c>
      <c r="G1446">
        <v>3990</v>
      </c>
      <c r="H1446">
        <v>1700</v>
      </c>
    </row>
    <row r="1447" spans="2:8">
      <c r="B1447" t="s">
        <v>587</v>
      </c>
      <c r="C1447" t="s">
        <v>282</v>
      </c>
      <c r="D1447">
        <v>3988</v>
      </c>
      <c r="E1447">
        <v>3988</v>
      </c>
      <c r="F1447">
        <v>3987</v>
      </c>
      <c r="G1447">
        <v>3987</v>
      </c>
      <c r="H1447">
        <v>3600</v>
      </c>
    </row>
    <row r="1448" spans="2:8">
      <c r="B1448" t="s">
        <v>587</v>
      </c>
      <c r="C1448" t="s">
        <v>283</v>
      </c>
      <c r="D1448">
        <v>3987</v>
      </c>
      <c r="E1448">
        <v>3988</v>
      </c>
      <c r="F1448">
        <v>3987</v>
      </c>
      <c r="G1448">
        <v>3987</v>
      </c>
      <c r="H1448">
        <v>500</v>
      </c>
    </row>
    <row r="1449" spans="2:8">
      <c r="B1449" t="s">
        <v>587</v>
      </c>
      <c r="C1449" t="s">
        <v>284</v>
      </c>
      <c r="D1449">
        <v>3986</v>
      </c>
      <c r="E1449">
        <v>3991</v>
      </c>
      <c r="F1449">
        <v>3986</v>
      </c>
      <c r="G1449">
        <v>3991</v>
      </c>
      <c r="H1449">
        <v>2600</v>
      </c>
    </row>
    <row r="1450" spans="2:8">
      <c r="B1450" t="s">
        <v>587</v>
      </c>
      <c r="C1450" t="s">
        <v>285</v>
      </c>
      <c r="D1450">
        <v>3991</v>
      </c>
      <c r="E1450">
        <v>3993</v>
      </c>
      <c r="F1450">
        <v>3991</v>
      </c>
      <c r="G1450">
        <v>3991</v>
      </c>
      <c r="H1450">
        <v>4000</v>
      </c>
    </row>
    <row r="1451" spans="2:8">
      <c r="B1451" t="s">
        <v>587</v>
      </c>
      <c r="C1451" t="s">
        <v>286</v>
      </c>
      <c r="D1451">
        <v>3990</v>
      </c>
      <c r="E1451">
        <v>3991</v>
      </c>
      <c r="F1451">
        <v>3989</v>
      </c>
      <c r="G1451">
        <v>3991</v>
      </c>
      <c r="H1451">
        <v>2400</v>
      </c>
    </row>
    <row r="1452" spans="2:8">
      <c r="B1452" t="s">
        <v>587</v>
      </c>
      <c r="C1452" t="s">
        <v>287</v>
      </c>
      <c r="D1452">
        <v>3991</v>
      </c>
      <c r="E1452">
        <v>3993</v>
      </c>
      <c r="F1452">
        <v>3991</v>
      </c>
      <c r="G1452">
        <v>3993</v>
      </c>
      <c r="H1452">
        <v>1200</v>
      </c>
    </row>
    <row r="1453" spans="2:8">
      <c r="B1453" t="s">
        <v>587</v>
      </c>
      <c r="C1453" t="s">
        <v>288</v>
      </c>
      <c r="D1453">
        <v>3993</v>
      </c>
      <c r="E1453">
        <v>3993</v>
      </c>
      <c r="F1453">
        <v>3992</v>
      </c>
      <c r="G1453">
        <v>3992</v>
      </c>
      <c r="H1453">
        <v>600</v>
      </c>
    </row>
    <row r="1454" spans="2:8">
      <c r="B1454" t="s">
        <v>587</v>
      </c>
      <c r="C1454" t="s">
        <v>289</v>
      </c>
      <c r="D1454">
        <v>3991</v>
      </c>
      <c r="E1454">
        <v>3992</v>
      </c>
      <c r="F1454">
        <v>3990</v>
      </c>
      <c r="G1454">
        <v>3992</v>
      </c>
      <c r="H1454">
        <v>1100</v>
      </c>
    </row>
    <row r="1455" spans="2:8">
      <c r="B1455" t="s">
        <v>587</v>
      </c>
      <c r="C1455" t="s">
        <v>290</v>
      </c>
      <c r="D1455">
        <v>3993</v>
      </c>
      <c r="E1455">
        <v>4005</v>
      </c>
      <c r="F1455">
        <v>3993</v>
      </c>
      <c r="G1455">
        <v>4005</v>
      </c>
      <c r="H1455">
        <v>17600</v>
      </c>
    </row>
    <row r="1456" spans="2:8">
      <c r="B1456" t="s">
        <v>587</v>
      </c>
      <c r="C1456" t="s">
        <v>291</v>
      </c>
      <c r="D1456">
        <v>4005</v>
      </c>
      <c r="E1456">
        <v>4006</v>
      </c>
      <c r="F1456">
        <v>4003</v>
      </c>
      <c r="G1456">
        <v>4003</v>
      </c>
      <c r="H1456">
        <v>4400</v>
      </c>
    </row>
    <row r="1457" spans="2:8">
      <c r="B1457" t="s">
        <v>587</v>
      </c>
      <c r="C1457" t="s">
        <v>292</v>
      </c>
      <c r="D1457">
        <v>4004</v>
      </c>
      <c r="E1457">
        <v>4006</v>
      </c>
      <c r="F1457">
        <v>4003</v>
      </c>
      <c r="G1457">
        <v>4006</v>
      </c>
      <c r="H1457">
        <v>2700</v>
      </c>
    </row>
    <row r="1458" spans="2:8">
      <c r="B1458" t="s">
        <v>587</v>
      </c>
      <c r="C1458" t="s">
        <v>293</v>
      </c>
      <c r="D1458">
        <v>4005</v>
      </c>
      <c r="E1458">
        <v>4006</v>
      </c>
      <c r="F1458">
        <v>4004</v>
      </c>
      <c r="G1458">
        <v>4005</v>
      </c>
      <c r="H1458">
        <v>1500</v>
      </c>
    </row>
    <row r="1459" spans="2:8">
      <c r="B1459" t="s">
        <v>587</v>
      </c>
      <c r="C1459" t="s">
        <v>294</v>
      </c>
      <c r="D1459">
        <v>4006</v>
      </c>
      <c r="E1459">
        <v>4006</v>
      </c>
      <c r="F1459">
        <v>4002</v>
      </c>
      <c r="G1459">
        <v>4004</v>
      </c>
      <c r="H1459">
        <v>3000</v>
      </c>
    </row>
    <row r="1460" spans="2:8">
      <c r="B1460" t="s">
        <v>587</v>
      </c>
      <c r="C1460" t="s">
        <v>295</v>
      </c>
      <c r="D1460">
        <v>4005</v>
      </c>
      <c r="E1460">
        <v>4005</v>
      </c>
      <c r="F1460">
        <v>4003</v>
      </c>
      <c r="G1460">
        <v>4003</v>
      </c>
      <c r="H1460">
        <v>1400</v>
      </c>
    </row>
    <row r="1461" spans="2:8">
      <c r="B1461" t="s">
        <v>587</v>
      </c>
      <c r="C1461" t="s">
        <v>296</v>
      </c>
      <c r="D1461">
        <v>4002</v>
      </c>
      <c r="E1461">
        <v>4004</v>
      </c>
      <c r="F1461">
        <v>4002</v>
      </c>
      <c r="G1461">
        <v>4004</v>
      </c>
      <c r="H1461">
        <v>1000</v>
      </c>
    </row>
    <row r="1462" spans="2:8">
      <c r="B1462" t="s">
        <v>587</v>
      </c>
      <c r="C1462" t="s">
        <v>297</v>
      </c>
      <c r="D1462">
        <v>4004</v>
      </c>
      <c r="E1462">
        <v>4005</v>
      </c>
      <c r="F1462">
        <v>4003</v>
      </c>
      <c r="G1462">
        <v>4003</v>
      </c>
      <c r="H1462">
        <v>2000</v>
      </c>
    </row>
    <row r="1463" spans="2:8">
      <c r="B1463" t="s">
        <v>587</v>
      </c>
      <c r="C1463" t="s">
        <v>298</v>
      </c>
      <c r="D1463">
        <v>4005</v>
      </c>
      <c r="E1463">
        <v>4006</v>
      </c>
      <c r="F1463">
        <v>4004</v>
      </c>
      <c r="G1463">
        <v>4004</v>
      </c>
      <c r="H1463">
        <v>2000</v>
      </c>
    </row>
    <row r="1464" spans="2:8">
      <c r="B1464" t="s">
        <v>587</v>
      </c>
      <c r="C1464" t="s">
        <v>299</v>
      </c>
      <c r="D1464">
        <v>4004</v>
      </c>
      <c r="E1464">
        <v>4005</v>
      </c>
      <c r="F1464">
        <v>4002</v>
      </c>
      <c r="G1464">
        <v>4002</v>
      </c>
      <c r="H1464">
        <v>4300</v>
      </c>
    </row>
    <row r="1465" spans="2:8">
      <c r="B1465" t="s">
        <v>587</v>
      </c>
      <c r="C1465" t="s">
        <v>300</v>
      </c>
      <c r="D1465">
        <v>4003</v>
      </c>
      <c r="E1465">
        <v>4008</v>
      </c>
      <c r="F1465">
        <v>4002</v>
      </c>
      <c r="G1465">
        <v>4007</v>
      </c>
      <c r="H1465">
        <v>8000</v>
      </c>
    </row>
    <row r="1466" spans="2:8">
      <c r="B1466" t="s">
        <v>587</v>
      </c>
      <c r="C1466" t="s">
        <v>301</v>
      </c>
      <c r="D1466">
        <v>4006</v>
      </c>
      <c r="E1466">
        <v>4008</v>
      </c>
      <c r="F1466">
        <v>4005</v>
      </c>
      <c r="G1466">
        <v>4007</v>
      </c>
      <c r="H1466">
        <v>2700</v>
      </c>
    </row>
    <row r="1467" spans="2:8">
      <c r="B1467" t="s">
        <v>587</v>
      </c>
      <c r="C1467" t="s">
        <v>302</v>
      </c>
      <c r="D1467">
        <v>4008</v>
      </c>
      <c r="E1467">
        <v>4008</v>
      </c>
      <c r="F1467">
        <v>4006</v>
      </c>
      <c r="G1467">
        <v>4006</v>
      </c>
      <c r="H1467">
        <v>400</v>
      </c>
    </row>
    <row r="1468" spans="2:8">
      <c r="B1468" t="s">
        <v>587</v>
      </c>
      <c r="C1468" t="s">
        <v>303</v>
      </c>
      <c r="D1468">
        <v>4005</v>
      </c>
      <c r="E1468">
        <v>4005</v>
      </c>
      <c r="F1468">
        <v>4002</v>
      </c>
      <c r="G1468">
        <v>4002</v>
      </c>
      <c r="H1468">
        <v>3200</v>
      </c>
    </row>
    <row r="1469" spans="2:8">
      <c r="B1469" t="s">
        <v>587</v>
      </c>
      <c r="C1469" t="s">
        <v>304</v>
      </c>
      <c r="D1469">
        <v>4004</v>
      </c>
      <c r="E1469">
        <v>4007</v>
      </c>
      <c r="F1469">
        <v>4004</v>
      </c>
      <c r="G1469">
        <v>4006</v>
      </c>
      <c r="H1469">
        <v>3400</v>
      </c>
    </row>
    <row r="1470" spans="2:8">
      <c r="B1470" t="s">
        <v>587</v>
      </c>
      <c r="C1470" t="s">
        <v>305</v>
      </c>
      <c r="D1470">
        <v>4006</v>
      </c>
      <c r="E1470">
        <v>4007</v>
      </c>
      <c r="F1470">
        <v>4005</v>
      </c>
      <c r="G1470">
        <v>4005</v>
      </c>
      <c r="H1470">
        <v>2100</v>
      </c>
    </row>
    <row r="1471" spans="2:8">
      <c r="B1471" t="s">
        <v>587</v>
      </c>
      <c r="C1471" t="s">
        <v>306</v>
      </c>
      <c r="D1471">
        <v>4006</v>
      </c>
      <c r="E1471">
        <v>4007</v>
      </c>
      <c r="F1471">
        <v>4005</v>
      </c>
      <c r="G1471">
        <v>4007</v>
      </c>
      <c r="H1471">
        <v>900</v>
      </c>
    </row>
    <row r="1472" spans="2:8">
      <c r="B1472" t="s">
        <v>587</v>
      </c>
      <c r="C1472" t="s">
        <v>307</v>
      </c>
      <c r="D1472">
        <v>4008</v>
      </c>
      <c r="E1472">
        <v>4008</v>
      </c>
      <c r="F1472">
        <v>4004</v>
      </c>
      <c r="G1472">
        <v>4004</v>
      </c>
      <c r="H1472">
        <v>2300</v>
      </c>
    </row>
    <row r="1473" spans="2:8">
      <c r="B1473" t="s">
        <v>587</v>
      </c>
      <c r="C1473" t="s">
        <v>308</v>
      </c>
      <c r="D1473">
        <v>4004</v>
      </c>
      <c r="E1473">
        <v>4005</v>
      </c>
      <c r="F1473">
        <v>4003</v>
      </c>
      <c r="G1473">
        <v>4003</v>
      </c>
      <c r="H1473">
        <v>1100</v>
      </c>
    </row>
    <row r="1474" spans="2:8">
      <c r="B1474" t="s">
        <v>587</v>
      </c>
      <c r="C1474" t="s">
        <v>309</v>
      </c>
      <c r="D1474">
        <v>4002</v>
      </c>
      <c r="E1474">
        <v>4003</v>
      </c>
      <c r="F1474">
        <v>4000</v>
      </c>
      <c r="G1474">
        <v>4003</v>
      </c>
      <c r="H1474">
        <v>2800</v>
      </c>
    </row>
    <row r="1475" spans="2:8">
      <c r="B1475" t="s">
        <v>587</v>
      </c>
      <c r="C1475" t="s">
        <v>310</v>
      </c>
      <c r="D1475">
        <v>4003</v>
      </c>
      <c r="E1475">
        <v>4003</v>
      </c>
      <c r="F1475">
        <v>4001</v>
      </c>
      <c r="G1475">
        <v>4001</v>
      </c>
      <c r="H1475">
        <v>1200</v>
      </c>
    </row>
    <row r="1476" spans="2:8">
      <c r="B1476" t="s">
        <v>587</v>
      </c>
      <c r="C1476" t="s">
        <v>311</v>
      </c>
      <c r="D1476">
        <v>3999</v>
      </c>
      <c r="E1476">
        <v>4000</v>
      </c>
      <c r="F1476">
        <v>3999</v>
      </c>
      <c r="G1476">
        <v>3999</v>
      </c>
      <c r="H1476">
        <v>900</v>
      </c>
    </row>
    <row r="1477" spans="2:8">
      <c r="B1477" t="s">
        <v>587</v>
      </c>
      <c r="C1477" t="s">
        <v>312</v>
      </c>
      <c r="D1477">
        <v>3998</v>
      </c>
      <c r="E1477">
        <v>3999</v>
      </c>
      <c r="F1477">
        <v>3997</v>
      </c>
      <c r="G1477">
        <v>3998</v>
      </c>
      <c r="H1477">
        <v>1200</v>
      </c>
    </row>
    <row r="1478" spans="2:8">
      <c r="B1478" t="s">
        <v>587</v>
      </c>
      <c r="C1478" t="s">
        <v>313</v>
      </c>
      <c r="D1478">
        <v>3999</v>
      </c>
      <c r="E1478">
        <v>4000</v>
      </c>
      <c r="F1478">
        <v>3999</v>
      </c>
      <c r="G1478">
        <v>3999</v>
      </c>
      <c r="H1478">
        <v>1800</v>
      </c>
    </row>
    <row r="1479" spans="2:8">
      <c r="B1479" t="s">
        <v>587</v>
      </c>
      <c r="C1479" t="s">
        <v>314</v>
      </c>
      <c r="D1479">
        <v>4000</v>
      </c>
      <c r="E1479">
        <v>4003</v>
      </c>
      <c r="F1479">
        <v>4000</v>
      </c>
      <c r="G1479">
        <v>4002</v>
      </c>
      <c r="H1479">
        <v>2600</v>
      </c>
    </row>
    <row r="1480" spans="2:8">
      <c r="B1480" t="s">
        <v>587</v>
      </c>
      <c r="C1480" t="s">
        <v>315</v>
      </c>
      <c r="D1480">
        <v>4001</v>
      </c>
      <c r="E1480">
        <v>4001</v>
      </c>
      <c r="F1480">
        <v>4000</v>
      </c>
      <c r="G1480">
        <v>4001</v>
      </c>
      <c r="H1480">
        <v>400</v>
      </c>
    </row>
    <row r="1481" spans="2:8">
      <c r="B1481" t="s">
        <v>587</v>
      </c>
      <c r="C1481" t="s">
        <v>316</v>
      </c>
      <c r="D1481">
        <v>4003</v>
      </c>
      <c r="E1481">
        <v>4003</v>
      </c>
      <c r="F1481">
        <v>4003</v>
      </c>
      <c r="G1481">
        <v>4003</v>
      </c>
      <c r="H1481">
        <v>1000</v>
      </c>
    </row>
    <row r="1482" spans="2:8">
      <c r="B1482" t="s">
        <v>587</v>
      </c>
      <c r="C1482" t="s">
        <v>317</v>
      </c>
      <c r="D1482">
        <v>4009</v>
      </c>
      <c r="E1482">
        <v>4010</v>
      </c>
      <c r="F1482">
        <v>4001</v>
      </c>
      <c r="G1482">
        <v>4001</v>
      </c>
      <c r="H1482">
        <v>38900</v>
      </c>
    </row>
    <row r="1483" spans="2:8">
      <c r="B1483" t="s">
        <v>587</v>
      </c>
      <c r="C1483" t="s">
        <v>318</v>
      </c>
      <c r="D1483">
        <v>4000</v>
      </c>
      <c r="E1483">
        <v>4002</v>
      </c>
      <c r="F1483">
        <v>3997</v>
      </c>
      <c r="G1483">
        <v>4001</v>
      </c>
      <c r="H1483">
        <v>4100</v>
      </c>
    </row>
    <row r="1484" spans="2:8">
      <c r="B1484" t="s">
        <v>587</v>
      </c>
      <c r="C1484" t="s">
        <v>319</v>
      </c>
      <c r="D1484">
        <v>4000</v>
      </c>
      <c r="E1484">
        <v>4002</v>
      </c>
      <c r="F1484">
        <v>3998</v>
      </c>
      <c r="G1484">
        <v>3999</v>
      </c>
      <c r="H1484">
        <v>3000</v>
      </c>
    </row>
    <row r="1485" spans="2:8">
      <c r="B1485" t="s">
        <v>587</v>
      </c>
      <c r="C1485" t="s">
        <v>320</v>
      </c>
      <c r="D1485">
        <v>3998</v>
      </c>
      <c r="E1485">
        <v>3998</v>
      </c>
      <c r="F1485">
        <v>3994</v>
      </c>
      <c r="G1485">
        <v>3996</v>
      </c>
      <c r="H1485">
        <v>1900</v>
      </c>
    </row>
    <row r="1486" spans="2:8">
      <c r="B1486" t="s">
        <v>587</v>
      </c>
      <c r="C1486" t="s">
        <v>321</v>
      </c>
      <c r="D1486">
        <v>3997</v>
      </c>
      <c r="E1486">
        <v>3997</v>
      </c>
      <c r="F1486">
        <v>3994</v>
      </c>
      <c r="G1486">
        <v>3996</v>
      </c>
      <c r="H1486">
        <v>3600</v>
      </c>
    </row>
    <row r="1487" spans="2:8">
      <c r="B1487" t="s">
        <v>587</v>
      </c>
      <c r="C1487" t="s">
        <v>322</v>
      </c>
      <c r="D1487">
        <v>3995</v>
      </c>
      <c r="E1487">
        <v>3995</v>
      </c>
      <c r="F1487">
        <v>3991</v>
      </c>
      <c r="G1487">
        <v>3992</v>
      </c>
      <c r="H1487">
        <v>4900</v>
      </c>
    </row>
    <row r="1488" spans="2:8">
      <c r="B1488" t="s">
        <v>587</v>
      </c>
      <c r="C1488" t="s">
        <v>323</v>
      </c>
      <c r="D1488">
        <v>3993</v>
      </c>
      <c r="E1488">
        <v>3993</v>
      </c>
      <c r="F1488">
        <v>3991</v>
      </c>
      <c r="G1488">
        <v>3992</v>
      </c>
      <c r="H1488">
        <v>1300</v>
      </c>
    </row>
    <row r="1489" spans="2:8">
      <c r="B1489" t="s">
        <v>587</v>
      </c>
      <c r="C1489" t="s">
        <v>324</v>
      </c>
      <c r="D1489">
        <v>3992</v>
      </c>
      <c r="E1489">
        <v>3992</v>
      </c>
      <c r="F1489">
        <v>3991</v>
      </c>
      <c r="G1489">
        <v>3992</v>
      </c>
      <c r="H1489">
        <v>4100</v>
      </c>
    </row>
    <row r="1490" spans="2:8">
      <c r="B1490" t="s">
        <v>587</v>
      </c>
      <c r="C1490" t="s">
        <v>325</v>
      </c>
      <c r="D1490">
        <v>3993</v>
      </c>
      <c r="E1490">
        <v>3993</v>
      </c>
      <c r="F1490">
        <v>3992</v>
      </c>
      <c r="G1490">
        <v>3993</v>
      </c>
      <c r="H1490">
        <v>4000</v>
      </c>
    </row>
    <row r="1491" spans="2:8">
      <c r="B1491" t="s">
        <v>587</v>
      </c>
      <c r="C1491" t="s">
        <v>326</v>
      </c>
      <c r="D1491">
        <v>3994</v>
      </c>
      <c r="E1491">
        <v>3995</v>
      </c>
      <c r="F1491">
        <v>3993</v>
      </c>
      <c r="G1491">
        <v>3994</v>
      </c>
      <c r="H1491">
        <v>1500</v>
      </c>
    </row>
    <row r="1492" spans="2:8">
      <c r="B1492" t="s">
        <v>587</v>
      </c>
      <c r="C1492" t="s">
        <v>327</v>
      </c>
      <c r="D1492">
        <v>3992</v>
      </c>
      <c r="E1492">
        <v>3993</v>
      </c>
      <c r="F1492">
        <v>3991</v>
      </c>
      <c r="G1492">
        <v>3993</v>
      </c>
      <c r="H1492">
        <v>4000</v>
      </c>
    </row>
    <row r="1493" spans="2:8">
      <c r="B1493" t="s">
        <v>587</v>
      </c>
      <c r="C1493" t="s">
        <v>328</v>
      </c>
      <c r="D1493">
        <v>3994</v>
      </c>
      <c r="E1493">
        <v>3994</v>
      </c>
      <c r="F1493">
        <v>3989</v>
      </c>
      <c r="G1493">
        <v>3989</v>
      </c>
      <c r="H1493">
        <v>5700</v>
      </c>
    </row>
    <row r="1494" spans="2:8">
      <c r="B1494" t="s">
        <v>587</v>
      </c>
      <c r="C1494" t="s">
        <v>329</v>
      </c>
      <c r="D1494">
        <v>3989</v>
      </c>
      <c r="E1494">
        <v>3989</v>
      </c>
      <c r="F1494">
        <v>3987</v>
      </c>
      <c r="G1494">
        <v>3987</v>
      </c>
      <c r="H1494">
        <v>1700</v>
      </c>
    </row>
    <row r="1495" spans="2:8">
      <c r="B1495" t="s">
        <v>587</v>
      </c>
      <c r="C1495" t="s">
        <v>330</v>
      </c>
      <c r="D1495">
        <v>3988</v>
      </c>
      <c r="E1495">
        <v>3989</v>
      </c>
      <c r="F1495">
        <v>3988</v>
      </c>
      <c r="G1495">
        <v>3988</v>
      </c>
      <c r="H1495">
        <v>1200</v>
      </c>
    </row>
    <row r="1496" spans="2:8">
      <c r="B1496" t="s">
        <v>587</v>
      </c>
      <c r="C1496" t="s">
        <v>331</v>
      </c>
      <c r="D1496">
        <v>3987</v>
      </c>
      <c r="E1496">
        <v>3988</v>
      </c>
      <c r="F1496">
        <v>3987</v>
      </c>
      <c r="G1496">
        <v>3988</v>
      </c>
      <c r="H1496">
        <v>300</v>
      </c>
    </row>
    <row r="1497" spans="2:8">
      <c r="B1497" t="s">
        <v>587</v>
      </c>
      <c r="C1497" t="s">
        <v>332</v>
      </c>
      <c r="D1497">
        <v>3988</v>
      </c>
      <c r="E1497">
        <v>3992</v>
      </c>
      <c r="F1497">
        <v>3988</v>
      </c>
      <c r="G1497">
        <v>3991</v>
      </c>
      <c r="H1497">
        <v>4600</v>
      </c>
    </row>
    <row r="1498" spans="2:8">
      <c r="B1498" t="s">
        <v>587</v>
      </c>
      <c r="C1498" t="s">
        <v>333</v>
      </c>
      <c r="D1498">
        <v>3992</v>
      </c>
      <c r="E1498">
        <v>3994</v>
      </c>
      <c r="F1498">
        <v>3992</v>
      </c>
      <c r="G1498">
        <v>3994</v>
      </c>
      <c r="H1498">
        <v>2000</v>
      </c>
    </row>
    <row r="1499" spans="2:8">
      <c r="B1499" t="s">
        <v>587</v>
      </c>
      <c r="C1499" t="s">
        <v>334</v>
      </c>
      <c r="D1499">
        <v>3993</v>
      </c>
      <c r="E1499">
        <v>3993</v>
      </c>
      <c r="F1499">
        <v>3993</v>
      </c>
      <c r="G1499">
        <v>3993</v>
      </c>
      <c r="H1499">
        <v>500</v>
      </c>
    </row>
    <row r="1500" spans="2:8">
      <c r="B1500" t="s">
        <v>587</v>
      </c>
      <c r="C1500" t="s">
        <v>335</v>
      </c>
      <c r="D1500">
        <v>3993</v>
      </c>
      <c r="E1500">
        <v>3994</v>
      </c>
      <c r="F1500">
        <v>3990</v>
      </c>
      <c r="G1500">
        <v>3990</v>
      </c>
      <c r="H1500">
        <v>4400</v>
      </c>
    </row>
    <row r="1501" spans="2:8">
      <c r="B1501" t="s">
        <v>587</v>
      </c>
      <c r="C1501" t="s">
        <v>336</v>
      </c>
      <c r="D1501">
        <v>3990</v>
      </c>
      <c r="E1501">
        <v>3990</v>
      </c>
      <c r="F1501">
        <v>3990</v>
      </c>
      <c r="G1501">
        <v>3990</v>
      </c>
      <c r="H1501">
        <v>100</v>
      </c>
    </row>
    <row r="1502" spans="2:8">
      <c r="B1502" t="s">
        <v>587</v>
      </c>
      <c r="C1502" t="s">
        <v>337</v>
      </c>
      <c r="D1502">
        <v>3990</v>
      </c>
      <c r="E1502">
        <v>3990</v>
      </c>
      <c r="F1502">
        <v>3989</v>
      </c>
      <c r="G1502">
        <v>3989</v>
      </c>
      <c r="H1502">
        <v>1600</v>
      </c>
    </row>
    <row r="1503" spans="2:8">
      <c r="B1503" t="s">
        <v>587</v>
      </c>
      <c r="C1503" t="s">
        <v>338</v>
      </c>
      <c r="D1503">
        <v>3988</v>
      </c>
      <c r="E1503">
        <v>3991</v>
      </c>
      <c r="F1503">
        <v>3988</v>
      </c>
      <c r="G1503">
        <v>3991</v>
      </c>
      <c r="H1503">
        <v>2300</v>
      </c>
    </row>
    <row r="1504" spans="2:8">
      <c r="B1504" t="s">
        <v>587</v>
      </c>
      <c r="C1504" t="s">
        <v>339</v>
      </c>
      <c r="D1504">
        <v>3991</v>
      </c>
      <c r="E1504">
        <v>3992</v>
      </c>
      <c r="F1504">
        <v>3991</v>
      </c>
      <c r="G1504">
        <v>3992</v>
      </c>
      <c r="H1504">
        <v>1100</v>
      </c>
    </row>
    <row r="1505" spans="2:8">
      <c r="B1505" t="s">
        <v>587</v>
      </c>
      <c r="C1505" t="s">
        <v>340</v>
      </c>
      <c r="D1505">
        <v>3993</v>
      </c>
      <c r="E1505">
        <v>4000</v>
      </c>
      <c r="F1505">
        <v>3993</v>
      </c>
      <c r="G1505">
        <v>4000</v>
      </c>
      <c r="H1505">
        <v>13100</v>
      </c>
    </row>
    <row r="1506" spans="2:8">
      <c r="B1506" t="s">
        <v>587</v>
      </c>
      <c r="C1506" t="s">
        <v>341</v>
      </c>
      <c r="D1506">
        <v>4000</v>
      </c>
      <c r="E1506">
        <v>4003</v>
      </c>
      <c r="F1506">
        <v>4000</v>
      </c>
      <c r="G1506">
        <v>4002</v>
      </c>
      <c r="H1506">
        <v>2600</v>
      </c>
    </row>
    <row r="1507" spans="2:8">
      <c r="B1507" t="s">
        <v>587</v>
      </c>
      <c r="C1507" t="s">
        <v>342</v>
      </c>
      <c r="D1507">
        <v>4001</v>
      </c>
      <c r="E1507">
        <v>4001</v>
      </c>
      <c r="F1507">
        <v>3996</v>
      </c>
      <c r="G1507">
        <v>3996</v>
      </c>
      <c r="H1507">
        <v>7200</v>
      </c>
    </row>
    <row r="1508" spans="2:8">
      <c r="B1508" t="s">
        <v>587</v>
      </c>
      <c r="C1508" t="s">
        <v>343</v>
      </c>
      <c r="D1508">
        <v>3996</v>
      </c>
      <c r="E1508">
        <v>3996</v>
      </c>
      <c r="F1508">
        <v>3995</v>
      </c>
      <c r="G1508">
        <v>3995</v>
      </c>
      <c r="H1508">
        <v>1000</v>
      </c>
    </row>
    <row r="1509" spans="2:8">
      <c r="B1509" t="s">
        <v>587</v>
      </c>
      <c r="C1509" t="s">
        <v>344</v>
      </c>
      <c r="D1509">
        <v>3994</v>
      </c>
      <c r="E1509">
        <v>3995</v>
      </c>
      <c r="F1509">
        <v>3992</v>
      </c>
      <c r="G1509">
        <v>3995</v>
      </c>
      <c r="H1509">
        <v>3800</v>
      </c>
    </row>
    <row r="1510" spans="2:8">
      <c r="B1510" t="s">
        <v>587</v>
      </c>
      <c r="C1510" t="s">
        <v>345</v>
      </c>
      <c r="D1510">
        <v>3996</v>
      </c>
      <c r="E1510">
        <v>3997</v>
      </c>
      <c r="F1510">
        <v>3995</v>
      </c>
      <c r="G1510">
        <v>3995</v>
      </c>
      <c r="H1510">
        <v>1800</v>
      </c>
    </row>
    <row r="1511" spans="2:8">
      <c r="B1511" t="s">
        <v>587</v>
      </c>
      <c r="C1511" t="s">
        <v>346</v>
      </c>
      <c r="D1511">
        <v>3995</v>
      </c>
      <c r="E1511">
        <v>3997</v>
      </c>
      <c r="F1511">
        <v>3995</v>
      </c>
      <c r="G1511">
        <v>3997</v>
      </c>
      <c r="H1511">
        <v>1400</v>
      </c>
    </row>
    <row r="1512" spans="2:8">
      <c r="B1512" t="s">
        <v>587</v>
      </c>
      <c r="C1512" t="s">
        <v>347</v>
      </c>
      <c r="D1512">
        <v>3997</v>
      </c>
      <c r="E1512">
        <v>3998</v>
      </c>
      <c r="F1512">
        <v>3993</v>
      </c>
      <c r="G1512">
        <v>3995</v>
      </c>
      <c r="H1512">
        <v>5000</v>
      </c>
    </row>
    <row r="1513" spans="2:8">
      <c r="B1513" t="s">
        <v>587</v>
      </c>
      <c r="C1513" t="s">
        <v>348</v>
      </c>
      <c r="D1513">
        <v>3994</v>
      </c>
      <c r="E1513">
        <v>3995</v>
      </c>
      <c r="F1513">
        <v>3994</v>
      </c>
      <c r="G1513">
        <v>3995</v>
      </c>
      <c r="H1513">
        <v>500</v>
      </c>
    </row>
    <row r="1514" spans="2:8">
      <c r="B1514" t="s">
        <v>587</v>
      </c>
      <c r="C1514" t="s">
        <v>349</v>
      </c>
      <c r="D1514">
        <v>3995</v>
      </c>
      <c r="E1514">
        <v>3999</v>
      </c>
      <c r="F1514">
        <v>3995</v>
      </c>
      <c r="G1514">
        <v>3999</v>
      </c>
      <c r="H1514">
        <v>3900</v>
      </c>
    </row>
    <row r="1515" spans="2:8">
      <c r="B1515" t="s">
        <v>587</v>
      </c>
      <c r="C1515" t="s">
        <v>350</v>
      </c>
      <c r="D1515">
        <v>3999</v>
      </c>
      <c r="E1515">
        <v>4001</v>
      </c>
      <c r="F1515">
        <v>3999</v>
      </c>
      <c r="G1515">
        <v>3999</v>
      </c>
      <c r="H1515">
        <v>2300</v>
      </c>
    </row>
    <row r="1516" spans="2:8">
      <c r="B1516" t="s">
        <v>587</v>
      </c>
      <c r="C1516" t="s">
        <v>351</v>
      </c>
      <c r="D1516">
        <v>3999</v>
      </c>
      <c r="E1516">
        <v>3999</v>
      </c>
      <c r="F1516">
        <v>3996</v>
      </c>
      <c r="G1516">
        <v>3996</v>
      </c>
      <c r="H1516">
        <v>1600</v>
      </c>
    </row>
    <row r="1517" spans="2:8">
      <c r="B1517" t="s">
        <v>587</v>
      </c>
      <c r="C1517" t="s">
        <v>352</v>
      </c>
      <c r="D1517">
        <v>3995</v>
      </c>
      <c r="E1517">
        <v>3995</v>
      </c>
      <c r="F1517">
        <v>3992</v>
      </c>
      <c r="G1517">
        <v>3993</v>
      </c>
      <c r="H1517">
        <v>5400</v>
      </c>
    </row>
    <row r="1518" spans="2:8">
      <c r="B1518" t="s">
        <v>587</v>
      </c>
      <c r="C1518" t="s">
        <v>353</v>
      </c>
      <c r="D1518">
        <v>3993</v>
      </c>
      <c r="E1518">
        <v>3993</v>
      </c>
      <c r="F1518">
        <v>3990</v>
      </c>
      <c r="G1518">
        <v>3990</v>
      </c>
      <c r="H1518">
        <v>4100</v>
      </c>
    </row>
    <row r="1519" spans="2:8">
      <c r="B1519" t="s">
        <v>587</v>
      </c>
      <c r="C1519" t="s">
        <v>354</v>
      </c>
      <c r="D1519">
        <v>3990</v>
      </c>
      <c r="E1519">
        <v>3991</v>
      </c>
      <c r="F1519">
        <v>3990</v>
      </c>
      <c r="G1519">
        <v>3991</v>
      </c>
      <c r="H1519">
        <v>1700</v>
      </c>
    </row>
    <row r="1520" spans="2:8">
      <c r="B1520" t="s">
        <v>587</v>
      </c>
      <c r="C1520" t="s">
        <v>355</v>
      </c>
      <c r="D1520">
        <v>3991</v>
      </c>
      <c r="E1520">
        <v>3991</v>
      </c>
      <c r="F1520">
        <v>3990</v>
      </c>
      <c r="G1520">
        <v>3990</v>
      </c>
      <c r="H1520">
        <v>600</v>
      </c>
    </row>
    <row r="1521" spans="2:8">
      <c r="B1521" t="s">
        <v>587</v>
      </c>
      <c r="C1521" t="s">
        <v>356</v>
      </c>
      <c r="D1521">
        <v>3990</v>
      </c>
      <c r="E1521">
        <v>3990</v>
      </c>
      <c r="F1521">
        <v>3988</v>
      </c>
      <c r="G1521">
        <v>3988</v>
      </c>
      <c r="H1521">
        <v>3300</v>
      </c>
    </row>
    <row r="1522" spans="2:8">
      <c r="B1522" t="s">
        <v>587</v>
      </c>
      <c r="C1522" t="s">
        <v>357</v>
      </c>
      <c r="D1522">
        <v>3988</v>
      </c>
      <c r="E1522">
        <v>3991</v>
      </c>
      <c r="F1522">
        <v>3986</v>
      </c>
      <c r="G1522">
        <v>3991</v>
      </c>
      <c r="H1522">
        <v>4200</v>
      </c>
    </row>
    <row r="1523" spans="2:8">
      <c r="B1523" t="s">
        <v>587</v>
      </c>
      <c r="C1523" t="s">
        <v>358</v>
      </c>
      <c r="D1523">
        <v>3991</v>
      </c>
      <c r="E1523">
        <v>3991</v>
      </c>
      <c r="F1523">
        <v>3989</v>
      </c>
      <c r="G1523">
        <v>3990</v>
      </c>
      <c r="H1523">
        <v>2700</v>
      </c>
    </row>
    <row r="1524" spans="2:8">
      <c r="B1524" t="s">
        <v>587</v>
      </c>
      <c r="C1524" t="s">
        <v>359</v>
      </c>
      <c r="D1524">
        <v>3991</v>
      </c>
      <c r="E1524">
        <v>3993</v>
      </c>
      <c r="F1524">
        <v>3991</v>
      </c>
      <c r="G1524">
        <v>3993</v>
      </c>
      <c r="H1524">
        <v>1900</v>
      </c>
    </row>
    <row r="1525" spans="2:8">
      <c r="B1525" t="s">
        <v>587</v>
      </c>
      <c r="C1525" t="s">
        <v>360</v>
      </c>
      <c r="D1525">
        <v>3994</v>
      </c>
      <c r="E1525">
        <v>3994</v>
      </c>
      <c r="F1525">
        <v>3991</v>
      </c>
      <c r="G1525">
        <v>3991</v>
      </c>
      <c r="H1525">
        <v>1800</v>
      </c>
    </row>
    <row r="1526" spans="2:8">
      <c r="B1526" t="s">
        <v>587</v>
      </c>
      <c r="C1526" t="s">
        <v>361</v>
      </c>
      <c r="D1526">
        <v>3992</v>
      </c>
      <c r="E1526">
        <v>3992</v>
      </c>
      <c r="F1526">
        <v>3992</v>
      </c>
      <c r="G1526">
        <v>3992</v>
      </c>
      <c r="H1526">
        <v>100</v>
      </c>
    </row>
    <row r="1527" spans="2:8">
      <c r="B1527" t="s">
        <v>587</v>
      </c>
      <c r="C1527" t="s">
        <v>362</v>
      </c>
      <c r="D1527">
        <v>3991</v>
      </c>
      <c r="E1527">
        <v>3993</v>
      </c>
      <c r="F1527">
        <v>3991</v>
      </c>
      <c r="G1527">
        <v>3993</v>
      </c>
      <c r="H1527">
        <v>1700</v>
      </c>
    </row>
    <row r="1528" spans="2:8">
      <c r="B1528" t="s">
        <v>587</v>
      </c>
      <c r="C1528" t="s">
        <v>363</v>
      </c>
      <c r="D1528">
        <v>3994</v>
      </c>
      <c r="E1528">
        <v>3994</v>
      </c>
      <c r="F1528">
        <v>3992</v>
      </c>
      <c r="G1528">
        <v>3992</v>
      </c>
      <c r="H1528">
        <v>700</v>
      </c>
    </row>
    <row r="1529" spans="2:8">
      <c r="B1529" t="s">
        <v>587</v>
      </c>
      <c r="C1529" t="s">
        <v>364</v>
      </c>
      <c r="D1529">
        <v>3994</v>
      </c>
      <c r="E1529">
        <v>3994</v>
      </c>
      <c r="F1529">
        <v>3993</v>
      </c>
      <c r="G1529">
        <v>3994</v>
      </c>
      <c r="H1529">
        <v>2300</v>
      </c>
    </row>
    <row r="1530" spans="2:8">
      <c r="B1530" t="s">
        <v>587</v>
      </c>
      <c r="C1530" t="s">
        <v>365</v>
      </c>
      <c r="D1530">
        <v>3994</v>
      </c>
      <c r="E1530">
        <v>3994</v>
      </c>
      <c r="F1530">
        <v>3994</v>
      </c>
      <c r="G1530">
        <v>3994</v>
      </c>
      <c r="H1530">
        <v>600</v>
      </c>
    </row>
    <row r="1531" spans="2:8">
      <c r="B1531" t="s">
        <v>587</v>
      </c>
      <c r="C1531" t="s">
        <v>366</v>
      </c>
      <c r="D1531">
        <v>3994</v>
      </c>
      <c r="E1531">
        <v>3996</v>
      </c>
      <c r="F1531">
        <v>3994</v>
      </c>
      <c r="G1531">
        <v>3996</v>
      </c>
      <c r="H1531">
        <v>1500</v>
      </c>
    </row>
    <row r="1532" spans="2:8">
      <c r="B1532" t="s">
        <v>587</v>
      </c>
      <c r="C1532" t="s">
        <v>367</v>
      </c>
      <c r="D1532">
        <v>3995</v>
      </c>
      <c r="E1532">
        <v>3995</v>
      </c>
      <c r="F1532">
        <v>3993</v>
      </c>
      <c r="G1532">
        <v>3993</v>
      </c>
      <c r="H1532">
        <v>2900</v>
      </c>
    </row>
    <row r="1533" spans="2:8">
      <c r="B1533" t="s">
        <v>587</v>
      </c>
      <c r="C1533" t="s">
        <v>368</v>
      </c>
      <c r="D1533">
        <v>3992</v>
      </c>
      <c r="E1533">
        <v>3993</v>
      </c>
      <c r="F1533">
        <v>3992</v>
      </c>
      <c r="G1533">
        <v>3993</v>
      </c>
      <c r="H1533">
        <v>1100</v>
      </c>
    </row>
    <row r="1534" spans="2:8">
      <c r="B1534" t="s">
        <v>587</v>
      </c>
      <c r="C1534" t="s">
        <v>369</v>
      </c>
      <c r="D1534">
        <v>3993</v>
      </c>
      <c r="E1534">
        <v>3993</v>
      </c>
      <c r="F1534">
        <v>3993</v>
      </c>
      <c r="G1534">
        <v>3993</v>
      </c>
      <c r="H1534">
        <v>500</v>
      </c>
    </row>
    <row r="1535" spans="2:8">
      <c r="B1535" t="s">
        <v>587</v>
      </c>
      <c r="C1535" t="s">
        <v>370</v>
      </c>
      <c r="D1535">
        <v>3994</v>
      </c>
      <c r="E1535">
        <v>3994</v>
      </c>
      <c r="F1535">
        <v>3994</v>
      </c>
      <c r="G1535">
        <v>3994</v>
      </c>
      <c r="H1535">
        <v>100</v>
      </c>
    </row>
    <row r="1536" spans="2:8">
      <c r="B1536" t="s">
        <v>587</v>
      </c>
      <c r="C1536" t="s">
        <v>371</v>
      </c>
      <c r="D1536">
        <v>3993</v>
      </c>
      <c r="E1536">
        <v>3993</v>
      </c>
      <c r="F1536">
        <v>3990</v>
      </c>
      <c r="G1536">
        <v>3990</v>
      </c>
      <c r="H1536">
        <v>1700</v>
      </c>
    </row>
    <row r="1537" spans="2:8">
      <c r="B1537" t="s">
        <v>587</v>
      </c>
      <c r="C1537" t="s">
        <v>372</v>
      </c>
      <c r="D1537">
        <v>3990</v>
      </c>
      <c r="E1537">
        <v>3990</v>
      </c>
      <c r="F1537">
        <v>3987</v>
      </c>
      <c r="G1537">
        <v>3990</v>
      </c>
      <c r="H1537">
        <v>5800</v>
      </c>
    </row>
    <row r="1538" spans="2:8">
      <c r="B1538" t="s">
        <v>587</v>
      </c>
      <c r="C1538" t="s">
        <v>373</v>
      </c>
      <c r="D1538">
        <v>3990</v>
      </c>
      <c r="E1538">
        <v>3990</v>
      </c>
      <c r="F1538">
        <v>3987</v>
      </c>
      <c r="G1538">
        <v>3987</v>
      </c>
      <c r="H1538">
        <v>1100</v>
      </c>
    </row>
    <row r="1539" spans="2:8">
      <c r="B1539" t="s">
        <v>587</v>
      </c>
      <c r="C1539" t="s">
        <v>374</v>
      </c>
      <c r="D1539">
        <v>3987</v>
      </c>
      <c r="E1539">
        <v>3987</v>
      </c>
      <c r="F1539">
        <v>3984</v>
      </c>
      <c r="G1539">
        <v>3985</v>
      </c>
      <c r="H1539">
        <v>3900</v>
      </c>
    </row>
    <row r="1540" spans="2:8">
      <c r="B1540" t="s">
        <v>587</v>
      </c>
      <c r="C1540" t="s">
        <v>375</v>
      </c>
      <c r="D1540">
        <v>3985</v>
      </c>
      <c r="E1540">
        <v>3985</v>
      </c>
      <c r="F1540">
        <v>3983</v>
      </c>
      <c r="G1540">
        <v>3983</v>
      </c>
      <c r="H1540">
        <v>1200</v>
      </c>
    </row>
    <row r="1541" spans="2:8">
      <c r="B1541" t="s">
        <v>587</v>
      </c>
      <c r="C1541" t="s">
        <v>376</v>
      </c>
      <c r="D1541">
        <v>3984</v>
      </c>
      <c r="E1541">
        <v>3985</v>
      </c>
      <c r="F1541">
        <v>3984</v>
      </c>
      <c r="G1541">
        <v>3984</v>
      </c>
      <c r="H1541">
        <v>600</v>
      </c>
    </row>
    <row r="1542" spans="2:8">
      <c r="B1542" t="s">
        <v>587</v>
      </c>
      <c r="C1542" t="s">
        <v>377</v>
      </c>
      <c r="D1542">
        <v>3984</v>
      </c>
      <c r="E1542">
        <v>3984</v>
      </c>
      <c r="F1542">
        <v>3983</v>
      </c>
      <c r="G1542">
        <v>3984</v>
      </c>
      <c r="H1542">
        <v>4500</v>
      </c>
    </row>
    <row r="1543" spans="2:8">
      <c r="B1543" t="s">
        <v>587</v>
      </c>
      <c r="C1543" t="s">
        <v>378</v>
      </c>
      <c r="D1543">
        <v>3984</v>
      </c>
      <c r="E1543">
        <v>3985</v>
      </c>
      <c r="F1543">
        <v>3984</v>
      </c>
      <c r="G1543">
        <v>3984</v>
      </c>
      <c r="H1543">
        <v>700</v>
      </c>
    </row>
    <row r="1544" spans="2:8">
      <c r="B1544" t="s">
        <v>587</v>
      </c>
      <c r="C1544" t="s">
        <v>379</v>
      </c>
      <c r="D1544">
        <v>3984</v>
      </c>
      <c r="E1544">
        <v>3985</v>
      </c>
      <c r="F1544">
        <v>3984</v>
      </c>
      <c r="G1544">
        <v>3984</v>
      </c>
      <c r="H1544">
        <v>2600</v>
      </c>
    </row>
    <row r="1545" spans="2:8">
      <c r="B1545" t="s">
        <v>587</v>
      </c>
      <c r="C1545" t="s">
        <v>380</v>
      </c>
      <c r="D1545">
        <v>3984</v>
      </c>
      <c r="E1545">
        <v>3985</v>
      </c>
      <c r="F1545">
        <v>3984</v>
      </c>
      <c r="G1545">
        <v>3985</v>
      </c>
      <c r="H1545">
        <v>2200</v>
      </c>
    </row>
    <row r="1546" spans="2:8">
      <c r="B1546" t="s">
        <v>587</v>
      </c>
      <c r="C1546" t="s">
        <v>381</v>
      </c>
      <c r="D1546">
        <v>3985</v>
      </c>
      <c r="E1546">
        <v>3987</v>
      </c>
      <c r="F1546">
        <v>3985</v>
      </c>
      <c r="G1546">
        <v>3987</v>
      </c>
      <c r="H1546">
        <v>1500</v>
      </c>
    </row>
    <row r="1547" spans="2:8">
      <c r="B1547" t="s">
        <v>587</v>
      </c>
      <c r="C1547" t="s">
        <v>382</v>
      </c>
      <c r="D1547">
        <v>3986</v>
      </c>
      <c r="E1547">
        <v>3988</v>
      </c>
      <c r="F1547">
        <v>3986</v>
      </c>
      <c r="G1547">
        <v>3988</v>
      </c>
      <c r="H1547">
        <v>700</v>
      </c>
    </row>
    <row r="1548" spans="2:8">
      <c r="B1548" t="s">
        <v>587</v>
      </c>
      <c r="C1548" t="s">
        <v>383</v>
      </c>
      <c r="D1548">
        <v>3988</v>
      </c>
      <c r="E1548">
        <v>3990</v>
      </c>
      <c r="F1548">
        <v>3988</v>
      </c>
      <c r="G1548">
        <v>3990</v>
      </c>
      <c r="H1548">
        <v>1300</v>
      </c>
    </row>
    <row r="1549" spans="2:8">
      <c r="B1549" t="s">
        <v>587</v>
      </c>
      <c r="C1549" t="s">
        <v>384</v>
      </c>
      <c r="D1549">
        <v>3989</v>
      </c>
      <c r="E1549">
        <v>3989</v>
      </c>
      <c r="F1549">
        <v>3985</v>
      </c>
      <c r="G1549">
        <v>3985</v>
      </c>
      <c r="H1549">
        <v>3600</v>
      </c>
    </row>
    <row r="1550" spans="2:8">
      <c r="B1550" t="s">
        <v>587</v>
      </c>
      <c r="C1550" t="s">
        <v>385</v>
      </c>
      <c r="D1550">
        <v>3985</v>
      </c>
      <c r="E1550">
        <v>3985</v>
      </c>
      <c r="F1550">
        <v>3983</v>
      </c>
      <c r="G1550">
        <v>3984</v>
      </c>
      <c r="H1550">
        <v>1800</v>
      </c>
    </row>
    <row r="1551" spans="2:8">
      <c r="B1551" t="s">
        <v>587</v>
      </c>
      <c r="C1551" t="s">
        <v>386</v>
      </c>
      <c r="D1551">
        <v>3984</v>
      </c>
      <c r="E1551">
        <v>3985</v>
      </c>
      <c r="F1551">
        <v>3983</v>
      </c>
      <c r="G1551">
        <v>3983</v>
      </c>
      <c r="H1551">
        <v>2500</v>
      </c>
    </row>
    <row r="1552" spans="2:8">
      <c r="B1552" t="s">
        <v>587</v>
      </c>
      <c r="C1552" t="s">
        <v>387</v>
      </c>
      <c r="D1552">
        <v>3982</v>
      </c>
      <c r="E1552">
        <v>3982</v>
      </c>
      <c r="F1552">
        <v>3981</v>
      </c>
      <c r="G1552">
        <v>3981</v>
      </c>
      <c r="H1552">
        <v>1300</v>
      </c>
    </row>
    <row r="1553" spans="2:8">
      <c r="B1553" t="s">
        <v>587</v>
      </c>
      <c r="C1553" t="s">
        <v>388</v>
      </c>
      <c r="D1553">
        <v>3982</v>
      </c>
      <c r="E1553">
        <v>3982</v>
      </c>
      <c r="F1553">
        <v>3981</v>
      </c>
      <c r="G1553">
        <v>3981</v>
      </c>
      <c r="H1553">
        <v>1700</v>
      </c>
    </row>
    <row r="1554" spans="2:8">
      <c r="B1554" t="s">
        <v>587</v>
      </c>
      <c r="C1554" t="s">
        <v>389</v>
      </c>
      <c r="D1554">
        <v>3982</v>
      </c>
      <c r="E1554">
        <v>3983</v>
      </c>
      <c r="F1554">
        <v>3982</v>
      </c>
      <c r="G1554">
        <v>3982</v>
      </c>
      <c r="H1554">
        <v>1900</v>
      </c>
    </row>
    <row r="1555" spans="2:8">
      <c r="B1555" t="s">
        <v>587</v>
      </c>
      <c r="C1555" t="s">
        <v>390</v>
      </c>
      <c r="D1555">
        <v>3981</v>
      </c>
      <c r="E1555">
        <v>3982</v>
      </c>
      <c r="F1555">
        <v>3981</v>
      </c>
      <c r="G1555">
        <v>3982</v>
      </c>
      <c r="H1555">
        <v>700</v>
      </c>
    </row>
    <row r="1556" spans="2:8">
      <c r="B1556" t="s">
        <v>587</v>
      </c>
      <c r="C1556" t="s">
        <v>391</v>
      </c>
      <c r="D1556">
        <v>3982</v>
      </c>
      <c r="E1556">
        <v>3984</v>
      </c>
      <c r="F1556">
        <v>3982</v>
      </c>
      <c r="G1556">
        <v>3984</v>
      </c>
      <c r="H1556">
        <v>1600</v>
      </c>
    </row>
    <row r="1557" spans="2:8">
      <c r="B1557" t="s">
        <v>587</v>
      </c>
      <c r="C1557" t="s">
        <v>392</v>
      </c>
      <c r="D1557">
        <v>3983</v>
      </c>
      <c r="E1557">
        <v>3983</v>
      </c>
      <c r="F1557">
        <v>3983</v>
      </c>
      <c r="G1557">
        <v>3983</v>
      </c>
      <c r="H1557">
        <v>700</v>
      </c>
    </row>
    <row r="1558" spans="2:8">
      <c r="B1558" t="s">
        <v>587</v>
      </c>
      <c r="C1558" t="s">
        <v>393</v>
      </c>
      <c r="D1558">
        <v>3984</v>
      </c>
      <c r="E1558">
        <v>3984</v>
      </c>
      <c r="F1558">
        <v>3984</v>
      </c>
      <c r="G1558">
        <v>3984</v>
      </c>
      <c r="H1558">
        <v>100</v>
      </c>
    </row>
    <row r="1559" spans="2:8">
      <c r="B1559" t="s">
        <v>587</v>
      </c>
      <c r="C1559" t="s">
        <v>394</v>
      </c>
      <c r="D1559">
        <v>3984</v>
      </c>
      <c r="E1559">
        <v>3984</v>
      </c>
      <c r="F1559">
        <v>3983</v>
      </c>
      <c r="G1559">
        <v>3983</v>
      </c>
      <c r="H1559">
        <v>1600</v>
      </c>
    </row>
    <row r="1560" spans="2:8">
      <c r="B1560" t="s">
        <v>587</v>
      </c>
      <c r="C1560" t="s">
        <v>395</v>
      </c>
      <c r="D1560">
        <v>3983</v>
      </c>
      <c r="E1560">
        <v>3984</v>
      </c>
      <c r="F1560">
        <v>3983</v>
      </c>
      <c r="G1560">
        <v>3983</v>
      </c>
      <c r="H1560">
        <v>3700</v>
      </c>
    </row>
    <row r="1561" spans="2:8">
      <c r="B1561" t="s">
        <v>587</v>
      </c>
      <c r="C1561" t="s">
        <v>396</v>
      </c>
      <c r="D1561">
        <v>3982</v>
      </c>
      <c r="E1561">
        <v>3983</v>
      </c>
      <c r="F1561">
        <v>3982</v>
      </c>
      <c r="G1561">
        <v>3982</v>
      </c>
      <c r="H1561">
        <v>2200</v>
      </c>
    </row>
    <row r="1562" spans="2:8">
      <c r="B1562" t="s">
        <v>587</v>
      </c>
      <c r="C1562" t="s">
        <v>397</v>
      </c>
      <c r="D1562">
        <v>3982</v>
      </c>
      <c r="E1562">
        <v>3982</v>
      </c>
      <c r="F1562">
        <v>3978</v>
      </c>
      <c r="G1562">
        <v>3979</v>
      </c>
      <c r="H1562">
        <v>6000</v>
      </c>
    </row>
    <row r="1563" spans="2:8">
      <c r="B1563" t="s">
        <v>587</v>
      </c>
      <c r="C1563" t="s">
        <v>398</v>
      </c>
      <c r="D1563">
        <v>3978</v>
      </c>
      <c r="E1563">
        <v>3978</v>
      </c>
      <c r="F1563">
        <v>3977</v>
      </c>
      <c r="G1563">
        <v>3977</v>
      </c>
      <c r="H1563">
        <v>1400</v>
      </c>
    </row>
    <row r="1564" spans="2:8">
      <c r="B1564" t="s">
        <v>587</v>
      </c>
      <c r="C1564" t="s">
        <v>399</v>
      </c>
      <c r="D1564">
        <v>3977</v>
      </c>
      <c r="E1564">
        <v>3977</v>
      </c>
      <c r="F1564">
        <v>3975</v>
      </c>
      <c r="G1564">
        <v>3975</v>
      </c>
      <c r="H1564">
        <v>2000</v>
      </c>
    </row>
    <row r="1565" spans="2:8">
      <c r="B1565" t="s">
        <v>587</v>
      </c>
      <c r="C1565" t="s">
        <v>400</v>
      </c>
      <c r="D1565">
        <v>3976</v>
      </c>
      <c r="E1565">
        <v>3976</v>
      </c>
      <c r="F1565">
        <v>3975</v>
      </c>
      <c r="G1565">
        <v>3976</v>
      </c>
      <c r="H1565">
        <v>900</v>
      </c>
    </row>
    <row r="1566" spans="2:8">
      <c r="B1566" t="s">
        <v>587</v>
      </c>
      <c r="C1566" t="s">
        <v>401</v>
      </c>
      <c r="D1566">
        <v>3976</v>
      </c>
      <c r="E1566">
        <v>3976</v>
      </c>
      <c r="F1566">
        <v>3976</v>
      </c>
      <c r="G1566">
        <v>3976</v>
      </c>
      <c r="H1566">
        <v>1100</v>
      </c>
    </row>
    <row r="1567" spans="2:8">
      <c r="B1567" t="s">
        <v>587</v>
      </c>
      <c r="C1567" t="s">
        <v>402</v>
      </c>
      <c r="D1567">
        <v>3975</v>
      </c>
      <c r="E1567">
        <v>3976</v>
      </c>
      <c r="F1567">
        <v>3973</v>
      </c>
      <c r="G1567">
        <v>3975</v>
      </c>
      <c r="H1567">
        <v>3100</v>
      </c>
    </row>
    <row r="1568" spans="2:8">
      <c r="B1568" t="s">
        <v>587</v>
      </c>
      <c r="C1568" t="s">
        <v>403</v>
      </c>
      <c r="D1568">
        <v>3973</v>
      </c>
      <c r="E1568">
        <v>3974</v>
      </c>
      <c r="F1568">
        <v>3973</v>
      </c>
      <c r="G1568">
        <v>3973</v>
      </c>
      <c r="H1568">
        <v>300</v>
      </c>
    </row>
    <row r="1569" spans="2:8">
      <c r="B1569" t="s">
        <v>587</v>
      </c>
      <c r="C1569" t="s">
        <v>404</v>
      </c>
      <c r="D1569">
        <v>3973</v>
      </c>
      <c r="E1569">
        <v>3975</v>
      </c>
      <c r="F1569">
        <v>3973</v>
      </c>
      <c r="G1569">
        <v>3975</v>
      </c>
      <c r="H1569">
        <v>8300</v>
      </c>
    </row>
    <row r="1570" spans="2:8">
      <c r="B1570" t="s">
        <v>587</v>
      </c>
      <c r="C1570" t="s">
        <v>405</v>
      </c>
      <c r="D1570">
        <v>3975</v>
      </c>
      <c r="E1570">
        <v>3979</v>
      </c>
      <c r="F1570">
        <v>3975</v>
      </c>
      <c r="G1570">
        <v>3979</v>
      </c>
      <c r="H1570">
        <v>4300</v>
      </c>
    </row>
    <row r="1571" spans="2:8">
      <c r="B1571" t="s">
        <v>587</v>
      </c>
      <c r="C1571" t="s">
        <v>406</v>
      </c>
      <c r="D1571">
        <v>3977</v>
      </c>
      <c r="E1571">
        <v>3977</v>
      </c>
      <c r="F1571">
        <v>3975</v>
      </c>
      <c r="G1571">
        <v>3976</v>
      </c>
      <c r="H1571">
        <v>4500</v>
      </c>
    </row>
    <row r="1572" spans="2:8">
      <c r="B1572" t="s">
        <v>587</v>
      </c>
      <c r="C1572" t="s">
        <v>407</v>
      </c>
      <c r="D1572">
        <v>3975</v>
      </c>
      <c r="E1572">
        <v>3975</v>
      </c>
      <c r="F1572">
        <v>3975</v>
      </c>
      <c r="G1572">
        <v>3975</v>
      </c>
      <c r="H1572">
        <v>200</v>
      </c>
    </row>
    <row r="1573" spans="2:8">
      <c r="B1573" t="s">
        <v>587</v>
      </c>
      <c r="C1573" t="s">
        <v>408</v>
      </c>
      <c r="D1573">
        <v>3976</v>
      </c>
      <c r="E1573">
        <v>3976</v>
      </c>
      <c r="F1573">
        <v>3975</v>
      </c>
      <c r="G1573">
        <v>3975</v>
      </c>
      <c r="H1573">
        <v>1700</v>
      </c>
    </row>
    <row r="1574" spans="2:8">
      <c r="B1574" t="s">
        <v>587</v>
      </c>
      <c r="C1574" t="s">
        <v>409</v>
      </c>
      <c r="D1574">
        <v>3975</v>
      </c>
      <c r="E1574">
        <v>3975</v>
      </c>
      <c r="F1574">
        <v>3972</v>
      </c>
      <c r="G1574">
        <v>3972</v>
      </c>
      <c r="H1574">
        <v>2600</v>
      </c>
    </row>
    <row r="1575" spans="2:8">
      <c r="B1575" t="s">
        <v>587</v>
      </c>
      <c r="C1575" t="s">
        <v>410</v>
      </c>
      <c r="D1575">
        <v>3972</v>
      </c>
      <c r="E1575">
        <v>3973</v>
      </c>
      <c r="F1575">
        <v>3971</v>
      </c>
      <c r="G1575">
        <v>3973</v>
      </c>
      <c r="H1575">
        <v>600</v>
      </c>
    </row>
    <row r="1576" spans="2:8">
      <c r="B1576" t="s">
        <v>587</v>
      </c>
      <c r="C1576" t="s">
        <v>411</v>
      </c>
      <c r="D1576">
        <v>3973</v>
      </c>
      <c r="E1576">
        <v>3975</v>
      </c>
      <c r="F1576">
        <v>3973</v>
      </c>
      <c r="G1576">
        <v>3975</v>
      </c>
      <c r="H1576">
        <v>8200</v>
      </c>
    </row>
    <row r="1577" spans="2:8">
      <c r="B1577" t="s">
        <v>587</v>
      </c>
      <c r="C1577" t="s">
        <v>412</v>
      </c>
      <c r="D1577">
        <v>3975</v>
      </c>
      <c r="E1577">
        <v>3975</v>
      </c>
      <c r="F1577">
        <v>3974</v>
      </c>
      <c r="G1577">
        <v>3974</v>
      </c>
      <c r="H1577">
        <v>1600</v>
      </c>
    </row>
    <row r="1578" spans="2:8">
      <c r="B1578" t="s">
        <v>587</v>
      </c>
      <c r="C1578" t="s">
        <v>413</v>
      </c>
      <c r="D1578">
        <v>3973</v>
      </c>
      <c r="E1578">
        <v>3975</v>
      </c>
      <c r="F1578">
        <v>3973</v>
      </c>
      <c r="G1578">
        <v>3975</v>
      </c>
      <c r="H1578">
        <v>5300</v>
      </c>
    </row>
    <row r="1579" spans="2:8">
      <c r="B1579" t="s">
        <v>587</v>
      </c>
      <c r="C1579" t="s">
        <v>414</v>
      </c>
      <c r="D1579">
        <v>3975</v>
      </c>
      <c r="E1579">
        <v>3975</v>
      </c>
      <c r="F1579">
        <v>3975</v>
      </c>
      <c r="G1579">
        <v>3975</v>
      </c>
      <c r="H1579">
        <v>900</v>
      </c>
    </row>
    <row r="1580" spans="2:8">
      <c r="B1580" t="s">
        <v>587</v>
      </c>
      <c r="C1580" t="s">
        <v>415</v>
      </c>
      <c r="D1580">
        <v>3974</v>
      </c>
      <c r="E1580">
        <v>3974</v>
      </c>
      <c r="F1580">
        <v>3974</v>
      </c>
      <c r="G1580">
        <v>3974</v>
      </c>
      <c r="H1580">
        <v>5300</v>
      </c>
    </row>
    <row r="1581" spans="2:8">
      <c r="B1581" t="s">
        <v>587</v>
      </c>
      <c r="C1581" t="s">
        <v>416</v>
      </c>
      <c r="D1581" t="s">
        <v>8</v>
      </c>
      <c r="E1581" t="s">
        <v>8</v>
      </c>
      <c r="F1581" t="s">
        <v>8</v>
      </c>
      <c r="G1581" t="s">
        <v>8</v>
      </c>
      <c r="H1581">
        <v>0</v>
      </c>
    </row>
    <row r="1582" spans="2:8">
      <c r="B1582" t="s">
        <v>587</v>
      </c>
      <c r="C1582" t="s">
        <v>417</v>
      </c>
      <c r="D1582">
        <v>3975</v>
      </c>
      <c r="E1582">
        <v>3977</v>
      </c>
      <c r="F1582">
        <v>3973</v>
      </c>
      <c r="G1582">
        <v>3974</v>
      </c>
      <c r="H1582">
        <v>8100</v>
      </c>
    </row>
    <row r="1583" spans="2:8">
      <c r="B1583" t="s">
        <v>587</v>
      </c>
      <c r="C1583" t="s">
        <v>418</v>
      </c>
      <c r="D1583">
        <v>3974</v>
      </c>
      <c r="E1583">
        <v>3974</v>
      </c>
      <c r="F1583">
        <v>3972</v>
      </c>
      <c r="G1583">
        <v>3972</v>
      </c>
      <c r="H1583">
        <v>7200</v>
      </c>
    </row>
    <row r="1584" spans="2:8">
      <c r="B1584" t="s">
        <v>587</v>
      </c>
      <c r="C1584" t="s">
        <v>419</v>
      </c>
      <c r="D1584">
        <v>3972</v>
      </c>
      <c r="E1584">
        <v>3974</v>
      </c>
      <c r="F1584">
        <v>3972</v>
      </c>
      <c r="G1584">
        <v>3974</v>
      </c>
      <c r="H1584">
        <v>3600</v>
      </c>
    </row>
    <row r="1585" spans="2:8">
      <c r="B1585" t="s">
        <v>587</v>
      </c>
      <c r="C1585" t="s">
        <v>420</v>
      </c>
      <c r="D1585">
        <v>3974</v>
      </c>
      <c r="E1585">
        <v>3974</v>
      </c>
      <c r="F1585">
        <v>3974</v>
      </c>
      <c r="G1585">
        <v>3974</v>
      </c>
      <c r="H1585">
        <v>100</v>
      </c>
    </row>
    <row r="1586" spans="2:8">
      <c r="B1586" t="s">
        <v>587</v>
      </c>
      <c r="C1586" t="s">
        <v>421</v>
      </c>
      <c r="D1586">
        <v>3975</v>
      </c>
      <c r="E1586">
        <v>3976</v>
      </c>
      <c r="F1586">
        <v>3975</v>
      </c>
      <c r="G1586">
        <v>3975</v>
      </c>
      <c r="H1586">
        <v>1500</v>
      </c>
    </row>
    <row r="1587" spans="2:8">
      <c r="B1587" t="s">
        <v>587</v>
      </c>
      <c r="C1587" t="s">
        <v>422</v>
      </c>
      <c r="D1587">
        <v>3975</v>
      </c>
      <c r="E1587">
        <v>3976</v>
      </c>
      <c r="F1587">
        <v>3975</v>
      </c>
      <c r="G1587">
        <v>3976</v>
      </c>
      <c r="H1587">
        <v>5200</v>
      </c>
    </row>
    <row r="1588" spans="2:8">
      <c r="B1588" t="s">
        <v>587</v>
      </c>
      <c r="C1588" t="s">
        <v>423</v>
      </c>
      <c r="D1588">
        <v>3977</v>
      </c>
      <c r="E1588">
        <v>3978</v>
      </c>
      <c r="F1588">
        <v>3977</v>
      </c>
      <c r="G1588">
        <v>3977</v>
      </c>
      <c r="H1588">
        <v>3300</v>
      </c>
    </row>
    <row r="1589" spans="2:8">
      <c r="B1589" t="s">
        <v>587</v>
      </c>
      <c r="C1589" t="s">
        <v>424</v>
      </c>
      <c r="D1589">
        <v>3977</v>
      </c>
      <c r="E1589">
        <v>3978</v>
      </c>
      <c r="F1589">
        <v>3976</v>
      </c>
      <c r="G1589">
        <v>3978</v>
      </c>
      <c r="H1589">
        <v>2700</v>
      </c>
    </row>
    <row r="1590" spans="2:8">
      <c r="B1590" t="s">
        <v>587</v>
      </c>
      <c r="C1590" t="s">
        <v>425</v>
      </c>
      <c r="D1590">
        <v>3978</v>
      </c>
      <c r="E1590">
        <v>3978</v>
      </c>
      <c r="F1590">
        <v>3978</v>
      </c>
      <c r="G1590">
        <v>3978</v>
      </c>
      <c r="H1590">
        <v>200</v>
      </c>
    </row>
    <row r="1591" spans="2:8">
      <c r="B1591" t="s">
        <v>587</v>
      </c>
      <c r="C1591" t="s">
        <v>426</v>
      </c>
      <c r="D1591">
        <v>3978</v>
      </c>
      <c r="E1591">
        <v>3979</v>
      </c>
      <c r="F1591">
        <v>3978</v>
      </c>
      <c r="G1591">
        <v>3979</v>
      </c>
      <c r="H1591">
        <v>1400</v>
      </c>
    </row>
    <row r="1592" spans="2:8">
      <c r="B1592" t="s">
        <v>587</v>
      </c>
      <c r="C1592" t="s">
        <v>427</v>
      </c>
      <c r="D1592">
        <v>3979</v>
      </c>
      <c r="E1592">
        <v>3981</v>
      </c>
      <c r="F1592">
        <v>3979</v>
      </c>
      <c r="G1592">
        <v>3981</v>
      </c>
      <c r="H1592">
        <v>11600</v>
      </c>
    </row>
    <row r="1593" spans="2:8">
      <c r="B1593" t="s">
        <v>587</v>
      </c>
      <c r="C1593" t="s">
        <v>428</v>
      </c>
      <c r="D1593">
        <v>3980</v>
      </c>
      <c r="E1593">
        <v>3981</v>
      </c>
      <c r="F1593">
        <v>3980</v>
      </c>
      <c r="G1593">
        <v>3981</v>
      </c>
      <c r="H1593">
        <v>200</v>
      </c>
    </row>
    <row r="1594" spans="2:8">
      <c r="B1594" t="s">
        <v>587</v>
      </c>
      <c r="C1594" t="s">
        <v>429</v>
      </c>
      <c r="D1594">
        <v>3981</v>
      </c>
      <c r="E1594">
        <v>3982</v>
      </c>
      <c r="F1594">
        <v>3981</v>
      </c>
      <c r="G1594">
        <v>3982</v>
      </c>
      <c r="H1594">
        <v>1200</v>
      </c>
    </row>
    <row r="1595" spans="2:8">
      <c r="B1595" t="s">
        <v>587</v>
      </c>
      <c r="C1595" t="s">
        <v>430</v>
      </c>
      <c r="D1595">
        <v>3982</v>
      </c>
      <c r="E1595">
        <v>3982</v>
      </c>
      <c r="F1595">
        <v>3980</v>
      </c>
      <c r="G1595">
        <v>3980</v>
      </c>
      <c r="H1595">
        <v>2300</v>
      </c>
    </row>
    <row r="1596" spans="2:8">
      <c r="B1596" t="s">
        <v>587</v>
      </c>
      <c r="C1596" t="s">
        <v>431</v>
      </c>
      <c r="D1596">
        <v>3981</v>
      </c>
      <c r="E1596">
        <v>3982</v>
      </c>
      <c r="F1596">
        <v>3980</v>
      </c>
      <c r="G1596">
        <v>3981</v>
      </c>
      <c r="H1596">
        <v>1700</v>
      </c>
    </row>
    <row r="1597" spans="2:8">
      <c r="B1597" t="s">
        <v>587</v>
      </c>
      <c r="C1597" t="s">
        <v>9</v>
      </c>
      <c r="D1597">
        <v>3982</v>
      </c>
      <c r="E1597">
        <v>3982</v>
      </c>
      <c r="F1597">
        <v>3981</v>
      </c>
      <c r="G1597">
        <v>3981</v>
      </c>
      <c r="H1597">
        <v>4300</v>
      </c>
    </row>
    <row r="1598" spans="2:8">
      <c r="B1598" t="s">
        <v>587</v>
      </c>
      <c r="C1598" t="s">
        <v>10</v>
      </c>
      <c r="D1598">
        <v>3983</v>
      </c>
      <c r="E1598">
        <v>3983</v>
      </c>
      <c r="F1598">
        <v>3982</v>
      </c>
      <c r="G1598">
        <v>3983</v>
      </c>
      <c r="H1598">
        <v>500</v>
      </c>
    </row>
    <row r="1599" spans="2:8">
      <c r="B1599" t="s">
        <v>587</v>
      </c>
      <c r="C1599" t="s">
        <v>11</v>
      </c>
      <c r="D1599">
        <v>3983</v>
      </c>
      <c r="E1599">
        <v>3988</v>
      </c>
      <c r="F1599">
        <v>3983</v>
      </c>
      <c r="G1599">
        <v>3987</v>
      </c>
      <c r="H1599">
        <v>9800</v>
      </c>
    </row>
    <row r="1600" spans="2:8">
      <c r="B1600" t="s">
        <v>587</v>
      </c>
      <c r="C1600" t="s">
        <v>12</v>
      </c>
      <c r="D1600">
        <v>3987</v>
      </c>
      <c r="E1600">
        <v>3987</v>
      </c>
      <c r="F1600">
        <v>3987</v>
      </c>
      <c r="G1600">
        <v>3987</v>
      </c>
      <c r="H1600">
        <v>1400</v>
      </c>
    </row>
    <row r="1601" spans="2:8">
      <c r="B1601" t="s">
        <v>587</v>
      </c>
      <c r="C1601" t="s">
        <v>13</v>
      </c>
      <c r="D1601">
        <v>3986</v>
      </c>
      <c r="E1601">
        <v>3988</v>
      </c>
      <c r="F1601">
        <v>3985</v>
      </c>
      <c r="G1601">
        <v>3986</v>
      </c>
      <c r="H1601">
        <v>4700</v>
      </c>
    </row>
    <row r="1602" spans="2:8">
      <c r="B1602" t="s">
        <v>587</v>
      </c>
      <c r="C1602" t="s">
        <v>14</v>
      </c>
      <c r="D1602">
        <v>3986</v>
      </c>
      <c r="E1602">
        <v>3987</v>
      </c>
      <c r="F1602">
        <v>3981</v>
      </c>
      <c r="G1602">
        <v>3981</v>
      </c>
      <c r="H1602">
        <v>8300</v>
      </c>
    </row>
    <row r="1603" spans="2:8">
      <c r="B1603" t="s">
        <v>587</v>
      </c>
      <c r="C1603" t="s">
        <v>15</v>
      </c>
      <c r="D1603">
        <v>3981</v>
      </c>
      <c r="E1603">
        <v>3981</v>
      </c>
      <c r="F1603">
        <v>3980</v>
      </c>
      <c r="G1603">
        <v>3981</v>
      </c>
      <c r="H1603">
        <v>2100</v>
      </c>
    </row>
    <row r="1604" spans="2:8">
      <c r="B1604" t="s">
        <v>587</v>
      </c>
      <c r="C1604" t="s">
        <v>16</v>
      </c>
      <c r="D1604">
        <v>3981</v>
      </c>
      <c r="E1604">
        <v>3983</v>
      </c>
      <c r="F1604">
        <v>3981</v>
      </c>
      <c r="G1604">
        <v>3983</v>
      </c>
      <c r="H1604">
        <v>2200</v>
      </c>
    </row>
    <row r="1605" spans="2:8">
      <c r="B1605" t="s">
        <v>587</v>
      </c>
      <c r="C1605" t="s">
        <v>17</v>
      </c>
      <c r="D1605">
        <v>3982</v>
      </c>
      <c r="E1605">
        <v>3982</v>
      </c>
      <c r="F1605">
        <v>3980</v>
      </c>
      <c r="G1605">
        <v>3980</v>
      </c>
      <c r="H1605">
        <v>2300</v>
      </c>
    </row>
    <row r="1606" spans="2:8">
      <c r="B1606" t="s">
        <v>587</v>
      </c>
      <c r="C1606" t="s">
        <v>18</v>
      </c>
      <c r="D1606">
        <v>3979</v>
      </c>
      <c r="E1606">
        <v>3979</v>
      </c>
      <c r="F1606">
        <v>3978</v>
      </c>
      <c r="G1606">
        <v>3978</v>
      </c>
      <c r="H1606">
        <v>700</v>
      </c>
    </row>
    <row r="1607" spans="2:8">
      <c r="B1607" t="s">
        <v>587</v>
      </c>
      <c r="C1607" t="s">
        <v>19</v>
      </c>
      <c r="D1607">
        <v>3977</v>
      </c>
      <c r="E1607">
        <v>3979</v>
      </c>
      <c r="F1607">
        <v>3977</v>
      </c>
      <c r="G1607">
        <v>3978</v>
      </c>
      <c r="H1607">
        <v>3100</v>
      </c>
    </row>
    <row r="1608" spans="2:8">
      <c r="B1608" t="s">
        <v>587</v>
      </c>
      <c r="C1608" t="s">
        <v>20</v>
      </c>
      <c r="D1608">
        <v>3978</v>
      </c>
      <c r="E1608">
        <v>3978</v>
      </c>
      <c r="F1608">
        <v>3978</v>
      </c>
      <c r="G1608">
        <v>3978</v>
      </c>
      <c r="H1608">
        <v>1200</v>
      </c>
    </row>
    <row r="1609" spans="2:8">
      <c r="B1609" t="s">
        <v>587</v>
      </c>
      <c r="C1609" t="s">
        <v>21</v>
      </c>
      <c r="D1609">
        <v>3978</v>
      </c>
      <c r="E1609">
        <v>3980</v>
      </c>
      <c r="F1609">
        <v>3978</v>
      </c>
      <c r="G1609">
        <v>3979</v>
      </c>
      <c r="H1609">
        <v>4100</v>
      </c>
    </row>
    <row r="1610" spans="2:8">
      <c r="B1610" t="s">
        <v>587</v>
      </c>
      <c r="C1610" t="s">
        <v>22</v>
      </c>
      <c r="D1610">
        <v>3978</v>
      </c>
      <c r="E1610">
        <v>3978</v>
      </c>
      <c r="F1610">
        <v>3976</v>
      </c>
      <c r="G1610">
        <v>3976</v>
      </c>
      <c r="H1610">
        <v>2400</v>
      </c>
    </row>
    <row r="1611" spans="2:8">
      <c r="B1611" t="s">
        <v>587</v>
      </c>
      <c r="C1611" t="s">
        <v>23</v>
      </c>
      <c r="D1611">
        <v>3976</v>
      </c>
      <c r="E1611">
        <v>3978</v>
      </c>
      <c r="F1611">
        <v>3976</v>
      </c>
      <c r="G1611">
        <v>3978</v>
      </c>
      <c r="H1611">
        <v>3100</v>
      </c>
    </row>
    <row r="1612" spans="2:8">
      <c r="B1612" t="s">
        <v>587</v>
      </c>
      <c r="C1612" t="s">
        <v>24</v>
      </c>
      <c r="D1612">
        <v>3978</v>
      </c>
      <c r="E1612">
        <v>3978</v>
      </c>
      <c r="F1612">
        <v>3978</v>
      </c>
      <c r="G1612">
        <v>3978</v>
      </c>
      <c r="H1612">
        <v>100</v>
      </c>
    </row>
    <row r="1613" spans="2:8">
      <c r="B1613" t="s">
        <v>587</v>
      </c>
      <c r="C1613" t="s">
        <v>25</v>
      </c>
      <c r="D1613">
        <v>3978</v>
      </c>
      <c r="E1613">
        <v>3979</v>
      </c>
      <c r="F1613">
        <v>3978</v>
      </c>
      <c r="G1613">
        <v>3979</v>
      </c>
      <c r="H1613">
        <v>1400</v>
      </c>
    </row>
    <row r="1614" spans="2:8">
      <c r="B1614" t="s">
        <v>587</v>
      </c>
      <c r="C1614" t="s">
        <v>26</v>
      </c>
      <c r="D1614">
        <v>3980</v>
      </c>
      <c r="E1614">
        <v>3980</v>
      </c>
      <c r="F1614">
        <v>3980</v>
      </c>
      <c r="G1614">
        <v>3980</v>
      </c>
      <c r="H1614">
        <v>1700</v>
      </c>
    </row>
    <row r="1615" spans="2:8">
      <c r="B1615" t="s">
        <v>587</v>
      </c>
      <c r="C1615" t="s">
        <v>27</v>
      </c>
      <c r="D1615">
        <v>3980</v>
      </c>
      <c r="E1615">
        <v>3981</v>
      </c>
      <c r="F1615">
        <v>3979</v>
      </c>
      <c r="G1615">
        <v>3979</v>
      </c>
      <c r="H1615">
        <v>1100</v>
      </c>
    </row>
    <row r="1616" spans="2:8">
      <c r="B1616" t="s">
        <v>587</v>
      </c>
      <c r="C1616" t="s">
        <v>28</v>
      </c>
      <c r="D1616">
        <v>3978</v>
      </c>
      <c r="E1616">
        <v>3978</v>
      </c>
      <c r="F1616">
        <v>3976</v>
      </c>
      <c r="G1616">
        <v>3976</v>
      </c>
      <c r="H1616">
        <v>1900</v>
      </c>
    </row>
    <row r="1617" spans="2:8">
      <c r="B1617" t="s">
        <v>587</v>
      </c>
      <c r="C1617" t="s">
        <v>29</v>
      </c>
      <c r="D1617">
        <v>3976</v>
      </c>
      <c r="E1617">
        <v>3976</v>
      </c>
      <c r="F1617">
        <v>3976</v>
      </c>
      <c r="G1617">
        <v>3976</v>
      </c>
      <c r="H1617">
        <v>4600</v>
      </c>
    </row>
    <row r="1618" spans="2:8">
      <c r="B1618" t="s">
        <v>587</v>
      </c>
      <c r="C1618" t="s">
        <v>30</v>
      </c>
      <c r="D1618">
        <v>3976</v>
      </c>
      <c r="E1618">
        <v>3978</v>
      </c>
      <c r="F1618">
        <v>3976</v>
      </c>
      <c r="G1618">
        <v>3978</v>
      </c>
      <c r="H1618">
        <v>2800</v>
      </c>
    </row>
    <row r="1619" spans="2:8">
      <c r="B1619" t="s">
        <v>587</v>
      </c>
      <c r="C1619" t="s">
        <v>31</v>
      </c>
      <c r="D1619">
        <v>3977</v>
      </c>
      <c r="E1619">
        <v>3978</v>
      </c>
      <c r="F1619">
        <v>3977</v>
      </c>
      <c r="G1619">
        <v>3978</v>
      </c>
      <c r="H1619">
        <v>700</v>
      </c>
    </row>
    <row r="1620" spans="2:8">
      <c r="B1620" t="s">
        <v>587</v>
      </c>
      <c r="C1620" t="s">
        <v>32</v>
      </c>
      <c r="D1620">
        <v>3979</v>
      </c>
      <c r="E1620">
        <v>3979</v>
      </c>
      <c r="F1620">
        <v>3979</v>
      </c>
      <c r="G1620">
        <v>3979</v>
      </c>
      <c r="H1620">
        <v>200</v>
      </c>
    </row>
    <row r="1621" spans="2:8">
      <c r="B1621" t="s">
        <v>587</v>
      </c>
      <c r="C1621" t="s">
        <v>33</v>
      </c>
      <c r="D1621">
        <v>3979</v>
      </c>
      <c r="E1621">
        <v>3979</v>
      </c>
      <c r="F1621">
        <v>3977</v>
      </c>
      <c r="G1621">
        <v>3977</v>
      </c>
      <c r="H1621">
        <v>1700</v>
      </c>
    </row>
    <row r="1622" spans="2:8">
      <c r="B1622" t="s">
        <v>587</v>
      </c>
      <c r="C1622" t="s">
        <v>34</v>
      </c>
      <c r="D1622">
        <v>3978</v>
      </c>
      <c r="E1622">
        <v>3978</v>
      </c>
      <c r="F1622">
        <v>3974</v>
      </c>
      <c r="G1622">
        <v>3974</v>
      </c>
      <c r="H1622">
        <v>11300</v>
      </c>
    </row>
    <row r="1623" spans="2:8">
      <c r="B1623" t="s">
        <v>587</v>
      </c>
      <c r="C1623" t="s">
        <v>35</v>
      </c>
      <c r="D1623">
        <v>3974</v>
      </c>
      <c r="E1623">
        <v>3977</v>
      </c>
      <c r="F1623">
        <v>3974</v>
      </c>
      <c r="G1623">
        <v>3977</v>
      </c>
      <c r="H1623">
        <v>6600</v>
      </c>
    </row>
    <row r="1624" spans="2:8">
      <c r="B1624" t="s">
        <v>587</v>
      </c>
      <c r="C1624" t="s">
        <v>36</v>
      </c>
      <c r="D1624">
        <v>3977</v>
      </c>
      <c r="E1624">
        <v>3979</v>
      </c>
      <c r="F1624">
        <v>3976</v>
      </c>
      <c r="G1624">
        <v>3979</v>
      </c>
      <c r="H1624">
        <v>2200</v>
      </c>
    </row>
    <row r="1625" spans="2:8">
      <c r="B1625" t="s">
        <v>587</v>
      </c>
      <c r="C1625" t="s">
        <v>37</v>
      </c>
      <c r="D1625">
        <v>3979</v>
      </c>
      <c r="E1625">
        <v>3979</v>
      </c>
      <c r="F1625">
        <v>3978</v>
      </c>
      <c r="G1625">
        <v>3979</v>
      </c>
      <c r="H1625">
        <v>500</v>
      </c>
    </row>
    <row r="1626" spans="2:8">
      <c r="B1626" t="s">
        <v>587</v>
      </c>
      <c r="C1626" t="s">
        <v>38</v>
      </c>
      <c r="D1626">
        <v>3979</v>
      </c>
      <c r="E1626">
        <v>3982</v>
      </c>
      <c r="F1626">
        <v>3978</v>
      </c>
      <c r="G1626">
        <v>3982</v>
      </c>
      <c r="H1626">
        <v>11900</v>
      </c>
    </row>
    <row r="1627" spans="2:8">
      <c r="B1627" t="s">
        <v>587</v>
      </c>
      <c r="C1627" t="s">
        <v>39</v>
      </c>
      <c r="D1627">
        <v>3981</v>
      </c>
      <c r="E1627">
        <v>3982</v>
      </c>
      <c r="F1627">
        <v>3980</v>
      </c>
      <c r="G1627">
        <v>3980</v>
      </c>
      <c r="H1627">
        <v>1600</v>
      </c>
    </row>
    <row r="1628" spans="2:8">
      <c r="B1628" t="s">
        <v>587</v>
      </c>
      <c r="C1628" t="s">
        <v>40</v>
      </c>
      <c r="D1628">
        <v>3980</v>
      </c>
      <c r="E1628">
        <v>3982</v>
      </c>
      <c r="F1628">
        <v>3980</v>
      </c>
      <c r="G1628">
        <v>3981</v>
      </c>
      <c r="H1628">
        <v>4000</v>
      </c>
    </row>
    <row r="1629" spans="2:8">
      <c r="B1629" t="s">
        <v>587</v>
      </c>
      <c r="C1629" t="s">
        <v>41</v>
      </c>
      <c r="D1629">
        <v>3982</v>
      </c>
      <c r="E1629">
        <v>3982</v>
      </c>
      <c r="F1629">
        <v>3980</v>
      </c>
      <c r="G1629">
        <v>3980</v>
      </c>
      <c r="H1629">
        <v>2600</v>
      </c>
    </row>
    <row r="1630" spans="2:8">
      <c r="B1630" t="s">
        <v>587</v>
      </c>
      <c r="C1630" t="s">
        <v>42</v>
      </c>
      <c r="D1630">
        <v>3979</v>
      </c>
      <c r="E1630">
        <v>3981</v>
      </c>
      <c r="F1630">
        <v>3979</v>
      </c>
      <c r="G1630">
        <v>3980</v>
      </c>
      <c r="H1630">
        <v>1100</v>
      </c>
    </row>
    <row r="1631" spans="2:8">
      <c r="B1631" t="s">
        <v>587</v>
      </c>
      <c r="C1631" t="s">
        <v>43</v>
      </c>
      <c r="D1631">
        <v>3980</v>
      </c>
      <c r="E1631">
        <v>3980</v>
      </c>
      <c r="F1631">
        <v>3979</v>
      </c>
      <c r="G1631">
        <v>3980</v>
      </c>
      <c r="H1631">
        <v>2000</v>
      </c>
    </row>
    <row r="1632" spans="2:8">
      <c r="B1632" t="s">
        <v>587</v>
      </c>
      <c r="C1632" t="s">
        <v>44</v>
      </c>
      <c r="D1632">
        <v>3979</v>
      </c>
      <c r="E1632">
        <v>3979</v>
      </c>
      <c r="F1632">
        <v>3976</v>
      </c>
      <c r="G1632">
        <v>3977</v>
      </c>
      <c r="H1632">
        <v>7900</v>
      </c>
    </row>
    <row r="1633" spans="2:8">
      <c r="B1633" t="s">
        <v>587</v>
      </c>
      <c r="C1633" t="s">
        <v>45</v>
      </c>
      <c r="D1633">
        <v>3978</v>
      </c>
      <c r="E1633">
        <v>3981</v>
      </c>
      <c r="F1633">
        <v>3978</v>
      </c>
      <c r="G1633">
        <v>3980</v>
      </c>
      <c r="H1633">
        <v>8200</v>
      </c>
    </row>
    <row r="1634" spans="2:8">
      <c r="B1634" t="s">
        <v>587</v>
      </c>
      <c r="C1634" t="s">
        <v>46</v>
      </c>
      <c r="D1634">
        <v>3981</v>
      </c>
      <c r="E1634">
        <v>3982</v>
      </c>
      <c r="F1634">
        <v>3980</v>
      </c>
      <c r="G1634">
        <v>3980</v>
      </c>
      <c r="H1634">
        <v>9500</v>
      </c>
    </row>
    <row r="1635" spans="2:8">
      <c r="B1635" t="s">
        <v>587</v>
      </c>
      <c r="C1635" t="s">
        <v>47</v>
      </c>
      <c r="D1635">
        <v>3980</v>
      </c>
      <c r="E1635">
        <v>3980</v>
      </c>
      <c r="F1635">
        <v>3979</v>
      </c>
      <c r="G1635">
        <v>3979</v>
      </c>
      <c r="H1635">
        <v>2500</v>
      </c>
    </row>
    <row r="1636" spans="2:8">
      <c r="B1636" t="s">
        <v>587</v>
      </c>
      <c r="C1636" t="s">
        <v>48</v>
      </c>
      <c r="D1636">
        <v>3979</v>
      </c>
      <c r="E1636">
        <v>3979</v>
      </c>
      <c r="F1636">
        <v>3979</v>
      </c>
      <c r="G1636">
        <v>3979</v>
      </c>
      <c r="H1636">
        <v>300</v>
      </c>
    </row>
    <row r="1637" spans="2:8">
      <c r="B1637" t="s">
        <v>587</v>
      </c>
      <c r="C1637" t="s">
        <v>49</v>
      </c>
      <c r="D1637">
        <v>3980</v>
      </c>
      <c r="E1637">
        <v>3980</v>
      </c>
      <c r="F1637">
        <v>3978</v>
      </c>
      <c r="G1637">
        <v>3979</v>
      </c>
      <c r="H1637">
        <v>2300</v>
      </c>
    </row>
    <row r="1638" spans="2:8">
      <c r="B1638" t="s">
        <v>587</v>
      </c>
      <c r="C1638" t="s">
        <v>50</v>
      </c>
      <c r="D1638">
        <v>3978</v>
      </c>
      <c r="E1638">
        <v>3980</v>
      </c>
      <c r="F1638">
        <v>3978</v>
      </c>
      <c r="G1638">
        <v>3980</v>
      </c>
      <c r="H1638">
        <v>3900</v>
      </c>
    </row>
    <row r="1639" spans="2:8">
      <c r="B1639" t="s">
        <v>587</v>
      </c>
      <c r="C1639" t="s">
        <v>51</v>
      </c>
      <c r="D1639">
        <v>3980</v>
      </c>
      <c r="E1639">
        <v>3981</v>
      </c>
      <c r="F1639">
        <v>3978</v>
      </c>
      <c r="G1639">
        <v>3978</v>
      </c>
      <c r="H1639">
        <v>6200</v>
      </c>
    </row>
    <row r="1640" spans="2:8">
      <c r="B1640" t="s">
        <v>587</v>
      </c>
      <c r="C1640" t="s">
        <v>52</v>
      </c>
      <c r="D1640">
        <v>3979</v>
      </c>
      <c r="E1640">
        <v>3980</v>
      </c>
      <c r="F1640">
        <v>3978</v>
      </c>
      <c r="G1640">
        <v>3980</v>
      </c>
      <c r="H1640">
        <v>2600</v>
      </c>
    </row>
    <row r="1641" spans="2:8">
      <c r="B1641" t="s">
        <v>587</v>
      </c>
      <c r="C1641" t="s">
        <v>53</v>
      </c>
      <c r="D1641">
        <v>3979</v>
      </c>
      <c r="E1641">
        <v>3979</v>
      </c>
      <c r="F1641">
        <v>3978</v>
      </c>
      <c r="G1641">
        <v>3979</v>
      </c>
      <c r="H1641">
        <v>900</v>
      </c>
    </row>
    <row r="1642" spans="2:8">
      <c r="B1642" t="s">
        <v>587</v>
      </c>
      <c r="C1642" t="s">
        <v>54</v>
      </c>
      <c r="D1642">
        <v>3980</v>
      </c>
      <c r="E1642">
        <v>3980</v>
      </c>
      <c r="F1642">
        <v>3977</v>
      </c>
      <c r="G1642">
        <v>3977</v>
      </c>
      <c r="H1642">
        <v>2200</v>
      </c>
    </row>
    <row r="1643" spans="2:8">
      <c r="B1643" t="s">
        <v>587</v>
      </c>
      <c r="C1643" t="s">
        <v>55</v>
      </c>
      <c r="D1643">
        <v>3977</v>
      </c>
      <c r="E1643">
        <v>3978</v>
      </c>
      <c r="F1643">
        <v>3976</v>
      </c>
      <c r="G1643">
        <v>3976</v>
      </c>
      <c r="H1643">
        <v>1800</v>
      </c>
    </row>
    <row r="1644" spans="2:8">
      <c r="B1644" t="s">
        <v>587</v>
      </c>
      <c r="C1644" t="s">
        <v>56</v>
      </c>
      <c r="D1644">
        <v>3976</v>
      </c>
      <c r="E1644">
        <v>3976</v>
      </c>
      <c r="F1644">
        <v>3976</v>
      </c>
      <c r="G1644">
        <v>3976</v>
      </c>
      <c r="H1644">
        <v>100</v>
      </c>
    </row>
    <row r="1645" spans="2:8">
      <c r="B1645" t="s">
        <v>587</v>
      </c>
      <c r="C1645" t="s">
        <v>57</v>
      </c>
      <c r="D1645">
        <v>3977</v>
      </c>
      <c r="E1645">
        <v>3977</v>
      </c>
      <c r="F1645">
        <v>3976</v>
      </c>
      <c r="G1645">
        <v>3977</v>
      </c>
      <c r="H1645">
        <v>4800</v>
      </c>
    </row>
    <row r="1646" spans="2:8">
      <c r="B1646" t="s">
        <v>587</v>
      </c>
      <c r="C1646" t="s">
        <v>58</v>
      </c>
      <c r="D1646">
        <v>3977</v>
      </c>
      <c r="E1646">
        <v>3977</v>
      </c>
      <c r="F1646">
        <v>3973</v>
      </c>
      <c r="G1646">
        <v>3977</v>
      </c>
      <c r="H1646">
        <v>10800</v>
      </c>
    </row>
    <row r="1647" spans="2:8">
      <c r="B1647" t="s">
        <v>587</v>
      </c>
      <c r="C1647" t="s">
        <v>59</v>
      </c>
      <c r="D1647">
        <v>3977</v>
      </c>
      <c r="E1647">
        <v>3977</v>
      </c>
      <c r="F1647">
        <v>3976</v>
      </c>
      <c r="G1647">
        <v>3976</v>
      </c>
      <c r="H1647">
        <v>1700</v>
      </c>
    </row>
    <row r="1648" spans="2:8">
      <c r="B1648" t="s">
        <v>587</v>
      </c>
      <c r="C1648" t="s">
        <v>60</v>
      </c>
      <c r="D1648">
        <v>3977</v>
      </c>
      <c r="E1648">
        <v>3979</v>
      </c>
      <c r="F1648">
        <v>3977</v>
      </c>
      <c r="G1648">
        <v>3979</v>
      </c>
      <c r="H1648">
        <v>2900</v>
      </c>
    </row>
    <row r="1649" spans="1:8">
      <c r="B1649" t="s">
        <v>587</v>
      </c>
      <c r="C1649" t="s">
        <v>61</v>
      </c>
      <c r="D1649">
        <v>3980</v>
      </c>
      <c r="E1649">
        <v>3980</v>
      </c>
      <c r="F1649">
        <v>3977</v>
      </c>
      <c r="G1649">
        <v>3977</v>
      </c>
      <c r="H1649">
        <v>1600</v>
      </c>
    </row>
    <row r="1650" spans="1:8">
      <c r="B1650" t="s">
        <v>587</v>
      </c>
      <c r="C1650" t="s">
        <v>62</v>
      </c>
      <c r="D1650">
        <v>3977</v>
      </c>
      <c r="E1650">
        <v>3978</v>
      </c>
      <c r="F1650">
        <v>3977</v>
      </c>
      <c r="G1650">
        <v>3978</v>
      </c>
      <c r="H1650">
        <v>2200</v>
      </c>
    </row>
    <row r="1651" spans="1:8">
      <c r="B1651" t="s">
        <v>587</v>
      </c>
      <c r="C1651" t="s">
        <v>63</v>
      </c>
      <c r="D1651">
        <v>3978</v>
      </c>
      <c r="E1651">
        <v>3980</v>
      </c>
      <c r="F1651">
        <v>3977</v>
      </c>
      <c r="G1651">
        <v>3979</v>
      </c>
      <c r="H1651">
        <v>11400</v>
      </c>
    </row>
    <row r="1652" spans="1:8">
      <c r="B1652" t="s">
        <v>587</v>
      </c>
      <c r="C1652" t="s">
        <v>64</v>
      </c>
      <c r="D1652">
        <v>3981</v>
      </c>
      <c r="E1652">
        <v>3981</v>
      </c>
      <c r="F1652">
        <v>3977</v>
      </c>
      <c r="G1652">
        <v>3977</v>
      </c>
      <c r="H1652">
        <v>5400</v>
      </c>
    </row>
    <row r="1653" spans="1:8">
      <c r="B1653" t="s">
        <v>587</v>
      </c>
      <c r="C1653" t="s">
        <v>65</v>
      </c>
      <c r="D1653">
        <v>3978</v>
      </c>
      <c r="E1653">
        <v>3978</v>
      </c>
      <c r="F1653">
        <v>3977</v>
      </c>
      <c r="G1653">
        <v>3978</v>
      </c>
      <c r="H1653">
        <v>1500</v>
      </c>
    </row>
    <row r="1654" spans="1:8">
      <c r="B1654" t="s">
        <v>587</v>
      </c>
      <c r="C1654" t="s">
        <v>66</v>
      </c>
      <c r="D1654">
        <v>3978</v>
      </c>
      <c r="E1654">
        <v>3981</v>
      </c>
      <c r="F1654">
        <v>3978</v>
      </c>
      <c r="G1654">
        <v>3980</v>
      </c>
      <c r="H1654">
        <v>3400</v>
      </c>
    </row>
    <row r="1655" spans="1:8">
      <c r="B1655" t="s">
        <v>587</v>
      </c>
      <c r="C1655" t="s">
        <v>164</v>
      </c>
      <c r="D1655">
        <v>3981</v>
      </c>
      <c r="E1655">
        <v>3983</v>
      </c>
      <c r="F1655">
        <v>3980</v>
      </c>
      <c r="G1655">
        <v>3982</v>
      </c>
      <c r="H1655">
        <v>3200</v>
      </c>
    </row>
    <row r="1656" spans="1:8">
      <c r="B1656" t="s">
        <v>587</v>
      </c>
      <c r="C1656" t="s">
        <v>165</v>
      </c>
      <c r="D1656">
        <v>3984</v>
      </c>
      <c r="E1656">
        <v>3985</v>
      </c>
      <c r="F1656">
        <v>3980</v>
      </c>
      <c r="G1656">
        <v>3980</v>
      </c>
      <c r="H1656">
        <v>5900</v>
      </c>
    </row>
    <row r="1657" spans="1:8">
      <c r="B1657" t="s">
        <v>587</v>
      </c>
      <c r="C1657" t="s">
        <v>67</v>
      </c>
      <c r="D1657" t="s">
        <v>8</v>
      </c>
      <c r="E1657" t="s">
        <v>8</v>
      </c>
      <c r="F1657" t="s">
        <v>8</v>
      </c>
      <c r="G1657" t="s">
        <v>8</v>
      </c>
      <c r="H1657">
        <v>0</v>
      </c>
    </row>
    <row r="1658" spans="1:8">
      <c r="B1658" t="s">
        <v>587</v>
      </c>
      <c r="C1658" t="s">
        <v>68</v>
      </c>
      <c r="D1658" t="s">
        <v>8</v>
      </c>
      <c r="E1658" t="s">
        <v>8</v>
      </c>
      <c r="F1658" t="s">
        <v>8</v>
      </c>
      <c r="G1658" t="s">
        <v>8</v>
      </c>
      <c r="H1658">
        <v>0</v>
      </c>
    </row>
    <row r="1659" spans="1:8">
      <c r="B1659" t="s">
        <v>587</v>
      </c>
      <c r="C1659" t="s">
        <v>69</v>
      </c>
      <c r="D1659" t="s">
        <v>8</v>
      </c>
      <c r="E1659" t="s">
        <v>8</v>
      </c>
      <c r="F1659" t="s">
        <v>8</v>
      </c>
      <c r="G1659" t="s">
        <v>8</v>
      </c>
      <c r="H1659">
        <v>0</v>
      </c>
    </row>
    <row r="1660" spans="1:8">
      <c r="B1660" t="s">
        <v>587</v>
      </c>
      <c r="C1660" t="s">
        <v>70</v>
      </c>
      <c r="D1660" t="s">
        <v>8</v>
      </c>
      <c r="E1660" t="s">
        <v>8</v>
      </c>
      <c r="F1660" t="s">
        <v>8</v>
      </c>
      <c r="G1660" t="s">
        <v>8</v>
      </c>
      <c r="H1660">
        <v>0</v>
      </c>
    </row>
    <row r="1661" spans="1:8">
      <c r="B1661" t="s">
        <v>587</v>
      </c>
      <c r="C1661" t="s">
        <v>71</v>
      </c>
      <c r="D1661" t="s">
        <v>8</v>
      </c>
      <c r="E1661" t="s">
        <v>8</v>
      </c>
      <c r="F1661" t="s">
        <v>8</v>
      </c>
      <c r="G1661" t="s">
        <v>8</v>
      </c>
      <c r="H1661">
        <v>0</v>
      </c>
    </row>
    <row r="1662" spans="1:8">
      <c r="B1662" t="s">
        <v>587</v>
      </c>
      <c r="C1662" t="s">
        <v>72</v>
      </c>
      <c r="D1662">
        <v>3981</v>
      </c>
      <c r="E1662">
        <v>3981</v>
      </c>
      <c r="F1662">
        <v>3981</v>
      </c>
      <c r="G1662">
        <v>3981</v>
      </c>
      <c r="H1662">
        <v>449400</v>
      </c>
    </row>
    <row r="1663" spans="1:8">
      <c r="A1663" s="1" t="s">
        <v>588</v>
      </c>
      <c r="B1663" s="1" t="s">
        <v>588</v>
      </c>
      <c r="C1663" s="1" t="s">
        <v>588</v>
      </c>
      <c r="D1663" s="1" t="s">
        <v>588</v>
      </c>
      <c r="E1663" s="1" t="s">
        <v>588</v>
      </c>
      <c r="F1663" s="1" t="s">
        <v>588</v>
      </c>
      <c r="G1663" s="1" t="s">
        <v>588</v>
      </c>
      <c r="H1663" s="1" t="s">
        <v>588</v>
      </c>
    </row>
    <row r="1664" spans="1:8">
      <c r="A1664" s="1"/>
      <c r="B1664" s="1" t="s">
        <v>586</v>
      </c>
      <c r="C1664" s="1" t="s">
        <v>444</v>
      </c>
      <c r="D1664" s="1">
        <v>3928</v>
      </c>
      <c r="E1664" s="1">
        <v>3928</v>
      </c>
      <c r="F1664" s="1">
        <v>3923</v>
      </c>
      <c r="G1664" s="1">
        <v>3923</v>
      </c>
      <c r="H1664" s="1">
        <v>4000</v>
      </c>
    </row>
    <row r="1665" spans="1:8">
      <c r="A1665" s="1"/>
      <c r="B1665" s="1" t="s">
        <v>586</v>
      </c>
      <c r="C1665" s="1" t="s">
        <v>445</v>
      </c>
      <c r="D1665" s="1">
        <v>3922</v>
      </c>
      <c r="E1665" s="1">
        <v>3936</v>
      </c>
      <c r="F1665" s="1">
        <v>3922</v>
      </c>
      <c r="G1665" s="1">
        <v>3933</v>
      </c>
      <c r="H1665" s="1">
        <v>9000</v>
      </c>
    </row>
    <row r="1666" spans="1:8">
      <c r="A1666" s="1"/>
      <c r="B1666" s="1" t="s">
        <v>586</v>
      </c>
      <c r="C1666" s="1" t="s">
        <v>446</v>
      </c>
      <c r="D1666" s="1">
        <v>3933</v>
      </c>
      <c r="E1666" s="1">
        <v>3933</v>
      </c>
      <c r="F1666" s="1">
        <v>3927</v>
      </c>
      <c r="G1666" s="1">
        <v>3929</v>
      </c>
      <c r="H1666" s="1">
        <v>4300</v>
      </c>
    </row>
    <row r="1667" spans="1:8">
      <c r="A1667" s="1"/>
      <c r="B1667" s="1" t="s">
        <v>586</v>
      </c>
      <c r="C1667" s="1" t="s">
        <v>447</v>
      </c>
      <c r="D1667" s="1">
        <v>3927</v>
      </c>
      <c r="E1667" s="1">
        <v>3933</v>
      </c>
      <c r="F1667" s="1">
        <v>3926</v>
      </c>
      <c r="G1667" s="1">
        <v>3929</v>
      </c>
      <c r="H1667" s="1">
        <v>3600</v>
      </c>
    </row>
    <row r="1668" spans="1:8">
      <c r="A1668" s="1"/>
      <c r="B1668" s="1" t="s">
        <v>586</v>
      </c>
      <c r="C1668" s="1" t="s">
        <v>448</v>
      </c>
      <c r="D1668" s="1">
        <v>3931</v>
      </c>
      <c r="E1668" s="1">
        <v>3935</v>
      </c>
      <c r="F1668" s="1">
        <v>3930</v>
      </c>
      <c r="G1668" s="1">
        <v>3933</v>
      </c>
      <c r="H1668" s="1">
        <v>2500</v>
      </c>
    </row>
    <row r="1669" spans="1:8">
      <c r="A1669" s="1"/>
      <c r="B1669" s="1" t="s">
        <v>586</v>
      </c>
      <c r="C1669" s="1" t="s">
        <v>449</v>
      </c>
      <c r="D1669" s="1">
        <v>3934</v>
      </c>
      <c r="E1669" s="1">
        <v>3941</v>
      </c>
      <c r="F1669" s="1">
        <v>3932</v>
      </c>
      <c r="G1669" s="1">
        <v>3939</v>
      </c>
      <c r="H1669" s="1">
        <v>9700</v>
      </c>
    </row>
    <row r="1670" spans="1:8">
      <c r="A1670" s="1"/>
      <c r="B1670" s="1" t="s">
        <v>586</v>
      </c>
      <c r="C1670" s="1" t="s">
        <v>450</v>
      </c>
      <c r="D1670" s="1">
        <v>3938</v>
      </c>
      <c r="E1670" s="1">
        <v>3940</v>
      </c>
      <c r="F1670" s="1">
        <v>3933</v>
      </c>
      <c r="G1670" s="1">
        <v>3933</v>
      </c>
      <c r="H1670" s="1">
        <v>5300</v>
      </c>
    </row>
    <row r="1671" spans="1:8">
      <c r="A1671" s="1"/>
      <c r="B1671" s="1" t="s">
        <v>586</v>
      </c>
      <c r="C1671" s="1" t="s">
        <v>451</v>
      </c>
      <c r="D1671" s="1">
        <v>3932</v>
      </c>
      <c r="E1671" s="1">
        <v>3932</v>
      </c>
      <c r="F1671" s="1">
        <v>3927</v>
      </c>
      <c r="G1671" s="1">
        <v>3931</v>
      </c>
      <c r="H1671" s="1">
        <v>4100</v>
      </c>
    </row>
    <row r="1672" spans="1:8">
      <c r="A1672" s="1"/>
      <c r="B1672" s="1" t="s">
        <v>586</v>
      </c>
      <c r="C1672" s="1" t="s">
        <v>452</v>
      </c>
      <c r="D1672" s="1">
        <v>3931</v>
      </c>
      <c r="E1672" s="1">
        <v>3936</v>
      </c>
      <c r="F1672" s="1">
        <v>3931</v>
      </c>
      <c r="G1672" s="1">
        <v>3934</v>
      </c>
      <c r="H1672" s="1">
        <v>6500</v>
      </c>
    </row>
    <row r="1673" spans="1:8">
      <c r="A1673" s="1"/>
      <c r="B1673" s="1" t="s">
        <v>586</v>
      </c>
      <c r="C1673" s="1" t="s">
        <v>453</v>
      </c>
      <c r="D1673" s="1">
        <v>3937</v>
      </c>
      <c r="E1673" s="1">
        <v>3942</v>
      </c>
      <c r="F1673" s="1">
        <v>3937</v>
      </c>
      <c r="G1673" s="1">
        <v>3939</v>
      </c>
      <c r="H1673" s="1">
        <v>3400</v>
      </c>
    </row>
    <row r="1674" spans="1:8">
      <c r="A1674" s="1"/>
      <c r="B1674" s="1" t="s">
        <v>586</v>
      </c>
      <c r="C1674" s="1" t="s">
        <v>454</v>
      </c>
      <c r="D1674" s="1">
        <v>3940</v>
      </c>
      <c r="E1674" s="1">
        <v>3954</v>
      </c>
      <c r="F1674" s="1">
        <v>3940</v>
      </c>
      <c r="G1674" s="1">
        <v>3952</v>
      </c>
      <c r="H1674" s="1">
        <v>10700</v>
      </c>
    </row>
    <row r="1675" spans="1:8">
      <c r="A1675" s="1"/>
      <c r="B1675" s="1" t="s">
        <v>586</v>
      </c>
      <c r="C1675" s="1" t="s">
        <v>455</v>
      </c>
      <c r="D1675" s="1">
        <v>3951</v>
      </c>
      <c r="E1675" s="1">
        <v>3954</v>
      </c>
      <c r="F1675" s="1">
        <v>3947</v>
      </c>
      <c r="G1675" s="1">
        <v>3949</v>
      </c>
      <c r="H1675" s="1">
        <v>4700</v>
      </c>
    </row>
    <row r="1676" spans="1:8">
      <c r="A1676" s="1"/>
      <c r="B1676" s="1" t="s">
        <v>586</v>
      </c>
      <c r="C1676" s="1" t="s">
        <v>456</v>
      </c>
      <c r="D1676" s="1">
        <v>3949</v>
      </c>
      <c r="E1676" s="1">
        <v>3953</v>
      </c>
      <c r="F1676" s="1">
        <v>3948</v>
      </c>
      <c r="G1676" s="1">
        <v>3953</v>
      </c>
      <c r="H1676" s="1">
        <v>5800</v>
      </c>
    </row>
    <row r="1677" spans="1:8">
      <c r="A1677" s="1"/>
      <c r="B1677" s="1" t="s">
        <v>586</v>
      </c>
      <c r="C1677" s="1" t="s">
        <v>457</v>
      </c>
      <c r="D1677" s="1">
        <v>3953</v>
      </c>
      <c r="E1677" s="1">
        <v>3953</v>
      </c>
      <c r="F1677" s="1">
        <v>3952</v>
      </c>
      <c r="G1677" s="1">
        <v>3952</v>
      </c>
      <c r="H1677" s="1">
        <v>1600</v>
      </c>
    </row>
    <row r="1678" spans="1:8">
      <c r="A1678" s="1"/>
      <c r="B1678" s="1" t="s">
        <v>586</v>
      </c>
      <c r="C1678" s="1" t="s">
        <v>458</v>
      </c>
      <c r="D1678" s="1">
        <v>3950</v>
      </c>
      <c r="E1678" s="1">
        <v>3954</v>
      </c>
      <c r="F1678" s="1">
        <v>3948</v>
      </c>
      <c r="G1678" s="1">
        <v>3948</v>
      </c>
      <c r="H1678" s="1">
        <v>1900</v>
      </c>
    </row>
    <row r="1679" spans="1:8">
      <c r="A1679" s="1"/>
      <c r="B1679" s="1" t="s">
        <v>586</v>
      </c>
      <c r="C1679" s="1" t="s">
        <v>459</v>
      </c>
      <c r="D1679" s="1">
        <v>3949</v>
      </c>
      <c r="E1679" s="1">
        <v>3950</v>
      </c>
      <c r="F1679" s="1">
        <v>3947</v>
      </c>
      <c r="G1679" s="1">
        <v>3950</v>
      </c>
      <c r="H1679" s="1">
        <v>900</v>
      </c>
    </row>
    <row r="1680" spans="1:8">
      <c r="A1680" s="1"/>
      <c r="B1680" s="1" t="s">
        <v>586</v>
      </c>
      <c r="C1680" s="1" t="s">
        <v>460</v>
      </c>
      <c r="D1680" s="1">
        <v>3950</v>
      </c>
      <c r="E1680" s="1">
        <v>3952</v>
      </c>
      <c r="F1680" s="1">
        <v>3949</v>
      </c>
      <c r="G1680" s="1">
        <v>3952</v>
      </c>
      <c r="H1680" s="1">
        <v>1100</v>
      </c>
    </row>
    <row r="1681" spans="1:8">
      <c r="A1681" s="1"/>
      <c r="B1681" s="1" t="s">
        <v>586</v>
      </c>
      <c r="C1681" s="1" t="s">
        <v>461</v>
      </c>
      <c r="D1681" s="1">
        <v>3951</v>
      </c>
      <c r="E1681" s="1">
        <v>3952</v>
      </c>
      <c r="F1681" s="1">
        <v>3946</v>
      </c>
      <c r="G1681" s="1">
        <v>3946</v>
      </c>
      <c r="H1681" s="1">
        <v>4100</v>
      </c>
    </row>
    <row r="1682" spans="1:8">
      <c r="A1682" s="1"/>
      <c r="B1682" s="1" t="s">
        <v>586</v>
      </c>
      <c r="C1682" s="1" t="s">
        <v>462</v>
      </c>
      <c r="D1682" s="1">
        <v>3944</v>
      </c>
      <c r="E1682" s="1">
        <v>3944</v>
      </c>
      <c r="F1682" s="1">
        <v>3940</v>
      </c>
      <c r="G1682" s="1">
        <v>3944</v>
      </c>
      <c r="H1682" s="1">
        <v>4300</v>
      </c>
    </row>
    <row r="1683" spans="1:8">
      <c r="A1683" s="1"/>
      <c r="B1683" s="1" t="s">
        <v>586</v>
      </c>
      <c r="C1683" s="1" t="s">
        <v>464</v>
      </c>
      <c r="D1683" s="1">
        <v>3945</v>
      </c>
      <c r="E1683" s="1">
        <v>3946</v>
      </c>
      <c r="F1683" s="1">
        <v>3942</v>
      </c>
      <c r="G1683" s="1">
        <v>3942</v>
      </c>
      <c r="H1683" s="1">
        <v>1600</v>
      </c>
    </row>
    <row r="1684" spans="1:8">
      <c r="A1684" s="1"/>
      <c r="B1684" s="1" t="s">
        <v>586</v>
      </c>
      <c r="C1684" s="1" t="s">
        <v>465</v>
      </c>
      <c r="D1684" s="1">
        <v>3943</v>
      </c>
      <c r="E1684" s="1">
        <v>3943</v>
      </c>
      <c r="F1684" s="1">
        <v>3939</v>
      </c>
      <c r="G1684" s="1">
        <v>3940</v>
      </c>
      <c r="H1684" s="1">
        <v>1700</v>
      </c>
    </row>
    <row r="1685" spans="1:8">
      <c r="A1685" s="1"/>
      <c r="B1685" s="1" t="s">
        <v>586</v>
      </c>
      <c r="C1685" s="1" t="s">
        <v>466</v>
      </c>
      <c r="D1685" s="1">
        <v>3940</v>
      </c>
      <c r="E1685" s="1">
        <v>3949</v>
      </c>
      <c r="F1685" s="1">
        <v>3940</v>
      </c>
      <c r="G1685" s="1">
        <v>3948</v>
      </c>
      <c r="H1685" s="1">
        <v>6500</v>
      </c>
    </row>
    <row r="1686" spans="1:8">
      <c r="A1686" s="1"/>
      <c r="B1686" s="1" t="s">
        <v>586</v>
      </c>
      <c r="C1686" s="1" t="s">
        <v>467</v>
      </c>
      <c r="D1686" s="1">
        <v>3946</v>
      </c>
      <c r="E1686" s="1">
        <v>3949</v>
      </c>
      <c r="F1686" s="1">
        <v>3945</v>
      </c>
      <c r="G1686" s="1">
        <v>3945</v>
      </c>
      <c r="H1686" s="1">
        <v>2000</v>
      </c>
    </row>
    <row r="1687" spans="1:8">
      <c r="A1687" s="1"/>
      <c r="B1687" s="1" t="s">
        <v>586</v>
      </c>
      <c r="C1687" s="1" t="s">
        <v>468</v>
      </c>
      <c r="D1687" s="1">
        <v>3946</v>
      </c>
      <c r="E1687" s="1">
        <v>3951</v>
      </c>
      <c r="F1687" s="1">
        <v>3945</v>
      </c>
      <c r="G1687" s="1">
        <v>3951</v>
      </c>
      <c r="H1687" s="1">
        <v>3900</v>
      </c>
    </row>
    <row r="1688" spans="1:8">
      <c r="A1688" s="1"/>
      <c r="B1688" s="1" t="s">
        <v>586</v>
      </c>
      <c r="C1688" s="1" t="s">
        <v>469</v>
      </c>
      <c r="D1688" s="1">
        <v>3952</v>
      </c>
      <c r="E1688" s="1">
        <v>3959</v>
      </c>
      <c r="F1688" s="1">
        <v>3952</v>
      </c>
      <c r="G1688" s="1">
        <v>3959</v>
      </c>
      <c r="H1688" s="1">
        <v>8600</v>
      </c>
    </row>
    <row r="1689" spans="1:8">
      <c r="A1689" s="1"/>
      <c r="B1689" s="1" t="s">
        <v>586</v>
      </c>
      <c r="C1689" s="1" t="s">
        <v>470</v>
      </c>
      <c r="D1689" s="1">
        <v>3959</v>
      </c>
      <c r="E1689" s="1">
        <v>3970</v>
      </c>
      <c r="F1689" s="1">
        <v>3959</v>
      </c>
      <c r="G1689" s="1">
        <v>3968</v>
      </c>
      <c r="H1689" s="1">
        <v>16600</v>
      </c>
    </row>
    <row r="1690" spans="1:8">
      <c r="A1690" s="1"/>
      <c r="B1690" s="1" t="s">
        <v>586</v>
      </c>
      <c r="C1690" s="1" t="s">
        <v>471</v>
      </c>
      <c r="D1690" s="1">
        <v>3966</v>
      </c>
      <c r="E1690" s="1">
        <v>3966</v>
      </c>
      <c r="F1690" s="1">
        <v>3965</v>
      </c>
      <c r="G1690" s="1">
        <v>3965</v>
      </c>
      <c r="H1690" s="1">
        <v>1200</v>
      </c>
    </row>
    <row r="1691" spans="1:8">
      <c r="A1691" s="1"/>
      <c r="B1691" s="1" t="s">
        <v>586</v>
      </c>
      <c r="C1691" s="1" t="s">
        <v>472</v>
      </c>
      <c r="D1691" s="1">
        <v>3965</v>
      </c>
      <c r="E1691" s="1">
        <v>3968</v>
      </c>
      <c r="F1691" s="1">
        <v>3965</v>
      </c>
      <c r="G1691" s="1">
        <v>3967</v>
      </c>
      <c r="H1691" s="1">
        <v>2600</v>
      </c>
    </row>
    <row r="1692" spans="1:8">
      <c r="A1692" s="1"/>
      <c r="B1692" s="1" t="s">
        <v>586</v>
      </c>
      <c r="C1692" s="1" t="s">
        <v>473</v>
      </c>
      <c r="D1692" s="1">
        <v>3968</v>
      </c>
      <c r="E1692" s="1">
        <v>3970</v>
      </c>
      <c r="F1692" s="1">
        <v>3966</v>
      </c>
      <c r="G1692" s="1">
        <v>3969</v>
      </c>
      <c r="H1692" s="1">
        <v>2200</v>
      </c>
    </row>
    <row r="1693" spans="1:8">
      <c r="A1693" s="1"/>
      <c r="B1693" s="1" t="s">
        <v>586</v>
      </c>
      <c r="C1693" s="1" t="s">
        <v>474</v>
      </c>
      <c r="D1693" s="1">
        <v>3968</v>
      </c>
      <c r="E1693" s="1">
        <v>3972</v>
      </c>
      <c r="F1693" s="1">
        <v>3968</v>
      </c>
      <c r="G1693" s="1">
        <v>3969</v>
      </c>
      <c r="H1693" s="1">
        <v>3100</v>
      </c>
    </row>
    <row r="1694" spans="1:8">
      <c r="A1694" s="1"/>
      <c r="B1694" s="1" t="s">
        <v>586</v>
      </c>
      <c r="C1694" s="1" t="s">
        <v>475</v>
      </c>
      <c r="D1694" s="1">
        <v>3970</v>
      </c>
      <c r="E1694" s="1">
        <v>3973</v>
      </c>
      <c r="F1694" s="1">
        <v>3968</v>
      </c>
      <c r="G1694" s="1">
        <v>3973</v>
      </c>
      <c r="H1694" s="1">
        <v>5900</v>
      </c>
    </row>
    <row r="1695" spans="1:8">
      <c r="A1695" s="1"/>
      <c r="B1695" s="1" t="s">
        <v>586</v>
      </c>
      <c r="C1695" s="1" t="s">
        <v>476</v>
      </c>
      <c r="D1695" s="1">
        <v>3973</v>
      </c>
      <c r="E1695" s="1">
        <v>3973</v>
      </c>
      <c r="F1695" s="1">
        <v>3971</v>
      </c>
      <c r="G1695" s="1">
        <v>3973</v>
      </c>
      <c r="H1695" s="1">
        <v>900</v>
      </c>
    </row>
    <row r="1696" spans="1:8">
      <c r="A1696" s="1"/>
      <c r="B1696" s="1" t="s">
        <v>586</v>
      </c>
      <c r="C1696" s="1" t="s">
        <v>477</v>
      </c>
      <c r="D1696" s="1">
        <v>3971</v>
      </c>
      <c r="E1696" s="1">
        <v>3971</v>
      </c>
      <c r="F1696" s="1">
        <v>3967</v>
      </c>
      <c r="G1696" s="1">
        <v>3969</v>
      </c>
      <c r="H1696" s="1">
        <v>3500</v>
      </c>
    </row>
    <row r="1697" spans="1:8">
      <c r="A1697" s="1"/>
      <c r="B1697" s="1" t="s">
        <v>586</v>
      </c>
      <c r="C1697" s="1" t="s">
        <v>478</v>
      </c>
      <c r="D1697" s="1">
        <v>3968</v>
      </c>
      <c r="E1697" s="1">
        <v>3968</v>
      </c>
      <c r="F1697" s="1">
        <v>3966</v>
      </c>
      <c r="G1697" s="1">
        <v>3966</v>
      </c>
      <c r="H1697" s="1">
        <v>1300</v>
      </c>
    </row>
    <row r="1698" spans="1:8">
      <c r="A1698" s="1"/>
      <c r="B1698" s="1" t="s">
        <v>586</v>
      </c>
      <c r="C1698" s="1" t="s">
        <v>479</v>
      </c>
      <c r="D1698" s="1">
        <v>3967</v>
      </c>
      <c r="E1698" s="1">
        <v>3974</v>
      </c>
      <c r="F1698" s="1">
        <v>3967</v>
      </c>
      <c r="G1698" s="1">
        <v>3972</v>
      </c>
      <c r="H1698" s="1">
        <v>7200</v>
      </c>
    </row>
    <row r="1699" spans="1:8">
      <c r="A1699" s="1"/>
      <c r="B1699" s="1" t="s">
        <v>586</v>
      </c>
      <c r="C1699" s="1" t="s">
        <v>480</v>
      </c>
      <c r="D1699" s="1">
        <v>3971</v>
      </c>
      <c r="E1699" s="1">
        <v>3971</v>
      </c>
      <c r="F1699" s="1">
        <v>3966</v>
      </c>
      <c r="G1699" s="1">
        <v>3968</v>
      </c>
      <c r="H1699" s="1">
        <v>2000</v>
      </c>
    </row>
    <row r="1700" spans="1:8">
      <c r="A1700" s="1"/>
      <c r="B1700" s="1" t="s">
        <v>586</v>
      </c>
      <c r="C1700" s="1" t="s">
        <v>481</v>
      </c>
      <c r="D1700" s="1">
        <v>3967</v>
      </c>
      <c r="E1700" s="1">
        <v>3969</v>
      </c>
      <c r="F1700" s="1">
        <v>3966</v>
      </c>
      <c r="G1700" s="1">
        <v>3968</v>
      </c>
      <c r="H1700" s="1">
        <v>8400</v>
      </c>
    </row>
    <row r="1701" spans="1:8">
      <c r="A1701" s="1"/>
      <c r="B1701" s="1" t="s">
        <v>586</v>
      </c>
      <c r="C1701" s="1" t="s">
        <v>482</v>
      </c>
      <c r="D1701" s="1">
        <v>3966</v>
      </c>
      <c r="E1701" s="1">
        <v>3966</v>
      </c>
      <c r="F1701" s="1">
        <v>3962</v>
      </c>
      <c r="G1701" s="1">
        <v>3966</v>
      </c>
      <c r="H1701" s="1">
        <v>2700</v>
      </c>
    </row>
    <row r="1702" spans="1:8">
      <c r="A1702" s="1"/>
      <c r="B1702" s="1" t="s">
        <v>586</v>
      </c>
      <c r="C1702" s="1" t="s">
        <v>483</v>
      </c>
      <c r="D1702" s="1">
        <v>3964</v>
      </c>
      <c r="E1702" s="1">
        <v>3965</v>
      </c>
      <c r="F1702" s="1">
        <v>3964</v>
      </c>
      <c r="G1702" s="1">
        <v>3965</v>
      </c>
      <c r="H1702" s="1">
        <v>1000</v>
      </c>
    </row>
    <row r="1703" spans="1:8">
      <c r="A1703" s="1"/>
      <c r="B1703" s="1" t="s">
        <v>586</v>
      </c>
      <c r="C1703" s="1" t="s">
        <v>484</v>
      </c>
      <c r="D1703" s="1">
        <v>3964</v>
      </c>
      <c r="E1703" s="1">
        <v>3969</v>
      </c>
      <c r="F1703" s="1">
        <v>3964</v>
      </c>
      <c r="G1703" s="1">
        <v>3969</v>
      </c>
      <c r="H1703" s="1">
        <v>1800</v>
      </c>
    </row>
    <row r="1704" spans="1:8">
      <c r="A1704" s="1"/>
      <c r="B1704" s="1" t="s">
        <v>586</v>
      </c>
      <c r="C1704" s="1" t="s">
        <v>485</v>
      </c>
      <c r="D1704" s="1">
        <v>3968</v>
      </c>
      <c r="E1704" s="1">
        <v>3974</v>
      </c>
      <c r="F1704" s="1">
        <v>3968</v>
      </c>
      <c r="G1704" s="1">
        <v>3974</v>
      </c>
      <c r="H1704" s="1">
        <v>5900</v>
      </c>
    </row>
    <row r="1705" spans="1:8">
      <c r="A1705" s="1"/>
      <c r="B1705" s="1" t="s">
        <v>586</v>
      </c>
      <c r="C1705" s="1" t="s">
        <v>486</v>
      </c>
      <c r="D1705" s="1">
        <v>3973</v>
      </c>
      <c r="E1705" s="1">
        <v>3973</v>
      </c>
      <c r="F1705" s="1">
        <v>3972</v>
      </c>
      <c r="G1705" s="1">
        <v>3972</v>
      </c>
      <c r="H1705" s="1">
        <v>900</v>
      </c>
    </row>
    <row r="1706" spans="1:8">
      <c r="A1706" s="1"/>
      <c r="B1706" s="1" t="s">
        <v>586</v>
      </c>
      <c r="C1706" s="1" t="s">
        <v>487</v>
      </c>
      <c r="D1706" s="1">
        <v>3971</v>
      </c>
      <c r="E1706" s="1">
        <v>3973</v>
      </c>
      <c r="F1706" s="1">
        <v>3971</v>
      </c>
      <c r="G1706" s="1">
        <v>3971</v>
      </c>
      <c r="H1706" s="1">
        <v>800</v>
      </c>
    </row>
    <row r="1707" spans="1:8">
      <c r="A1707" s="1"/>
      <c r="B1707" s="1" t="s">
        <v>586</v>
      </c>
      <c r="C1707" s="1" t="s">
        <v>488</v>
      </c>
      <c r="D1707" s="1">
        <v>3970</v>
      </c>
      <c r="E1707" s="1">
        <v>3970</v>
      </c>
      <c r="F1707" s="1">
        <v>3965</v>
      </c>
      <c r="G1707" s="1">
        <v>3965</v>
      </c>
      <c r="H1707" s="1">
        <v>2200</v>
      </c>
    </row>
    <row r="1708" spans="1:8">
      <c r="A1708" s="1"/>
      <c r="B1708" s="1" t="s">
        <v>586</v>
      </c>
      <c r="C1708" s="1" t="s">
        <v>489</v>
      </c>
      <c r="D1708" s="1">
        <v>3964</v>
      </c>
      <c r="E1708" s="1">
        <v>3966</v>
      </c>
      <c r="F1708" s="1">
        <v>3958</v>
      </c>
      <c r="G1708" s="1">
        <v>3964</v>
      </c>
      <c r="H1708" s="1">
        <v>19000</v>
      </c>
    </row>
    <row r="1709" spans="1:8">
      <c r="A1709" s="1"/>
      <c r="B1709" s="1" t="s">
        <v>586</v>
      </c>
      <c r="C1709" s="1" t="s">
        <v>490</v>
      </c>
      <c r="D1709" s="1">
        <v>3963</v>
      </c>
      <c r="E1709" s="1">
        <v>3963</v>
      </c>
      <c r="F1709" s="1">
        <v>3960</v>
      </c>
      <c r="G1709" s="1">
        <v>3960</v>
      </c>
      <c r="H1709" s="1">
        <v>1200</v>
      </c>
    </row>
    <row r="1710" spans="1:8">
      <c r="A1710" s="1"/>
      <c r="B1710" s="1" t="s">
        <v>586</v>
      </c>
      <c r="C1710" s="1" t="s">
        <v>491</v>
      </c>
      <c r="D1710" s="1">
        <v>3961</v>
      </c>
      <c r="E1710" s="1">
        <v>3965</v>
      </c>
      <c r="F1710" s="1">
        <v>3961</v>
      </c>
      <c r="G1710" s="1">
        <v>3965</v>
      </c>
      <c r="H1710" s="1">
        <v>1600</v>
      </c>
    </row>
    <row r="1711" spans="1:8">
      <c r="A1711" s="1"/>
      <c r="B1711" s="1" t="s">
        <v>586</v>
      </c>
      <c r="C1711" s="1" t="s">
        <v>492</v>
      </c>
      <c r="D1711" s="1">
        <v>3964</v>
      </c>
      <c r="E1711" s="1">
        <v>3968</v>
      </c>
      <c r="F1711" s="1">
        <v>3964</v>
      </c>
      <c r="G1711" s="1">
        <v>3968</v>
      </c>
      <c r="H1711" s="1">
        <v>1900</v>
      </c>
    </row>
    <row r="1712" spans="1:8">
      <c r="A1712" s="1"/>
      <c r="B1712" s="1" t="s">
        <v>587</v>
      </c>
      <c r="C1712" s="1" t="s">
        <v>223</v>
      </c>
      <c r="D1712" s="1" t="s">
        <v>8</v>
      </c>
      <c r="E1712" s="1" t="s">
        <v>8</v>
      </c>
      <c r="F1712" s="1" t="s">
        <v>8</v>
      </c>
      <c r="G1712" s="1" t="s">
        <v>8</v>
      </c>
      <c r="H1712" s="1">
        <v>0</v>
      </c>
    </row>
    <row r="1713" spans="1:8">
      <c r="B1713" t="s">
        <v>586</v>
      </c>
      <c r="C1713" t="s">
        <v>494</v>
      </c>
      <c r="D1713">
        <v>3968</v>
      </c>
      <c r="E1713">
        <v>3968</v>
      </c>
      <c r="F1713">
        <v>3968</v>
      </c>
      <c r="G1713">
        <v>3968</v>
      </c>
      <c r="H1713">
        <v>300</v>
      </c>
    </row>
    <row r="1714" spans="1:8">
      <c r="A1714" s="1"/>
      <c r="B1714" s="1" t="s">
        <v>586</v>
      </c>
      <c r="C1714" s="1" t="s">
        <v>495</v>
      </c>
      <c r="D1714" s="1">
        <v>3969</v>
      </c>
      <c r="E1714" s="1">
        <v>3975</v>
      </c>
      <c r="F1714" s="1">
        <v>3969</v>
      </c>
      <c r="G1714" s="1">
        <v>3975</v>
      </c>
      <c r="H1714" s="1">
        <v>2900</v>
      </c>
    </row>
    <row r="1715" spans="1:8">
      <c r="A1715" s="1"/>
      <c r="B1715" s="1" t="s">
        <v>586</v>
      </c>
      <c r="C1715" s="1" t="s">
        <v>496</v>
      </c>
      <c r="D1715" s="1">
        <v>3975</v>
      </c>
      <c r="E1715" s="1">
        <v>3982</v>
      </c>
      <c r="F1715" s="1">
        <v>3973</v>
      </c>
      <c r="G1715" s="1">
        <v>3982</v>
      </c>
      <c r="H1715" s="1">
        <v>17100</v>
      </c>
    </row>
    <row r="1716" spans="1:8">
      <c r="A1716" s="1"/>
      <c r="B1716" s="1" t="s">
        <v>586</v>
      </c>
      <c r="C1716" s="1" t="s">
        <v>497</v>
      </c>
      <c r="D1716" s="1">
        <v>3980</v>
      </c>
      <c r="E1716" s="1">
        <v>3984</v>
      </c>
      <c r="F1716" s="1">
        <v>3980</v>
      </c>
      <c r="G1716" s="1">
        <v>3984</v>
      </c>
      <c r="H1716" s="1">
        <v>1500</v>
      </c>
    </row>
    <row r="1717" spans="1:8">
      <c r="A1717" s="1"/>
      <c r="B1717" s="1" t="s">
        <v>586</v>
      </c>
      <c r="C1717" s="1" t="s">
        <v>498</v>
      </c>
      <c r="D1717" s="1">
        <v>3984</v>
      </c>
      <c r="E1717" s="1">
        <v>3985</v>
      </c>
      <c r="F1717" s="1">
        <v>3984</v>
      </c>
      <c r="G1717" s="1">
        <v>3985</v>
      </c>
      <c r="H1717" s="1">
        <v>800</v>
      </c>
    </row>
    <row r="1718" spans="1:8">
      <c r="A1718" s="1"/>
      <c r="B1718" s="1" t="s">
        <v>586</v>
      </c>
      <c r="C1718" s="1" t="s">
        <v>499</v>
      </c>
      <c r="D1718" s="1">
        <v>3983</v>
      </c>
      <c r="E1718" s="1">
        <v>3986</v>
      </c>
      <c r="F1718" s="1">
        <v>3983</v>
      </c>
      <c r="G1718" s="1">
        <v>3985</v>
      </c>
      <c r="H1718" s="1">
        <v>2400</v>
      </c>
    </row>
    <row r="1719" spans="1:8">
      <c r="A1719" s="1"/>
      <c r="B1719" s="1" t="s">
        <v>586</v>
      </c>
      <c r="C1719" s="1" t="s">
        <v>500</v>
      </c>
      <c r="D1719" s="1">
        <v>3986</v>
      </c>
      <c r="E1719" s="1">
        <v>3986</v>
      </c>
      <c r="F1719" s="1">
        <v>3984</v>
      </c>
      <c r="G1719" s="1">
        <v>3984</v>
      </c>
      <c r="H1719" s="1">
        <v>800</v>
      </c>
    </row>
    <row r="1720" spans="1:8">
      <c r="A1720" s="1"/>
      <c r="B1720" s="1" t="s">
        <v>586</v>
      </c>
      <c r="C1720" s="1" t="s">
        <v>501</v>
      </c>
      <c r="D1720" s="1">
        <v>3986</v>
      </c>
      <c r="E1720" s="1">
        <v>3986</v>
      </c>
      <c r="F1720" s="1">
        <v>3983</v>
      </c>
      <c r="G1720" s="1">
        <v>3983</v>
      </c>
      <c r="H1720" s="1">
        <v>4100</v>
      </c>
    </row>
    <row r="1721" spans="1:8">
      <c r="A1721" s="1"/>
      <c r="B1721" s="1" t="s">
        <v>586</v>
      </c>
      <c r="C1721" s="1" t="s">
        <v>502</v>
      </c>
      <c r="D1721" s="1">
        <v>3984</v>
      </c>
      <c r="E1721" s="1">
        <v>3984</v>
      </c>
      <c r="F1721" s="1">
        <v>3978</v>
      </c>
      <c r="G1721" s="1">
        <v>3978</v>
      </c>
      <c r="H1721" s="1">
        <v>2300</v>
      </c>
    </row>
    <row r="1722" spans="1:8">
      <c r="A1722" s="1"/>
      <c r="B1722" s="1" t="s">
        <v>586</v>
      </c>
      <c r="C1722" s="1" t="s">
        <v>503</v>
      </c>
      <c r="D1722" s="1">
        <v>3979</v>
      </c>
      <c r="E1722" s="1">
        <v>3979</v>
      </c>
      <c r="F1722" s="1">
        <v>3979</v>
      </c>
      <c r="G1722" s="1">
        <v>3979</v>
      </c>
      <c r="H1722" s="1">
        <v>500</v>
      </c>
    </row>
    <row r="1723" spans="1:8">
      <c r="A1723" s="1"/>
      <c r="B1723" s="1" t="s">
        <v>586</v>
      </c>
      <c r="C1723" s="1" t="s">
        <v>504</v>
      </c>
      <c r="D1723" s="1">
        <v>3979</v>
      </c>
      <c r="E1723" s="1">
        <v>3979</v>
      </c>
      <c r="F1723" s="1">
        <v>3973</v>
      </c>
      <c r="G1723" s="1">
        <v>3973</v>
      </c>
      <c r="H1723" s="1">
        <v>2600</v>
      </c>
    </row>
    <row r="1724" spans="1:8">
      <c r="A1724" s="1"/>
      <c r="B1724" s="1" t="s">
        <v>586</v>
      </c>
      <c r="C1724" s="1" t="s">
        <v>505</v>
      </c>
      <c r="D1724" s="1">
        <v>3974</v>
      </c>
      <c r="E1724" s="1">
        <v>3977</v>
      </c>
      <c r="F1724" s="1">
        <v>3973</v>
      </c>
      <c r="G1724" s="1">
        <v>3977</v>
      </c>
      <c r="H1724" s="1">
        <v>2700</v>
      </c>
    </row>
    <row r="1725" spans="1:8">
      <c r="A1725" s="1"/>
      <c r="B1725" s="1" t="s">
        <v>586</v>
      </c>
      <c r="C1725" s="1" t="s">
        <v>506</v>
      </c>
      <c r="D1725" s="1">
        <v>3976</v>
      </c>
      <c r="E1725" s="1">
        <v>3978</v>
      </c>
      <c r="F1725" s="1">
        <v>3974</v>
      </c>
      <c r="G1725" s="1">
        <v>3977</v>
      </c>
      <c r="H1725" s="1">
        <v>3800</v>
      </c>
    </row>
    <row r="1726" spans="1:8">
      <c r="A1726" s="1"/>
      <c r="B1726" s="1" t="s">
        <v>586</v>
      </c>
      <c r="C1726" s="1" t="s">
        <v>507</v>
      </c>
      <c r="D1726" s="1">
        <v>3977</v>
      </c>
      <c r="E1726" s="1">
        <v>3977</v>
      </c>
      <c r="F1726" s="1">
        <v>3977</v>
      </c>
      <c r="G1726" s="1">
        <v>3977</v>
      </c>
      <c r="H1726" s="1">
        <v>300</v>
      </c>
    </row>
    <row r="1727" spans="1:8">
      <c r="A1727" s="1"/>
      <c r="B1727" s="1" t="s">
        <v>586</v>
      </c>
      <c r="C1727" s="1" t="s">
        <v>508</v>
      </c>
      <c r="D1727" s="1">
        <v>3977</v>
      </c>
      <c r="E1727" s="1">
        <v>3978</v>
      </c>
      <c r="F1727" s="1">
        <v>3969</v>
      </c>
      <c r="G1727" s="1">
        <v>3969</v>
      </c>
      <c r="H1727" s="1">
        <v>3100</v>
      </c>
    </row>
    <row r="1728" spans="1:8">
      <c r="A1728" s="1"/>
      <c r="B1728" s="1" t="s">
        <v>586</v>
      </c>
      <c r="C1728" s="1" t="s">
        <v>509</v>
      </c>
      <c r="D1728" s="1">
        <v>3970</v>
      </c>
      <c r="E1728" s="1">
        <v>3975</v>
      </c>
      <c r="F1728" s="1">
        <v>3968</v>
      </c>
      <c r="G1728" s="1">
        <v>3975</v>
      </c>
      <c r="H1728" s="1">
        <v>2800</v>
      </c>
    </row>
    <row r="1729" spans="1:8">
      <c r="A1729" s="1"/>
      <c r="B1729" s="1" t="s">
        <v>586</v>
      </c>
      <c r="C1729" s="1" t="s">
        <v>510</v>
      </c>
      <c r="D1729" s="1">
        <v>3975</v>
      </c>
      <c r="E1729" s="1">
        <v>3976</v>
      </c>
      <c r="F1729" s="1">
        <v>3971</v>
      </c>
      <c r="G1729" s="1">
        <v>3971</v>
      </c>
      <c r="H1729" s="1">
        <v>1700</v>
      </c>
    </row>
    <row r="1730" spans="1:8">
      <c r="A1730" s="1"/>
      <c r="B1730" s="1" t="s">
        <v>586</v>
      </c>
      <c r="C1730" s="1" t="s">
        <v>511</v>
      </c>
      <c r="D1730" s="1">
        <v>3969</v>
      </c>
      <c r="E1730" s="1">
        <v>3973</v>
      </c>
      <c r="F1730" s="1">
        <v>3969</v>
      </c>
      <c r="G1730" s="1">
        <v>3973</v>
      </c>
      <c r="H1730" s="1">
        <v>2600</v>
      </c>
    </row>
    <row r="1731" spans="1:8">
      <c r="A1731" s="1"/>
      <c r="B1731" s="1" t="s">
        <v>586</v>
      </c>
      <c r="C1731" s="1" t="s">
        <v>512</v>
      </c>
      <c r="D1731" s="1">
        <v>3973</v>
      </c>
      <c r="E1731" s="1">
        <v>3973</v>
      </c>
      <c r="F1731" s="1">
        <v>3968</v>
      </c>
      <c r="G1731" s="1">
        <v>3968</v>
      </c>
      <c r="H1731" s="1">
        <v>2500</v>
      </c>
    </row>
    <row r="1732" spans="1:8">
      <c r="A1732" s="1"/>
      <c r="B1732" s="1" t="s">
        <v>586</v>
      </c>
      <c r="C1732" s="1" t="s">
        <v>513</v>
      </c>
      <c r="D1732" s="1">
        <v>3967</v>
      </c>
      <c r="E1732" s="1">
        <v>3967</v>
      </c>
      <c r="F1732" s="1">
        <v>3962</v>
      </c>
      <c r="G1732" s="1">
        <v>3962</v>
      </c>
      <c r="H1732" s="1">
        <v>4500</v>
      </c>
    </row>
    <row r="1733" spans="1:8">
      <c r="A1733" s="1"/>
      <c r="B1733" s="1" t="s">
        <v>586</v>
      </c>
      <c r="C1733" s="1" t="s">
        <v>514</v>
      </c>
      <c r="D1733" s="1">
        <v>3962</v>
      </c>
      <c r="E1733" s="1">
        <v>3964</v>
      </c>
      <c r="F1733" s="1">
        <v>3962</v>
      </c>
      <c r="G1733" s="1">
        <v>3964</v>
      </c>
      <c r="H1733" s="1">
        <v>3100</v>
      </c>
    </row>
    <row r="1734" spans="1:8">
      <c r="A1734" s="1"/>
      <c r="B1734" s="1" t="s">
        <v>586</v>
      </c>
      <c r="C1734" s="1" t="s">
        <v>515</v>
      </c>
      <c r="D1734" s="1">
        <v>3963</v>
      </c>
      <c r="E1734" s="1">
        <v>3968</v>
      </c>
      <c r="F1734" s="1">
        <v>3962</v>
      </c>
      <c r="G1734" s="1">
        <v>3968</v>
      </c>
      <c r="H1734" s="1">
        <v>2800</v>
      </c>
    </row>
    <row r="1735" spans="1:8">
      <c r="A1735" s="1"/>
      <c r="B1735" s="1" t="s">
        <v>586</v>
      </c>
      <c r="C1735" s="1" t="s">
        <v>516</v>
      </c>
      <c r="D1735" s="1">
        <v>3968</v>
      </c>
      <c r="E1735" s="1">
        <v>3970</v>
      </c>
      <c r="F1735" s="1">
        <v>3968</v>
      </c>
      <c r="G1735" s="1">
        <v>3970</v>
      </c>
      <c r="H1735" s="1">
        <v>1100</v>
      </c>
    </row>
    <row r="1736" spans="1:8">
      <c r="A1736" s="1"/>
      <c r="B1736" s="1" t="s">
        <v>586</v>
      </c>
      <c r="C1736" s="1" t="s">
        <v>517</v>
      </c>
      <c r="D1736" s="1">
        <v>3969</v>
      </c>
      <c r="E1736" s="1">
        <v>3977</v>
      </c>
      <c r="F1736" s="1">
        <v>3969</v>
      </c>
      <c r="G1736" s="1">
        <v>3977</v>
      </c>
      <c r="H1736" s="1">
        <v>5500</v>
      </c>
    </row>
    <row r="1737" spans="1:8">
      <c r="A1737" s="1"/>
      <c r="B1737" s="1" t="s">
        <v>586</v>
      </c>
      <c r="C1737" s="1" t="s">
        <v>518</v>
      </c>
      <c r="D1737" s="1">
        <v>3978</v>
      </c>
      <c r="E1737" s="1">
        <v>3980</v>
      </c>
      <c r="F1737" s="1">
        <v>3978</v>
      </c>
      <c r="G1737" s="1">
        <v>3980</v>
      </c>
      <c r="H1737" s="1">
        <v>1500</v>
      </c>
    </row>
    <row r="1738" spans="1:8">
      <c r="A1738" s="1"/>
      <c r="B1738" s="1" t="s">
        <v>586</v>
      </c>
      <c r="C1738" s="1" t="s">
        <v>519</v>
      </c>
      <c r="D1738" s="1">
        <v>3980</v>
      </c>
      <c r="E1738" s="1">
        <v>3983</v>
      </c>
      <c r="F1738" s="1">
        <v>3977</v>
      </c>
      <c r="G1738" s="1">
        <v>3979</v>
      </c>
      <c r="H1738" s="1">
        <v>4800</v>
      </c>
    </row>
    <row r="1739" spans="1:8">
      <c r="A1739" s="1"/>
      <c r="B1739" s="1" t="s">
        <v>586</v>
      </c>
      <c r="C1739" s="1" t="s">
        <v>520</v>
      </c>
      <c r="D1739" s="1">
        <v>3981</v>
      </c>
      <c r="E1739" s="1">
        <v>3993</v>
      </c>
      <c r="F1739" s="1">
        <v>3981</v>
      </c>
      <c r="G1739" s="1">
        <v>3993</v>
      </c>
      <c r="H1739" s="1">
        <v>11900</v>
      </c>
    </row>
    <row r="1740" spans="1:8">
      <c r="A1740" s="1"/>
      <c r="B1740" s="1" t="s">
        <v>586</v>
      </c>
      <c r="C1740" s="1" t="s">
        <v>521</v>
      </c>
      <c r="D1740" s="1">
        <v>3993</v>
      </c>
      <c r="E1740" s="1">
        <v>3996</v>
      </c>
      <c r="F1740" s="1">
        <v>3990</v>
      </c>
      <c r="G1740" s="1">
        <v>3995</v>
      </c>
      <c r="H1740" s="1">
        <v>5700</v>
      </c>
    </row>
    <row r="1741" spans="1:8">
      <c r="A1741" s="1"/>
      <c r="B1741" s="1" t="s">
        <v>586</v>
      </c>
      <c r="C1741" s="1" t="s">
        <v>522</v>
      </c>
      <c r="D1741" s="1">
        <v>3996</v>
      </c>
      <c r="E1741" s="1">
        <v>3996</v>
      </c>
      <c r="F1741" s="1">
        <v>3993</v>
      </c>
      <c r="G1741" s="1">
        <v>3995</v>
      </c>
      <c r="H1741" s="1">
        <v>3700</v>
      </c>
    </row>
    <row r="1742" spans="1:8">
      <c r="A1742" s="1"/>
      <c r="B1742" s="1" t="s">
        <v>586</v>
      </c>
      <c r="C1742" s="1" t="s">
        <v>523</v>
      </c>
      <c r="D1742" s="1">
        <v>3995</v>
      </c>
      <c r="E1742" s="1">
        <v>3996</v>
      </c>
      <c r="F1742" s="1">
        <v>3995</v>
      </c>
      <c r="G1742" s="1">
        <v>3995</v>
      </c>
      <c r="H1742" s="1">
        <v>900</v>
      </c>
    </row>
    <row r="1743" spans="1:8">
      <c r="A1743" s="1"/>
      <c r="B1743" s="1" t="s">
        <v>586</v>
      </c>
      <c r="C1743" s="1" t="s">
        <v>524</v>
      </c>
      <c r="D1743" s="1">
        <v>3995</v>
      </c>
      <c r="E1743" s="1">
        <v>3995</v>
      </c>
      <c r="F1743" s="1">
        <v>3991</v>
      </c>
      <c r="G1743" s="1">
        <v>3993</v>
      </c>
      <c r="H1743" s="1">
        <v>4800</v>
      </c>
    </row>
    <row r="1744" spans="1:8">
      <c r="A1744" s="1"/>
      <c r="B1744" s="1" t="s">
        <v>586</v>
      </c>
      <c r="C1744" s="1" t="s">
        <v>525</v>
      </c>
      <c r="D1744" s="1">
        <v>3991</v>
      </c>
      <c r="E1744" s="1">
        <v>3992</v>
      </c>
      <c r="F1744" s="1">
        <v>3990</v>
      </c>
      <c r="G1744" s="1">
        <v>3992</v>
      </c>
      <c r="H1744" s="1">
        <v>800</v>
      </c>
    </row>
    <row r="1745" spans="1:8">
      <c r="A1745" s="1"/>
      <c r="B1745" s="1" t="s">
        <v>586</v>
      </c>
      <c r="C1745" s="1" t="s">
        <v>526</v>
      </c>
      <c r="D1745" s="1">
        <v>3992</v>
      </c>
      <c r="E1745" s="1">
        <v>3993</v>
      </c>
      <c r="F1745" s="1">
        <v>3992</v>
      </c>
      <c r="G1745" s="1">
        <v>3993</v>
      </c>
      <c r="H1745" s="1">
        <v>5000</v>
      </c>
    </row>
    <row r="1746" spans="1:8">
      <c r="A1746" s="1"/>
      <c r="B1746" s="1" t="s">
        <v>586</v>
      </c>
      <c r="C1746" s="1" t="s">
        <v>527</v>
      </c>
      <c r="D1746" s="1">
        <v>3994</v>
      </c>
      <c r="E1746" s="1">
        <v>3995</v>
      </c>
      <c r="F1746" s="1">
        <v>3994</v>
      </c>
      <c r="G1746" s="1">
        <v>3995</v>
      </c>
      <c r="H1746" s="1">
        <v>1200</v>
      </c>
    </row>
    <row r="1747" spans="1:8">
      <c r="A1747" s="1"/>
      <c r="B1747" s="1" t="s">
        <v>586</v>
      </c>
      <c r="C1747" s="1" t="s">
        <v>528</v>
      </c>
      <c r="D1747" s="1">
        <v>3996</v>
      </c>
      <c r="E1747" s="1">
        <v>4003</v>
      </c>
      <c r="F1747" s="1">
        <v>3995</v>
      </c>
      <c r="G1747" s="1">
        <v>4003</v>
      </c>
      <c r="H1747" s="1">
        <v>36800</v>
      </c>
    </row>
    <row r="1748" spans="1:8">
      <c r="A1748" s="1"/>
      <c r="B1748" s="1" t="s">
        <v>586</v>
      </c>
      <c r="C1748" s="1" t="s">
        <v>529</v>
      </c>
      <c r="D1748" s="1">
        <v>4003</v>
      </c>
      <c r="E1748" s="1">
        <v>4004</v>
      </c>
      <c r="F1748" s="1">
        <v>4003</v>
      </c>
      <c r="G1748" s="1">
        <v>4003</v>
      </c>
      <c r="H1748" s="1">
        <v>3200</v>
      </c>
    </row>
    <row r="1749" spans="1:8">
      <c r="A1749" s="1"/>
      <c r="B1749" s="1" t="s">
        <v>586</v>
      </c>
      <c r="C1749" s="1" t="s">
        <v>530</v>
      </c>
      <c r="D1749" s="1">
        <v>4002</v>
      </c>
      <c r="E1749" s="1">
        <v>4002</v>
      </c>
      <c r="F1749" s="1">
        <v>3998</v>
      </c>
      <c r="G1749" s="1">
        <v>3998</v>
      </c>
      <c r="H1749" s="1">
        <v>5300</v>
      </c>
    </row>
    <row r="1750" spans="1:8">
      <c r="A1750" s="1"/>
      <c r="B1750" s="1" t="s">
        <v>586</v>
      </c>
      <c r="C1750" s="1" t="s">
        <v>531</v>
      </c>
      <c r="D1750" s="1">
        <v>3998</v>
      </c>
      <c r="E1750" s="1">
        <v>4000</v>
      </c>
      <c r="F1750" s="1">
        <v>3996</v>
      </c>
      <c r="G1750" s="1">
        <v>3996</v>
      </c>
      <c r="H1750" s="1">
        <v>3300</v>
      </c>
    </row>
    <row r="1751" spans="1:8">
      <c r="A1751" s="1"/>
      <c r="B1751" s="1" t="s">
        <v>586</v>
      </c>
      <c r="C1751" s="1" t="s">
        <v>532</v>
      </c>
      <c r="D1751" s="1">
        <v>3996</v>
      </c>
      <c r="E1751" s="1">
        <v>3996</v>
      </c>
      <c r="F1751" s="1">
        <v>3992</v>
      </c>
      <c r="G1751" s="1">
        <v>3992</v>
      </c>
      <c r="H1751" s="1">
        <v>1900</v>
      </c>
    </row>
    <row r="1752" spans="1:8">
      <c r="A1752" s="1"/>
      <c r="B1752" s="1" t="s">
        <v>586</v>
      </c>
      <c r="C1752" s="1" t="s">
        <v>533</v>
      </c>
      <c r="D1752" s="1">
        <v>3991</v>
      </c>
      <c r="E1752" s="1">
        <v>3991</v>
      </c>
      <c r="F1752" s="1">
        <v>3989</v>
      </c>
      <c r="G1752" s="1">
        <v>3991</v>
      </c>
      <c r="H1752" s="1">
        <v>4100</v>
      </c>
    </row>
    <row r="1753" spans="1:8">
      <c r="A1753" s="1"/>
      <c r="B1753" s="1" t="s">
        <v>586</v>
      </c>
      <c r="C1753" s="1" t="s">
        <v>534</v>
      </c>
      <c r="D1753" s="1">
        <v>3992</v>
      </c>
      <c r="E1753" s="1">
        <v>3993</v>
      </c>
      <c r="F1753" s="1">
        <v>3992</v>
      </c>
      <c r="G1753" s="1">
        <v>3992</v>
      </c>
      <c r="H1753" s="1">
        <v>700</v>
      </c>
    </row>
    <row r="1754" spans="1:8">
      <c r="A1754" s="1"/>
      <c r="B1754" s="1" t="s">
        <v>586</v>
      </c>
      <c r="C1754" s="1" t="s">
        <v>535</v>
      </c>
      <c r="D1754" s="1">
        <v>3993</v>
      </c>
      <c r="E1754" s="1">
        <v>3993</v>
      </c>
      <c r="F1754" s="1">
        <v>3989</v>
      </c>
      <c r="G1754" s="1">
        <v>3990</v>
      </c>
      <c r="H1754" s="1">
        <v>1400</v>
      </c>
    </row>
    <row r="1755" spans="1:8">
      <c r="A1755" s="1"/>
      <c r="B1755" s="1" t="s">
        <v>586</v>
      </c>
      <c r="C1755" s="1" t="s">
        <v>536</v>
      </c>
      <c r="D1755" s="1">
        <v>3990</v>
      </c>
      <c r="E1755" s="1">
        <v>3990</v>
      </c>
      <c r="F1755" s="1">
        <v>3989</v>
      </c>
      <c r="G1755" s="1">
        <v>3989</v>
      </c>
      <c r="H1755" s="1">
        <v>1100</v>
      </c>
    </row>
    <row r="1756" spans="1:8">
      <c r="A1756" s="1"/>
      <c r="B1756" s="1" t="s">
        <v>586</v>
      </c>
      <c r="C1756" s="1" t="s">
        <v>537</v>
      </c>
      <c r="D1756" s="1">
        <v>3989</v>
      </c>
      <c r="E1756" s="1">
        <v>3990</v>
      </c>
      <c r="F1756" s="1">
        <v>3989</v>
      </c>
      <c r="G1756" s="1">
        <v>3989</v>
      </c>
      <c r="H1756" s="1">
        <v>800</v>
      </c>
    </row>
    <row r="1757" spans="1:8">
      <c r="A1757" s="1"/>
      <c r="B1757" s="1" t="s">
        <v>586</v>
      </c>
      <c r="C1757" s="1" t="s">
        <v>538</v>
      </c>
      <c r="D1757" s="1">
        <v>3989</v>
      </c>
      <c r="E1757" s="1">
        <v>3989</v>
      </c>
      <c r="F1757" s="1">
        <v>3989</v>
      </c>
      <c r="G1757" s="1">
        <v>3989</v>
      </c>
      <c r="H1757" s="1">
        <v>600</v>
      </c>
    </row>
    <row r="1758" spans="1:8">
      <c r="A1758" s="1"/>
      <c r="B1758" s="1" t="s">
        <v>586</v>
      </c>
      <c r="C1758" s="1" t="s">
        <v>539</v>
      </c>
      <c r="D1758" s="1">
        <v>3989</v>
      </c>
      <c r="E1758" s="1">
        <v>3990</v>
      </c>
      <c r="F1758" s="1">
        <v>3986</v>
      </c>
      <c r="G1758" s="1">
        <v>3986</v>
      </c>
      <c r="H1758" s="1">
        <v>3300</v>
      </c>
    </row>
    <row r="1759" spans="1:8">
      <c r="A1759" s="1"/>
      <c r="B1759" s="1" t="s">
        <v>586</v>
      </c>
      <c r="C1759" s="1" t="s">
        <v>540</v>
      </c>
      <c r="D1759" s="1">
        <v>3986</v>
      </c>
      <c r="E1759" s="1">
        <v>3986</v>
      </c>
      <c r="F1759" s="1">
        <v>3984</v>
      </c>
      <c r="G1759" s="1">
        <v>3984</v>
      </c>
      <c r="H1759" s="1">
        <v>1900</v>
      </c>
    </row>
    <row r="1760" spans="1:8">
      <c r="A1760" s="1"/>
      <c r="B1760" s="1" t="s">
        <v>586</v>
      </c>
      <c r="C1760" s="1" t="s">
        <v>541</v>
      </c>
      <c r="D1760" s="1">
        <v>3984</v>
      </c>
      <c r="E1760" s="1">
        <v>3986</v>
      </c>
      <c r="F1760" s="1">
        <v>3984</v>
      </c>
      <c r="G1760" s="1">
        <v>3986</v>
      </c>
      <c r="H1760" s="1">
        <v>1500</v>
      </c>
    </row>
    <row r="1761" spans="1:8">
      <c r="A1761" s="1"/>
      <c r="B1761" s="1" t="s">
        <v>586</v>
      </c>
      <c r="C1761" s="1" t="s">
        <v>542</v>
      </c>
      <c r="D1761" s="1">
        <v>3986</v>
      </c>
      <c r="E1761" s="1">
        <v>3989</v>
      </c>
      <c r="F1761" s="1">
        <v>3986</v>
      </c>
      <c r="G1761" s="1">
        <v>3989</v>
      </c>
      <c r="H1761" s="1">
        <v>1100</v>
      </c>
    </row>
    <row r="1762" spans="1:8">
      <c r="A1762" s="1"/>
      <c r="B1762" s="1" t="s">
        <v>586</v>
      </c>
      <c r="C1762" s="1" t="s">
        <v>543</v>
      </c>
      <c r="D1762" s="1">
        <v>3988</v>
      </c>
      <c r="E1762" s="1">
        <v>3990</v>
      </c>
      <c r="F1762" s="1">
        <v>3988</v>
      </c>
      <c r="G1762" s="1">
        <v>3989</v>
      </c>
      <c r="H1762" s="1">
        <v>3600</v>
      </c>
    </row>
    <row r="1763" spans="1:8">
      <c r="A1763" s="1"/>
      <c r="B1763" s="1" t="s">
        <v>586</v>
      </c>
      <c r="C1763" s="1" t="s">
        <v>544</v>
      </c>
      <c r="D1763" s="1">
        <v>3989</v>
      </c>
      <c r="E1763" s="1">
        <v>3992</v>
      </c>
      <c r="F1763" s="1">
        <v>3989</v>
      </c>
      <c r="G1763" s="1">
        <v>3992</v>
      </c>
      <c r="H1763" s="1">
        <v>700</v>
      </c>
    </row>
    <row r="1764" spans="1:8">
      <c r="A1764" s="1"/>
      <c r="B1764" s="1" t="s">
        <v>586</v>
      </c>
      <c r="C1764" s="1" t="s">
        <v>545</v>
      </c>
      <c r="D1764" s="1">
        <v>3991</v>
      </c>
      <c r="E1764" s="1">
        <v>3993</v>
      </c>
      <c r="F1764" s="1">
        <v>3991</v>
      </c>
      <c r="G1764" s="1">
        <v>3993</v>
      </c>
      <c r="H1764" s="1">
        <v>1100</v>
      </c>
    </row>
    <row r="1765" spans="1:8">
      <c r="A1765" s="1"/>
      <c r="B1765" s="1" t="s">
        <v>586</v>
      </c>
      <c r="C1765" s="1" t="s">
        <v>546</v>
      </c>
      <c r="D1765" s="1">
        <v>3991</v>
      </c>
      <c r="E1765" s="1">
        <v>3992</v>
      </c>
      <c r="F1765" s="1">
        <v>3991</v>
      </c>
      <c r="G1765" s="1">
        <v>3992</v>
      </c>
      <c r="H1765" s="1">
        <v>400</v>
      </c>
    </row>
    <row r="1766" spans="1:8">
      <c r="A1766" s="1"/>
      <c r="B1766" s="1" t="s">
        <v>586</v>
      </c>
      <c r="C1766" s="1" t="s">
        <v>547</v>
      </c>
      <c r="D1766" s="1">
        <v>3992</v>
      </c>
      <c r="E1766" s="1">
        <v>3994</v>
      </c>
      <c r="F1766" s="1">
        <v>3992</v>
      </c>
      <c r="G1766" s="1">
        <v>3992</v>
      </c>
      <c r="H1766" s="1">
        <v>2200</v>
      </c>
    </row>
    <row r="1767" spans="1:8">
      <c r="A1767" s="1"/>
      <c r="B1767" s="1" t="s">
        <v>586</v>
      </c>
      <c r="C1767" s="1" t="s">
        <v>548</v>
      </c>
      <c r="D1767" s="1">
        <v>3992</v>
      </c>
      <c r="E1767" s="1">
        <v>3992</v>
      </c>
      <c r="F1767" s="1">
        <v>3991</v>
      </c>
      <c r="G1767" s="1">
        <v>3991</v>
      </c>
      <c r="H1767" s="1">
        <v>400</v>
      </c>
    </row>
    <row r="1768" spans="1:8">
      <c r="A1768" s="1"/>
      <c r="B1768" s="1" t="s">
        <v>586</v>
      </c>
      <c r="C1768" s="1" t="s">
        <v>549</v>
      </c>
      <c r="D1768" s="1">
        <v>3993</v>
      </c>
      <c r="E1768" s="1">
        <v>3993</v>
      </c>
      <c r="F1768" s="1">
        <v>3991</v>
      </c>
      <c r="G1768" s="1">
        <v>3992</v>
      </c>
      <c r="H1768" s="1">
        <v>2300</v>
      </c>
    </row>
    <row r="1769" spans="1:8">
      <c r="A1769" s="1"/>
      <c r="B1769" s="1" t="s">
        <v>586</v>
      </c>
      <c r="C1769" s="1" t="s">
        <v>550</v>
      </c>
      <c r="D1769" s="1">
        <v>3992</v>
      </c>
      <c r="E1769" s="1">
        <v>3992</v>
      </c>
      <c r="F1769" s="1">
        <v>3990</v>
      </c>
      <c r="G1769" s="1">
        <v>3990</v>
      </c>
      <c r="H1769" s="1">
        <v>2000</v>
      </c>
    </row>
    <row r="1770" spans="1:8">
      <c r="A1770" s="1"/>
      <c r="B1770" s="1" t="s">
        <v>586</v>
      </c>
      <c r="C1770" s="1" t="s">
        <v>551</v>
      </c>
      <c r="D1770" s="1">
        <v>3991</v>
      </c>
      <c r="E1770" s="1">
        <v>3991</v>
      </c>
      <c r="F1770" s="1">
        <v>3990</v>
      </c>
      <c r="G1770" s="1">
        <v>3990</v>
      </c>
      <c r="H1770" s="1">
        <v>1700</v>
      </c>
    </row>
    <row r="1771" spans="1:8">
      <c r="A1771" s="1"/>
      <c r="B1771" s="1" t="s">
        <v>586</v>
      </c>
      <c r="C1771" s="1" t="s">
        <v>552</v>
      </c>
      <c r="D1771" s="1">
        <v>3988</v>
      </c>
      <c r="E1771" s="1">
        <v>3988</v>
      </c>
      <c r="F1771" s="1">
        <v>3987</v>
      </c>
      <c r="G1771" s="1">
        <v>3987</v>
      </c>
      <c r="H1771" s="1">
        <v>3600</v>
      </c>
    </row>
    <row r="1772" spans="1:8">
      <c r="A1772" s="1"/>
      <c r="B1772" s="1" t="s">
        <v>586</v>
      </c>
      <c r="C1772" s="1" t="s">
        <v>553</v>
      </c>
      <c r="D1772" s="1">
        <v>3987</v>
      </c>
      <c r="E1772" s="1">
        <v>3988</v>
      </c>
      <c r="F1772" s="1">
        <v>3987</v>
      </c>
      <c r="G1772" s="1">
        <v>3987</v>
      </c>
      <c r="H1772" s="1">
        <v>500</v>
      </c>
    </row>
    <row r="1773" spans="1:8">
      <c r="A1773" s="1"/>
      <c r="B1773" s="1" t="s">
        <v>586</v>
      </c>
      <c r="C1773" s="1" t="s">
        <v>554</v>
      </c>
      <c r="D1773" s="1">
        <v>3986</v>
      </c>
      <c r="E1773" s="1">
        <v>3991</v>
      </c>
      <c r="F1773" s="1">
        <v>3986</v>
      </c>
      <c r="G1773" s="1">
        <v>3991</v>
      </c>
      <c r="H1773" s="1">
        <v>2600</v>
      </c>
    </row>
    <row r="1774" spans="1:8">
      <c r="A1774" s="1"/>
      <c r="B1774" s="1" t="s">
        <v>586</v>
      </c>
      <c r="C1774" s="1" t="s">
        <v>555</v>
      </c>
      <c r="D1774" s="1">
        <v>3991</v>
      </c>
      <c r="E1774" s="1">
        <v>3993</v>
      </c>
      <c r="F1774" s="1">
        <v>3991</v>
      </c>
      <c r="G1774" s="1">
        <v>3991</v>
      </c>
      <c r="H1774" s="1">
        <v>4000</v>
      </c>
    </row>
    <row r="1775" spans="1:8">
      <c r="A1775" s="1"/>
      <c r="B1775" s="1" t="s">
        <v>586</v>
      </c>
      <c r="C1775" s="1" t="s">
        <v>556</v>
      </c>
      <c r="D1775" s="1">
        <v>3990</v>
      </c>
      <c r="E1775" s="1">
        <v>3991</v>
      </c>
      <c r="F1775" s="1">
        <v>3989</v>
      </c>
      <c r="G1775" s="1">
        <v>3991</v>
      </c>
      <c r="H1775" s="1">
        <v>2400</v>
      </c>
    </row>
    <row r="1776" spans="1:8">
      <c r="A1776" s="1"/>
      <c r="B1776" s="1" t="s">
        <v>586</v>
      </c>
      <c r="C1776" s="1" t="s">
        <v>557</v>
      </c>
      <c r="D1776" s="1">
        <v>3991</v>
      </c>
      <c r="E1776" s="1">
        <v>3993</v>
      </c>
      <c r="F1776" s="1">
        <v>3991</v>
      </c>
      <c r="G1776" s="1">
        <v>3993</v>
      </c>
      <c r="H1776" s="1">
        <v>1200</v>
      </c>
    </row>
    <row r="1777" spans="1:8">
      <c r="A1777" s="1"/>
      <c r="B1777" s="1" t="s">
        <v>586</v>
      </c>
      <c r="C1777" s="1" t="s">
        <v>558</v>
      </c>
      <c r="D1777" s="1">
        <v>3993</v>
      </c>
      <c r="E1777" s="1">
        <v>3993</v>
      </c>
      <c r="F1777" s="1">
        <v>3992</v>
      </c>
      <c r="G1777" s="1">
        <v>3992</v>
      </c>
      <c r="H1777" s="1">
        <v>600</v>
      </c>
    </row>
    <row r="1778" spans="1:8">
      <c r="A1778" s="1"/>
      <c r="B1778" s="1" t="s">
        <v>586</v>
      </c>
      <c r="C1778" s="1" t="s">
        <v>559</v>
      </c>
      <c r="D1778" s="1">
        <v>3991</v>
      </c>
      <c r="E1778" s="1">
        <v>3992</v>
      </c>
      <c r="F1778" s="1">
        <v>3990</v>
      </c>
      <c r="G1778" s="1">
        <v>3992</v>
      </c>
      <c r="H1778" s="1">
        <v>1100</v>
      </c>
    </row>
    <row r="1779" spans="1:8">
      <c r="A1779" s="1"/>
      <c r="B1779" s="1" t="s">
        <v>586</v>
      </c>
      <c r="C1779" s="1" t="s">
        <v>560</v>
      </c>
      <c r="D1779" s="1">
        <v>3993</v>
      </c>
      <c r="E1779" s="1">
        <v>4005</v>
      </c>
      <c r="F1779" s="1">
        <v>3993</v>
      </c>
      <c r="G1779" s="1">
        <v>4005</v>
      </c>
      <c r="H1779" s="1">
        <v>17600</v>
      </c>
    </row>
    <row r="1780" spans="1:8">
      <c r="A1780" s="1"/>
      <c r="B1780" s="1" t="s">
        <v>586</v>
      </c>
      <c r="C1780" s="1" t="s">
        <v>561</v>
      </c>
      <c r="D1780" s="1">
        <v>4005</v>
      </c>
      <c r="E1780" s="1">
        <v>4006</v>
      </c>
      <c r="F1780" s="1">
        <v>4003</v>
      </c>
      <c r="G1780" s="1">
        <v>4003</v>
      </c>
      <c r="H1780" s="1">
        <v>4400</v>
      </c>
    </row>
    <row r="1781" spans="1:8">
      <c r="A1781" s="1"/>
      <c r="B1781" s="1" t="s">
        <v>586</v>
      </c>
      <c r="C1781" s="1" t="s">
        <v>562</v>
      </c>
      <c r="D1781" s="1">
        <v>4004</v>
      </c>
      <c r="E1781" s="1">
        <v>4006</v>
      </c>
      <c r="F1781" s="1">
        <v>4003</v>
      </c>
      <c r="G1781" s="1">
        <v>4006</v>
      </c>
      <c r="H1781" s="1">
        <v>2700</v>
      </c>
    </row>
    <row r="1782" spans="1:8">
      <c r="A1782" s="1"/>
      <c r="B1782" s="1" t="s">
        <v>586</v>
      </c>
      <c r="C1782" s="1" t="s">
        <v>563</v>
      </c>
      <c r="D1782" s="1">
        <v>4005</v>
      </c>
      <c r="E1782" s="1">
        <v>4006</v>
      </c>
      <c r="F1782" s="1">
        <v>4004</v>
      </c>
      <c r="G1782" s="1">
        <v>4005</v>
      </c>
      <c r="H1782" s="1">
        <v>1500</v>
      </c>
    </row>
    <row r="1783" spans="1:8">
      <c r="A1783" s="1"/>
      <c r="B1783" s="1" t="s">
        <v>586</v>
      </c>
      <c r="C1783" s="1" t="s">
        <v>564</v>
      </c>
      <c r="D1783" s="1">
        <v>4006</v>
      </c>
      <c r="E1783" s="1">
        <v>4006</v>
      </c>
      <c r="F1783" s="1">
        <v>4002</v>
      </c>
      <c r="G1783" s="1">
        <v>4004</v>
      </c>
      <c r="H1783" s="1">
        <v>3000</v>
      </c>
    </row>
    <row r="1784" spans="1:8">
      <c r="A1784" s="1"/>
      <c r="B1784" s="1" t="s">
        <v>586</v>
      </c>
      <c r="C1784" s="1" t="s">
        <v>565</v>
      </c>
      <c r="D1784" s="1">
        <v>4005</v>
      </c>
      <c r="E1784" s="1">
        <v>4005</v>
      </c>
      <c r="F1784" s="1">
        <v>4003</v>
      </c>
      <c r="G1784" s="1">
        <v>4003</v>
      </c>
      <c r="H1784" s="1">
        <v>1400</v>
      </c>
    </row>
    <row r="1785" spans="1:8">
      <c r="A1785" s="1"/>
      <c r="B1785" s="1" t="s">
        <v>586</v>
      </c>
      <c r="C1785" s="1" t="s">
        <v>566</v>
      </c>
      <c r="D1785" s="1">
        <v>4002</v>
      </c>
      <c r="E1785" s="1">
        <v>4004</v>
      </c>
      <c r="F1785" s="1">
        <v>4002</v>
      </c>
      <c r="G1785" s="1">
        <v>4004</v>
      </c>
      <c r="H1785" s="1">
        <v>1000</v>
      </c>
    </row>
    <row r="1786" spans="1:8">
      <c r="A1786" s="1"/>
      <c r="B1786" s="1" t="s">
        <v>586</v>
      </c>
      <c r="C1786" s="1" t="s">
        <v>567</v>
      </c>
      <c r="D1786" s="1">
        <v>4004</v>
      </c>
      <c r="E1786" s="1">
        <v>4005</v>
      </c>
      <c r="F1786" s="1">
        <v>4003</v>
      </c>
      <c r="G1786" s="1">
        <v>4003</v>
      </c>
      <c r="H1786" s="1">
        <v>2000</v>
      </c>
    </row>
    <row r="1787" spans="1:8">
      <c r="A1787" s="1"/>
      <c r="B1787" s="1" t="s">
        <v>586</v>
      </c>
      <c r="C1787" s="1" t="s">
        <v>568</v>
      </c>
      <c r="D1787" s="1">
        <v>4005</v>
      </c>
      <c r="E1787" s="1">
        <v>4006</v>
      </c>
      <c r="F1787" s="1">
        <v>4004</v>
      </c>
      <c r="G1787" s="1">
        <v>4004</v>
      </c>
      <c r="H1787" s="1">
        <v>2000</v>
      </c>
    </row>
    <row r="1788" spans="1:8">
      <c r="A1788" s="1"/>
      <c r="B1788" s="1" t="s">
        <v>586</v>
      </c>
      <c r="C1788" s="1" t="s">
        <v>569</v>
      </c>
      <c r="D1788" s="1">
        <v>4004</v>
      </c>
      <c r="E1788" s="1">
        <v>4005</v>
      </c>
      <c r="F1788" s="1">
        <v>4002</v>
      </c>
      <c r="G1788" s="1">
        <v>4002</v>
      </c>
      <c r="H1788" s="1">
        <v>4300</v>
      </c>
    </row>
    <row r="1789" spans="1:8">
      <c r="A1789" s="1"/>
      <c r="B1789" s="1" t="s">
        <v>586</v>
      </c>
      <c r="C1789" s="1" t="s">
        <v>570</v>
      </c>
      <c r="D1789" s="1">
        <v>4003</v>
      </c>
      <c r="E1789" s="1">
        <v>4008</v>
      </c>
      <c r="F1789" s="1">
        <v>4002</v>
      </c>
      <c r="G1789" s="1">
        <v>4007</v>
      </c>
      <c r="H1789" s="1">
        <v>8000</v>
      </c>
    </row>
    <row r="1790" spans="1:8">
      <c r="A1790" s="1"/>
      <c r="B1790" s="1" t="s">
        <v>586</v>
      </c>
      <c r="C1790" s="1" t="s">
        <v>571</v>
      </c>
      <c r="D1790" s="1">
        <v>4006</v>
      </c>
      <c r="E1790" s="1">
        <v>4008</v>
      </c>
      <c r="F1790" s="1">
        <v>4005</v>
      </c>
      <c r="G1790" s="1">
        <v>4007</v>
      </c>
      <c r="H1790" s="1">
        <v>2700</v>
      </c>
    </row>
    <row r="1791" spans="1:8">
      <c r="A1791" s="1"/>
      <c r="B1791" s="1" t="s">
        <v>586</v>
      </c>
      <c r="C1791" s="1" t="s">
        <v>572</v>
      </c>
      <c r="D1791" s="1">
        <v>4008</v>
      </c>
      <c r="E1791" s="1">
        <v>4008</v>
      </c>
      <c r="F1791" s="1">
        <v>4006</v>
      </c>
      <c r="G1791" s="1">
        <v>4006</v>
      </c>
      <c r="H1791" s="1">
        <v>400</v>
      </c>
    </row>
    <row r="1792" spans="1:8">
      <c r="A1792" s="1"/>
      <c r="B1792" s="1" t="s">
        <v>586</v>
      </c>
      <c r="C1792" s="1" t="s">
        <v>573</v>
      </c>
      <c r="D1792" s="1">
        <v>4005</v>
      </c>
      <c r="E1792" s="1">
        <v>4005</v>
      </c>
      <c r="F1792" s="1">
        <v>4002</v>
      </c>
      <c r="G1792" s="1">
        <v>4002</v>
      </c>
      <c r="H1792" s="1">
        <v>3200</v>
      </c>
    </row>
    <row r="1793" spans="1:8">
      <c r="A1793" s="1"/>
      <c r="B1793" s="1" t="s">
        <v>586</v>
      </c>
      <c r="C1793" s="1" t="s">
        <v>574</v>
      </c>
      <c r="D1793" s="1">
        <v>4004</v>
      </c>
      <c r="E1793" s="1">
        <v>4007</v>
      </c>
      <c r="F1793" s="1">
        <v>4004</v>
      </c>
      <c r="G1793" s="1">
        <v>4006</v>
      </c>
      <c r="H1793" s="1">
        <v>3400</v>
      </c>
    </row>
    <row r="1794" spans="1:8">
      <c r="A1794" s="1"/>
      <c r="B1794" s="1" t="s">
        <v>586</v>
      </c>
      <c r="C1794" s="1" t="s">
        <v>575</v>
      </c>
      <c r="D1794" s="1">
        <v>4006</v>
      </c>
      <c r="E1794" s="1">
        <v>4007</v>
      </c>
      <c r="F1794" s="1">
        <v>4005</v>
      </c>
      <c r="G1794" s="1">
        <v>4005</v>
      </c>
      <c r="H1794" s="1">
        <v>2100</v>
      </c>
    </row>
    <row r="1795" spans="1:8">
      <c r="A1795" s="1"/>
      <c r="B1795" s="1" t="s">
        <v>586</v>
      </c>
      <c r="C1795" s="1" t="s">
        <v>576</v>
      </c>
      <c r="D1795" s="1">
        <v>4006</v>
      </c>
      <c r="E1795" s="1">
        <v>4007</v>
      </c>
      <c r="F1795" s="1">
        <v>4005</v>
      </c>
      <c r="G1795" s="1">
        <v>4007</v>
      </c>
      <c r="H1795" s="1">
        <v>900</v>
      </c>
    </row>
    <row r="1796" spans="1:8">
      <c r="A1796" s="1"/>
      <c r="B1796" s="1" t="s">
        <v>586</v>
      </c>
      <c r="C1796" s="1" t="s">
        <v>577</v>
      </c>
      <c r="D1796" s="1">
        <v>4008</v>
      </c>
      <c r="E1796" s="1">
        <v>4008</v>
      </c>
      <c r="F1796" s="1">
        <v>4004</v>
      </c>
      <c r="G1796" s="1">
        <v>4004</v>
      </c>
      <c r="H1796" s="1">
        <v>2300</v>
      </c>
    </row>
    <row r="1797" spans="1:8">
      <c r="A1797" s="1"/>
      <c r="B1797" s="1" t="s">
        <v>586</v>
      </c>
      <c r="C1797" s="1" t="s">
        <v>578</v>
      </c>
      <c r="D1797" s="1">
        <v>4004</v>
      </c>
      <c r="E1797" s="1">
        <v>4005</v>
      </c>
      <c r="F1797" s="1">
        <v>4003</v>
      </c>
      <c r="G1797" s="1">
        <v>4003</v>
      </c>
      <c r="H1797" s="1">
        <v>1100</v>
      </c>
    </row>
    <row r="1798" spans="1:8">
      <c r="A1798" s="1"/>
      <c r="B1798" s="1" t="s">
        <v>586</v>
      </c>
      <c r="C1798" s="1" t="s">
        <v>579</v>
      </c>
      <c r="D1798" s="1">
        <v>4002</v>
      </c>
      <c r="E1798" s="1">
        <v>4003</v>
      </c>
      <c r="F1798" s="1">
        <v>4000</v>
      </c>
      <c r="G1798" s="1">
        <v>4003</v>
      </c>
      <c r="H1798" s="1">
        <v>2800</v>
      </c>
    </row>
    <row r="1799" spans="1:8">
      <c r="A1799" s="1"/>
      <c r="B1799" s="1" t="s">
        <v>586</v>
      </c>
      <c r="C1799" s="1" t="s">
        <v>580</v>
      </c>
      <c r="D1799" s="1">
        <v>4003</v>
      </c>
      <c r="E1799" s="1">
        <v>4003</v>
      </c>
      <c r="F1799" s="1">
        <v>4001</v>
      </c>
      <c r="G1799" s="1">
        <v>4001</v>
      </c>
      <c r="H1799" s="1">
        <v>1200</v>
      </c>
    </row>
    <row r="1800" spans="1:8">
      <c r="A1800" s="1"/>
      <c r="B1800" s="1" t="s">
        <v>586</v>
      </c>
      <c r="C1800" s="1" t="s">
        <v>581</v>
      </c>
      <c r="D1800" s="1">
        <v>3999</v>
      </c>
      <c r="E1800" s="1">
        <v>4000</v>
      </c>
      <c r="F1800" s="1">
        <v>3999</v>
      </c>
      <c r="G1800" s="1">
        <v>3999</v>
      </c>
      <c r="H1800" s="1">
        <v>900</v>
      </c>
    </row>
    <row r="1801" spans="1:8">
      <c r="A1801" s="1"/>
      <c r="B1801" s="1" t="s">
        <v>586</v>
      </c>
      <c r="C1801" s="1" t="s">
        <v>582</v>
      </c>
      <c r="D1801" s="1">
        <v>3998</v>
      </c>
      <c r="E1801" s="1">
        <v>3999</v>
      </c>
      <c r="F1801" s="1">
        <v>3997</v>
      </c>
      <c r="G1801" s="1">
        <v>3998</v>
      </c>
      <c r="H1801" s="1">
        <v>1200</v>
      </c>
    </row>
    <row r="1802" spans="1:8">
      <c r="A1802" s="1"/>
      <c r="B1802" s="1" t="s">
        <v>586</v>
      </c>
      <c r="C1802" s="1" t="s">
        <v>583</v>
      </c>
      <c r="D1802" s="1">
        <v>3999</v>
      </c>
      <c r="E1802" s="1">
        <v>4000</v>
      </c>
      <c r="F1802" s="1">
        <v>3999</v>
      </c>
      <c r="G1802" s="1">
        <v>3999</v>
      </c>
      <c r="H1802" s="1">
        <v>1800</v>
      </c>
    </row>
    <row r="1803" spans="1:8">
      <c r="A1803" s="1"/>
      <c r="B1803" s="1" t="s">
        <v>586</v>
      </c>
      <c r="C1803" s="1" t="s">
        <v>584</v>
      </c>
      <c r="D1803" s="1">
        <v>4000</v>
      </c>
      <c r="E1803" s="1">
        <v>4003</v>
      </c>
      <c r="F1803" s="1">
        <v>4000</v>
      </c>
      <c r="G1803" s="1">
        <v>4002</v>
      </c>
      <c r="H1803" s="1">
        <v>2600</v>
      </c>
    </row>
    <row r="1804" spans="1:8">
      <c r="A1804" s="1"/>
      <c r="B1804" s="1" t="s">
        <v>586</v>
      </c>
      <c r="C1804" s="1" t="s">
        <v>585</v>
      </c>
      <c r="D1804" s="1">
        <v>4001</v>
      </c>
      <c r="E1804" s="1">
        <v>4001</v>
      </c>
      <c r="F1804" s="1">
        <v>4000</v>
      </c>
      <c r="G1804" s="1">
        <v>4001</v>
      </c>
      <c r="H1804" s="1">
        <v>400</v>
      </c>
    </row>
    <row r="1805" spans="1:8">
      <c r="A1805" s="1"/>
      <c r="B1805" s="1" t="s">
        <v>587</v>
      </c>
      <c r="C1805" s="1" t="s">
        <v>316</v>
      </c>
      <c r="D1805" s="1">
        <v>4003</v>
      </c>
      <c r="E1805" s="1">
        <v>4003</v>
      </c>
      <c r="F1805" s="1">
        <v>4003</v>
      </c>
      <c r="G1805" s="1">
        <v>4003</v>
      </c>
      <c r="H1805" s="1">
        <v>1000</v>
      </c>
    </row>
    <row r="1806" spans="1:8">
      <c r="A1806" s="1" t="s">
        <v>79</v>
      </c>
      <c r="B1806" s="1" t="s">
        <v>79</v>
      </c>
      <c r="C1806" s="1" t="s">
        <v>79</v>
      </c>
      <c r="D1806" s="1" t="s">
        <v>79</v>
      </c>
      <c r="E1806" s="1" t="s">
        <v>79</v>
      </c>
      <c r="F1806" s="1" t="s">
        <v>79</v>
      </c>
      <c r="G1806" s="1" t="s">
        <v>79</v>
      </c>
      <c r="H1806" s="1" t="s">
        <v>79</v>
      </c>
    </row>
    <row r="2327" spans="1:8">
      <c r="A2327" s="1"/>
      <c r="B2327" s="1"/>
      <c r="C2327" s="1"/>
      <c r="D2327" s="1"/>
      <c r="E2327" s="1"/>
      <c r="F2327" s="1"/>
      <c r="G2327" s="1"/>
      <c r="H2327" s="1"/>
    </row>
    <row r="2328" spans="1:8">
      <c r="A2328" s="1"/>
      <c r="B2328" s="1" t="s">
        <v>143</v>
      </c>
      <c r="C2328" s="1" t="s">
        <v>145</v>
      </c>
      <c r="D2328" s="1">
        <v>3860</v>
      </c>
      <c r="E2328" s="1">
        <v>3862</v>
      </c>
      <c r="F2328" s="1">
        <v>3860</v>
      </c>
      <c r="G2328" s="1">
        <v>3861</v>
      </c>
      <c r="H2328" s="1">
        <v>2000</v>
      </c>
    </row>
    <row r="2329" spans="1:8">
      <c r="A2329" s="1"/>
      <c r="B2329" s="1" t="s">
        <v>143</v>
      </c>
      <c r="C2329" s="1" t="s">
        <v>146</v>
      </c>
      <c r="D2329" s="1">
        <v>3862</v>
      </c>
      <c r="E2329" s="1">
        <v>3867</v>
      </c>
      <c r="F2329" s="1">
        <v>3862</v>
      </c>
      <c r="G2329" s="1">
        <v>3866</v>
      </c>
      <c r="H2329" s="1">
        <v>3800</v>
      </c>
    </row>
    <row r="2330" spans="1:8">
      <c r="A2330" s="1"/>
      <c r="B2330" s="1" t="s">
        <v>143</v>
      </c>
      <c r="C2330" s="1" t="s">
        <v>147</v>
      </c>
      <c r="D2330" s="1">
        <v>3866</v>
      </c>
      <c r="E2330" s="1">
        <v>3870</v>
      </c>
      <c r="F2330" s="1">
        <v>3866</v>
      </c>
      <c r="G2330" s="1">
        <v>3869</v>
      </c>
      <c r="H2330" s="1">
        <v>2400</v>
      </c>
    </row>
    <row r="2331" spans="1:8">
      <c r="A2331" s="1"/>
      <c r="B2331" s="1" t="s">
        <v>143</v>
      </c>
      <c r="C2331" s="1" t="s">
        <v>148</v>
      </c>
      <c r="D2331" s="1">
        <v>3868</v>
      </c>
      <c r="E2331" s="1">
        <v>3868</v>
      </c>
      <c r="F2331" s="1">
        <v>3866</v>
      </c>
      <c r="G2331" s="1">
        <v>3866</v>
      </c>
      <c r="H2331" s="1">
        <v>1400</v>
      </c>
    </row>
    <row r="2332" spans="1:8">
      <c r="A2332" s="1"/>
      <c r="B2332" s="1" t="s">
        <v>143</v>
      </c>
      <c r="C2332" s="1" t="s">
        <v>149</v>
      </c>
      <c r="D2332" s="1">
        <v>3866</v>
      </c>
      <c r="E2332" s="1">
        <v>3867</v>
      </c>
      <c r="F2332" s="1">
        <v>3865</v>
      </c>
      <c r="G2332" s="1">
        <v>3867</v>
      </c>
      <c r="H2332" s="1">
        <v>3000</v>
      </c>
    </row>
    <row r="2333" spans="1:8">
      <c r="A2333" s="1"/>
      <c r="B2333" s="1" t="s">
        <v>143</v>
      </c>
      <c r="C2333" s="1" t="s">
        <v>150</v>
      </c>
      <c r="D2333" s="1">
        <v>3868</v>
      </c>
      <c r="E2333" s="1">
        <v>3868</v>
      </c>
      <c r="F2333" s="1">
        <v>3865</v>
      </c>
      <c r="G2333" s="1">
        <v>3866</v>
      </c>
      <c r="H2333" s="1">
        <v>2400</v>
      </c>
    </row>
    <row r="2334" spans="1:8">
      <c r="A2334" s="1"/>
      <c r="B2334" s="1" t="s">
        <v>143</v>
      </c>
      <c r="C2334" s="1" t="s">
        <v>151</v>
      </c>
      <c r="D2334" s="1">
        <v>3868</v>
      </c>
      <c r="E2334" s="1">
        <v>3868</v>
      </c>
      <c r="F2334" s="1">
        <v>3867</v>
      </c>
      <c r="G2334" s="1">
        <v>3867</v>
      </c>
      <c r="H2334" s="1">
        <v>1300</v>
      </c>
    </row>
    <row r="2335" spans="1:8">
      <c r="A2335" s="1"/>
      <c r="B2335" s="1" t="s">
        <v>143</v>
      </c>
      <c r="C2335" s="1" t="s">
        <v>152</v>
      </c>
      <c r="D2335" s="1">
        <v>3868</v>
      </c>
      <c r="E2335" s="1">
        <v>3869</v>
      </c>
      <c r="F2335" s="1">
        <v>3868</v>
      </c>
      <c r="G2335" s="1">
        <v>3869</v>
      </c>
      <c r="H2335" s="1">
        <v>1600</v>
      </c>
    </row>
    <row r="2336" spans="1:8">
      <c r="A2336" s="1"/>
      <c r="B2336" s="1" t="s">
        <v>143</v>
      </c>
      <c r="C2336" s="1" t="s">
        <v>153</v>
      </c>
      <c r="D2336" s="1">
        <v>3872</v>
      </c>
      <c r="E2336" s="1">
        <v>3874</v>
      </c>
      <c r="F2336" s="1">
        <v>3872</v>
      </c>
      <c r="G2336" s="1">
        <v>3874</v>
      </c>
      <c r="H2336" s="1">
        <v>2600</v>
      </c>
    </row>
    <row r="2337" spans="1:8">
      <c r="A2337" s="1"/>
      <c r="B2337" s="1" t="s">
        <v>143</v>
      </c>
      <c r="C2337" s="1" t="s">
        <v>154</v>
      </c>
      <c r="D2337" s="1">
        <v>3873</v>
      </c>
      <c r="E2337" s="1">
        <v>3874</v>
      </c>
      <c r="F2337" s="1">
        <v>3871</v>
      </c>
      <c r="G2337" s="1">
        <v>3872</v>
      </c>
      <c r="H2337" s="1">
        <v>3700</v>
      </c>
    </row>
    <row r="2338" spans="1:8">
      <c r="A2338" s="1"/>
      <c r="B2338" s="1" t="s">
        <v>143</v>
      </c>
      <c r="C2338" s="1" t="s">
        <v>155</v>
      </c>
      <c r="D2338" s="1">
        <v>3873</v>
      </c>
      <c r="E2338" s="1">
        <v>3873</v>
      </c>
      <c r="F2338" s="1">
        <v>3869</v>
      </c>
      <c r="G2338" s="1">
        <v>3870</v>
      </c>
      <c r="H2338" s="1">
        <v>2800</v>
      </c>
    </row>
    <row r="2339" spans="1:8">
      <c r="A2339" s="1"/>
      <c r="B2339" s="1" t="s">
        <v>143</v>
      </c>
      <c r="C2339" s="1" t="s">
        <v>156</v>
      </c>
      <c r="D2339" s="1">
        <v>3871</v>
      </c>
      <c r="E2339" s="1">
        <v>3871</v>
      </c>
      <c r="F2339" s="1">
        <v>3871</v>
      </c>
      <c r="G2339" s="1">
        <v>3871</v>
      </c>
      <c r="H2339" s="1">
        <v>300</v>
      </c>
    </row>
    <row r="2340" spans="1:8">
      <c r="A2340" s="1"/>
      <c r="B2340" s="1" t="s">
        <v>143</v>
      </c>
      <c r="C2340" s="1" t="s">
        <v>157</v>
      </c>
      <c r="D2340" s="1">
        <v>3872</v>
      </c>
      <c r="E2340" s="1">
        <v>3872</v>
      </c>
      <c r="F2340" s="1">
        <v>3870</v>
      </c>
      <c r="G2340" s="1">
        <v>3871</v>
      </c>
      <c r="H2340" s="1">
        <v>2300</v>
      </c>
    </row>
    <row r="2341" spans="1:8">
      <c r="A2341" s="1"/>
      <c r="B2341" s="1" t="s">
        <v>143</v>
      </c>
      <c r="C2341" s="1" t="s">
        <v>158</v>
      </c>
      <c r="D2341" s="1">
        <v>3869</v>
      </c>
      <c r="E2341" s="1">
        <v>3869</v>
      </c>
      <c r="F2341" s="1">
        <v>3868</v>
      </c>
      <c r="G2341" s="1">
        <v>3868</v>
      </c>
      <c r="H2341" s="1">
        <v>1200</v>
      </c>
    </row>
    <row r="2342" spans="1:8">
      <c r="A2342" s="1"/>
      <c r="B2342" s="1" t="s">
        <v>143</v>
      </c>
      <c r="C2342" s="1" t="s">
        <v>159</v>
      </c>
      <c r="D2342" s="1">
        <v>3868</v>
      </c>
      <c r="E2342" s="1">
        <v>3869</v>
      </c>
      <c r="F2342" s="1">
        <v>3868</v>
      </c>
      <c r="G2342" s="1">
        <v>3868</v>
      </c>
      <c r="H2342" s="1">
        <v>800</v>
      </c>
    </row>
    <row r="2343" spans="1:8">
      <c r="A2343" s="1"/>
      <c r="B2343" s="1" t="s">
        <v>144</v>
      </c>
      <c r="C2343" s="1" t="s">
        <v>27</v>
      </c>
      <c r="D2343" s="1">
        <v>3868</v>
      </c>
      <c r="E2343" s="1">
        <v>3868</v>
      </c>
      <c r="F2343" s="1">
        <v>3868</v>
      </c>
      <c r="G2343" s="1">
        <v>3868</v>
      </c>
      <c r="H2343" s="1">
        <v>1400</v>
      </c>
    </row>
    <row r="2344" spans="1:8">
      <c r="A2344" s="1"/>
      <c r="B2344" s="1" t="s">
        <v>143</v>
      </c>
      <c r="C2344" s="1" t="s">
        <v>161</v>
      </c>
      <c r="D2344" s="1">
        <v>3867</v>
      </c>
      <c r="E2344" s="1">
        <v>3869</v>
      </c>
      <c r="F2344" s="1">
        <v>3867</v>
      </c>
      <c r="G2344" s="1">
        <v>3868</v>
      </c>
      <c r="H2344" s="1">
        <v>2500</v>
      </c>
    </row>
    <row r="2345" spans="1:8">
      <c r="A2345" s="1"/>
      <c r="B2345" s="1" t="s">
        <v>143</v>
      </c>
      <c r="C2345" s="1" t="s">
        <v>162</v>
      </c>
      <c r="D2345" s="1">
        <v>3868</v>
      </c>
      <c r="E2345" s="1">
        <v>3869</v>
      </c>
      <c r="F2345" s="1">
        <v>3865</v>
      </c>
      <c r="G2345" s="1">
        <v>3869</v>
      </c>
      <c r="H2345" s="1">
        <v>9800</v>
      </c>
    </row>
    <row r="2346" spans="1:8">
      <c r="A2346" s="1"/>
      <c r="B2346" s="1" t="s">
        <v>143</v>
      </c>
      <c r="C2346" s="1" t="s">
        <v>163</v>
      </c>
      <c r="D2346" s="1">
        <v>3869</v>
      </c>
      <c r="E2346" s="1">
        <v>3869</v>
      </c>
      <c r="F2346" s="1">
        <v>3866</v>
      </c>
      <c r="G2346" s="1">
        <v>3867</v>
      </c>
      <c r="H2346" s="1">
        <v>3500</v>
      </c>
    </row>
    <row r="2347" spans="1:8">
      <c r="A2347" s="1"/>
      <c r="B2347" s="1" t="s">
        <v>143</v>
      </c>
      <c r="C2347" s="1" t="s">
        <v>81</v>
      </c>
      <c r="D2347" s="1">
        <v>3867</v>
      </c>
      <c r="E2347" s="1">
        <v>3867</v>
      </c>
      <c r="F2347" s="1">
        <v>3866</v>
      </c>
      <c r="G2347" s="1">
        <v>3867</v>
      </c>
      <c r="H2347" s="1">
        <v>600</v>
      </c>
    </row>
    <row r="2348" spans="1:8">
      <c r="A2348" s="1"/>
      <c r="B2348" s="1" t="s">
        <v>143</v>
      </c>
      <c r="C2348" s="1" t="s">
        <v>82</v>
      </c>
      <c r="D2348" s="1">
        <v>3867</v>
      </c>
      <c r="E2348" s="1">
        <v>3867</v>
      </c>
      <c r="F2348" s="1">
        <v>3866</v>
      </c>
      <c r="G2348" s="1">
        <v>3866</v>
      </c>
      <c r="H2348" s="1">
        <v>500</v>
      </c>
    </row>
    <row r="2349" spans="1:8">
      <c r="A2349" s="1"/>
      <c r="B2349" s="1" t="s">
        <v>143</v>
      </c>
      <c r="C2349" s="1" t="s">
        <v>83</v>
      </c>
      <c r="D2349" s="1">
        <v>3866</v>
      </c>
      <c r="E2349" s="1">
        <v>3867</v>
      </c>
      <c r="F2349" s="1">
        <v>3866</v>
      </c>
      <c r="G2349" s="1">
        <v>3867</v>
      </c>
      <c r="H2349" s="1">
        <v>300</v>
      </c>
    </row>
    <row r="2350" spans="1:8">
      <c r="A2350" s="1"/>
      <c r="B2350" s="1" t="s">
        <v>143</v>
      </c>
      <c r="C2350" s="1" t="s">
        <v>84</v>
      </c>
      <c r="D2350" s="1">
        <v>3866</v>
      </c>
      <c r="E2350" s="1">
        <v>3866</v>
      </c>
      <c r="F2350" s="1">
        <v>3866</v>
      </c>
      <c r="G2350" s="1">
        <v>3866</v>
      </c>
      <c r="H2350" s="1">
        <v>1500</v>
      </c>
    </row>
    <row r="2351" spans="1:8">
      <c r="A2351" s="1"/>
      <c r="B2351" s="1" t="s">
        <v>143</v>
      </c>
      <c r="C2351" s="1" t="s">
        <v>85</v>
      </c>
      <c r="D2351" s="1">
        <v>3866</v>
      </c>
      <c r="E2351" s="1">
        <v>3867</v>
      </c>
      <c r="F2351" s="1">
        <v>3864</v>
      </c>
      <c r="G2351" s="1">
        <v>3866</v>
      </c>
      <c r="H2351" s="1">
        <v>7500</v>
      </c>
    </row>
    <row r="2352" spans="1:8">
      <c r="A2352" s="1"/>
      <c r="B2352" s="1" t="s">
        <v>143</v>
      </c>
      <c r="C2352" s="1" t="s">
        <v>86</v>
      </c>
      <c r="D2352" s="1">
        <v>3866</v>
      </c>
      <c r="E2352" s="1">
        <v>3866</v>
      </c>
      <c r="F2352" s="1">
        <v>3866</v>
      </c>
      <c r="G2352" s="1">
        <v>3866</v>
      </c>
      <c r="H2352" s="1">
        <v>500</v>
      </c>
    </row>
    <row r="2353" spans="1:8">
      <c r="A2353" s="1"/>
      <c r="B2353" s="1" t="s">
        <v>143</v>
      </c>
      <c r="C2353" s="1" t="s">
        <v>87</v>
      </c>
      <c r="D2353" s="1">
        <v>3866</v>
      </c>
      <c r="E2353" s="1">
        <v>3868</v>
      </c>
      <c r="F2353" s="1">
        <v>3865</v>
      </c>
      <c r="G2353" s="1">
        <v>3868</v>
      </c>
      <c r="H2353" s="1">
        <v>1500</v>
      </c>
    </row>
    <row r="2354" spans="1:8">
      <c r="A2354" s="1"/>
      <c r="B2354" s="1" t="s">
        <v>143</v>
      </c>
      <c r="C2354" s="1" t="s">
        <v>88</v>
      </c>
      <c r="D2354" s="1">
        <v>3868</v>
      </c>
      <c r="E2354" s="1">
        <v>3871</v>
      </c>
      <c r="F2354" s="1">
        <v>3868</v>
      </c>
      <c r="G2354" s="1">
        <v>3870</v>
      </c>
      <c r="H2354" s="1">
        <v>2000</v>
      </c>
    </row>
    <row r="2355" spans="1:8">
      <c r="A2355" s="1"/>
      <c r="B2355" s="1" t="s">
        <v>143</v>
      </c>
      <c r="C2355" s="1" t="s">
        <v>89</v>
      </c>
      <c r="D2355" s="1">
        <v>3870</v>
      </c>
      <c r="E2355" s="1">
        <v>3870</v>
      </c>
      <c r="F2355" s="1">
        <v>3866</v>
      </c>
      <c r="G2355" s="1">
        <v>3867</v>
      </c>
      <c r="H2355" s="1">
        <v>3400</v>
      </c>
    </row>
    <row r="2356" spans="1:8">
      <c r="A2356" s="1"/>
      <c r="B2356" s="1" t="s">
        <v>143</v>
      </c>
      <c r="C2356" s="1" t="s">
        <v>90</v>
      </c>
      <c r="D2356" s="1">
        <v>3865</v>
      </c>
      <c r="E2356" s="1">
        <v>3867</v>
      </c>
      <c r="F2356" s="1">
        <v>3865</v>
      </c>
      <c r="G2356" s="1">
        <v>3866</v>
      </c>
      <c r="H2356" s="1">
        <v>3100</v>
      </c>
    </row>
    <row r="2357" spans="1:8">
      <c r="A2357" s="1"/>
      <c r="B2357" s="1" t="s">
        <v>143</v>
      </c>
      <c r="C2357" s="1" t="s">
        <v>91</v>
      </c>
      <c r="D2357" s="1">
        <v>3867</v>
      </c>
      <c r="E2357" s="1">
        <v>3867</v>
      </c>
      <c r="F2357" s="1">
        <v>3866</v>
      </c>
      <c r="G2357" s="1">
        <v>3866</v>
      </c>
      <c r="H2357" s="1">
        <v>800</v>
      </c>
    </row>
    <row r="2358" spans="1:8">
      <c r="A2358" s="1"/>
      <c r="B2358" s="1" t="s">
        <v>143</v>
      </c>
      <c r="C2358" s="1" t="s">
        <v>92</v>
      </c>
      <c r="D2358" s="1">
        <v>3865</v>
      </c>
      <c r="E2358" s="1">
        <v>3867</v>
      </c>
      <c r="F2358" s="1">
        <v>3865</v>
      </c>
      <c r="G2358" s="1">
        <v>3867</v>
      </c>
      <c r="H2358" s="1">
        <v>2400</v>
      </c>
    </row>
    <row r="2359" spans="1:8">
      <c r="A2359" s="1"/>
      <c r="B2359" s="1" t="s">
        <v>143</v>
      </c>
      <c r="C2359" s="1" t="s">
        <v>93</v>
      </c>
      <c r="D2359" s="1">
        <v>3867</v>
      </c>
      <c r="E2359" s="1">
        <v>3867</v>
      </c>
      <c r="F2359" s="1">
        <v>3866</v>
      </c>
      <c r="G2359" s="1">
        <v>3867</v>
      </c>
      <c r="H2359" s="1">
        <v>1700</v>
      </c>
    </row>
    <row r="2360" spans="1:8">
      <c r="A2360" s="1"/>
      <c r="B2360" s="1" t="s">
        <v>143</v>
      </c>
      <c r="C2360" s="1" t="s">
        <v>94</v>
      </c>
      <c r="D2360" s="1">
        <v>3867</v>
      </c>
      <c r="E2360" s="1">
        <v>3868</v>
      </c>
      <c r="F2360" s="1">
        <v>3867</v>
      </c>
      <c r="G2360" s="1">
        <v>3868</v>
      </c>
      <c r="H2360" s="1">
        <v>1300</v>
      </c>
    </row>
    <row r="2361" spans="1:8">
      <c r="A2361" s="1"/>
      <c r="B2361" s="1" t="s">
        <v>143</v>
      </c>
      <c r="C2361" s="1" t="s">
        <v>95</v>
      </c>
      <c r="D2361" s="1">
        <v>3868</v>
      </c>
      <c r="E2361" s="1">
        <v>3872</v>
      </c>
      <c r="F2361" s="1">
        <v>3868</v>
      </c>
      <c r="G2361" s="1">
        <v>3871</v>
      </c>
      <c r="H2361" s="1">
        <v>2700</v>
      </c>
    </row>
    <row r="2362" spans="1:8">
      <c r="A2362" s="1"/>
      <c r="B2362" s="1" t="s">
        <v>143</v>
      </c>
      <c r="C2362" s="1" t="s">
        <v>96</v>
      </c>
      <c r="D2362" s="1">
        <v>3872</v>
      </c>
      <c r="E2362" s="1">
        <v>3872</v>
      </c>
      <c r="F2362" s="1">
        <v>3869</v>
      </c>
      <c r="G2362" s="1">
        <v>3872</v>
      </c>
      <c r="H2362" s="1">
        <v>2300</v>
      </c>
    </row>
    <row r="2363" spans="1:8">
      <c r="A2363" s="1"/>
      <c r="B2363" s="1" t="s">
        <v>143</v>
      </c>
      <c r="C2363" s="1" t="s">
        <v>97</v>
      </c>
      <c r="D2363" s="1">
        <v>3871</v>
      </c>
      <c r="E2363" s="1">
        <v>3872</v>
      </c>
      <c r="F2363" s="1">
        <v>3869</v>
      </c>
      <c r="G2363" s="1">
        <v>3871</v>
      </c>
      <c r="H2363" s="1">
        <v>1600</v>
      </c>
    </row>
    <row r="2364" spans="1:8">
      <c r="A2364" s="1"/>
      <c r="B2364" s="1" t="s">
        <v>143</v>
      </c>
      <c r="C2364" s="1" t="s">
        <v>98</v>
      </c>
      <c r="D2364" s="1">
        <v>3871</v>
      </c>
      <c r="E2364" s="1">
        <v>3872</v>
      </c>
      <c r="F2364" s="1">
        <v>3870</v>
      </c>
      <c r="G2364" s="1">
        <v>3870</v>
      </c>
      <c r="H2364" s="1">
        <v>4500</v>
      </c>
    </row>
    <row r="2365" spans="1:8">
      <c r="A2365" s="1"/>
      <c r="B2365" s="1" t="s">
        <v>143</v>
      </c>
      <c r="C2365" s="1" t="s">
        <v>99</v>
      </c>
      <c r="D2365" s="1">
        <v>3871</v>
      </c>
      <c r="E2365" s="1">
        <v>3871</v>
      </c>
      <c r="F2365" s="1">
        <v>3870</v>
      </c>
      <c r="G2365" s="1">
        <v>3871</v>
      </c>
      <c r="H2365" s="1">
        <v>1200</v>
      </c>
    </row>
    <row r="2366" spans="1:8">
      <c r="A2366" s="1"/>
      <c r="B2366" s="1" t="s">
        <v>143</v>
      </c>
      <c r="C2366" s="1" t="s">
        <v>100</v>
      </c>
      <c r="D2366" s="1">
        <v>3869</v>
      </c>
      <c r="E2366" s="1">
        <v>3869</v>
      </c>
      <c r="F2366" s="1">
        <v>3866</v>
      </c>
      <c r="G2366" s="1">
        <v>3866</v>
      </c>
      <c r="H2366" s="1">
        <v>6200</v>
      </c>
    </row>
    <row r="2367" spans="1:8">
      <c r="A2367" s="1"/>
      <c r="B2367" s="1" t="s">
        <v>143</v>
      </c>
      <c r="C2367" s="1" t="s">
        <v>101</v>
      </c>
      <c r="D2367" s="1">
        <v>3868</v>
      </c>
      <c r="E2367" s="1">
        <v>3868</v>
      </c>
      <c r="F2367" s="1">
        <v>3867</v>
      </c>
      <c r="G2367" s="1">
        <v>3867</v>
      </c>
      <c r="H2367" s="1">
        <v>600</v>
      </c>
    </row>
    <row r="2368" spans="1:8">
      <c r="A2368" s="1"/>
      <c r="B2368" s="1" t="s">
        <v>143</v>
      </c>
      <c r="C2368" s="1" t="s">
        <v>102</v>
      </c>
      <c r="D2368" s="1">
        <v>3867</v>
      </c>
      <c r="E2368" s="1">
        <v>3869</v>
      </c>
      <c r="F2368" s="1">
        <v>3867</v>
      </c>
      <c r="G2368" s="1">
        <v>3869</v>
      </c>
      <c r="H2368" s="1">
        <v>1800</v>
      </c>
    </row>
    <row r="2369" spans="1:8">
      <c r="A2369" s="1"/>
      <c r="B2369" s="1" t="s">
        <v>143</v>
      </c>
      <c r="C2369" s="1" t="s">
        <v>103</v>
      </c>
      <c r="D2369" s="1">
        <v>3868</v>
      </c>
      <c r="E2369" s="1">
        <v>3871</v>
      </c>
      <c r="F2369" s="1">
        <v>3868</v>
      </c>
      <c r="G2369" s="1">
        <v>3871</v>
      </c>
      <c r="H2369" s="1">
        <v>1100</v>
      </c>
    </row>
    <row r="2370" spans="1:8">
      <c r="A2370" s="1"/>
      <c r="B2370" s="1" t="s">
        <v>143</v>
      </c>
      <c r="C2370" s="1" t="s">
        <v>104</v>
      </c>
      <c r="D2370" s="1">
        <v>3871</v>
      </c>
      <c r="E2370" s="1">
        <v>3871</v>
      </c>
      <c r="F2370" s="1">
        <v>3870</v>
      </c>
      <c r="G2370" s="1">
        <v>3871</v>
      </c>
      <c r="H2370" s="1">
        <v>900</v>
      </c>
    </row>
    <row r="2371" spans="1:8">
      <c r="A2371" s="1"/>
      <c r="B2371" s="1" t="s">
        <v>143</v>
      </c>
      <c r="C2371" s="1" t="s">
        <v>105</v>
      </c>
      <c r="D2371" s="1">
        <v>3871</v>
      </c>
      <c r="E2371" s="1">
        <v>3873</v>
      </c>
      <c r="F2371" s="1">
        <v>3870</v>
      </c>
      <c r="G2371" s="1">
        <v>3870</v>
      </c>
      <c r="H2371" s="1">
        <v>3900</v>
      </c>
    </row>
    <row r="2372" spans="1:8">
      <c r="A2372" s="1"/>
      <c r="B2372" s="1" t="s">
        <v>143</v>
      </c>
      <c r="C2372" s="1" t="s">
        <v>106</v>
      </c>
      <c r="D2372" s="1">
        <v>3870</v>
      </c>
      <c r="E2372" s="1">
        <v>3872</v>
      </c>
      <c r="F2372" s="1">
        <v>3866</v>
      </c>
      <c r="G2372" s="1">
        <v>3866</v>
      </c>
      <c r="H2372" s="1">
        <v>14800</v>
      </c>
    </row>
    <row r="2373" spans="1:8">
      <c r="A2373" s="1"/>
      <c r="B2373" s="1" t="s">
        <v>143</v>
      </c>
      <c r="C2373" s="1" t="s">
        <v>107</v>
      </c>
      <c r="D2373" s="1">
        <v>3868</v>
      </c>
      <c r="E2373" s="1">
        <v>3869</v>
      </c>
      <c r="F2373" s="1">
        <v>3867</v>
      </c>
      <c r="G2373" s="1">
        <v>3869</v>
      </c>
      <c r="H2373" s="1">
        <v>1100</v>
      </c>
    </row>
    <row r="2374" spans="1:8">
      <c r="A2374" s="1"/>
      <c r="B2374" s="1" t="s">
        <v>143</v>
      </c>
      <c r="C2374" s="1" t="s">
        <v>108</v>
      </c>
      <c r="D2374" s="1">
        <v>3870</v>
      </c>
      <c r="E2374" s="1">
        <v>3870</v>
      </c>
      <c r="F2374" s="1">
        <v>3868</v>
      </c>
      <c r="G2374" s="1">
        <v>3868</v>
      </c>
      <c r="H2374" s="1">
        <v>1200</v>
      </c>
    </row>
    <row r="2375" spans="1:8">
      <c r="A2375" s="1"/>
      <c r="B2375" s="1" t="s">
        <v>143</v>
      </c>
      <c r="C2375" s="1" t="s">
        <v>109</v>
      </c>
      <c r="D2375" s="1">
        <v>3869</v>
      </c>
      <c r="E2375" s="1">
        <v>3869</v>
      </c>
      <c r="F2375" s="1">
        <v>3868</v>
      </c>
      <c r="G2375" s="1">
        <v>3868</v>
      </c>
      <c r="H2375" s="1">
        <v>1400</v>
      </c>
    </row>
    <row r="2376" spans="1:8">
      <c r="A2376" s="1"/>
      <c r="B2376" s="1" t="s">
        <v>143</v>
      </c>
      <c r="C2376" s="1" t="s">
        <v>110</v>
      </c>
      <c r="D2376" s="1">
        <v>3867</v>
      </c>
      <c r="E2376" s="1">
        <v>3867</v>
      </c>
      <c r="F2376" s="1">
        <v>3865</v>
      </c>
      <c r="G2376" s="1">
        <v>3866</v>
      </c>
      <c r="H2376" s="1">
        <v>2900</v>
      </c>
    </row>
    <row r="2377" spans="1:8">
      <c r="A2377" s="1"/>
      <c r="B2377" s="1" t="s">
        <v>143</v>
      </c>
      <c r="C2377" s="1" t="s">
        <v>111</v>
      </c>
      <c r="D2377" s="1">
        <v>3866</v>
      </c>
      <c r="E2377" s="1">
        <v>3868</v>
      </c>
      <c r="F2377" s="1">
        <v>3864</v>
      </c>
      <c r="G2377" s="1">
        <v>3867</v>
      </c>
      <c r="H2377" s="1">
        <v>5700</v>
      </c>
    </row>
    <row r="2378" spans="1:8">
      <c r="A2378" s="1"/>
      <c r="B2378" s="1" t="s">
        <v>143</v>
      </c>
      <c r="C2378" s="1" t="s">
        <v>112</v>
      </c>
      <c r="D2378" s="1">
        <v>3866</v>
      </c>
      <c r="E2378" s="1">
        <v>3868</v>
      </c>
      <c r="F2378" s="1">
        <v>3865</v>
      </c>
      <c r="G2378" s="1">
        <v>3867</v>
      </c>
      <c r="H2378" s="1">
        <v>3400</v>
      </c>
    </row>
    <row r="2379" spans="1:8">
      <c r="A2379" s="1"/>
      <c r="B2379" s="1" t="s">
        <v>143</v>
      </c>
      <c r="C2379" s="1" t="s">
        <v>113</v>
      </c>
      <c r="D2379" s="1">
        <v>3867</v>
      </c>
      <c r="E2379" s="1">
        <v>3868</v>
      </c>
      <c r="F2379" s="1">
        <v>3865</v>
      </c>
      <c r="G2379" s="1">
        <v>3866</v>
      </c>
      <c r="H2379" s="1">
        <v>2600</v>
      </c>
    </row>
    <row r="2380" spans="1:8">
      <c r="A2380" s="1"/>
      <c r="B2380" s="1" t="s">
        <v>143</v>
      </c>
      <c r="C2380" s="1" t="s">
        <v>114</v>
      </c>
      <c r="D2380" s="1">
        <v>3864</v>
      </c>
      <c r="E2380" s="1">
        <v>3867</v>
      </c>
      <c r="F2380" s="1">
        <v>3864</v>
      </c>
      <c r="G2380" s="1">
        <v>3866</v>
      </c>
      <c r="H2380" s="1">
        <v>2700</v>
      </c>
    </row>
    <row r="2381" spans="1:8">
      <c r="A2381" s="1"/>
      <c r="B2381" s="1" t="s">
        <v>143</v>
      </c>
      <c r="C2381" s="1" t="s">
        <v>115</v>
      </c>
      <c r="D2381" s="1">
        <v>3865</v>
      </c>
      <c r="E2381" s="1">
        <v>3868</v>
      </c>
      <c r="F2381" s="1">
        <v>3861</v>
      </c>
      <c r="G2381" s="1">
        <v>3861</v>
      </c>
      <c r="H2381" s="1">
        <v>10500</v>
      </c>
    </row>
    <row r="2382" spans="1:8">
      <c r="A2382" s="1"/>
      <c r="B2382" s="1" t="s">
        <v>143</v>
      </c>
      <c r="C2382" s="1" t="s">
        <v>116</v>
      </c>
      <c r="D2382" s="1">
        <v>3860</v>
      </c>
      <c r="E2382" s="1">
        <v>3861</v>
      </c>
      <c r="F2382" s="1">
        <v>3860</v>
      </c>
      <c r="G2382" s="1">
        <v>3860</v>
      </c>
      <c r="H2382" s="1">
        <v>2500</v>
      </c>
    </row>
    <row r="2383" spans="1:8">
      <c r="A2383" s="1"/>
      <c r="B2383" s="1" t="s">
        <v>143</v>
      </c>
      <c r="C2383" s="1" t="s">
        <v>117</v>
      </c>
      <c r="D2383" s="1">
        <v>3861</v>
      </c>
      <c r="E2383" s="1">
        <v>3861</v>
      </c>
      <c r="F2383" s="1">
        <v>3859</v>
      </c>
      <c r="G2383" s="1">
        <v>3860</v>
      </c>
      <c r="H2383" s="1">
        <v>4400</v>
      </c>
    </row>
    <row r="2384" spans="1:8">
      <c r="A2384" s="1"/>
      <c r="B2384" s="1" t="s">
        <v>143</v>
      </c>
      <c r="C2384" s="1" t="s">
        <v>118</v>
      </c>
      <c r="D2384" s="1">
        <v>3861</v>
      </c>
      <c r="E2384" s="1">
        <v>3863</v>
      </c>
      <c r="F2384" s="1">
        <v>3859</v>
      </c>
      <c r="G2384" s="1">
        <v>3860</v>
      </c>
      <c r="H2384" s="1">
        <v>8600</v>
      </c>
    </row>
    <row r="2385" spans="1:8">
      <c r="A2385" s="1"/>
      <c r="B2385" s="1" t="s">
        <v>144</v>
      </c>
      <c r="C2385" s="1" t="s">
        <v>67</v>
      </c>
      <c r="D2385" s="1" t="s">
        <v>8</v>
      </c>
      <c r="E2385" s="1" t="s">
        <v>8</v>
      </c>
      <c r="F2385" s="1" t="s">
        <v>8</v>
      </c>
      <c r="G2385" s="1" t="s">
        <v>8</v>
      </c>
      <c r="H2385" s="1">
        <v>0</v>
      </c>
    </row>
    <row r="2386" spans="1:8">
      <c r="A2386" s="1"/>
      <c r="B2386" s="1" t="s">
        <v>144</v>
      </c>
      <c r="C2386" s="1" t="s">
        <v>68</v>
      </c>
      <c r="D2386" s="1" t="s">
        <v>8</v>
      </c>
      <c r="E2386" s="1" t="s">
        <v>8</v>
      </c>
      <c r="F2386" s="1" t="s">
        <v>8</v>
      </c>
      <c r="G2386" s="1" t="s">
        <v>8</v>
      </c>
      <c r="H2386" s="1">
        <v>0</v>
      </c>
    </row>
    <row r="2387" spans="1:8">
      <c r="A2387" s="1"/>
      <c r="B2387" s="1" t="s">
        <v>144</v>
      </c>
      <c r="C2387" s="1" t="s">
        <v>69</v>
      </c>
      <c r="D2387" s="1" t="s">
        <v>8</v>
      </c>
      <c r="E2387" s="1" t="s">
        <v>8</v>
      </c>
      <c r="F2387" s="1" t="s">
        <v>8</v>
      </c>
      <c r="G2387" s="1" t="s">
        <v>8</v>
      </c>
      <c r="H2387" s="1">
        <v>0</v>
      </c>
    </row>
    <row r="2388" spans="1:8">
      <c r="A2388" s="1"/>
      <c r="B2388" s="1" t="s">
        <v>144</v>
      </c>
      <c r="C2388" s="1" t="s">
        <v>70</v>
      </c>
      <c r="D2388" s="1" t="s">
        <v>8</v>
      </c>
      <c r="E2388" s="1" t="s">
        <v>8</v>
      </c>
      <c r="F2388" s="1" t="s">
        <v>8</v>
      </c>
      <c r="G2388" s="1" t="s">
        <v>8</v>
      </c>
      <c r="H2388" s="1">
        <v>0</v>
      </c>
    </row>
    <row r="2389" spans="1:8">
      <c r="A2389" s="1"/>
      <c r="B2389" s="1" t="s">
        <v>144</v>
      </c>
      <c r="C2389" s="1" t="s">
        <v>71</v>
      </c>
      <c r="D2389" s="1" t="s">
        <v>8</v>
      </c>
      <c r="E2389" s="1" t="s">
        <v>8</v>
      </c>
      <c r="F2389" s="1" t="s">
        <v>8</v>
      </c>
      <c r="G2389" s="1" t="s">
        <v>8</v>
      </c>
      <c r="H2389" s="1">
        <v>0</v>
      </c>
    </row>
    <row r="2390" spans="1:8">
      <c r="A2390" s="1"/>
      <c r="B2390" s="1" t="s">
        <v>144</v>
      </c>
      <c r="C2390" s="1" t="s">
        <v>72</v>
      </c>
      <c r="D2390" s="1">
        <v>3859</v>
      </c>
      <c r="E2390" s="1">
        <v>3859</v>
      </c>
      <c r="F2390" s="1">
        <v>3859</v>
      </c>
      <c r="G2390" s="1">
        <v>3859</v>
      </c>
      <c r="H2390" s="1">
        <v>338800</v>
      </c>
    </row>
    <row r="2391" spans="1:8">
      <c r="A2391" s="1" t="s">
        <v>79</v>
      </c>
      <c r="B2391" s="1" t="s">
        <v>79</v>
      </c>
      <c r="C2391" s="1" t="s">
        <v>79</v>
      </c>
      <c r="D2391" s="1" t="s">
        <v>79</v>
      </c>
      <c r="E2391" s="1" t="s">
        <v>79</v>
      </c>
      <c r="F2391" s="1" t="s">
        <v>79</v>
      </c>
      <c r="G2391" s="1" t="s">
        <v>79</v>
      </c>
      <c r="H2391" s="1" t="s">
        <v>79</v>
      </c>
    </row>
    <row r="2392" spans="1:8">
      <c r="A2392" s="1"/>
      <c r="B2392" s="1" t="s">
        <v>78</v>
      </c>
      <c r="C2392" s="1" t="s">
        <v>106</v>
      </c>
      <c r="D2392" s="1">
        <v>3727</v>
      </c>
      <c r="E2392" s="1">
        <v>3729</v>
      </c>
      <c r="F2392" s="1">
        <v>3726</v>
      </c>
      <c r="G2392" s="1">
        <v>3726</v>
      </c>
      <c r="H2392" s="1">
        <v>3500</v>
      </c>
    </row>
    <row r="2393" spans="1:8">
      <c r="A2393" s="1"/>
      <c r="B2393" s="1" t="s">
        <v>78</v>
      </c>
      <c r="C2393" s="1" t="s">
        <v>107</v>
      </c>
      <c r="D2393" s="1">
        <v>3725</v>
      </c>
      <c r="E2393" s="1">
        <v>3727</v>
      </c>
      <c r="F2393" s="1">
        <v>3724</v>
      </c>
      <c r="G2393" s="1">
        <v>3727</v>
      </c>
      <c r="H2393" s="1">
        <v>3400</v>
      </c>
    </row>
    <row r="2394" spans="1:8">
      <c r="A2394" s="1"/>
      <c r="B2394" s="1" t="s">
        <v>78</v>
      </c>
      <c r="C2394" s="1" t="s">
        <v>108</v>
      </c>
      <c r="D2394" s="1">
        <v>3727</v>
      </c>
      <c r="E2394" s="1">
        <v>3727</v>
      </c>
      <c r="F2394" s="1">
        <v>3725</v>
      </c>
      <c r="G2394" s="1">
        <v>3725</v>
      </c>
      <c r="H2394" s="1">
        <v>3500</v>
      </c>
    </row>
    <row r="2395" spans="1:8">
      <c r="A2395" s="1"/>
      <c r="B2395" s="1" t="s">
        <v>78</v>
      </c>
      <c r="C2395" s="1" t="s">
        <v>109</v>
      </c>
      <c r="D2395" s="1">
        <v>3724</v>
      </c>
      <c r="E2395" s="1">
        <v>3726</v>
      </c>
      <c r="F2395" s="1">
        <v>3724</v>
      </c>
      <c r="G2395" s="1">
        <v>3725</v>
      </c>
      <c r="H2395" s="1">
        <v>5500</v>
      </c>
    </row>
    <row r="2396" spans="1:8">
      <c r="A2396" s="1"/>
      <c r="B2396" s="1" t="s">
        <v>78</v>
      </c>
      <c r="C2396" s="1" t="s">
        <v>110</v>
      </c>
      <c r="D2396" s="1">
        <v>3724</v>
      </c>
      <c r="E2396" s="1">
        <v>3724</v>
      </c>
      <c r="F2396" s="1">
        <v>3723</v>
      </c>
      <c r="G2396" s="1">
        <v>3723</v>
      </c>
      <c r="H2396" s="1">
        <v>2800</v>
      </c>
    </row>
    <row r="2397" spans="1:8">
      <c r="A2397" s="1"/>
      <c r="B2397" s="1" t="s">
        <v>78</v>
      </c>
      <c r="C2397" s="1" t="s">
        <v>111</v>
      </c>
      <c r="D2397" s="1">
        <v>3722</v>
      </c>
      <c r="E2397" s="1">
        <v>3723</v>
      </c>
      <c r="F2397" s="1">
        <v>3718</v>
      </c>
      <c r="G2397" s="1">
        <v>3718</v>
      </c>
      <c r="H2397" s="1">
        <v>11400</v>
      </c>
    </row>
    <row r="2398" spans="1:8">
      <c r="A2398" s="1"/>
      <c r="B2398" s="1" t="s">
        <v>78</v>
      </c>
      <c r="C2398" s="1" t="s">
        <v>112</v>
      </c>
      <c r="D2398" s="1">
        <v>3718</v>
      </c>
      <c r="E2398" s="1">
        <v>3719</v>
      </c>
      <c r="F2398" s="1">
        <v>3714</v>
      </c>
      <c r="G2398" s="1">
        <v>3715</v>
      </c>
      <c r="H2398" s="1">
        <v>16800</v>
      </c>
    </row>
    <row r="2399" spans="1:8">
      <c r="A2399" s="1"/>
      <c r="B2399" s="1" t="s">
        <v>78</v>
      </c>
      <c r="C2399" s="1" t="s">
        <v>113</v>
      </c>
      <c r="D2399" s="1">
        <v>3716</v>
      </c>
      <c r="E2399" s="1">
        <v>3717</v>
      </c>
      <c r="F2399" s="1">
        <v>3714</v>
      </c>
      <c r="G2399" s="1">
        <v>3716</v>
      </c>
      <c r="H2399" s="1">
        <v>6500</v>
      </c>
    </row>
    <row r="2400" spans="1:8">
      <c r="A2400" s="1"/>
      <c r="B2400" s="1" t="s">
        <v>78</v>
      </c>
      <c r="C2400" s="1" t="s">
        <v>114</v>
      </c>
      <c r="D2400" s="1">
        <v>3714</v>
      </c>
      <c r="E2400" s="1">
        <v>3715</v>
      </c>
      <c r="F2400" s="1">
        <v>3712</v>
      </c>
      <c r="G2400" s="1">
        <v>3714</v>
      </c>
      <c r="H2400" s="1">
        <v>3800</v>
      </c>
    </row>
    <row r="2401" spans="1:8">
      <c r="A2401" s="1"/>
      <c r="B2401" s="1" t="s">
        <v>78</v>
      </c>
      <c r="C2401" s="1" t="s">
        <v>115</v>
      </c>
      <c r="D2401" s="1">
        <v>3714</v>
      </c>
      <c r="E2401" s="1">
        <v>3716</v>
      </c>
      <c r="F2401" s="1">
        <v>3713</v>
      </c>
      <c r="G2401" s="1">
        <v>3715</v>
      </c>
      <c r="H2401" s="1">
        <v>9400</v>
      </c>
    </row>
    <row r="2402" spans="1:8">
      <c r="A2402" s="1"/>
      <c r="B2402" s="1" t="s">
        <v>78</v>
      </c>
      <c r="C2402" s="1" t="s">
        <v>116</v>
      </c>
      <c r="D2402" s="1">
        <v>3715</v>
      </c>
      <c r="E2402" s="1">
        <v>3717</v>
      </c>
      <c r="F2402" s="1">
        <v>3714</v>
      </c>
      <c r="G2402" s="1">
        <v>3714</v>
      </c>
      <c r="H2402" s="1">
        <v>6100</v>
      </c>
    </row>
    <row r="2403" spans="1:8">
      <c r="A2403" s="1"/>
      <c r="B2403" s="1" t="s">
        <v>78</v>
      </c>
      <c r="C2403" s="1" t="s">
        <v>117</v>
      </c>
      <c r="D2403" s="1">
        <v>3713</v>
      </c>
      <c r="E2403" s="1">
        <v>3715</v>
      </c>
      <c r="F2403" s="1">
        <v>3713</v>
      </c>
      <c r="G2403" s="1">
        <v>3713</v>
      </c>
      <c r="H2403" s="1">
        <v>3200</v>
      </c>
    </row>
    <row r="2404" spans="1:8">
      <c r="A2404" s="1"/>
      <c r="B2404" s="1" t="s">
        <v>78</v>
      </c>
      <c r="C2404" s="1" t="s">
        <v>118</v>
      </c>
      <c r="D2404" s="1">
        <v>3713</v>
      </c>
      <c r="E2404" s="1">
        <v>3718</v>
      </c>
      <c r="F2404" s="1">
        <v>3712</v>
      </c>
      <c r="G2404" s="1">
        <v>3717</v>
      </c>
      <c r="H2404" s="1">
        <v>14900</v>
      </c>
    </row>
    <row r="2405" spans="1:8">
      <c r="A2405" s="1" t="s">
        <v>79</v>
      </c>
      <c r="B2405" s="1" t="s">
        <v>79</v>
      </c>
      <c r="C2405" s="1" t="s">
        <v>79</v>
      </c>
      <c r="D2405" s="1" t="s">
        <v>79</v>
      </c>
      <c r="E2405" s="1" t="s">
        <v>79</v>
      </c>
      <c r="F2405" s="1" t="s">
        <v>79</v>
      </c>
      <c r="G2405" s="1" t="s">
        <v>79</v>
      </c>
      <c r="H2405" s="1" t="s">
        <v>79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34DEB-7CE6-4C3E-AAF8-8D22B0E1219C}">
  <sheetPr codeName="Sheet39"/>
  <dimension ref="A1:Y2404"/>
  <sheetViews>
    <sheetView workbookViewId="0">
      <selection activeCell="A2" sqref="A2"/>
    </sheetView>
  </sheetViews>
  <sheetFormatPr defaultRowHeight="18.75"/>
  <cols>
    <col min="11" max="11" width="3" customWidth="1"/>
    <col min="13" max="13" width="3" customWidth="1"/>
  </cols>
  <sheetData>
    <row r="1" spans="1:25">
      <c r="A1" t="str">
        <f>_xll.RssChart($A$2:$H$2, "6323.T", "1M", 332)</f>
        <v>=RssChart($A$2:$H$2, "6323.T", "1M", 332) =&gt; 配信中</v>
      </c>
    </row>
    <row r="2" spans="1: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J2" t="s">
        <v>73</v>
      </c>
      <c r="L2" t="s">
        <v>74</v>
      </c>
      <c r="N2" t="s">
        <v>75</v>
      </c>
      <c r="P2" t="s">
        <v>119</v>
      </c>
      <c r="Q2">
        <f>_xll.RssMarket("6323.T", "現在値")</f>
        <v>1957.5</v>
      </c>
      <c r="R2" t="str">
        <f>_xll.RssMarket("6323.T", "現在値時刻")</f>
        <v>15:30</v>
      </c>
      <c r="T2" t="s">
        <v>131</v>
      </c>
      <c r="U2">
        <f>_xll.RssMarket("6323.T", "出来高")</f>
        <v>2727100</v>
      </c>
      <c r="X2" t="s">
        <v>138</v>
      </c>
      <c r="Y2">
        <f>_xll.RssMarket("6323.T", "信用売残")</f>
        <v>323900</v>
      </c>
    </row>
    <row r="3" spans="1:25">
      <c r="A3" t="s">
        <v>434</v>
      </c>
      <c r="B3" t="s">
        <v>587</v>
      </c>
      <c r="C3" t="s">
        <v>166</v>
      </c>
      <c r="D3" t="s">
        <v>8</v>
      </c>
      <c r="E3" t="s">
        <v>8</v>
      </c>
      <c r="F3" t="s">
        <v>8</v>
      </c>
      <c r="G3" t="s">
        <v>8</v>
      </c>
      <c r="H3">
        <v>0</v>
      </c>
      <c r="J3">
        <f>_xll.RssMarket("6323.T", "売成行数量")</f>
        <v>0</v>
      </c>
      <c r="L3" t="s">
        <v>76</v>
      </c>
      <c r="N3">
        <f>_xll.RssMarket("6323.T", "買成行数量")</f>
        <v>0</v>
      </c>
      <c r="P3" t="s">
        <v>121</v>
      </c>
      <c r="Q3">
        <f>_xll.RssMarket("6323.T", "前日比")</f>
        <v>-106.5</v>
      </c>
      <c r="R3">
        <f>_xll.RssMarket("6323.T", "前日比率")</f>
        <v>-5.16</v>
      </c>
      <c r="S3" t="s">
        <v>122</v>
      </c>
      <c r="T3" t="s">
        <v>132</v>
      </c>
      <c r="U3">
        <f>_xll.RssMarket("6323.T", "売買代金")</f>
        <v>5259492</v>
      </c>
      <c r="X3" t="s">
        <v>139</v>
      </c>
      <c r="Y3">
        <f>_xll.RssMarket("6323.T", "信用買残")</f>
        <v>4030500</v>
      </c>
    </row>
    <row r="4" spans="1:25">
      <c r="B4" t="s">
        <v>587</v>
      </c>
      <c r="C4" t="s">
        <v>167</v>
      </c>
      <c r="D4" t="s">
        <v>8</v>
      </c>
      <c r="E4" t="s">
        <v>8</v>
      </c>
      <c r="F4" t="s">
        <v>8</v>
      </c>
      <c r="G4" t="s">
        <v>8</v>
      </c>
      <c r="H4">
        <v>0</v>
      </c>
      <c r="J4">
        <f>_xll.RssMarket("6323.T", "OVER気配数量")</f>
        <v>348800</v>
      </c>
      <c r="L4" t="s">
        <v>77</v>
      </c>
      <c r="P4" t="s">
        <v>123</v>
      </c>
      <c r="Q4">
        <f>_xll.RssMarket("6323.T", "高値")</f>
        <v>1973</v>
      </c>
      <c r="T4" t="s">
        <v>137</v>
      </c>
      <c r="U4">
        <f>_xll.RssMarket("6323.T", "前場出来高")</f>
        <v>1819800</v>
      </c>
      <c r="X4" t="s">
        <v>140</v>
      </c>
      <c r="Y4">
        <f>_xll.RssMarket("6323.T", "信用倍率")</f>
        <v>12.44</v>
      </c>
    </row>
    <row r="5" spans="1:25">
      <c r="B5" t="s">
        <v>587</v>
      </c>
      <c r="C5" t="s">
        <v>168</v>
      </c>
      <c r="D5" t="s">
        <v>8</v>
      </c>
      <c r="E5" t="s">
        <v>8</v>
      </c>
      <c r="F5" t="s">
        <v>8</v>
      </c>
      <c r="G5" t="s">
        <v>8</v>
      </c>
      <c r="H5">
        <v>0</v>
      </c>
      <c r="J5">
        <f>_xll.RssMarket("6323.T", "最良売気配数量10")</f>
        <v>3700</v>
      </c>
      <c r="L5">
        <f>_xll.RssMarket("6323.T", "最良売気配値10")</f>
        <v>1962</v>
      </c>
      <c r="P5" t="s">
        <v>124</v>
      </c>
      <c r="Q5">
        <f>_xll.RssMarket("6323.T", "安値")</f>
        <v>1870</v>
      </c>
    </row>
    <row r="6" spans="1:25">
      <c r="B6" t="s">
        <v>587</v>
      </c>
      <c r="C6" t="s">
        <v>169</v>
      </c>
      <c r="D6" t="s">
        <v>8</v>
      </c>
      <c r="E6" t="s">
        <v>8</v>
      </c>
      <c r="F6" t="s">
        <v>8</v>
      </c>
      <c r="G6" t="s">
        <v>8</v>
      </c>
      <c r="H6">
        <v>0</v>
      </c>
      <c r="J6">
        <f>_xll.RssMarket("6323.T", "最良売気配数量9")</f>
        <v>3700</v>
      </c>
      <c r="L6">
        <f>_xll.RssMarket("6323.T", "最良売気配値9")</f>
        <v>1961.5</v>
      </c>
      <c r="P6" t="s">
        <v>125</v>
      </c>
      <c r="Q6">
        <f>_xll.RssMarket("6323.T", "始値")</f>
        <v>1937</v>
      </c>
      <c r="T6" t="s">
        <v>133</v>
      </c>
      <c r="U6">
        <f>_xll.RssMarket("6323.T", "歩み1")</f>
        <v>1955.5</v>
      </c>
      <c r="V6" t="str">
        <f>_xll.RssMarket("6323.T", "歩み1詳細時刻")</f>
        <v>15:24:59</v>
      </c>
      <c r="X6" t="s">
        <v>141</v>
      </c>
      <c r="Y6">
        <f>_xll.RssMarket("6323.T", "逆日歩")</f>
        <v>0</v>
      </c>
    </row>
    <row r="7" spans="1:25">
      <c r="B7" t="s">
        <v>587</v>
      </c>
      <c r="C7" t="s">
        <v>170</v>
      </c>
      <c r="D7" t="s">
        <v>8</v>
      </c>
      <c r="E7" t="s">
        <v>8</v>
      </c>
      <c r="F7" t="s">
        <v>8</v>
      </c>
      <c r="G7" t="s">
        <v>8</v>
      </c>
      <c r="H7">
        <v>0</v>
      </c>
      <c r="J7">
        <f>_xll.RssMarket("6323.T", "最良売気配数量8")</f>
        <v>400</v>
      </c>
      <c r="L7">
        <f>_xll.RssMarket("6323.T", "最良売気配値8")</f>
        <v>1961</v>
      </c>
      <c r="P7" t="s">
        <v>120</v>
      </c>
      <c r="Q7">
        <f>_xll.RssMarket("6323.T", "前日終値")</f>
        <v>2064</v>
      </c>
      <c r="T7" t="s">
        <v>134</v>
      </c>
      <c r="U7">
        <f>_xll.RssMarket("6323.T", "歩み2")</f>
        <v>1955</v>
      </c>
      <c r="V7" t="str">
        <f>_xll.RssMarket("6323.T", "歩み2詳細時刻")</f>
        <v>15:24:57</v>
      </c>
      <c r="X7" t="s">
        <v>142</v>
      </c>
      <c r="Y7">
        <f>_xll.RssMarket("6323.T", "貸借倍率")</f>
        <v>11.9</v>
      </c>
    </row>
    <row r="8" spans="1:25">
      <c r="B8" t="s">
        <v>587</v>
      </c>
      <c r="C8" t="s">
        <v>171</v>
      </c>
      <c r="D8" t="s">
        <v>8</v>
      </c>
      <c r="E8" t="s">
        <v>8</v>
      </c>
      <c r="F8" t="s">
        <v>8</v>
      </c>
      <c r="G8" t="s">
        <v>8</v>
      </c>
      <c r="H8">
        <v>0</v>
      </c>
      <c r="J8">
        <f>_xll.RssMarket("6323.T", "最良売気配数量7")</f>
        <v>12200</v>
      </c>
      <c r="L8">
        <f>_xll.RssMarket("6323.T", "最良売気配値7")</f>
        <v>1960.5</v>
      </c>
      <c r="P8" t="s">
        <v>126</v>
      </c>
      <c r="Q8">
        <f>_xll.RssMarket("6323.T", "出来高加重平均")</f>
        <v>1928.6025</v>
      </c>
      <c r="T8" t="s">
        <v>135</v>
      </c>
      <c r="U8">
        <f>_xll.RssMarket("6323.T", "歩み3")</f>
        <v>1955.5</v>
      </c>
      <c r="V8" t="str">
        <f>_xll.RssMarket("6323.T", "歩み3詳細時刻")</f>
        <v>15:24:56</v>
      </c>
    </row>
    <row r="9" spans="1:25">
      <c r="B9" t="s">
        <v>587</v>
      </c>
      <c r="C9" t="s">
        <v>172</v>
      </c>
      <c r="D9">
        <v>1937</v>
      </c>
      <c r="E9">
        <v>1973</v>
      </c>
      <c r="F9">
        <v>1928</v>
      </c>
      <c r="G9">
        <v>1970</v>
      </c>
      <c r="H9">
        <v>226400</v>
      </c>
      <c r="J9">
        <f>_xll.RssMarket("6323.T", "最良売気配数量6")</f>
        <v>6000</v>
      </c>
      <c r="L9">
        <f>_xll.RssMarket("6323.T", "最良売気配値6")</f>
        <v>1960</v>
      </c>
      <c r="P9" t="s">
        <v>127</v>
      </c>
      <c r="Q9">
        <f>_xll.RssMarket("6323.T", "年初来高値")</f>
        <v>2164.5</v>
      </c>
      <c r="R9" t="str">
        <f>_xll.RssMarket("6323.T", "年初来高値日付")</f>
        <v>2025/06/30</v>
      </c>
      <c r="T9" t="s">
        <v>136</v>
      </c>
      <c r="U9">
        <f>_xll.RssMarket("6323.T", "歩み4")</f>
        <v>1954.5</v>
      </c>
      <c r="V9" t="str">
        <f>_xll.RssMarket("6323.T", "歩み4詳細時刻")</f>
        <v>15:24:52</v>
      </c>
    </row>
    <row r="10" spans="1:25">
      <c r="B10" t="s">
        <v>587</v>
      </c>
      <c r="C10" t="s">
        <v>173</v>
      </c>
      <c r="D10">
        <v>1969</v>
      </c>
      <c r="E10">
        <v>1971.5</v>
      </c>
      <c r="F10">
        <v>1943.5</v>
      </c>
      <c r="G10">
        <v>1949.5</v>
      </c>
      <c r="H10">
        <v>44800</v>
      </c>
      <c r="J10">
        <f>_xll.RssMarket("6323.T", "最良売気配数量5")</f>
        <v>1100</v>
      </c>
      <c r="L10">
        <f>_xll.RssMarket("6323.T", "最良売気配値5")</f>
        <v>1959.5</v>
      </c>
      <c r="P10" t="s">
        <v>128</v>
      </c>
      <c r="Q10">
        <f>_xll.RssMarket("6323.T", "年初来安値")</f>
        <v>966.2</v>
      </c>
      <c r="R10" t="str">
        <f>_xll.RssMarket("6323.T", "年初来安値日付")</f>
        <v>2025/04/07</v>
      </c>
    </row>
    <row r="11" spans="1:25">
      <c r="B11" t="s">
        <v>587</v>
      </c>
      <c r="C11" t="s">
        <v>174</v>
      </c>
      <c r="D11">
        <v>1949</v>
      </c>
      <c r="E11">
        <v>1956.5</v>
      </c>
      <c r="F11">
        <v>1931</v>
      </c>
      <c r="G11">
        <v>1933</v>
      </c>
      <c r="H11">
        <v>41000</v>
      </c>
      <c r="J11">
        <f>_xll.RssMarket("6323.T", "最良売気配数量4")</f>
        <v>200</v>
      </c>
      <c r="L11">
        <f>_xll.RssMarket("6323.T", "最良売気配値4")</f>
        <v>1959</v>
      </c>
      <c r="P11" t="s">
        <v>129</v>
      </c>
      <c r="Q11">
        <f>_xll.RssMarket("6323.T", "上場来高値")</f>
        <v>35300</v>
      </c>
      <c r="R11" t="str">
        <f>_xll.RssMarket("6323.T", "上場来高値日付")</f>
        <v>2024/07/09</v>
      </c>
    </row>
    <row r="12" spans="1:25">
      <c r="B12" t="s">
        <v>587</v>
      </c>
      <c r="C12" t="s">
        <v>175</v>
      </c>
      <c r="D12">
        <v>1933</v>
      </c>
      <c r="E12">
        <v>1933</v>
      </c>
      <c r="F12">
        <v>1910</v>
      </c>
      <c r="G12">
        <v>1916</v>
      </c>
      <c r="H12">
        <v>56500</v>
      </c>
      <c r="J12">
        <f>_xll.RssMarket("6323.T", "最良売気配数量3")</f>
        <v>100</v>
      </c>
      <c r="L12">
        <f>_xll.RssMarket("6323.T", "最良売気配値3")</f>
        <v>1958.5</v>
      </c>
      <c r="P12" t="s">
        <v>130</v>
      </c>
      <c r="Q12">
        <f>_xll.RssMarket("6323.T", "上場来安値")</f>
        <v>99</v>
      </c>
      <c r="R12" t="str">
        <f>_xll.RssMarket("6323.T", "上場来安値日付")</f>
        <v>2008/12/25</v>
      </c>
    </row>
    <row r="13" spans="1:25">
      <c r="B13" t="s">
        <v>587</v>
      </c>
      <c r="C13" t="s">
        <v>176</v>
      </c>
      <c r="D13">
        <v>1914</v>
      </c>
      <c r="E13">
        <v>1918</v>
      </c>
      <c r="F13">
        <v>1908</v>
      </c>
      <c r="G13">
        <v>1914.5</v>
      </c>
      <c r="H13">
        <v>39700</v>
      </c>
      <c r="J13">
        <f>_xll.RssMarket("6323.T", "最良売気配数量2")</f>
        <v>1200</v>
      </c>
      <c r="L13">
        <f>_xll.RssMarket("6323.T", "最良売気配値2")</f>
        <v>1958</v>
      </c>
    </row>
    <row r="14" spans="1:25">
      <c r="B14" t="s">
        <v>587</v>
      </c>
      <c r="C14" t="s">
        <v>177</v>
      </c>
      <c r="D14">
        <v>1914.5</v>
      </c>
      <c r="E14">
        <v>1920.5</v>
      </c>
      <c r="F14">
        <v>1911.5</v>
      </c>
      <c r="G14">
        <v>1915</v>
      </c>
      <c r="H14">
        <v>25600</v>
      </c>
      <c r="J14">
        <f>_xll.RssMarket("6323.T", "最良売気配数量1")</f>
        <v>3200</v>
      </c>
      <c r="K14" t="str">
        <f>_xll.RssMarket("6323.T", "特別売気配フラグ")</f>
        <v xml:space="preserve"> </v>
      </c>
      <c r="L14">
        <f>_xll.RssMarket("6323.T", "最良売気配値1")</f>
        <v>1957.5</v>
      </c>
    </row>
    <row r="15" spans="1:25">
      <c r="B15" t="s">
        <v>587</v>
      </c>
      <c r="C15" t="s">
        <v>178</v>
      </c>
      <c r="D15">
        <v>1913.5</v>
      </c>
      <c r="E15">
        <v>1913.5</v>
      </c>
      <c r="F15">
        <v>1904</v>
      </c>
      <c r="G15">
        <v>1909</v>
      </c>
      <c r="H15">
        <v>50600</v>
      </c>
      <c r="L15">
        <f>_xll.RssMarket("6323.T", "最良買気配値1")</f>
        <v>1957</v>
      </c>
      <c r="M15" t="str">
        <f>_xll.RssMarket("6323.T", "特別買気配フラグ")</f>
        <v xml:space="preserve"> </v>
      </c>
      <c r="N15">
        <f>_xll.RssMarket("6323.T", "最良買気配数量1")</f>
        <v>1100</v>
      </c>
    </row>
    <row r="16" spans="1:25">
      <c r="B16" t="s">
        <v>587</v>
      </c>
      <c r="C16" t="s">
        <v>179</v>
      </c>
      <c r="D16">
        <v>1907.5</v>
      </c>
      <c r="E16">
        <v>1913.5</v>
      </c>
      <c r="F16">
        <v>1906.5</v>
      </c>
      <c r="G16">
        <v>1910</v>
      </c>
      <c r="H16">
        <v>20000</v>
      </c>
      <c r="L16">
        <f>_xll.RssMarket("6323.T", "最良買気配値2")</f>
        <v>1955.5</v>
      </c>
      <c r="N16">
        <f>_xll.RssMarket("6323.T", "最良買気配数量2")</f>
        <v>100</v>
      </c>
    </row>
    <row r="17" spans="2:14">
      <c r="B17" t="s">
        <v>587</v>
      </c>
      <c r="C17" t="s">
        <v>180</v>
      </c>
      <c r="D17">
        <v>1909.5</v>
      </c>
      <c r="E17">
        <v>1913</v>
      </c>
      <c r="F17">
        <v>1904.5</v>
      </c>
      <c r="G17">
        <v>1909.5</v>
      </c>
      <c r="H17">
        <v>23800</v>
      </c>
      <c r="L17">
        <f>_xll.RssMarket("6323.T", "最良買気配値3")</f>
        <v>1955</v>
      </c>
      <c r="N17">
        <f>_xll.RssMarket("6323.T", "最良買気配数量3")</f>
        <v>200</v>
      </c>
    </row>
    <row r="18" spans="2:14">
      <c r="B18" t="s">
        <v>587</v>
      </c>
      <c r="C18" t="s">
        <v>181</v>
      </c>
      <c r="D18">
        <v>1908.5</v>
      </c>
      <c r="E18">
        <v>1908.5</v>
      </c>
      <c r="F18">
        <v>1896.5</v>
      </c>
      <c r="G18">
        <v>1902</v>
      </c>
      <c r="H18">
        <v>41500</v>
      </c>
      <c r="L18">
        <f>_xll.RssMarket("6323.T", "最良買気配値4")</f>
        <v>1953</v>
      </c>
      <c r="N18">
        <f>_xll.RssMarket("6323.T", "最良買気配数量4")</f>
        <v>300</v>
      </c>
    </row>
    <row r="19" spans="2:14">
      <c r="B19" t="s">
        <v>587</v>
      </c>
      <c r="C19" t="s">
        <v>182</v>
      </c>
      <c r="D19">
        <v>1901.5</v>
      </c>
      <c r="E19">
        <v>1901.5</v>
      </c>
      <c r="F19">
        <v>1896.5</v>
      </c>
      <c r="G19">
        <v>1898</v>
      </c>
      <c r="H19">
        <v>22200</v>
      </c>
      <c r="L19">
        <f>_xll.RssMarket("6323.T", "最良買気配値5")</f>
        <v>1952.5</v>
      </c>
      <c r="N19">
        <f>_xll.RssMarket("6323.T", "最良買気配数量5")</f>
        <v>6300</v>
      </c>
    </row>
    <row r="20" spans="2:14">
      <c r="B20" t="s">
        <v>587</v>
      </c>
      <c r="C20" t="s">
        <v>183</v>
      </c>
      <c r="D20">
        <v>1897</v>
      </c>
      <c r="E20">
        <v>1909.5</v>
      </c>
      <c r="F20">
        <v>1896.5</v>
      </c>
      <c r="G20">
        <v>1905.5</v>
      </c>
      <c r="H20">
        <v>21900</v>
      </c>
      <c r="L20">
        <f>_xll.RssMarket("6323.T", "最良買気配値6")</f>
        <v>1952</v>
      </c>
      <c r="N20">
        <f>_xll.RssMarket("6323.T", "最良買気配数量6")</f>
        <v>500</v>
      </c>
    </row>
    <row r="21" spans="2:14">
      <c r="B21" t="s">
        <v>587</v>
      </c>
      <c r="C21" t="s">
        <v>184</v>
      </c>
      <c r="D21">
        <v>1905.5</v>
      </c>
      <c r="E21">
        <v>1910.5</v>
      </c>
      <c r="F21">
        <v>1902.5</v>
      </c>
      <c r="G21">
        <v>1904.5</v>
      </c>
      <c r="H21">
        <v>14400</v>
      </c>
      <c r="L21">
        <f>_xll.RssMarket("6323.T", "最良買気配値7")</f>
        <v>1951.5</v>
      </c>
      <c r="N21">
        <f>_xll.RssMarket("6323.T", "最良買気配数量7")</f>
        <v>700</v>
      </c>
    </row>
    <row r="22" spans="2:14">
      <c r="B22" t="s">
        <v>587</v>
      </c>
      <c r="C22" t="s">
        <v>185</v>
      </c>
      <c r="D22">
        <v>1904.5</v>
      </c>
      <c r="E22">
        <v>1905</v>
      </c>
      <c r="F22">
        <v>1900</v>
      </c>
      <c r="G22">
        <v>1901.5</v>
      </c>
      <c r="H22">
        <v>13500</v>
      </c>
      <c r="L22">
        <f>_xll.RssMarket("6323.T", "最良買気配値8")</f>
        <v>1951</v>
      </c>
      <c r="N22">
        <f>_xll.RssMarket("6323.T", "最良買気配数量8")</f>
        <v>100</v>
      </c>
    </row>
    <row r="23" spans="2:14">
      <c r="B23" t="s">
        <v>587</v>
      </c>
      <c r="C23" t="s">
        <v>186</v>
      </c>
      <c r="D23">
        <v>1901</v>
      </c>
      <c r="E23">
        <v>1902</v>
      </c>
      <c r="F23">
        <v>1891.5</v>
      </c>
      <c r="G23">
        <v>1893</v>
      </c>
      <c r="H23">
        <v>40500</v>
      </c>
      <c r="L23">
        <f>_xll.RssMarket("6323.T", "最良買気配値9")</f>
        <v>1950</v>
      </c>
      <c r="N23">
        <f>_xll.RssMarket("6323.T", "最良買気配数量9")</f>
        <v>1400</v>
      </c>
    </row>
    <row r="24" spans="2:14">
      <c r="B24" t="s">
        <v>587</v>
      </c>
      <c r="C24" t="s">
        <v>187</v>
      </c>
      <c r="D24">
        <v>1893.5</v>
      </c>
      <c r="E24">
        <v>1899.5</v>
      </c>
      <c r="F24">
        <v>1893.5</v>
      </c>
      <c r="G24">
        <v>1898.5</v>
      </c>
      <c r="H24">
        <v>8800</v>
      </c>
      <c r="L24">
        <f>_xll.RssMarket("6323.T", "最良買気配値10")</f>
        <v>1949.5</v>
      </c>
      <c r="N24">
        <f>_xll.RssMarket("6323.T", "最良買気配数量10")</f>
        <v>100</v>
      </c>
    </row>
    <row r="25" spans="2:14">
      <c r="B25" t="s">
        <v>587</v>
      </c>
      <c r="C25" t="s">
        <v>188</v>
      </c>
      <c r="D25">
        <v>1898.5</v>
      </c>
      <c r="E25">
        <v>1898.5</v>
      </c>
      <c r="F25">
        <v>1888.5</v>
      </c>
      <c r="G25">
        <v>1890</v>
      </c>
      <c r="H25">
        <v>33500</v>
      </c>
      <c r="L25" t="s">
        <v>80</v>
      </c>
      <c r="N25">
        <f>_xll.RssMarket("6323.T", "UNDER気配数量")</f>
        <v>236800</v>
      </c>
    </row>
    <row r="26" spans="2:14">
      <c r="B26" t="s">
        <v>587</v>
      </c>
      <c r="C26" t="s">
        <v>189</v>
      </c>
      <c r="D26">
        <v>1889.5</v>
      </c>
      <c r="E26">
        <v>1889.5</v>
      </c>
      <c r="F26">
        <v>1884</v>
      </c>
      <c r="G26">
        <v>1885</v>
      </c>
      <c r="H26">
        <v>20400</v>
      </c>
    </row>
    <row r="27" spans="2:14">
      <c r="B27" t="s">
        <v>587</v>
      </c>
      <c r="C27" t="s">
        <v>190</v>
      </c>
      <c r="D27">
        <v>1885.5</v>
      </c>
      <c r="E27">
        <v>1887</v>
      </c>
      <c r="F27">
        <v>1881.5</v>
      </c>
      <c r="G27">
        <v>1886</v>
      </c>
      <c r="H27">
        <v>14200</v>
      </c>
    </row>
    <row r="28" spans="2:14">
      <c r="B28" t="s">
        <v>587</v>
      </c>
      <c r="C28" t="s">
        <v>191</v>
      </c>
      <c r="D28">
        <v>1885.5</v>
      </c>
      <c r="E28">
        <v>1886</v>
      </c>
      <c r="F28">
        <v>1882</v>
      </c>
      <c r="G28">
        <v>1883.5</v>
      </c>
      <c r="H28">
        <v>7800</v>
      </c>
    </row>
    <row r="29" spans="2:14">
      <c r="B29" t="s">
        <v>587</v>
      </c>
      <c r="C29" t="s">
        <v>192</v>
      </c>
      <c r="D29">
        <v>1883</v>
      </c>
      <c r="E29">
        <v>1883</v>
      </c>
      <c r="F29">
        <v>1875</v>
      </c>
      <c r="G29">
        <v>1875</v>
      </c>
      <c r="H29">
        <v>40100</v>
      </c>
    </row>
    <row r="30" spans="2:14">
      <c r="B30" t="s">
        <v>587</v>
      </c>
      <c r="C30" t="s">
        <v>193</v>
      </c>
      <c r="D30">
        <v>1875</v>
      </c>
      <c r="E30">
        <v>1880.5</v>
      </c>
      <c r="F30">
        <v>1870</v>
      </c>
      <c r="G30">
        <v>1879</v>
      </c>
      <c r="H30">
        <v>23200</v>
      </c>
    </row>
    <row r="31" spans="2:14">
      <c r="B31" t="s">
        <v>587</v>
      </c>
      <c r="C31" t="s">
        <v>194</v>
      </c>
      <c r="D31">
        <v>1880</v>
      </c>
      <c r="E31">
        <v>1886.5</v>
      </c>
      <c r="F31">
        <v>1877</v>
      </c>
      <c r="G31">
        <v>1879.5</v>
      </c>
      <c r="H31">
        <v>26400</v>
      </c>
    </row>
    <row r="32" spans="2:14">
      <c r="B32" t="s">
        <v>587</v>
      </c>
      <c r="C32" t="s">
        <v>195</v>
      </c>
      <c r="D32">
        <v>1880</v>
      </c>
      <c r="E32">
        <v>1884.5</v>
      </c>
      <c r="F32">
        <v>1878</v>
      </c>
      <c r="G32">
        <v>1880</v>
      </c>
      <c r="H32">
        <v>11400</v>
      </c>
    </row>
    <row r="33" spans="2:8">
      <c r="B33" t="s">
        <v>587</v>
      </c>
      <c r="C33" t="s">
        <v>196</v>
      </c>
      <c r="D33">
        <v>1879.5</v>
      </c>
      <c r="E33">
        <v>1886.5</v>
      </c>
      <c r="F33">
        <v>1878.5</v>
      </c>
      <c r="G33">
        <v>1886</v>
      </c>
      <c r="H33">
        <v>11600</v>
      </c>
    </row>
    <row r="34" spans="2:8">
      <c r="B34" t="s">
        <v>587</v>
      </c>
      <c r="C34" t="s">
        <v>197</v>
      </c>
      <c r="D34">
        <v>1886</v>
      </c>
      <c r="E34">
        <v>1892</v>
      </c>
      <c r="F34">
        <v>1884.5</v>
      </c>
      <c r="G34">
        <v>1890.5</v>
      </c>
      <c r="H34">
        <v>13900</v>
      </c>
    </row>
    <row r="35" spans="2:8">
      <c r="B35" t="s">
        <v>587</v>
      </c>
      <c r="C35" t="s">
        <v>198</v>
      </c>
      <c r="D35">
        <v>1890</v>
      </c>
      <c r="E35">
        <v>1896.5</v>
      </c>
      <c r="F35">
        <v>1890</v>
      </c>
      <c r="G35">
        <v>1895</v>
      </c>
      <c r="H35">
        <v>17300</v>
      </c>
    </row>
    <row r="36" spans="2:8">
      <c r="B36" t="s">
        <v>587</v>
      </c>
      <c r="C36" t="s">
        <v>199</v>
      </c>
      <c r="D36">
        <v>1895.5</v>
      </c>
      <c r="E36">
        <v>1896</v>
      </c>
      <c r="F36">
        <v>1890.5</v>
      </c>
      <c r="G36">
        <v>1893</v>
      </c>
      <c r="H36">
        <v>17800</v>
      </c>
    </row>
    <row r="37" spans="2:8">
      <c r="B37" t="s">
        <v>587</v>
      </c>
      <c r="C37" t="s">
        <v>200</v>
      </c>
      <c r="D37">
        <v>1893.5</v>
      </c>
      <c r="E37">
        <v>1902</v>
      </c>
      <c r="F37">
        <v>1893.5</v>
      </c>
      <c r="G37">
        <v>1897.5</v>
      </c>
      <c r="H37">
        <v>17000</v>
      </c>
    </row>
    <row r="38" spans="2:8">
      <c r="B38" t="s">
        <v>587</v>
      </c>
      <c r="C38" t="s">
        <v>201</v>
      </c>
      <c r="D38">
        <v>1898</v>
      </c>
      <c r="E38">
        <v>1905</v>
      </c>
      <c r="F38">
        <v>1898</v>
      </c>
      <c r="G38">
        <v>1905</v>
      </c>
      <c r="H38">
        <v>21600</v>
      </c>
    </row>
    <row r="39" spans="2:8">
      <c r="B39" t="s">
        <v>587</v>
      </c>
      <c r="C39" t="s">
        <v>202</v>
      </c>
      <c r="D39">
        <v>1905</v>
      </c>
      <c r="E39">
        <v>1906</v>
      </c>
      <c r="F39">
        <v>1903</v>
      </c>
      <c r="G39">
        <v>1903.5</v>
      </c>
      <c r="H39">
        <v>8200</v>
      </c>
    </row>
    <row r="40" spans="2:8">
      <c r="B40" t="s">
        <v>587</v>
      </c>
      <c r="C40" t="s">
        <v>203</v>
      </c>
      <c r="D40">
        <v>1905.5</v>
      </c>
      <c r="E40">
        <v>1910.5</v>
      </c>
      <c r="F40">
        <v>1900</v>
      </c>
      <c r="G40">
        <v>1910.5</v>
      </c>
      <c r="H40">
        <v>20300</v>
      </c>
    </row>
    <row r="41" spans="2:8">
      <c r="B41" t="s">
        <v>587</v>
      </c>
      <c r="C41" t="s">
        <v>204</v>
      </c>
      <c r="D41">
        <v>1910.5</v>
      </c>
      <c r="E41">
        <v>1913.5</v>
      </c>
      <c r="F41">
        <v>1910</v>
      </c>
      <c r="G41">
        <v>1911.5</v>
      </c>
      <c r="H41">
        <v>8800</v>
      </c>
    </row>
    <row r="42" spans="2:8">
      <c r="B42" t="s">
        <v>587</v>
      </c>
      <c r="C42" t="s">
        <v>205</v>
      </c>
      <c r="D42">
        <v>1910.5</v>
      </c>
      <c r="E42">
        <v>1912</v>
      </c>
      <c r="F42">
        <v>1906</v>
      </c>
      <c r="G42">
        <v>1910.5</v>
      </c>
      <c r="H42">
        <v>11100</v>
      </c>
    </row>
    <row r="43" spans="2:8">
      <c r="B43" t="s">
        <v>587</v>
      </c>
      <c r="C43" t="s">
        <v>206</v>
      </c>
      <c r="D43">
        <v>1910.5</v>
      </c>
      <c r="E43">
        <v>1911.5</v>
      </c>
      <c r="F43">
        <v>1905.5</v>
      </c>
      <c r="G43">
        <v>1908.5</v>
      </c>
      <c r="H43">
        <v>12300</v>
      </c>
    </row>
    <row r="44" spans="2:8">
      <c r="B44" t="s">
        <v>587</v>
      </c>
      <c r="C44" t="s">
        <v>207</v>
      </c>
      <c r="D44">
        <v>1908.5</v>
      </c>
      <c r="E44">
        <v>1911</v>
      </c>
      <c r="F44">
        <v>1906.5</v>
      </c>
      <c r="G44">
        <v>1907</v>
      </c>
      <c r="H44">
        <v>7200</v>
      </c>
    </row>
    <row r="45" spans="2:8">
      <c r="B45" t="s">
        <v>587</v>
      </c>
      <c r="C45" t="s">
        <v>208</v>
      </c>
      <c r="D45">
        <v>1907.5</v>
      </c>
      <c r="E45">
        <v>1908.5</v>
      </c>
      <c r="F45">
        <v>1903.5</v>
      </c>
      <c r="G45">
        <v>1906</v>
      </c>
      <c r="H45">
        <v>13500</v>
      </c>
    </row>
    <row r="46" spans="2:8">
      <c r="B46" t="s">
        <v>587</v>
      </c>
      <c r="C46" t="s">
        <v>209</v>
      </c>
      <c r="D46">
        <v>1906.5</v>
      </c>
      <c r="E46">
        <v>1910</v>
      </c>
      <c r="F46">
        <v>1904.5</v>
      </c>
      <c r="G46">
        <v>1907</v>
      </c>
      <c r="H46">
        <v>9200</v>
      </c>
    </row>
    <row r="47" spans="2:8">
      <c r="B47" t="s">
        <v>587</v>
      </c>
      <c r="C47" t="s">
        <v>210</v>
      </c>
      <c r="D47">
        <v>1906</v>
      </c>
      <c r="E47">
        <v>1906</v>
      </c>
      <c r="F47">
        <v>1901.5</v>
      </c>
      <c r="G47">
        <v>1901.5</v>
      </c>
      <c r="H47">
        <v>6200</v>
      </c>
    </row>
    <row r="48" spans="2:8">
      <c r="B48" t="s">
        <v>587</v>
      </c>
      <c r="C48" t="s">
        <v>211</v>
      </c>
      <c r="D48">
        <v>1901.5</v>
      </c>
      <c r="E48">
        <v>1901.5</v>
      </c>
      <c r="F48">
        <v>1898.5</v>
      </c>
      <c r="G48">
        <v>1898.5</v>
      </c>
      <c r="H48">
        <v>12900</v>
      </c>
    </row>
    <row r="49" spans="2:8">
      <c r="B49" t="s">
        <v>587</v>
      </c>
      <c r="C49" t="s">
        <v>212</v>
      </c>
      <c r="D49">
        <v>1898</v>
      </c>
      <c r="E49">
        <v>1898</v>
      </c>
      <c r="F49">
        <v>1893</v>
      </c>
      <c r="G49">
        <v>1894</v>
      </c>
      <c r="H49">
        <v>17700</v>
      </c>
    </row>
    <row r="50" spans="2:8">
      <c r="B50" t="s">
        <v>587</v>
      </c>
      <c r="C50" t="s">
        <v>213</v>
      </c>
      <c r="D50">
        <v>1893.5</v>
      </c>
      <c r="E50">
        <v>1893.5</v>
      </c>
      <c r="F50">
        <v>1888.5</v>
      </c>
      <c r="G50">
        <v>1891</v>
      </c>
      <c r="H50">
        <v>22400</v>
      </c>
    </row>
    <row r="51" spans="2:8">
      <c r="B51" t="s">
        <v>587</v>
      </c>
      <c r="C51" t="s">
        <v>214</v>
      </c>
      <c r="D51">
        <v>1891</v>
      </c>
      <c r="E51">
        <v>1894.5</v>
      </c>
      <c r="F51">
        <v>1890.5</v>
      </c>
      <c r="G51">
        <v>1893.5</v>
      </c>
      <c r="H51">
        <v>7600</v>
      </c>
    </row>
    <row r="52" spans="2:8">
      <c r="B52" t="s">
        <v>587</v>
      </c>
      <c r="C52" t="s">
        <v>215</v>
      </c>
      <c r="D52">
        <v>1892.5</v>
      </c>
      <c r="E52">
        <v>1893</v>
      </c>
      <c r="F52">
        <v>1888.5</v>
      </c>
      <c r="G52">
        <v>1891</v>
      </c>
      <c r="H52">
        <v>16900</v>
      </c>
    </row>
    <row r="53" spans="2:8">
      <c r="B53" t="s">
        <v>587</v>
      </c>
      <c r="C53" t="s">
        <v>216</v>
      </c>
      <c r="D53">
        <v>1891.5</v>
      </c>
      <c r="E53">
        <v>1905.5</v>
      </c>
      <c r="F53">
        <v>1890</v>
      </c>
      <c r="G53">
        <v>1904.5</v>
      </c>
      <c r="H53">
        <v>20000</v>
      </c>
    </row>
    <row r="54" spans="2:8">
      <c r="B54" t="s">
        <v>587</v>
      </c>
      <c r="C54" t="s">
        <v>217</v>
      </c>
      <c r="D54">
        <v>1905</v>
      </c>
      <c r="E54">
        <v>1907</v>
      </c>
      <c r="F54">
        <v>1901.5</v>
      </c>
      <c r="G54">
        <v>1905.5</v>
      </c>
      <c r="H54">
        <v>10600</v>
      </c>
    </row>
    <row r="55" spans="2:8">
      <c r="B55" t="s">
        <v>587</v>
      </c>
      <c r="C55" t="s">
        <v>218</v>
      </c>
      <c r="D55">
        <v>1904.5</v>
      </c>
      <c r="E55">
        <v>1904.5</v>
      </c>
      <c r="F55">
        <v>1900</v>
      </c>
      <c r="G55">
        <v>1900.5</v>
      </c>
      <c r="H55">
        <v>6100</v>
      </c>
    </row>
    <row r="56" spans="2:8">
      <c r="B56" t="s">
        <v>587</v>
      </c>
      <c r="C56" t="s">
        <v>219</v>
      </c>
      <c r="D56">
        <v>1901</v>
      </c>
      <c r="E56">
        <v>1902.5</v>
      </c>
      <c r="F56">
        <v>1900</v>
      </c>
      <c r="G56">
        <v>1901.5</v>
      </c>
      <c r="H56">
        <v>1700</v>
      </c>
    </row>
    <row r="57" spans="2:8">
      <c r="B57" t="s">
        <v>587</v>
      </c>
      <c r="C57" t="s">
        <v>220</v>
      </c>
      <c r="D57">
        <v>1901</v>
      </c>
      <c r="E57">
        <v>1908</v>
      </c>
      <c r="F57">
        <v>1901</v>
      </c>
      <c r="G57">
        <v>1908</v>
      </c>
      <c r="H57">
        <v>9200</v>
      </c>
    </row>
    <row r="58" spans="2:8">
      <c r="B58" t="s">
        <v>587</v>
      </c>
      <c r="C58" t="s">
        <v>221</v>
      </c>
      <c r="D58">
        <v>1908</v>
      </c>
      <c r="E58">
        <v>1910</v>
      </c>
      <c r="F58">
        <v>1906.5</v>
      </c>
      <c r="G58">
        <v>1908.5</v>
      </c>
      <c r="H58">
        <v>6700</v>
      </c>
    </row>
    <row r="59" spans="2:8">
      <c r="B59" t="s">
        <v>587</v>
      </c>
      <c r="C59" t="s">
        <v>222</v>
      </c>
      <c r="D59">
        <v>1907.5</v>
      </c>
      <c r="E59">
        <v>1916.5</v>
      </c>
      <c r="F59">
        <v>1907.5</v>
      </c>
      <c r="G59">
        <v>1916.5</v>
      </c>
      <c r="H59">
        <v>20500</v>
      </c>
    </row>
    <row r="60" spans="2:8">
      <c r="B60" t="s">
        <v>587</v>
      </c>
      <c r="C60" t="s">
        <v>223</v>
      </c>
      <c r="D60">
        <v>1916</v>
      </c>
      <c r="E60">
        <v>1916.5</v>
      </c>
      <c r="F60">
        <v>1913.5</v>
      </c>
      <c r="G60">
        <v>1913.5</v>
      </c>
      <c r="H60">
        <v>6900</v>
      </c>
    </row>
    <row r="61" spans="2:8">
      <c r="B61" t="s">
        <v>587</v>
      </c>
      <c r="C61" t="s">
        <v>224</v>
      </c>
      <c r="D61">
        <v>1913</v>
      </c>
      <c r="E61">
        <v>1916.5</v>
      </c>
      <c r="F61">
        <v>1913</v>
      </c>
      <c r="G61">
        <v>1914.5</v>
      </c>
      <c r="H61">
        <v>5300</v>
      </c>
    </row>
    <row r="62" spans="2:8">
      <c r="B62" t="s">
        <v>587</v>
      </c>
      <c r="C62" t="s">
        <v>225</v>
      </c>
      <c r="D62">
        <v>1915</v>
      </c>
      <c r="E62">
        <v>1916.5</v>
      </c>
      <c r="F62">
        <v>1912.5</v>
      </c>
      <c r="G62">
        <v>1914</v>
      </c>
      <c r="H62">
        <v>16800</v>
      </c>
    </row>
    <row r="63" spans="2:8">
      <c r="B63" t="s">
        <v>587</v>
      </c>
      <c r="C63" t="s">
        <v>226</v>
      </c>
      <c r="D63">
        <v>1914</v>
      </c>
      <c r="E63">
        <v>1916.5</v>
      </c>
      <c r="F63">
        <v>1913</v>
      </c>
      <c r="G63">
        <v>1913</v>
      </c>
      <c r="H63">
        <v>7000</v>
      </c>
    </row>
    <row r="64" spans="2:8">
      <c r="B64" t="s">
        <v>587</v>
      </c>
      <c r="C64" t="s">
        <v>227</v>
      </c>
      <c r="D64">
        <v>1913</v>
      </c>
      <c r="E64">
        <v>1915.5</v>
      </c>
      <c r="F64">
        <v>1912</v>
      </c>
      <c r="G64">
        <v>1913</v>
      </c>
      <c r="H64">
        <v>4500</v>
      </c>
    </row>
    <row r="65" spans="2:8">
      <c r="B65" t="s">
        <v>587</v>
      </c>
      <c r="C65" t="s">
        <v>228</v>
      </c>
      <c r="D65">
        <v>1913.5</v>
      </c>
      <c r="E65">
        <v>1914</v>
      </c>
      <c r="F65">
        <v>1909.5</v>
      </c>
      <c r="G65">
        <v>1910</v>
      </c>
      <c r="H65">
        <v>11400</v>
      </c>
    </row>
    <row r="66" spans="2:8">
      <c r="B66" t="s">
        <v>587</v>
      </c>
      <c r="C66" t="s">
        <v>229</v>
      </c>
      <c r="D66">
        <v>1909</v>
      </c>
      <c r="E66">
        <v>1913.5</v>
      </c>
      <c r="F66">
        <v>1908</v>
      </c>
      <c r="G66">
        <v>1913</v>
      </c>
      <c r="H66">
        <v>7100</v>
      </c>
    </row>
    <row r="67" spans="2:8">
      <c r="B67" t="s">
        <v>587</v>
      </c>
      <c r="C67" t="s">
        <v>230</v>
      </c>
      <c r="D67">
        <v>1912.5</v>
      </c>
      <c r="E67">
        <v>1912.5</v>
      </c>
      <c r="F67">
        <v>1905.5</v>
      </c>
      <c r="G67">
        <v>1908</v>
      </c>
      <c r="H67">
        <v>10800</v>
      </c>
    </row>
    <row r="68" spans="2:8">
      <c r="B68" t="s">
        <v>587</v>
      </c>
      <c r="C68" t="s">
        <v>231</v>
      </c>
      <c r="D68">
        <v>1907.5</v>
      </c>
      <c r="E68">
        <v>1907.5</v>
      </c>
      <c r="F68">
        <v>1901.5</v>
      </c>
      <c r="G68">
        <v>1904.5</v>
      </c>
      <c r="H68">
        <v>7000</v>
      </c>
    </row>
    <row r="69" spans="2:8">
      <c r="B69" t="s">
        <v>587</v>
      </c>
      <c r="C69" t="s">
        <v>232</v>
      </c>
      <c r="D69">
        <v>1904</v>
      </c>
      <c r="E69">
        <v>1906.5</v>
      </c>
      <c r="F69">
        <v>1901</v>
      </c>
      <c r="G69">
        <v>1906.5</v>
      </c>
      <c r="H69">
        <v>8300</v>
      </c>
    </row>
    <row r="70" spans="2:8">
      <c r="B70" t="s">
        <v>587</v>
      </c>
      <c r="C70" t="s">
        <v>233</v>
      </c>
      <c r="D70">
        <v>1905.5</v>
      </c>
      <c r="E70">
        <v>1905.5</v>
      </c>
      <c r="F70">
        <v>1904.5</v>
      </c>
      <c r="G70">
        <v>1905.5</v>
      </c>
      <c r="H70">
        <v>2600</v>
      </c>
    </row>
    <row r="71" spans="2:8">
      <c r="B71" t="s">
        <v>587</v>
      </c>
      <c r="C71" t="s">
        <v>234</v>
      </c>
      <c r="D71">
        <v>1906</v>
      </c>
      <c r="E71">
        <v>1907.5</v>
      </c>
      <c r="F71">
        <v>1906</v>
      </c>
      <c r="G71">
        <v>1906</v>
      </c>
      <c r="H71">
        <v>3400</v>
      </c>
    </row>
    <row r="72" spans="2:8">
      <c r="B72" t="s">
        <v>587</v>
      </c>
      <c r="C72" t="s">
        <v>235</v>
      </c>
      <c r="D72">
        <v>1906</v>
      </c>
      <c r="E72">
        <v>1908</v>
      </c>
      <c r="F72">
        <v>1905.5</v>
      </c>
      <c r="G72">
        <v>1908</v>
      </c>
      <c r="H72">
        <v>4600</v>
      </c>
    </row>
    <row r="73" spans="2:8">
      <c r="B73" t="s">
        <v>587</v>
      </c>
      <c r="C73" t="s">
        <v>236</v>
      </c>
      <c r="D73">
        <v>1907.5</v>
      </c>
      <c r="E73">
        <v>1908</v>
      </c>
      <c r="F73">
        <v>1905</v>
      </c>
      <c r="G73">
        <v>1905</v>
      </c>
      <c r="H73">
        <v>10900</v>
      </c>
    </row>
    <row r="74" spans="2:8">
      <c r="B74" t="s">
        <v>587</v>
      </c>
      <c r="C74" t="s">
        <v>237</v>
      </c>
      <c r="D74">
        <v>1905.5</v>
      </c>
      <c r="E74">
        <v>1907</v>
      </c>
      <c r="F74">
        <v>1904</v>
      </c>
      <c r="G74">
        <v>1905.5</v>
      </c>
      <c r="H74">
        <v>2400</v>
      </c>
    </row>
    <row r="75" spans="2:8">
      <c r="B75" t="s">
        <v>587</v>
      </c>
      <c r="C75" t="s">
        <v>238</v>
      </c>
      <c r="D75">
        <v>1905.5</v>
      </c>
      <c r="E75">
        <v>1907</v>
      </c>
      <c r="F75">
        <v>1904</v>
      </c>
      <c r="G75">
        <v>1904.5</v>
      </c>
      <c r="H75">
        <v>5200</v>
      </c>
    </row>
    <row r="76" spans="2:8">
      <c r="B76" t="s">
        <v>587</v>
      </c>
      <c r="C76" t="s">
        <v>239</v>
      </c>
      <c r="D76">
        <v>1905</v>
      </c>
      <c r="E76">
        <v>1906.5</v>
      </c>
      <c r="F76">
        <v>1903.5</v>
      </c>
      <c r="G76">
        <v>1906.5</v>
      </c>
      <c r="H76">
        <v>4700</v>
      </c>
    </row>
    <row r="77" spans="2:8">
      <c r="B77" t="s">
        <v>587</v>
      </c>
      <c r="C77" t="s">
        <v>240</v>
      </c>
      <c r="D77">
        <v>1907</v>
      </c>
      <c r="E77">
        <v>1912</v>
      </c>
      <c r="F77">
        <v>1906.5</v>
      </c>
      <c r="G77">
        <v>1911.5</v>
      </c>
      <c r="H77">
        <v>6100</v>
      </c>
    </row>
    <row r="78" spans="2:8">
      <c r="B78" t="s">
        <v>587</v>
      </c>
      <c r="C78" t="s">
        <v>241</v>
      </c>
      <c r="D78">
        <v>1912.5</v>
      </c>
      <c r="E78">
        <v>1916</v>
      </c>
      <c r="F78">
        <v>1910</v>
      </c>
      <c r="G78">
        <v>1916</v>
      </c>
      <c r="H78">
        <v>13000</v>
      </c>
    </row>
    <row r="79" spans="2:8">
      <c r="B79" t="s">
        <v>587</v>
      </c>
      <c r="C79" t="s">
        <v>242</v>
      </c>
      <c r="D79">
        <v>1915</v>
      </c>
      <c r="E79">
        <v>1917.5</v>
      </c>
      <c r="F79">
        <v>1912</v>
      </c>
      <c r="G79">
        <v>1913.5</v>
      </c>
      <c r="H79">
        <v>12700</v>
      </c>
    </row>
    <row r="80" spans="2:8">
      <c r="B80" t="s">
        <v>587</v>
      </c>
      <c r="C80" t="s">
        <v>243</v>
      </c>
      <c r="D80">
        <v>1913.5</v>
      </c>
      <c r="E80">
        <v>1915.5</v>
      </c>
      <c r="F80">
        <v>1911.5</v>
      </c>
      <c r="G80">
        <v>1914.5</v>
      </c>
      <c r="H80">
        <v>8400</v>
      </c>
    </row>
    <row r="81" spans="2:8">
      <c r="B81" t="s">
        <v>587</v>
      </c>
      <c r="C81" t="s">
        <v>244</v>
      </c>
      <c r="D81">
        <v>1915</v>
      </c>
      <c r="E81">
        <v>1915</v>
      </c>
      <c r="F81">
        <v>1911</v>
      </c>
      <c r="G81">
        <v>1911.5</v>
      </c>
      <c r="H81">
        <v>4200</v>
      </c>
    </row>
    <row r="82" spans="2:8">
      <c r="B82" t="s">
        <v>587</v>
      </c>
      <c r="C82" t="s">
        <v>245</v>
      </c>
      <c r="D82">
        <v>1912.5</v>
      </c>
      <c r="E82">
        <v>1913.5</v>
      </c>
      <c r="F82">
        <v>1908</v>
      </c>
      <c r="G82">
        <v>1908</v>
      </c>
      <c r="H82">
        <v>7100</v>
      </c>
    </row>
    <row r="83" spans="2:8">
      <c r="B83" t="s">
        <v>587</v>
      </c>
      <c r="C83" t="s">
        <v>246</v>
      </c>
      <c r="D83">
        <v>1908</v>
      </c>
      <c r="E83">
        <v>1910.5</v>
      </c>
      <c r="F83">
        <v>1907.5</v>
      </c>
      <c r="G83">
        <v>1909</v>
      </c>
      <c r="H83">
        <v>4100</v>
      </c>
    </row>
    <row r="84" spans="2:8">
      <c r="B84" t="s">
        <v>587</v>
      </c>
      <c r="C84" t="s">
        <v>247</v>
      </c>
      <c r="D84">
        <v>1909.5</v>
      </c>
      <c r="E84">
        <v>1914</v>
      </c>
      <c r="F84">
        <v>1909.5</v>
      </c>
      <c r="G84">
        <v>1914</v>
      </c>
      <c r="H84">
        <v>3900</v>
      </c>
    </row>
    <row r="85" spans="2:8">
      <c r="B85" t="s">
        <v>587</v>
      </c>
      <c r="C85" t="s">
        <v>248</v>
      </c>
      <c r="D85">
        <v>1913</v>
      </c>
      <c r="E85">
        <v>1913</v>
      </c>
      <c r="F85">
        <v>1909.5</v>
      </c>
      <c r="G85">
        <v>1909.5</v>
      </c>
      <c r="H85">
        <v>4500</v>
      </c>
    </row>
    <row r="86" spans="2:8">
      <c r="B86" t="s">
        <v>587</v>
      </c>
      <c r="C86" t="s">
        <v>249</v>
      </c>
      <c r="D86">
        <v>1910.5</v>
      </c>
      <c r="E86">
        <v>1913.5</v>
      </c>
      <c r="F86">
        <v>1910.5</v>
      </c>
      <c r="G86">
        <v>1911.5</v>
      </c>
      <c r="H86">
        <v>6100</v>
      </c>
    </row>
    <row r="87" spans="2:8">
      <c r="B87" t="s">
        <v>587</v>
      </c>
      <c r="C87" t="s">
        <v>250</v>
      </c>
      <c r="D87">
        <v>1911.5</v>
      </c>
      <c r="E87">
        <v>1913</v>
      </c>
      <c r="F87">
        <v>1910</v>
      </c>
      <c r="G87">
        <v>1912</v>
      </c>
      <c r="H87">
        <v>5900</v>
      </c>
    </row>
    <row r="88" spans="2:8">
      <c r="B88" t="s">
        <v>587</v>
      </c>
      <c r="C88" t="s">
        <v>251</v>
      </c>
      <c r="D88">
        <v>1911.5</v>
      </c>
      <c r="E88">
        <v>1914</v>
      </c>
      <c r="F88">
        <v>1909</v>
      </c>
      <c r="G88">
        <v>1913.5</v>
      </c>
      <c r="H88">
        <v>4100</v>
      </c>
    </row>
    <row r="89" spans="2:8">
      <c r="B89" t="s">
        <v>587</v>
      </c>
      <c r="C89" t="s">
        <v>252</v>
      </c>
      <c r="D89">
        <v>1914</v>
      </c>
      <c r="E89">
        <v>1914</v>
      </c>
      <c r="F89">
        <v>1910</v>
      </c>
      <c r="G89">
        <v>1910.5</v>
      </c>
      <c r="H89">
        <v>4900</v>
      </c>
    </row>
    <row r="90" spans="2:8">
      <c r="B90" t="s">
        <v>587</v>
      </c>
      <c r="C90" t="s">
        <v>253</v>
      </c>
      <c r="D90">
        <v>1910.5</v>
      </c>
      <c r="E90">
        <v>1917.5</v>
      </c>
      <c r="F90">
        <v>1909.5</v>
      </c>
      <c r="G90">
        <v>1916.5</v>
      </c>
      <c r="H90">
        <v>7300</v>
      </c>
    </row>
    <row r="91" spans="2:8">
      <c r="B91" t="s">
        <v>587</v>
      </c>
      <c r="C91" t="s">
        <v>254</v>
      </c>
      <c r="D91">
        <v>1917.5</v>
      </c>
      <c r="E91">
        <v>1918</v>
      </c>
      <c r="F91">
        <v>1915.5</v>
      </c>
      <c r="G91">
        <v>1915.5</v>
      </c>
      <c r="H91">
        <v>7400</v>
      </c>
    </row>
    <row r="92" spans="2:8">
      <c r="B92" t="s">
        <v>587</v>
      </c>
      <c r="C92" t="s">
        <v>255</v>
      </c>
      <c r="D92">
        <v>1916.5</v>
      </c>
      <c r="E92">
        <v>1922</v>
      </c>
      <c r="F92">
        <v>1916.5</v>
      </c>
      <c r="G92">
        <v>1921</v>
      </c>
      <c r="H92">
        <v>13700</v>
      </c>
    </row>
    <row r="93" spans="2:8">
      <c r="B93" t="s">
        <v>587</v>
      </c>
      <c r="C93" t="s">
        <v>256</v>
      </c>
      <c r="D93">
        <v>1921.5</v>
      </c>
      <c r="E93">
        <v>1924</v>
      </c>
      <c r="F93">
        <v>1920.5</v>
      </c>
      <c r="G93">
        <v>1920.5</v>
      </c>
      <c r="H93">
        <v>6400</v>
      </c>
    </row>
    <row r="94" spans="2:8">
      <c r="B94" t="s">
        <v>587</v>
      </c>
      <c r="C94" t="s">
        <v>257</v>
      </c>
      <c r="D94">
        <v>1920.5</v>
      </c>
      <c r="E94">
        <v>1923</v>
      </c>
      <c r="F94">
        <v>1920</v>
      </c>
      <c r="G94">
        <v>1922.5</v>
      </c>
      <c r="H94">
        <v>4900</v>
      </c>
    </row>
    <row r="95" spans="2:8">
      <c r="B95" t="s">
        <v>587</v>
      </c>
      <c r="C95" t="s">
        <v>258</v>
      </c>
      <c r="D95">
        <v>1923.5</v>
      </c>
      <c r="E95">
        <v>1927.5</v>
      </c>
      <c r="F95">
        <v>1923.5</v>
      </c>
      <c r="G95">
        <v>1925</v>
      </c>
      <c r="H95">
        <v>7700</v>
      </c>
    </row>
    <row r="96" spans="2:8">
      <c r="B96" t="s">
        <v>587</v>
      </c>
      <c r="C96" t="s">
        <v>259</v>
      </c>
      <c r="D96">
        <v>1926</v>
      </c>
      <c r="E96">
        <v>1927.5</v>
      </c>
      <c r="F96">
        <v>1924.5</v>
      </c>
      <c r="G96">
        <v>1926</v>
      </c>
      <c r="H96">
        <v>8900</v>
      </c>
    </row>
    <row r="97" spans="2:8">
      <c r="B97" t="s">
        <v>587</v>
      </c>
      <c r="C97" t="s">
        <v>260</v>
      </c>
      <c r="D97">
        <v>1926.5</v>
      </c>
      <c r="E97">
        <v>1927.5</v>
      </c>
      <c r="F97">
        <v>1923.5</v>
      </c>
      <c r="G97">
        <v>1925.5</v>
      </c>
      <c r="H97">
        <v>8500</v>
      </c>
    </row>
    <row r="98" spans="2:8">
      <c r="B98" t="s">
        <v>587</v>
      </c>
      <c r="C98" t="s">
        <v>261</v>
      </c>
      <c r="D98">
        <v>1924.5</v>
      </c>
      <c r="E98">
        <v>1925.5</v>
      </c>
      <c r="F98">
        <v>1921</v>
      </c>
      <c r="G98">
        <v>1921</v>
      </c>
      <c r="H98">
        <v>6600</v>
      </c>
    </row>
    <row r="99" spans="2:8">
      <c r="B99" t="s">
        <v>587</v>
      </c>
      <c r="C99" t="s">
        <v>262</v>
      </c>
      <c r="D99">
        <v>1922</v>
      </c>
      <c r="E99">
        <v>1926</v>
      </c>
      <c r="F99">
        <v>1919.5</v>
      </c>
      <c r="G99">
        <v>1920.5</v>
      </c>
      <c r="H99">
        <v>11600</v>
      </c>
    </row>
    <row r="100" spans="2:8">
      <c r="B100" t="s">
        <v>587</v>
      </c>
      <c r="C100" t="s">
        <v>263</v>
      </c>
      <c r="D100">
        <v>1920</v>
      </c>
      <c r="E100">
        <v>1921</v>
      </c>
      <c r="F100">
        <v>1919</v>
      </c>
      <c r="G100">
        <v>1919.5</v>
      </c>
      <c r="H100">
        <v>4700</v>
      </c>
    </row>
    <row r="101" spans="2:8">
      <c r="B101" t="s">
        <v>587</v>
      </c>
      <c r="C101" t="s">
        <v>264</v>
      </c>
      <c r="D101">
        <v>1919.5</v>
      </c>
      <c r="E101">
        <v>1919.5</v>
      </c>
      <c r="F101">
        <v>1914.5</v>
      </c>
      <c r="G101">
        <v>1914.5</v>
      </c>
      <c r="H101">
        <v>6100</v>
      </c>
    </row>
    <row r="102" spans="2:8">
      <c r="B102" t="s">
        <v>587</v>
      </c>
      <c r="C102" t="s">
        <v>265</v>
      </c>
      <c r="D102">
        <v>1914.5</v>
      </c>
      <c r="E102">
        <v>1917</v>
      </c>
      <c r="F102">
        <v>1914.5</v>
      </c>
      <c r="G102">
        <v>1916.5</v>
      </c>
      <c r="H102">
        <v>5600</v>
      </c>
    </row>
    <row r="103" spans="2:8">
      <c r="B103" t="s">
        <v>587</v>
      </c>
      <c r="C103" t="s">
        <v>266</v>
      </c>
      <c r="D103">
        <v>1917</v>
      </c>
      <c r="E103">
        <v>1917.5</v>
      </c>
      <c r="F103">
        <v>1916</v>
      </c>
      <c r="G103">
        <v>1916</v>
      </c>
      <c r="H103">
        <v>3100</v>
      </c>
    </row>
    <row r="104" spans="2:8">
      <c r="B104" t="s">
        <v>587</v>
      </c>
      <c r="C104" t="s">
        <v>267</v>
      </c>
      <c r="D104">
        <v>1916.5</v>
      </c>
      <c r="E104">
        <v>1918.5</v>
      </c>
      <c r="F104">
        <v>1916</v>
      </c>
      <c r="G104">
        <v>1918.5</v>
      </c>
      <c r="H104">
        <v>3500</v>
      </c>
    </row>
    <row r="105" spans="2:8">
      <c r="B105" t="s">
        <v>587</v>
      </c>
      <c r="C105" t="s">
        <v>268</v>
      </c>
      <c r="D105">
        <v>1919</v>
      </c>
      <c r="E105">
        <v>1922</v>
      </c>
      <c r="F105">
        <v>1919</v>
      </c>
      <c r="G105">
        <v>1920</v>
      </c>
      <c r="H105">
        <v>5700</v>
      </c>
    </row>
    <row r="106" spans="2:8">
      <c r="B106" t="s">
        <v>587</v>
      </c>
      <c r="C106" t="s">
        <v>269</v>
      </c>
      <c r="D106">
        <v>1919.5</v>
      </c>
      <c r="E106">
        <v>1924.5</v>
      </c>
      <c r="F106">
        <v>1919.5</v>
      </c>
      <c r="G106">
        <v>1924.5</v>
      </c>
      <c r="H106">
        <v>3700</v>
      </c>
    </row>
    <row r="107" spans="2:8">
      <c r="B107" t="s">
        <v>587</v>
      </c>
      <c r="C107" t="s">
        <v>270</v>
      </c>
      <c r="D107">
        <v>1925</v>
      </c>
      <c r="E107">
        <v>1926.5</v>
      </c>
      <c r="F107">
        <v>1923.5</v>
      </c>
      <c r="G107">
        <v>1923.5</v>
      </c>
      <c r="H107">
        <v>2500</v>
      </c>
    </row>
    <row r="108" spans="2:8">
      <c r="B108" t="s">
        <v>587</v>
      </c>
      <c r="C108" t="s">
        <v>271</v>
      </c>
      <c r="D108">
        <v>1923.5</v>
      </c>
      <c r="E108">
        <v>1931.5</v>
      </c>
      <c r="F108">
        <v>1921</v>
      </c>
      <c r="G108">
        <v>1930</v>
      </c>
      <c r="H108">
        <v>18000</v>
      </c>
    </row>
    <row r="109" spans="2:8">
      <c r="B109" t="s">
        <v>587</v>
      </c>
      <c r="C109" t="s">
        <v>272</v>
      </c>
      <c r="D109">
        <v>1930</v>
      </c>
      <c r="E109">
        <v>1936</v>
      </c>
      <c r="F109">
        <v>1930</v>
      </c>
      <c r="G109">
        <v>1936</v>
      </c>
      <c r="H109">
        <v>13100</v>
      </c>
    </row>
    <row r="110" spans="2:8">
      <c r="B110" t="s">
        <v>587</v>
      </c>
      <c r="C110" t="s">
        <v>273</v>
      </c>
      <c r="D110">
        <v>1935.5</v>
      </c>
      <c r="E110">
        <v>1937.5</v>
      </c>
      <c r="F110">
        <v>1933.5</v>
      </c>
      <c r="G110">
        <v>1936</v>
      </c>
      <c r="H110">
        <v>8600</v>
      </c>
    </row>
    <row r="111" spans="2:8">
      <c r="B111" t="s">
        <v>587</v>
      </c>
      <c r="C111" t="s">
        <v>274</v>
      </c>
      <c r="D111">
        <v>1935</v>
      </c>
      <c r="E111">
        <v>1941</v>
      </c>
      <c r="F111">
        <v>1935</v>
      </c>
      <c r="G111">
        <v>1940</v>
      </c>
      <c r="H111">
        <v>9300</v>
      </c>
    </row>
    <row r="112" spans="2:8">
      <c r="B112" t="s">
        <v>587</v>
      </c>
      <c r="C112" t="s">
        <v>275</v>
      </c>
      <c r="D112">
        <v>1941</v>
      </c>
      <c r="E112">
        <v>1943.5</v>
      </c>
      <c r="F112">
        <v>1939</v>
      </c>
      <c r="G112">
        <v>1942</v>
      </c>
      <c r="H112">
        <v>8800</v>
      </c>
    </row>
    <row r="113" spans="2:8">
      <c r="B113" t="s">
        <v>587</v>
      </c>
      <c r="C113" t="s">
        <v>276</v>
      </c>
      <c r="D113">
        <v>1942.5</v>
      </c>
      <c r="E113">
        <v>1944.5</v>
      </c>
      <c r="F113">
        <v>1937</v>
      </c>
      <c r="G113">
        <v>1937</v>
      </c>
      <c r="H113">
        <v>10100</v>
      </c>
    </row>
    <row r="114" spans="2:8">
      <c r="B114" t="s">
        <v>587</v>
      </c>
      <c r="C114" t="s">
        <v>277</v>
      </c>
      <c r="D114">
        <v>1937</v>
      </c>
      <c r="E114">
        <v>1940</v>
      </c>
      <c r="F114">
        <v>1935</v>
      </c>
      <c r="G114">
        <v>1940</v>
      </c>
      <c r="H114">
        <v>7900</v>
      </c>
    </row>
    <row r="115" spans="2:8">
      <c r="B115" t="s">
        <v>587</v>
      </c>
      <c r="C115" t="s">
        <v>278</v>
      </c>
      <c r="D115">
        <v>1940.5</v>
      </c>
      <c r="E115">
        <v>1941</v>
      </c>
      <c r="F115">
        <v>1939</v>
      </c>
      <c r="G115">
        <v>1940</v>
      </c>
      <c r="H115">
        <v>3900</v>
      </c>
    </row>
    <row r="116" spans="2:8">
      <c r="B116" t="s">
        <v>587</v>
      </c>
      <c r="C116" t="s">
        <v>279</v>
      </c>
      <c r="D116">
        <v>1939</v>
      </c>
      <c r="E116">
        <v>1944</v>
      </c>
      <c r="F116">
        <v>1939</v>
      </c>
      <c r="G116">
        <v>1941.5</v>
      </c>
      <c r="H116">
        <v>7400</v>
      </c>
    </row>
    <row r="117" spans="2:8">
      <c r="B117" t="s">
        <v>587</v>
      </c>
      <c r="C117" t="s">
        <v>280</v>
      </c>
      <c r="D117">
        <v>1941</v>
      </c>
      <c r="E117">
        <v>1942.5</v>
      </c>
      <c r="F117">
        <v>1937</v>
      </c>
      <c r="G117">
        <v>1937</v>
      </c>
      <c r="H117">
        <v>7700</v>
      </c>
    </row>
    <row r="118" spans="2:8">
      <c r="B118" t="s">
        <v>587</v>
      </c>
      <c r="C118" t="s">
        <v>281</v>
      </c>
      <c r="D118">
        <v>1937.5</v>
      </c>
      <c r="E118">
        <v>1941.5</v>
      </c>
      <c r="F118">
        <v>1937</v>
      </c>
      <c r="G118">
        <v>1939.5</v>
      </c>
      <c r="H118">
        <v>6600</v>
      </c>
    </row>
    <row r="119" spans="2:8">
      <c r="B119" t="s">
        <v>587</v>
      </c>
      <c r="C119" t="s">
        <v>282</v>
      </c>
      <c r="D119">
        <v>1938.5</v>
      </c>
      <c r="E119">
        <v>1942.5</v>
      </c>
      <c r="F119">
        <v>1938.5</v>
      </c>
      <c r="G119">
        <v>1942.5</v>
      </c>
      <c r="H119">
        <v>4000</v>
      </c>
    </row>
    <row r="120" spans="2:8">
      <c r="B120" t="s">
        <v>587</v>
      </c>
      <c r="C120" t="s">
        <v>283</v>
      </c>
      <c r="D120">
        <v>1942.5</v>
      </c>
      <c r="E120">
        <v>1943</v>
      </c>
      <c r="F120">
        <v>1939.5</v>
      </c>
      <c r="G120">
        <v>1940.5</v>
      </c>
      <c r="H120">
        <v>5300</v>
      </c>
    </row>
    <row r="121" spans="2:8">
      <c r="B121" t="s">
        <v>587</v>
      </c>
      <c r="C121" t="s">
        <v>284</v>
      </c>
      <c r="D121">
        <v>1941</v>
      </c>
      <c r="E121">
        <v>1941.5</v>
      </c>
      <c r="F121">
        <v>1939.5</v>
      </c>
      <c r="G121">
        <v>1941</v>
      </c>
      <c r="H121">
        <v>5000</v>
      </c>
    </row>
    <row r="122" spans="2:8">
      <c r="B122" t="s">
        <v>587</v>
      </c>
      <c r="C122" t="s">
        <v>285</v>
      </c>
      <c r="D122">
        <v>1941</v>
      </c>
      <c r="E122">
        <v>1941</v>
      </c>
      <c r="F122">
        <v>1937</v>
      </c>
      <c r="G122">
        <v>1938.5</v>
      </c>
      <c r="H122">
        <v>4900</v>
      </c>
    </row>
    <row r="123" spans="2:8">
      <c r="B123" t="s">
        <v>587</v>
      </c>
      <c r="C123" t="s">
        <v>286</v>
      </c>
      <c r="D123">
        <v>1938</v>
      </c>
      <c r="E123">
        <v>1941</v>
      </c>
      <c r="F123">
        <v>1936</v>
      </c>
      <c r="G123">
        <v>1941</v>
      </c>
      <c r="H123">
        <v>9000</v>
      </c>
    </row>
    <row r="124" spans="2:8">
      <c r="B124" t="s">
        <v>587</v>
      </c>
      <c r="C124" t="s">
        <v>287</v>
      </c>
      <c r="D124">
        <v>1941.5</v>
      </c>
      <c r="E124">
        <v>1942</v>
      </c>
      <c r="F124">
        <v>1938.5</v>
      </c>
      <c r="G124">
        <v>1939</v>
      </c>
      <c r="H124">
        <v>7400</v>
      </c>
    </row>
    <row r="125" spans="2:8">
      <c r="B125" t="s">
        <v>587</v>
      </c>
      <c r="C125" t="s">
        <v>288</v>
      </c>
      <c r="D125">
        <v>1939</v>
      </c>
      <c r="E125">
        <v>1939</v>
      </c>
      <c r="F125">
        <v>1938</v>
      </c>
      <c r="G125">
        <v>1938.5</v>
      </c>
      <c r="H125">
        <v>1100</v>
      </c>
    </row>
    <row r="126" spans="2:8">
      <c r="B126" t="s">
        <v>587</v>
      </c>
      <c r="C126" t="s">
        <v>289</v>
      </c>
      <c r="D126">
        <v>1939.5</v>
      </c>
      <c r="E126">
        <v>1943</v>
      </c>
      <c r="F126">
        <v>1939</v>
      </c>
      <c r="G126">
        <v>1942</v>
      </c>
      <c r="H126">
        <v>5000</v>
      </c>
    </row>
    <row r="127" spans="2:8">
      <c r="B127" t="s">
        <v>587</v>
      </c>
      <c r="C127" t="s">
        <v>290</v>
      </c>
      <c r="D127">
        <v>1942.5</v>
      </c>
      <c r="E127">
        <v>1943</v>
      </c>
      <c r="F127">
        <v>1939.5</v>
      </c>
      <c r="G127">
        <v>1940</v>
      </c>
      <c r="H127">
        <v>3800</v>
      </c>
    </row>
    <row r="128" spans="2:8">
      <c r="B128" t="s">
        <v>587</v>
      </c>
      <c r="C128" t="s">
        <v>291</v>
      </c>
      <c r="D128">
        <v>1940</v>
      </c>
      <c r="E128">
        <v>1946</v>
      </c>
      <c r="F128">
        <v>1940</v>
      </c>
      <c r="G128">
        <v>1946</v>
      </c>
      <c r="H128">
        <v>6700</v>
      </c>
    </row>
    <row r="129" spans="2:8">
      <c r="B129" t="s">
        <v>587</v>
      </c>
      <c r="C129" t="s">
        <v>292</v>
      </c>
      <c r="D129">
        <v>1945.5</v>
      </c>
      <c r="E129">
        <v>1947.5</v>
      </c>
      <c r="F129">
        <v>1944</v>
      </c>
      <c r="G129">
        <v>1947.5</v>
      </c>
      <c r="H129">
        <v>8200</v>
      </c>
    </row>
    <row r="130" spans="2:8">
      <c r="B130" t="s">
        <v>587</v>
      </c>
      <c r="C130" t="s">
        <v>293</v>
      </c>
      <c r="D130">
        <v>1947</v>
      </c>
      <c r="E130">
        <v>1948</v>
      </c>
      <c r="F130">
        <v>1945</v>
      </c>
      <c r="G130">
        <v>1947</v>
      </c>
      <c r="H130">
        <v>5400</v>
      </c>
    </row>
    <row r="131" spans="2:8">
      <c r="B131" t="s">
        <v>587</v>
      </c>
      <c r="C131" t="s">
        <v>294</v>
      </c>
      <c r="D131">
        <v>1946.5</v>
      </c>
      <c r="E131">
        <v>1946.5</v>
      </c>
      <c r="F131">
        <v>1945</v>
      </c>
      <c r="G131">
        <v>1945.5</v>
      </c>
      <c r="H131">
        <v>2000</v>
      </c>
    </row>
    <row r="132" spans="2:8">
      <c r="B132" t="s">
        <v>587</v>
      </c>
      <c r="C132" t="s">
        <v>295</v>
      </c>
      <c r="D132">
        <v>1945.5</v>
      </c>
      <c r="E132">
        <v>1949</v>
      </c>
      <c r="F132">
        <v>1945</v>
      </c>
      <c r="G132">
        <v>1948</v>
      </c>
      <c r="H132">
        <v>9000</v>
      </c>
    </row>
    <row r="133" spans="2:8">
      <c r="B133" t="s">
        <v>587</v>
      </c>
      <c r="C133" t="s">
        <v>296</v>
      </c>
      <c r="D133">
        <v>1949</v>
      </c>
      <c r="E133">
        <v>1949.5</v>
      </c>
      <c r="F133">
        <v>1946.5</v>
      </c>
      <c r="G133">
        <v>1949.5</v>
      </c>
      <c r="H133">
        <v>5100</v>
      </c>
    </row>
    <row r="134" spans="2:8">
      <c r="B134" t="s">
        <v>587</v>
      </c>
      <c r="C134" t="s">
        <v>297</v>
      </c>
      <c r="D134">
        <v>1949.5</v>
      </c>
      <c r="E134">
        <v>1953</v>
      </c>
      <c r="F134">
        <v>1946</v>
      </c>
      <c r="G134">
        <v>1949.5</v>
      </c>
      <c r="H134">
        <v>14200</v>
      </c>
    </row>
    <row r="135" spans="2:8">
      <c r="B135" t="s">
        <v>587</v>
      </c>
      <c r="C135" t="s">
        <v>298</v>
      </c>
      <c r="D135">
        <v>1949</v>
      </c>
      <c r="E135">
        <v>1954</v>
      </c>
      <c r="F135">
        <v>1949</v>
      </c>
      <c r="G135">
        <v>1951.5</v>
      </c>
      <c r="H135">
        <v>9900</v>
      </c>
    </row>
    <row r="136" spans="2:8">
      <c r="B136" t="s">
        <v>587</v>
      </c>
      <c r="C136" t="s">
        <v>299</v>
      </c>
      <c r="D136">
        <v>1950.5</v>
      </c>
      <c r="E136">
        <v>1951.5</v>
      </c>
      <c r="F136">
        <v>1949.5</v>
      </c>
      <c r="G136">
        <v>1950</v>
      </c>
      <c r="H136">
        <v>3100</v>
      </c>
    </row>
    <row r="137" spans="2:8">
      <c r="B137" t="s">
        <v>587</v>
      </c>
      <c r="C137" t="s">
        <v>300</v>
      </c>
      <c r="D137">
        <v>1950</v>
      </c>
      <c r="E137">
        <v>1954</v>
      </c>
      <c r="F137">
        <v>1950</v>
      </c>
      <c r="G137">
        <v>1954</v>
      </c>
      <c r="H137">
        <v>3000</v>
      </c>
    </row>
    <row r="138" spans="2:8">
      <c r="B138" t="s">
        <v>587</v>
      </c>
      <c r="C138" t="s">
        <v>301</v>
      </c>
      <c r="D138">
        <v>1954</v>
      </c>
      <c r="E138">
        <v>1958.5</v>
      </c>
      <c r="F138">
        <v>1954</v>
      </c>
      <c r="G138">
        <v>1956</v>
      </c>
      <c r="H138">
        <v>15400</v>
      </c>
    </row>
    <row r="139" spans="2:8">
      <c r="B139" t="s">
        <v>587</v>
      </c>
      <c r="C139" t="s">
        <v>302</v>
      </c>
      <c r="D139">
        <v>1956</v>
      </c>
      <c r="E139">
        <v>1958</v>
      </c>
      <c r="F139">
        <v>1956</v>
      </c>
      <c r="G139">
        <v>1956.5</v>
      </c>
      <c r="H139">
        <v>3300</v>
      </c>
    </row>
    <row r="140" spans="2:8">
      <c r="B140" t="s">
        <v>587</v>
      </c>
      <c r="C140" t="s">
        <v>303</v>
      </c>
      <c r="D140">
        <v>1956</v>
      </c>
      <c r="E140">
        <v>1956.5</v>
      </c>
      <c r="F140">
        <v>1954</v>
      </c>
      <c r="G140">
        <v>1954</v>
      </c>
      <c r="H140">
        <v>7300</v>
      </c>
    </row>
    <row r="141" spans="2:8">
      <c r="B141" t="s">
        <v>587</v>
      </c>
      <c r="C141" t="s">
        <v>304</v>
      </c>
      <c r="D141">
        <v>1953.5</v>
      </c>
      <c r="E141">
        <v>1955.5</v>
      </c>
      <c r="F141">
        <v>1952</v>
      </c>
      <c r="G141">
        <v>1955.5</v>
      </c>
      <c r="H141">
        <v>3700</v>
      </c>
    </row>
    <row r="142" spans="2:8">
      <c r="B142" t="s">
        <v>587</v>
      </c>
      <c r="C142" t="s">
        <v>305</v>
      </c>
      <c r="D142">
        <v>1955</v>
      </c>
      <c r="E142">
        <v>1955.5</v>
      </c>
      <c r="F142">
        <v>1954.5</v>
      </c>
      <c r="G142">
        <v>1955.5</v>
      </c>
      <c r="H142">
        <v>4100</v>
      </c>
    </row>
    <row r="143" spans="2:8">
      <c r="B143" t="s">
        <v>587</v>
      </c>
      <c r="C143" t="s">
        <v>306</v>
      </c>
      <c r="D143">
        <v>1954.5</v>
      </c>
      <c r="E143">
        <v>1955.5</v>
      </c>
      <c r="F143">
        <v>1954</v>
      </c>
      <c r="G143">
        <v>1954.5</v>
      </c>
      <c r="H143">
        <v>2600</v>
      </c>
    </row>
    <row r="144" spans="2:8">
      <c r="B144" t="s">
        <v>587</v>
      </c>
      <c r="C144" t="s">
        <v>307</v>
      </c>
      <c r="D144">
        <v>1955</v>
      </c>
      <c r="E144">
        <v>1955</v>
      </c>
      <c r="F144">
        <v>1952</v>
      </c>
      <c r="G144">
        <v>1952</v>
      </c>
      <c r="H144">
        <v>2500</v>
      </c>
    </row>
    <row r="145" spans="2:8">
      <c r="B145" t="s">
        <v>587</v>
      </c>
      <c r="C145" t="s">
        <v>308</v>
      </c>
      <c r="D145">
        <v>1952.5</v>
      </c>
      <c r="E145">
        <v>1956.5</v>
      </c>
      <c r="F145">
        <v>1952.5</v>
      </c>
      <c r="G145">
        <v>1956.5</v>
      </c>
      <c r="H145">
        <v>4700</v>
      </c>
    </row>
    <row r="146" spans="2:8">
      <c r="B146" t="s">
        <v>587</v>
      </c>
      <c r="C146" t="s">
        <v>309</v>
      </c>
      <c r="D146">
        <v>1956</v>
      </c>
      <c r="E146">
        <v>1956.5</v>
      </c>
      <c r="F146">
        <v>1955</v>
      </c>
      <c r="G146">
        <v>1956.5</v>
      </c>
      <c r="H146">
        <v>3400</v>
      </c>
    </row>
    <row r="147" spans="2:8">
      <c r="B147" t="s">
        <v>587</v>
      </c>
      <c r="C147" t="s">
        <v>310</v>
      </c>
      <c r="D147">
        <v>1956</v>
      </c>
      <c r="E147">
        <v>1956.5</v>
      </c>
      <c r="F147">
        <v>1956</v>
      </c>
      <c r="G147">
        <v>1956</v>
      </c>
      <c r="H147">
        <v>1100</v>
      </c>
    </row>
    <row r="148" spans="2:8">
      <c r="B148" t="s">
        <v>587</v>
      </c>
      <c r="C148" t="s">
        <v>311</v>
      </c>
      <c r="D148">
        <v>1955.5</v>
      </c>
      <c r="E148">
        <v>1957.5</v>
      </c>
      <c r="F148">
        <v>1954</v>
      </c>
      <c r="G148">
        <v>1957.5</v>
      </c>
      <c r="H148">
        <v>6200</v>
      </c>
    </row>
    <row r="149" spans="2:8">
      <c r="B149" t="s">
        <v>587</v>
      </c>
      <c r="C149" t="s">
        <v>312</v>
      </c>
      <c r="D149">
        <v>1958</v>
      </c>
      <c r="E149">
        <v>1959</v>
      </c>
      <c r="F149">
        <v>1955.5</v>
      </c>
      <c r="G149">
        <v>1955.5</v>
      </c>
      <c r="H149">
        <v>3200</v>
      </c>
    </row>
    <row r="150" spans="2:8">
      <c r="B150" t="s">
        <v>587</v>
      </c>
      <c r="C150" t="s">
        <v>313</v>
      </c>
      <c r="D150">
        <v>1956.5</v>
      </c>
      <c r="E150">
        <v>1957.5</v>
      </c>
      <c r="F150">
        <v>1956</v>
      </c>
      <c r="G150">
        <v>1956</v>
      </c>
      <c r="H150">
        <v>2400</v>
      </c>
    </row>
    <row r="151" spans="2:8">
      <c r="B151" t="s">
        <v>587</v>
      </c>
      <c r="C151" t="s">
        <v>314</v>
      </c>
      <c r="D151">
        <v>1957.5</v>
      </c>
      <c r="E151">
        <v>1959</v>
      </c>
      <c r="F151">
        <v>1957.5</v>
      </c>
      <c r="G151">
        <v>1958.5</v>
      </c>
      <c r="H151">
        <v>4100</v>
      </c>
    </row>
    <row r="152" spans="2:8">
      <c r="B152" t="s">
        <v>587</v>
      </c>
      <c r="C152" t="s">
        <v>315</v>
      </c>
      <c r="D152">
        <v>1958.5</v>
      </c>
      <c r="E152">
        <v>1959</v>
      </c>
      <c r="F152">
        <v>1957.5</v>
      </c>
      <c r="G152">
        <v>1959</v>
      </c>
      <c r="H152">
        <v>1700</v>
      </c>
    </row>
    <row r="153" spans="2:8">
      <c r="B153" t="s">
        <v>587</v>
      </c>
      <c r="C153" t="s">
        <v>316</v>
      </c>
      <c r="D153">
        <v>1959</v>
      </c>
      <c r="E153">
        <v>1959</v>
      </c>
      <c r="F153">
        <v>1959</v>
      </c>
      <c r="G153">
        <v>1959</v>
      </c>
      <c r="H153">
        <v>2300</v>
      </c>
    </row>
    <row r="154" spans="2:8">
      <c r="B154" t="s">
        <v>587</v>
      </c>
      <c r="C154" t="s">
        <v>317</v>
      </c>
      <c r="D154">
        <v>1963</v>
      </c>
      <c r="E154">
        <v>1963.5</v>
      </c>
      <c r="F154">
        <v>1944</v>
      </c>
      <c r="G154">
        <v>1951.5</v>
      </c>
      <c r="H154">
        <v>46600</v>
      </c>
    </row>
    <row r="155" spans="2:8">
      <c r="B155" t="s">
        <v>587</v>
      </c>
      <c r="C155" t="s">
        <v>318</v>
      </c>
      <c r="D155">
        <v>1952</v>
      </c>
      <c r="E155">
        <v>1958</v>
      </c>
      <c r="F155">
        <v>1952</v>
      </c>
      <c r="G155">
        <v>1954.5</v>
      </c>
      <c r="H155">
        <v>10500</v>
      </c>
    </row>
    <row r="156" spans="2:8">
      <c r="B156" t="s">
        <v>587</v>
      </c>
      <c r="C156" t="s">
        <v>319</v>
      </c>
      <c r="D156">
        <v>1955</v>
      </c>
      <c r="E156">
        <v>1957</v>
      </c>
      <c r="F156">
        <v>1953</v>
      </c>
      <c r="G156">
        <v>1956</v>
      </c>
      <c r="H156">
        <v>7900</v>
      </c>
    </row>
    <row r="157" spans="2:8">
      <c r="B157" t="s">
        <v>587</v>
      </c>
      <c r="C157" t="s">
        <v>320</v>
      </c>
      <c r="D157">
        <v>1956</v>
      </c>
      <c r="E157">
        <v>1959</v>
      </c>
      <c r="F157">
        <v>1954.5</v>
      </c>
      <c r="G157">
        <v>1955</v>
      </c>
      <c r="H157">
        <v>10300</v>
      </c>
    </row>
    <row r="158" spans="2:8">
      <c r="B158" t="s">
        <v>587</v>
      </c>
      <c r="C158" t="s">
        <v>321</v>
      </c>
      <c r="D158">
        <v>1956</v>
      </c>
      <c r="E158">
        <v>1957</v>
      </c>
      <c r="F158">
        <v>1948</v>
      </c>
      <c r="G158">
        <v>1952</v>
      </c>
      <c r="H158">
        <v>14300</v>
      </c>
    </row>
    <row r="159" spans="2:8">
      <c r="B159" t="s">
        <v>587</v>
      </c>
      <c r="C159" t="s">
        <v>322</v>
      </c>
      <c r="D159">
        <v>1951</v>
      </c>
      <c r="E159">
        <v>1951</v>
      </c>
      <c r="F159">
        <v>1945</v>
      </c>
      <c r="G159">
        <v>1948.5</v>
      </c>
      <c r="H159">
        <v>7900</v>
      </c>
    </row>
    <row r="160" spans="2:8">
      <c r="B160" t="s">
        <v>587</v>
      </c>
      <c r="C160" t="s">
        <v>323</v>
      </c>
      <c r="D160">
        <v>1948</v>
      </c>
      <c r="E160">
        <v>1951.5</v>
      </c>
      <c r="F160">
        <v>1945</v>
      </c>
      <c r="G160">
        <v>1945.5</v>
      </c>
      <c r="H160">
        <v>13400</v>
      </c>
    </row>
    <row r="161" spans="2:8">
      <c r="B161" t="s">
        <v>587</v>
      </c>
      <c r="C161" t="s">
        <v>324</v>
      </c>
      <c r="D161">
        <v>1945.5</v>
      </c>
      <c r="E161">
        <v>1945.5</v>
      </c>
      <c r="F161">
        <v>1943</v>
      </c>
      <c r="G161">
        <v>1945</v>
      </c>
      <c r="H161">
        <v>4300</v>
      </c>
    </row>
    <row r="162" spans="2:8">
      <c r="B162" t="s">
        <v>587</v>
      </c>
      <c r="C162" t="s">
        <v>325</v>
      </c>
      <c r="D162">
        <v>1945</v>
      </c>
      <c r="E162">
        <v>1947</v>
      </c>
      <c r="F162">
        <v>1945</v>
      </c>
      <c r="G162">
        <v>1945</v>
      </c>
      <c r="H162">
        <v>3600</v>
      </c>
    </row>
    <row r="163" spans="2:8">
      <c r="B163" t="s">
        <v>587</v>
      </c>
      <c r="C163" t="s">
        <v>326</v>
      </c>
      <c r="D163">
        <v>1945</v>
      </c>
      <c r="E163">
        <v>1949</v>
      </c>
      <c r="F163">
        <v>1944</v>
      </c>
      <c r="G163">
        <v>1949</v>
      </c>
      <c r="H163">
        <v>9700</v>
      </c>
    </row>
    <row r="164" spans="2:8">
      <c r="B164" t="s">
        <v>587</v>
      </c>
      <c r="C164" t="s">
        <v>327</v>
      </c>
      <c r="D164">
        <v>1948.5</v>
      </c>
      <c r="E164">
        <v>1950</v>
      </c>
      <c r="F164">
        <v>1947.5</v>
      </c>
      <c r="G164">
        <v>1949.5</v>
      </c>
      <c r="H164">
        <v>3700</v>
      </c>
    </row>
    <row r="165" spans="2:8">
      <c r="B165" t="s">
        <v>587</v>
      </c>
      <c r="C165" t="s">
        <v>328</v>
      </c>
      <c r="D165">
        <v>1948.5</v>
      </c>
      <c r="E165">
        <v>1950</v>
      </c>
      <c r="F165">
        <v>1948</v>
      </c>
      <c r="G165">
        <v>1949.5</v>
      </c>
      <c r="H165">
        <v>3800</v>
      </c>
    </row>
    <row r="166" spans="2:8">
      <c r="B166" t="s">
        <v>587</v>
      </c>
      <c r="C166" t="s">
        <v>329</v>
      </c>
      <c r="D166">
        <v>1950</v>
      </c>
      <c r="E166">
        <v>1951</v>
      </c>
      <c r="F166">
        <v>1949</v>
      </c>
      <c r="G166">
        <v>1949</v>
      </c>
      <c r="H166">
        <v>2300</v>
      </c>
    </row>
    <row r="167" spans="2:8">
      <c r="B167" t="s">
        <v>587</v>
      </c>
      <c r="C167" t="s">
        <v>330</v>
      </c>
      <c r="D167">
        <v>1949</v>
      </c>
      <c r="E167">
        <v>1951</v>
      </c>
      <c r="F167">
        <v>1949</v>
      </c>
      <c r="G167">
        <v>1950.5</v>
      </c>
      <c r="H167">
        <v>3500</v>
      </c>
    </row>
    <row r="168" spans="2:8">
      <c r="B168" t="s">
        <v>587</v>
      </c>
      <c r="C168" t="s">
        <v>331</v>
      </c>
      <c r="D168">
        <v>1951.5</v>
      </c>
      <c r="E168">
        <v>1952</v>
      </c>
      <c r="F168">
        <v>1950</v>
      </c>
      <c r="G168">
        <v>1952</v>
      </c>
      <c r="H168">
        <v>2200</v>
      </c>
    </row>
    <row r="169" spans="2:8">
      <c r="B169" t="s">
        <v>587</v>
      </c>
      <c r="C169" t="s">
        <v>332</v>
      </c>
      <c r="D169">
        <v>1953</v>
      </c>
      <c r="E169">
        <v>1957</v>
      </c>
      <c r="F169">
        <v>1952.5</v>
      </c>
      <c r="G169">
        <v>1956</v>
      </c>
      <c r="H169">
        <v>3300</v>
      </c>
    </row>
    <row r="170" spans="2:8">
      <c r="B170" t="s">
        <v>587</v>
      </c>
      <c r="C170" t="s">
        <v>333</v>
      </c>
      <c r="D170">
        <v>1957</v>
      </c>
      <c r="E170">
        <v>1960</v>
      </c>
      <c r="F170">
        <v>1957</v>
      </c>
      <c r="G170">
        <v>1959.5</v>
      </c>
      <c r="H170">
        <v>4300</v>
      </c>
    </row>
    <row r="171" spans="2:8">
      <c r="B171" t="s">
        <v>587</v>
      </c>
      <c r="C171" t="s">
        <v>334</v>
      </c>
      <c r="D171">
        <v>1959</v>
      </c>
      <c r="E171">
        <v>1960</v>
      </c>
      <c r="F171">
        <v>1958.5</v>
      </c>
      <c r="G171">
        <v>1959.5</v>
      </c>
      <c r="H171">
        <v>2400</v>
      </c>
    </row>
    <row r="172" spans="2:8">
      <c r="B172" t="s">
        <v>587</v>
      </c>
      <c r="C172" t="s">
        <v>335</v>
      </c>
      <c r="D172">
        <v>1958.5</v>
      </c>
      <c r="E172">
        <v>1959</v>
      </c>
      <c r="F172">
        <v>1956</v>
      </c>
      <c r="G172">
        <v>1957</v>
      </c>
      <c r="H172">
        <v>12500</v>
      </c>
    </row>
    <row r="173" spans="2:8">
      <c r="B173" t="s">
        <v>587</v>
      </c>
      <c r="C173" t="s">
        <v>336</v>
      </c>
      <c r="D173">
        <v>1956.5</v>
      </c>
      <c r="E173">
        <v>1956.5</v>
      </c>
      <c r="F173">
        <v>1954</v>
      </c>
      <c r="G173">
        <v>1954.5</v>
      </c>
      <c r="H173">
        <v>3100</v>
      </c>
    </row>
    <row r="174" spans="2:8">
      <c r="B174" t="s">
        <v>587</v>
      </c>
      <c r="C174" t="s">
        <v>337</v>
      </c>
      <c r="D174">
        <v>1955</v>
      </c>
      <c r="E174">
        <v>1955</v>
      </c>
      <c r="F174">
        <v>1951</v>
      </c>
      <c r="G174">
        <v>1954</v>
      </c>
      <c r="H174">
        <v>8000</v>
      </c>
    </row>
    <row r="175" spans="2:8">
      <c r="B175" t="s">
        <v>587</v>
      </c>
      <c r="C175" t="s">
        <v>338</v>
      </c>
      <c r="D175">
        <v>1954</v>
      </c>
      <c r="E175">
        <v>1954</v>
      </c>
      <c r="F175">
        <v>1951</v>
      </c>
      <c r="G175">
        <v>1952</v>
      </c>
      <c r="H175">
        <v>3700</v>
      </c>
    </row>
    <row r="176" spans="2:8">
      <c r="B176" t="s">
        <v>587</v>
      </c>
      <c r="C176" t="s">
        <v>339</v>
      </c>
      <c r="D176">
        <v>1952</v>
      </c>
      <c r="E176">
        <v>1953</v>
      </c>
      <c r="F176">
        <v>1951</v>
      </c>
      <c r="G176">
        <v>1951.5</v>
      </c>
      <c r="H176">
        <v>3600</v>
      </c>
    </row>
    <row r="177" spans="2:8">
      <c r="B177" t="s">
        <v>587</v>
      </c>
      <c r="C177" t="s">
        <v>340</v>
      </c>
      <c r="D177">
        <v>1951.5</v>
      </c>
      <c r="E177">
        <v>1951.5</v>
      </c>
      <c r="F177">
        <v>1950</v>
      </c>
      <c r="G177">
        <v>1950</v>
      </c>
      <c r="H177">
        <v>1600</v>
      </c>
    </row>
    <row r="178" spans="2:8">
      <c r="B178" t="s">
        <v>587</v>
      </c>
      <c r="C178" t="s">
        <v>341</v>
      </c>
      <c r="D178">
        <v>1950.5</v>
      </c>
      <c r="E178">
        <v>1951</v>
      </c>
      <c r="F178">
        <v>1949.5</v>
      </c>
      <c r="G178">
        <v>1951</v>
      </c>
      <c r="H178">
        <v>4900</v>
      </c>
    </row>
    <row r="179" spans="2:8">
      <c r="B179" t="s">
        <v>587</v>
      </c>
      <c r="C179" t="s">
        <v>342</v>
      </c>
      <c r="D179">
        <v>1951</v>
      </c>
      <c r="E179">
        <v>1954</v>
      </c>
      <c r="F179">
        <v>1951</v>
      </c>
      <c r="G179">
        <v>1954</v>
      </c>
      <c r="H179">
        <v>3900</v>
      </c>
    </row>
    <row r="180" spans="2:8">
      <c r="B180" t="s">
        <v>587</v>
      </c>
      <c r="C180" t="s">
        <v>343</v>
      </c>
      <c r="D180">
        <v>1954</v>
      </c>
      <c r="E180">
        <v>1954.5</v>
      </c>
      <c r="F180">
        <v>1952.5</v>
      </c>
      <c r="G180">
        <v>1952.5</v>
      </c>
      <c r="H180">
        <v>2700</v>
      </c>
    </row>
    <row r="181" spans="2:8">
      <c r="B181" t="s">
        <v>587</v>
      </c>
      <c r="C181" t="s">
        <v>344</v>
      </c>
      <c r="D181">
        <v>1952</v>
      </c>
      <c r="E181">
        <v>1953</v>
      </c>
      <c r="F181">
        <v>1952</v>
      </c>
      <c r="G181">
        <v>1952</v>
      </c>
      <c r="H181">
        <v>2900</v>
      </c>
    </row>
    <row r="182" spans="2:8">
      <c r="B182" t="s">
        <v>587</v>
      </c>
      <c r="C182" t="s">
        <v>345</v>
      </c>
      <c r="D182">
        <v>1952</v>
      </c>
      <c r="E182">
        <v>1952</v>
      </c>
      <c r="F182">
        <v>1941.5</v>
      </c>
      <c r="G182">
        <v>1943</v>
      </c>
      <c r="H182">
        <v>23800</v>
      </c>
    </row>
    <row r="183" spans="2:8">
      <c r="B183" t="s">
        <v>587</v>
      </c>
      <c r="C183" t="s">
        <v>346</v>
      </c>
      <c r="D183">
        <v>1942</v>
      </c>
      <c r="E183">
        <v>1942</v>
      </c>
      <c r="F183">
        <v>1938</v>
      </c>
      <c r="G183">
        <v>1940</v>
      </c>
      <c r="H183">
        <v>12600</v>
      </c>
    </row>
    <row r="184" spans="2:8">
      <c r="B184" t="s">
        <v>587</v>
      </c>
      <c r="C184" t="s">
        <v>347</v>
      </c>
      <c r="D184">
        <v>1940</v>
      </c>
      <c r="E184">
        <v>1941</v>
      </c>
      <c r="F184">
        <v>1938.5</v>
      </c>
      <c r="G184">
        <v>1939</v>
      </c>
      <c r="H184">
        <v>4200</v>
      </c>
    </row>
    <row r="185" spans="2:8">
      <c r="B185" t="s">
        <v>587</v>
      </c>
      <c r="C185" t="s">
        <v>348</v>
      </c>
      <c r="D185">
        <v>1940</v>
      </c>
      <c r="E185">
        <v>1941.5</v>
      </c>
      <c r="F185">
        <v>1939.5</v>
      </c>
      <c r="G185">
        <v>1940.5</v>
      </c>
      <c r="H185">
        <v>2700</v>
      </c>
    </row>
    <row r="186" spans="2:8">
      <c r="B186" t="s">
        <v>587</v>
      </c>
      <c r="C186" t="s">
        <v>349</v>
      </c>
      <c r="D186">
        <v>1941</v>
      </c>
      <c r="E186">
        <v>1941</v>
      </c>
      <c r="F186">
        <v>1939.5</v>
      </c>
      <c r="G186">
        <v>1939.5</v>
      </c>
      <c r="H186">
        <v>2400</v>
      </c>
    </row>
    <row r="187" spans="2:8">
      <c r="B187" t="s">
        <v>587</v>
      </c>
      <c r="C187" t="s">
        <v>350</v>
      </c>
      <c r="D187">
        <v>1941</v>
      </c>
      <c r="E187">
        <v>1943.5</v>
      </c>
      <c r="F187">
        <v>1940.5</v>
      </c>
      <c r="G187">
        <v>1941</v>
      </c>
      <c r="H187">
        <v>4800</v>
      </c>
    </row>
    <row r="188" spans="2:8">
      <c r="B188" t="s">
        <v>587</v>
      </c>
      <c r="C188" t="s">
        <v>351</v>
      </c>
      <c r="D188">
        <v>1940.5</v>
      </c>
      <c r="E188">
        <v>1940.5</v>
      </c>
      <c r="F188">
        <v>1940</v>
      </c>
      <c r="G188">
        <v>1940.5</v>
      </c>
      <c r="H188">
        <v>1100</v>
      </c>
    </row>
    <row r="189" spans="2:8">
      <c r="B189" t="s">
        <v>587</v>
      </c>
      <c r="C189" t="s">
        <v>352</v>
      </c>
      <c r="D189">
        <v>1940.5</v>
      </c>
      <c r="E189">
        <v>1941</v>
      </c>
      <c r="F189">
        <v>1936</v>
      </c>
      <c r="G189">
        <v>1938.5</v>
      </c>
      <c r="H189">
        <v>10200</v>
      </c>
    </row>
    <row r="190" spans="2:8">
      <c r="B190" t="s">
        <v>587</v>
      </c>
      <c r="C190" t="s">
        <v>353</v>
      </c>
      <c r="D190">
        <v>1939.5</v>
      </c>
      <c r="E190">
        <v>1943.5</v>
      </c>
      <c r="F190">
        <v>1939.5</v>
      </c>
      <c r="G190">
        <v>1943</v>
      </c>
      <c r="H190">
        <v>5600</v>
      </c>
    </row>
    <row r="191" spans="2:8">
      <c r="B191" t="s">
        <v>587</v>
      </c>
      <c r="C191" t="s">
        <v>354</v>
      </c>
      <c r="D191">
        <v>1944</v>
      </c>
      <c r="E191">
        <v>1945</v>
      </c>
      <c r="F191">
        <v>1943</v>
      </c>
      <c r="G191">
        <v>1943</v>
      </c>
      <c r="H191">
        <v>5400</v>
      </c>
    </row>
    <row r="192" spans="2:8">
      <c r="B192" t="s">
        <v>587</v>
      </c>
      <c r="C192" t="s">
        <v>355</v>
      </c>
      <c r="D192">
        <v>1943</v>
      </c>
      <c r="E192">
        <v>1944.5</v>
      </c>
      <c r="F192">
        <v>1943</v>
      </c>
      <c r="G192">
        <v>1943.5</v>
      </c>
      <c r="H192">
        <v>2200</v>
      </c>
    </row>
    <row r="193" spans="2:8">
      <c r="B193" t="s">
        <v>587</v>
      </c>
      <c r="C193" t="s">
        <v>356</v>
      </c>
      <c r="D193">
        <v>1943</v>
      </c>
      <c r="E193">
        <v>1943</v>
      </c>
      <c r="F193">
        <v>1941</v>
      </c>
      <c r="G193">
        <v>1943</v>
      </c>
      <c r="H193">
        <v>4200</v>
      </c>
    </row>
    <row r="194" spans="2:8">
      <c r="B194" t="s">
        <v>587</v>
      </c>
      <c r="C194" t="s">
        <v>357</v>
      </c>
      <c r="D194">
        <v>1942.5</v>
      </c>
      <c r="E194">
        <v>1942.5</v>
      </c>
      <c r="F194">
        <v>1942</v>
      </c>
      <c r="G194">
        <v>1942</v>
      </c>
      <c r="H194">
        <v>2100</v>
      </c>
    </row>
    <row r="195" spans="2:8">
      <c r="B195" t="s">
        <v>587</v>
      </c>
      <c r="C195" t="s">
        <v>358</v>
      </c>
      <c r="D195">
        <v>1943</v>
      </c>
      <c r="E195">
        <v>1945.5</v>
      </c>
      <c r="F195">
        <v>1943</v>
      </c>
      <c r="G195">
        <v>1945</v>
      </c>
      <c r="H195">
        <v>3000</v>
      </c>
    </row>
    <row r="196" spans="2:8">
      <c r="B196" t="s">
        <v>587</v>
      </c>
      <c r="C196" t="s">
        <v>359</v>
      </c>
      <c r="D196">
        <v>1946</v>
      </c>
      <c r="E196">
        <v>1951</v>
      </c>
      <c r="F196">
        <v>1946</v>
      </c>
      <c r="G196">
        <v>1948.5</v>
      </c>
      <c r="H196">
        <v>7000</v>
      </c>
    </row>
    <row r="197" spans="2:8">
      <c r="B197" t="s">
        <v>587</v>
      </c>
      <c r="C197" t="s">
        <v>360</v>
      </c>
      <c r="D197">
        <v>1951</v>
      </c>
      <c r="E197">
        <v>1953</v>
      </c>
      <c r="F197">
        <v>1950.5</v>
      </c>
      <c r="G197">
        <v>1950.5</v>
      </c>
      <c r="H197">
        <v>3400</v>
      </c>
    </row>
    <row r="198" spans="2:8">
      <c r="B198" t="s">
        <v>587</v>
      </c>
      <c r="C198" t="s">
        <v>361</v>
      </c>
      <c r="D198">
        <v>1950</v>
      </c>
      <c r="E198">
        <v>1950.5</v>
      </c>
      <c r="F198">
        <v>1949.5</v>
      </c>
      <c r="G198">
        <v>1950</v>
      </c>
      <c r="H198">
        <v>1900</v>
      </c>
    </row>
    <row r="199" spans="2:8">
      <c r="B199" t="s">
        <v>587</v>
      </c>
      <c r="C199" t="s">
        <v>362</v>
      </c>
      <c r="D199">
        <v>1949.5</v>
      </c>
      <c r="E199">
        <v>1949.5</v>
      </c>
      <c r="F199">
        <v>1947.5</v>
      </c>
      <c r="G199">
        <v>1948.5</v>
      </c>
      <c r="H199">
        <v>1700</v>
      </c>
    </row>
    <row r="200" spans="2:8">
      <c r="B200" t="s">
        <v>587</v>
      </c>
      <c r="C200" t="s">
        <v>363</v>
      </c>
      <c r="D200">
        <v>1949.5</v>
      </c>
      <c r="E200">
        <v>1949.5</v>
      </c>
      <c r="F200">
        <v>1948</v>
      </c>
      <c r="G200">
        <v>1948</v>
      </c>
      <c r="H200">
        <v>1100</v>
      </c>
    </row>
    <row r="201" spans="2:8">
      <c r="B201" t="s">
        <v>587</v>
      </c>
      <c r="C201" t="s">
        <v>364</v>
      </c>
      <c r="D201">
        <v>1948</v>
      </c>
      <c r="E201">
        <v>1951.5</v>
      </c>
      <c r="F201">
        <v>1948</v>
      </c>
      <c r="G201">
        <v>1950.5</v>
      </c>
      <c r="H201">
        <v>3000</v>
      </c>
    </row>
    <row r="202" spans="2:8">
      <c r="B202" t="s">
        <v>587</v>
      </c>
      <c r="C202" t="s">
        <v>365</v>
      </c>
      <c r="D202">
        <v>1951</v>
      </c>
      <c r="E202">
        <v>1951</v>
      </c>
      <c r="F202">
        <v>1950</v>
      </c>
      <c r="G202">
        <v>1950</v>
      </c>
      <c r="H202">
        <v>1200</v>
      </c>
    </row>
    <row r="203" spans="2:8">
      <c r="B203" t="s">
        <v>587</v>
      </c>
      <c r="C203" t="s">
        <v>366</v>
      </c>
      <c r="D203">
        <v>1950</v>
      </c>
      <c r="E203">
        <v>1952.5</v>
      </c>
      <c r="F203">
        <v>1950</v>
      </c>
      <c r="G203">
        <v>1952</v>
      </c>
      <c r="H203">
        <v>4300</v>
      </c>
    </row>
    <row r="204" spans="2:8">
      <c r="B204" t="s">
        <v>587</v>
      </c>
      <c r="C204" t="s">
        <v>367</v>
      </c>
      <c r="D204">
        <v>1950.5</v>
      </c>
      <c r="E204">
        <v>1951</v>
      </c>
      <c r="F204">
        <v>1949.5</v>
      </c>
      <c r="G204">
        <v>1950.5</v>
      </c>
      <c r="H204">
        <v>2400</v>
      </c>
    </row>
    <row r="205" spans="2:8">
      <c r="B205" t="s">
        <v>587</v>
      </c>
      <c r="C205" t="s">
        <v>368</v>
      </c>
      <c r="D205">
        <v>1950.5</v>
      </c>
      <c r="E205">
        <v>1951.5</v>
      </c>
      <c r="F205">
        <v>1949.5</v>
      </c>
      <c r="G205">
        <v>1951.5</v>
      </c>
      <c r="H205">
        <v>3200</v>
      </c>
    </row>
    <row r="206" spans="2:8">
      <c r="B206" t="s">
        <v>587</v>
      </c>
      <c r="C206" t="s">
        <v>369</v>
      </c>
      <c r="D206">
        <v>1950</v>
      </c>
      <c r="E206">
        <v>1951.5</v>
      </c>
      <c r="F206">
        <v>1950</v>
      </c>
      <c r="G206">
        <v>1951.5</v>
      </c>
      <c r="H206">
        <v>1300</v>
      </c>
    </row>
    <row r="207" spans="2:8">
      <c r="B207" t="s">
        <v>587</v>
      </c>
      <c r="C207" t="s">
        <v>370</v>
      </c>
      <c r="D207">
        <v>1952</v>
      </c>
      <c r="E207">
        <v>1952</v>
      </c>
      <c r="F207">
        <v>1951</v>
      </c>
      <c r="G207">
        <v>1951</v>
      </c>
      <c r="H207">
        <v>800</v>
      </c>
    </row>
    <row r="208" spans="2:8">
      <c r="B208" t="s">
        <v>587</v>
      </c>
      <c r="C208" t="s">
        <v>371</v>
      </c>
      <c r="D208">
        <v>1951</v>
      </c>
      <c r="E208">
        <v>1951</v>
      </c>
      <c r="F208">
        <v>1950.5</v>
      </c>
      <c r="G208">
        <v>1950.5</v>
      </c>
      <c r="H208">
        <v>1000</v>
      </c>
    </row>
    <row r="209" spans="2:8">
      <c r="B209" t="s">
        <v>587</v>
      </c>
      <c r="C209" t="s">
        <v>372</v>
      </c>
      <c r="D209">
        <v>1951</v>
      </c>
      <c r="E209">
        <v>1951</v>
      </c>
      <c r="F209">
        <v>1950</v>
      </c>
      <c r="G209">
        <v>1950</v>
      </c>
      <c r="H209">
        <v>900</v>
      </c>
    </row>
    <row r="210" spans="2:8">
      <c r="B210" t="s">
        <v>587</v>
      </c>
      <c r="C210" t="s">
        <v>373</v>
      </c>
      <c r="D210">
        <v>1949.5</v>
      </c>
      <c r="E210">
        <v>1951.5</v>
      </c>
      <c r="F210">
        <v>1949.5</v>
      </c>
      <c r="G210">
        <v>1951.5</v>
      </c>
      <c r="H210">
        <v>3000</v>
      </c>
    </row>
    <row r="211" spans="2:8">
      <c r="B211" t="s">
        <v>587</v>
      </c>
      <c r="C211" t="s">
        <v>374</v>
      </c>
      <c r="D211">
        <v>1951.5</v>
      </c>
      <c r="E211">
        <v>1952.5</v>
      </c>
      <c r="F211">
        <v>1951</v>
      </c>
      <c r="G211">
        <v>1952.5</v>
      </c>
      <c r="H211">
        <v>4200</v>
      </c>
    </row>
    <row r="212" spans="2:8">
      <c r="B212" t="s">
        <v>587</v>
      </c>
      <c r="C212" t="s">
        <v>375</v>
      </c>
      <c r="D212">
        <v>1952.5</v>
      </c>
      <c r="E212">
        <v>1954</v>
      </c>
      <c r="F212">
        <v>1952.5</v>
      </c>
      <c r="G212">
        <v>1953</v>
      </c>
      <c r="H212">
        <v>4200</v>
      </c>
    </row>
    <row r="213" spans="2:8">
      <c r="B213" t="s">
        <v>587</v>
      </c>
      <c r="C213" t="s">
        <v>376</v>
      </c>
      <c r="D213">
        <v>1953.5</v>
      </c>
      <c r="E213">
        <v>1955.5</v>
      </c>
      <c r="F213">
        <v>1953.5</v>
      </c>
      <c r="G213">
        <v>1955</v>
      </c>
      <c r="H213">
        <v>7400</v>
      </c>
    </row>
    <row r="214" spans="2:8">
      <c r="B214" t="s">
        <v>587</v>
      </c>
      <c r="C214" t="s">
        <v>377</v>
      </c>
      <c r="D214">
        <v>1954</v>
      </c>
      <c r="E214">
        <v>1954.5</v>
      </c>
      <c r="F214">
        <v>1953</v>
      </c>
      <c r="G214">
        <v>1954.5</v>
      </c>
      <c r="H214">
        <v>1200</v>
      </c>
    </row>
    <row r="215" spans="2:8">
      <c r="B215" t="s">
        <v>587</v>
      </c>
      <c r="C215" t="s">
        <v>378</v>
      </c>
      <c r="D215">
        <v>1954.5</v>
      </c>
      <c r="E215">
        <v>1956</v>
      </c>
      <c r="F215">
        <v>1954.5</v>
      </c>
      <c r="G215">
        <v>1955.5</v>
      </c>
      <c r="H215">
        <v>3300</v>
      </c>
    </row>
    <row r="216" spans="2:8">
      <c r="B216" t="s">
        <v>587</v>
      </c>
      <c r="C216" t="s">
        <v>379</v>
      </c>
      <c r="D216">
        <v>1955</v>
      </c>
      <c r="E216">
        <v>1955</v>
      </c>
      <c r="F216">
        <v>1953</v>
      </c>
      <c r="G216">
        <v>1953</v>
      </c>
      <c r="H216">
        <v>2000</v>
      </c>
    </row>
    <row r="217" spans="2:8">
      <c r="B217" t="s">
        <v>587</v>
      </c>
      <c r="C217" t="s">
        <v>380</v>
      </c>
      <c r="D217">
        <v>1953</v>
      </c>
      <c r="E217">
        <v>1955</v>
      </c>
      <c r="F217">
        <v>1953</v>
      </c>
      <c r="G217">
        <v>1955</v>
      </c>
      <c r="H217">
        <v>1500</v>
      </c>
    </row>
    <row r="218" spans="2:8">
      <c r="B218" t="s">
        <v>587</v>
      </c>
      <c r="C218" t="s">
        <v>381</v>
      </c>
      <c r="D218">
        <v>1954</v>
      </c>
      <c r="E218">
        <v>1954</v>
      </c>
      <c r="F218">
        <v>1950.5</v>
      </c>
      <c r="G218">
        <v>1953</v>
      </c>
      <c r="H218">
        <v>4200</v>
      </c>
    </row>
    <row r="219" spans="2:8">
      <c r="B219" t="s">
        <v>587</v>
      </c>
      <c r="C219" t="s">
        <v>382</v>
      </c>
      <c r="D219">
        <v>1953</v>
      </c>
      <c r="E219">
        <v>1954</v>
      </c>
      <c r="F219">
        <v>1953</v>
      </c>
      <c r="G219">
        <v>1954</v>
      </c>
      <c r="H219">
        <v>1300</v>
      </c>
    </row>
    <row r="220" spans="2:8">
      <c r="B220" t="s">
        <v>587</v>
      </c>
      <c r="C220" t="s">
        <v>383</v>
      </c>
      <c r="D220">
        <v>1953.5</v>
      </c>
      <c r="E220">
        <v>1953.5</v>
      </c>
      <c r="F220">
        <v>1953</v>
      </c>
      <c r="G220">
        <v>1953.5</v>
      </c>
      <c r="H220">
        <v>800</v>
      </c>
    </row>
    <row r="221" spans="2:8">
      <c r="B221" t="s">
        <v>587</v>
      </c>
      <c r="C221" t="s">
        <v>384</v>
      </c>
      <c r="D221">
        <v>1953.5</v>
      </c>
      <c r="E221">
        <v>1961.5</v>
      </c>
      <c r="F221">
        <v>1953.5</v>
      </c>
      <c r="G221">
        <v>1957</v>
      </c>
      <c r="H221">
        <v>26600</v>
      </c>
    </row>
    <row r="222" spans="2:8">
      <c r="B222" t="s">
        <v>587</v>
      </c>
      <c r="C222" t="s">
        <v>385</v>
      </c>
      <c r="D222">
        <v>1957</v>
      </c>
      <c r="E222">
        <v>1957</v>
      </c>
      <c r="F222">
        <v>1954.5</v>
      </c>
      <c r="G222">
        <v>1954.5</v>
      </c>
      <c r="H222">
        <v>1100</v>
      </c>
    </row>
    <row r="223" spans="2:8">
      <c r="B223" t="s">
        <v>587</v>
      </c>
      <c r="C223" t="s">
        <v>386</v>
      </c>
      <c r="D223">
        <v>1954.5</v>
      </c>
      <c r="E223">
        <v>1955</v>
      </c>
      <c r="F223">
        <v>1953</v>
      </c>
      <c r="G223">
        <v>1953.5</v>
      </c>
      <c r="H223">
        <v>4600</v>
      </c>
    </row>
    <row r="224" spans="2:8">
      <c r="B224" t="s">
        <v>587</v>
      </c>
      <c r="C224" t="s">
        <v>387</v>
      </c>
      <c r="D224">
        <v>1953</v>
      </c>
      <c r="E224">
        <v>1954</v>
      </c>
      <c r="F224">
        <v>1952.5</v>
      </c>
      <c r="G224">
        <v>1953</v>
      </c>
      <c r="H224">
        <v>800</v>
      </c>
    </row>
    <row r="225" spans="2:8">
      <c r="B225" t="s">
        <v>587</v>
      </c>
      <c r="C225" t="s">
        <v>388</v>
      </c>
      <c r="D225">
        <v>1953</v>
      </c>
      <c r="E225">
        <v>1953.5</v>
      </c>
      <c r="F225">
        <v>1952.5</v>
      </c>
      <c r="G225">
        <v>1953.5</v>
      </c>
      <c r="H225">
        <v>300</v>
      </c>
    </row>
    <row r="226" spans="2:8">
      <c r="B226" t="s">
        <v>587</v>
      </c>
      <c r="C226" t="s">
        <v>389</v>
      </c>
      <c r="D226">
        <v>1953</v>
      </c>
      <c r="E226">
        <v>1955</v>
      </c>
      <c r="F226">
        <v>1953</v>
      </c>
      <c r="G226">
        <v>1955</v>
      </c>
      <c r="H226">
        <v>1300</v>
      </c>
    </row>
    <row r="227" spans="2:8">
      <c r="B227" t="s">
        <v>587</v>
      </c>
      <c r="C227" t="s">
        <v>390</v>
      </c>
      <c r="D227">
        <v>1954</v>
      </c>
      <c r="E227">
        <v>1954</v>
      </c>
      <c r="F227">
        <v>1952.5</v>
      </c>
      <c r="G227">
        <v>1952.5</v>
      </c>
      <c r="H227">
        <v>1200</v>
      </c>
    </row>
    <row r="228" spans="2:8">
      <c r="B228" t="s">
        <v>587</v>
      </c>
      <c r="C228" t="s">
        <v>391</v>
      </c>
      <c r="D228">
        <v>1952.5</v>
      </c>
      <c r="E228">
        <v>1955</v>
      </c>
      <c r="F228">
        <v>1951.5</v>
      </c>
      <c r="G228">
        <v>1955</v>
      </c>
      <c r="H228">
        <v>3300</v>
      </c>
    </row>
    <row r="229" spans="2:8">
      <c r="B229" t="s">
        <v>587</v>
      </c>
      <c r="C229" t="s">
        <v>392</v>
      </c>
      <c r="D229">
        <v>1953.5</v>
      </c>
      <c r="E229">
        <v>1953.5</v>
      </c>
      <c r="F229">
        <v>1952.5</v>
      </c>
      <c r="G229">
        <v>1953.5</v>
      </c>
      <c r="H229">
        <v>1300</v>
      </c>
    </row>
    <row r="230" spans="2:8">
      <c r="B230" t="s">
        <v>587</v>
      </c>
      <c r="C230" t="s">
        <v>393</v>
      </c>
      <c r="D230">
        <v>1954</v>
      </c>
      <c r="E230">
        <v>1955</v>
      </c>
      <c r="F230">
        <v>1953</v>
      </c>
      <c r="G230">
        <v>1953</v>
      </c>
      <c r="H230">
        <v>1700</v>
      </c>
    </row>
    <row r="231" spans="2:8">
      <c r="B231" t="s">
        <v>587</v>
      </c>
      <c r="C231" t="s">
        <v>394</v>
      </c>
      <c r="D231">
        <v>1953.5</v>
      </c>
      <c r="E231">
        <v>1953.5</v>
      </c>
      <c r="F231">
        <v>1952</v>
      </c>
      <c r="G231">
        <v>1952</v>
      </c>
      <c r="H231">
        <v>1500</v>
      </c>
    </row>
    <row r="232" spans="2:8">
      <c r="B232" t="s">
        <v>587</v>
      </c>
      <c r="C232" t="s">
        <v>395</v>
      </c>
      <c r="D232">
        <v>1952</v>
      </c>
      <c r="E232">
        <v>1953</v>
      </c>
      <c r="F232">
        <v>1950.5</v>
      </c>
      <c r="G232">
        <v>1951.5</v>
      </c>
      <c r="H232">
        <v>2600</v>
      </c>
    </row>
    <row r="233" spans="2:8">
      <c r="B233" t="s">
        <v>587</v>
      </c>
      <c r="C233" t="s">
        <v>396</v>
      </c>
      <c r="D233">
        <v>1951.5</v>
      </c>
      <c r="E233">
        <v>1953</v>
      </c>
      <c r="F233">
        <v>1950.5</v>
      </c>
      <c r="G233">
        <v>1951.5</v>
      </c>
      <c r="H233">
        <v>4100</v>
      </c>
    </row>
    <row r="234" spans="2:8">
      <c r="B234" t="s">
        <v>587</v>
      </c>
      <c r="C234" t="s">
        <v>397</v>
      </c>
      <c r="D234">
        <v>1951.5</v>
      </c>
      <c r="E234">
        <v>1951.5</v>
      </c>
      <c r="F234">
        <v>1950</v>
      </c>
      <c r="G234">
        <v>1950.5</v>
      </c>
      <c r="H234">
        <v>4400</v>
      </c>
    </row>
    <row r="235" spans="2:8">
      <c r="B235" t="s">
        <v>587</v>
      </c>
      <c r="C235" t="s">
        <v>398</v>
      </c>
      <c r="D235">
        <v>1950.5</v>
      </c>
      <c r="E235">
        <v>1950.5</v>
      </c>
      <c r="F235">
        <v>1948</v>
      </c>
      <c r="G235">
        <v>1948</v>
      </c>
      <c r="H235">
        <v>2700</v>
      </c>
    </row>
    <row r="236" spans="2:8">
      <c r="B236" t="s">
        <v>587</v>
      </c>
      <c r="C236" t="s">
        <v>399</v>
      </c>
      <c r="D236">
        <v>1948</v>
      </c>
      <c r="E236">
        <v>1950.5</v>
      </c>
      <c r="F236">
        <v>1948</v>
      </c>
      <c r="G236">
        <v>1949.5</v>
      </c>
      <c r="H236">
        <v>2400</v>
      </c>
    </row>
    <row r="237" spans="2:8">
      <c r="B237" t="s">
        <v>587</v>
      </c>
      <c r="C237" t="s">
        <v>400</v>
      </c>
      <c r="D237">
        <v>1949.5</v>
      </c>
      <c r="E237">
        <v>1951.5</v>
      </c>
      <c r="F237">
        <v>1949.5</v>
      </c>
      <c r="G237">
        <v>1951.5</v>
      </c>
      <c r="H237">
        <v>1700</v>
      </c>
    </row>
    <row r="238" spans="2:8">
      <c r="B238" t="s">
        <v>587</v>
      </c>
      <c r="C238" t="s">
        <v>401</v>
      </c>
      <c r="D238">
        <v>1950.5</v>
      </c>
      <c r="E238">
        <v>1950.5</v>
      </c>
      <c r="F238">
        <v>1949.5</v>
      </c>
      <c r="G238">
        <v>1949.5</v>
      </c>
      <c r="H238">
        <v>3000</v>
      </c>
    </row>
    <row r="239" spans="2:8">
      <c r="B239" t="s">
        <v>587</v>
      </c>
      <c r="C239" t="s">
        <v>402</v>
      </c>
      <c r="D239">
        <v>1949</v>
      </c>
      <c r="E239">
        <v>1949.5</v>
      </c>
      <c r="F239">
        <v>1948</v>
      </c>
      <c r="G239">
        <v>1949.5</v>
      </c>
      <c r="H239">
        <v>2100</v>
      </c>
    </row>
    <row r="240" spans="2:8">
      <c r="B240" t="s">
        <v>587</v>
      </c>
      <c r="C240" t="s">
        <v>403</v>
      </c>
      <c r="D240">
        <v>1949</v>
      </c>
      <c r="E240">
        <v>1950.5</v>
      </c>
      <c r="F240">
        <v>1949</v>
      </c>
      <c r="G240">
        <v>1950.5</v>
      </c>
      <c r="H240">
        <v>2500</v>
      </c>
    </row>
    <row r="241" spans="2:8">
      <c r="B241" t="s">
        <v>587</v>
      </c>
      <c r="C241" t="s">
        <v>404</v>
      </c>
      <c r="D241">
        <v>1950.5</v>
      </c>
      <c r="E241">
        <v>1950.5</v>
      </c>
      <c r="F241">
        <v>1946.5</v>
      </c>
      <c r="G241">
        <v>1946.5</v>
      </c>
      <c r="H241">
        <v>5300</v>
      </c>
    </row>
    <row r="242" spans="2:8">
      <c r="B242" t="s">
        <v>587</v>
      </c>
      <c r="C242" t="s">
        <v>405</v>
      </c>
      <c r="D242">
        <v>1946.5</v>
      </c>
      <c r="E242">
        <v>1947</v>
      </c>
      <c r="F242">
        <v>1946</v>
      </c>
      <c r="G242">
        <v>1946.5</v>
      </c>
      <c r="H242">
        <v>900</v>
      </c>
    </row>
    <row r="243" spans="2:8">
      <c r="B243" t="s">
        <v>587</v>
      </c>
      <c r="C243" t="s">
        <v>406</v>
      </c>
      <c r="D243">
        <v>1947</v>
      </c>
      <c r="E243">
        <v>1947.5</v>
      </c>
      <c r="F243">
        <v>1946.5</v>
      </c>
      <c r="G243">
        <v>1946.5</v>
      </c>
      <c r="H243">
        <v>2100</v>
      </c>
    </row>
    <row r="244" spans="2:8">
      <c r="B244" t="s">
        <v>587</v>
      </c>
      <c r="C244" t="s">
        <v>407</v>
      </c>
      <c r="D244">
        <v>1946.5</v>
      </c>
      <c r="E244">
        <v>1948</v>
      </c>
      <c r="F244">
        <v>1946</v>
      </c>
      <c r="G244">
        <v>1948</v>
      </c>
      <c r="H244">
        <v>1600</v>
      </c>
    </row>
    <row r="245" spans="2:8">
      <c r="B245" t="s">
        <v>587</v>
      </c>
      <c r="C245" t="s">
        <v>408</v>
      </c>
      <c r="D245">
        <v>1948.5</v>
      </c>
      <c r="E245">
        <v>1949.5</v>
      </c>
      <c r="F245">
        <v>1948.5</v>
      </c>
      <c r="G245">
        <v>1949.5</v>
      </c>
      <c r="H245">
        <v>800</v>
      </c>
    </row>
    <row r="246" spans="2:8">
      <c r="B246" t="s">
        <v>587</v>
      </c>
      <c r="C246" t="s">
        <v>409</v>
      </c>
      <c r="D246">
        <v>1949.5</v>
      </c>
      <c r="E246">
        <v>1950</v>
      </c>
      <c r="F246">
        <v>1949.5</v>
      </c>
      <c r="G246">
        <v>1950</v>
      </c>
      <c r="H246">
        <v>700</v>
      </c>
    </row>
    <row r="247" spans="2:8">
      <c r="B247" t="s">
        <v>587</v>
      </c>
      <c r="C247" t="s">
        <v>410</v>
      </c>
      <c r="D247">
        <v>1950</v>
      </c>
      <c r="E247">
        <v>1951</v>
      </c>
      <c r="F247">
        <v>1949</v>
      </c>
      <c r="G247">
        <v>1950</v>
      </c>
      <c r="H247">
        <v>3900</v>
      </c>
    </row>
    <row r="248" spans="2:8">
      <c r="B248" t="s">
        <v>587</v>
      </c>
      <c r="C248" t="s">
        <v>411</v>
      </c>
      <c r="D248">
        <v>1949.5</v>
      </c>
      <c r="E248">
        <v>1951</v>
      </c>
      <c r="F248">
        <v>1949</v>
      </c>
      <c r="G248">
        <v>1950.5</v>
      </c>
      <c r="H248">
        <v>1000</v>
      </c>
    </row>
    <row r="249" spans="2:8">
      <c r="B249" t="s">
        <v>587</v>
      </c>
      <c r="C249" t="s">
        <v>412</v>
      </c>
      <c r="D249">
        <v>1950</v>
      </c>
      <c r="E249">
        <v>1950</v>
      </c>
      <c r="F249">
        <v>1948.5</v>
      </c>
      <c r="G249">
        <v>1949</v>
      </c>
      <c r="H249">
        <v>1700</v>
      </c>
    </row>
    <row r="250" spans="2:8">
      <c r="B250" t="s">
        <v>587</v>
      </c>
      <c r="C250" t="s">
        <v>413</v>
      </c>
      <c r="D250">
        <v>1949</v>
      </c>
      <c r="E250">
        <v>1951.5</v>
      </c>
      <c r="F250">
        <v>1946</v>
      </c>
      <c r="G250">
        <v>1951.5</v>
      </c>
      <c r="H250">
        <v>7500</v>
      </c>
    </row>
    <row r="251" spans="2:8">
      <c r="B251" t="s">
        <v>587</v>
      </c>
      <c r="C251" t="s">
        <v>414</v>
      </c>
      <c r="D251">
        <v>1952</v>
      </c>
      <c r="E251">
        <v>1952</v>
      </c>
      <c r="F251">
        <v>1950.5</v>
      </c>
      <c r="G251">
        <v>1950.5</v>
      </c>
      <c r="H251">
        <v>6000</v>
      </c>
    </row>
    <row r="252" spans="2:8">
      <c r="B252" t="s">
        <v>587</v>
      </c>
      <c r="C252" t="s">
        <v>415</v>
      </c>
      <c r="D252">
        <v>1951</v>
      </c>
      <c r="E252">
        <v>1951.5</v>
      </c>
      <c r="F252">
        <v>1950</v>
      </c>
      <c r="G252">
        <v>1951</v>
      </c>
      <c r="H252">
        <v>5800</v>
      </c>
    </row>
    <row r="253" spans="2:8">
      <c r="B253" t="s">
        <v>587</v>
      </c>
      <c r="C253" t="s">
        <v>416</v>
      </c>
      <c r="D253">
        <v>1951</v>
      </c>
      <c r="E253">
        <v>1953.5</v>
      </c>
      <c r="F253">
        <v>1950</v>
      </c>
      <c r="G253">
        <v>1953.5</v>
      </c>
      <c r="H253">
        <v>9400</v>
      </c>
    </row>
    <row r="254" spans="2:8">
      <c r="B254" t="s">
        <v>587</v>
      </c>
      <c r="C254" t="s">
        <v>417</v>
      </c>
      <c r="D254">
        <v>1953.5</v>
      </c>
      <c r="E254">
        <v>1954</v>
      </c>
      <c r="F254">
        <v>1953.5</v>
      </c>
      <c r="G254">
        <v>1953.5</v>
      </c>
      <c r="H254">
        <v>900</v>
      </c>
    </row>
    <row r="255" spans="2:8">
      <c r="B255" t="s">
        <v>587</v>
      </c>
      <c r="C255" t="s">
        <v>418</v>
      </c>
      <c r="D255">
        <v>1953.5</v>
      </c>
      <c r="E255">
        <v>1953.5</v>
      </c>
      <c r="F255">
        <v>1950</v>
      </c>
      <c r="G255">
        <v>1951</v>
      </c>
      <c r="H255">
        <v>2900</v>
      </c>
    </row>
    <row r="256" spans="2:8">
      <c r="B256" t="s">
        <v>587</v>
      </c>
      <c r="C256" t="s">
        <v>419</v>
      </c>
      <c r="D256">
        <v>1950.5</v>
      </c>
      <c r="E256">
        <v>1950.5</v>
      </c>
      <c r="F256">
        <v>1950</v>
      </c>
      <c r="G256">
        <v>1950</v>
      </c>
      <c r="H256">
        <v>1000</v>
      </c>
    </row>
    <row r="257" spans="2:8">
      <c r="B257" t="s">
        <v>587</v>
      </c>
      <c r="C257" t="s">
        <v>420</v>
      </c>
      <c r="D257">
        <v>1949.5</v>
      </c>
      <c r="E257">
        <v>1950.5</v>
      </c>
      <c r="F257">
        <v>1949.5</v>
      </c>
      <c r="G257">
        <v>1950.5</v>
      </c>
      <c r="H257">
        <v>900</v>
      </c>
    </row>
    <row r="258" spans="2:8">
      <c r="B258" t="s">
        <v>587</v>
      </c>
      <c r="C258" t="s">
        <v>421</v>
      </c>
      <c r="D258">
        <v>1950</v>
      </c>
      <c r="E258">
        <v>1950.5</v>
      </c>
      <c r="F258">
        <v>1949</v>
      </c>
      <c r="G258">
        <v>1949</v>
      </c>
      <c r="H258">
        <v>1600</v>
      </c>
    </row>
    <row r="259" spans="2:8">
      <c r="B259" t="s">
        <v>587</v>
      </c>
      <c r="C259" t="s">
        <v>422</v>
      </c>
      <c r="D259">
        <v>1948.5</v>
      </c>
      <c r="E259">
        <v>1948.5</v>
      </c>
      <c r="F259">
        <v>1946</v>
      </c>
      <c r="G259">
        <v>1946</v>
      </c>
      <c r="H259">
        <v>2300</v>
      </c>
    </row>
    <row r="260" spans="2:8">
      <c r="B260" t="s">
        <v>587</v>
      </c>
      <c r="C260" t="s">
        <v>423</v>
      </c>
      <c r="D260">
        <v>1946</v>
      </c>
      <c r="E260">
        <v>1948</v>
      </c>
      <c r="F260">
        <v>1945.5</v>
      </c>
      <c r="G260">
        <v>1947</v>
      </c>
      <c r="H260">
        <v>2900</v>
      </c>
    </row>
    <row r="261" spans="2:8">
      <c r="B261" t="s">
        <v>587</v>
      </c>
      <c r="C261" t="s">
        <v>424</v>
      </c>
      <c r="D261">
        <v>1947</v>
      </c>
      <c r="E261">
        <v>1947</v>
      </c>
      <c r="F261">
        <v>1946.5</v>
      </c>
      <c r="G261">
        <v>1946.5</v>
      </c>
      <c r="H261">
        <v>800</v>
      </c>
    </row>
    <row r="262" spans="2:8">
      <c r="B262" t="s">
        <v>587</v>
      </c>
      <c r="C262" t="s">
        <v>425</v>
      </c>
      <c r="D262">
        <v>1946.5</v>
      </c>
      <c r="E262">
        <v>1946.5</v>
      </c>
      <c r="F262">
        <v>1945</v>
      </c>
      <c r="G262">
        <v>1945.5</v>
      </c>
      <c r="H262">
        <v>1900</v>
      </c>
    </row>
    <row r="263" spans="2:8">
      <c r="B263" t="s">
        <v>587</v>
      </c>
      <c r="C263" t="s">
        <v>426</v>
      </c>
      <c r="D263">
        <v>1945</v>
      </c>
      <c r="E263">
        <v>1945</v>
      </c>
      <c r="F263">
        <v>1942</v>
      </c>
      <c r="G263">
        <v>1944</v>
      </c>
      <c r="H263">
        <v>7500</v>
      </c>
    </row>
    <row r="264" spans="2:8">
      <c r="B264" t="s">
        <v>587</v>
      </c>
      <c r="C264" t="s">
        <v>427</v>
      </c>
      <c r="D264">
        <v>1944</v>
      </c>
      <c r="E264">
        <v>1944</v>
      </c>
      <c r="F264">
        <v>1941.5</v>
      </c>
      <c r="G264">
        <v>1941.5</v>
      </c>
      <c r="H264">
        <v>3700</v>
      </c>
    </row>
    <row r="265" spans="2:8">
      <c r="B265" t="s">
        <v>587</v>
      </c>
      <c r="C265" t="s">
        <v>428</v>
      </c>
      <c r="D265">
        <v>1941</v>
      </c>
      <c r="E265">
        <v>1944</v>
      </c>
      <c r="F265">
        <v>1941</v>
      </c>
      <c r="G265">
        <v>1944</v>
      </c>
      <c r="H265">
        <v>4100</v>
      </c>
    </row>
    <row r="266" spans="2:8">
      <c r="B266" t="s">
        <v>587</v>
      </c>
      <c r="C266" t="s">
        <v>429</v>
      </c>
      <c r="D266">
        <v>1944</v>
      </c>
      <c r="E266">
        <v>1945</v>
      </c>
      <c r="F266">
        <v>1944</v>
      </c>
      <c r="G266">
        <v>1944</v>
      </c>
      <c r="H266">
        <v>1300</v>
      </c>
    </row>
    <row r="267" spans="2:8">
      <c r="B267" t="s">
        <v>587</v>
      </c>
      <c r="C267" t="s">
        <v>430</v>
      </c>
      <c r="D267">
        <v>1944</v>
      </c>
      <c r="E267">
        <v>1944.5</v>
      </c>
      <c r="F267">
        <v>1943.5</v>
      </c>
      <c r="G267">
        <v>1943.5</v>
      </c>
      <c r="H267">
        <v>3100</v>
      </c>
    </row>
    <row r="268" spans="2:8">
      <c r="B268" t="s">
        <v>587</v>
      </c>
      <c r="C268" t="s">
        <v>431</v>
      </c>
      <c r="D268">
        <v>1943.5</v>
      </c>
      <c r="E268">
        <v>1945.5</v>
      </c>
      <c r="F268">
        <v>1943.5</v>
      </c>
      <c r="G268">
        <v>1944.5</v>
      </c>
      <c r="H268">
        <v>2100</v>
      </c>
    </row>
    <row r="269" spans="2:8">
      <c r="B269" t="s">
        <v>587</v>
      </c>
      <c r="C269" t="s">
        <v>9</v>
      </c>
      <c r="D269">
        <v>1944.5</v>
      </c>
      <c r="E269">
        <v>1945</v>
      </c>
      <c r="F269">
        <v>1943.5</v>
      </c>
      <c r="G269">
        <v>1945</v>
      </c>
      <c r="H269">
        <v>2400</v>
      </c>
    </row>
    <row r="270" spans="2:8">
      <c r="B270" t="s">
        <v>587</v>
      </c>
      <c r="C270" t="s">
        <v>10</v>
      </c>
      <c r="D270">
        <v>1944</v>
      </c>
      <c r="E270">
        <v>1945.5</v>
      </c>
      <c r="F270">
        <v>1944</v>
      </c>
      <c r="G270">
        <v>1945.5</v>
      </c>
      <c r="H270">
        <v>1100</v>
      </c>
    </row>
    <row r="271" spans="2:8">
      <c r="B271" t="s">
        <v>587</v>
      </c>
      <c r="C271" t="s">
        <v>11</v>
      </c>
      <c r="D271">
        <v>1946</v>
      </c>
      <c r="E271">
        <v>1948</v>
      </c>
      <c r="F271">
        <v>1946</v>
      </c>
      <c r="G271">
        <v>1948</v>
      </c>
      <c r="H271">
        <v>4300</v>
      </c>
    </row>
    <row r="272" spans="2:8">
      <c r="B272" t="s">
        <v>587</v>
      </c>
      <c r="C272" t="s">
        <v>12</v>
      </c>
      <c r="D272">
        <v>1948</v>
      </c>
      <c r="E272">
        <v>1948.5</v>
      </c>
      <c r="F272">
        <v>1947.5</v>
      </c>
      <c r="G272">
        <v>1947.5</v>
      </c>
      <c r="H272">
        <v>2100</v>
      </c>
    </row>
    <row r="273" spans="2:8">
      <c r="B273" t="s">
        <v>587</v>
      </c>
      <c r="C273" t="s">
        <v>13</v>
      </c>
      <c r="D273">
        <v>1947</v>
      </c>
      <c r="E273">
        <v>1948</v>
      </c>
      <c r="F273">
        <v>1947</v>
      </c>
      <c r="G273">
        <v>1947.5</v>
      </c>
      <c r="H273">
        <v>900</v>
      </c>
    </row>
    <row r="274" spans="2:8">
      <c r="B274" t="s">
        <v>587</v>
      </c>
      <c r="C274" t="s">
        <v>14</v>
      </c>
      <c r="D274">
        <v>1947.5</v>
      </c>
      <c r="E274">
        <v>1948.5</v>
      </c>
      <c r="F274">
        <v>1947</v>
      </c>
      <c r="G274">
        <v>1948.5</v>
      </c>
      <c r="H274">
        <v>2500</v>
      </c>
    </row>
    <row r="275" spans="2:8">
      <c r="B275" t="s">
        <v>587</v>
      </c>
      <c r="C275" t="s">
        <v>15</v>
      </c>
      <c r="D275">
        <v>1948</v>
      </c>
      <c r="E275">
        <v>1948</v>
      </c>
      <c r="F275">
        <v>1946.5</v>
      </c>
      <c r="G275">
        <v>1948</v>
      </c>
      <c r="H275">
        <v>3600</v>
      </c>
    </row>
    <row r="276" spans="2:8">
      <c r="B276" t="s">
        <v>587</v>
      </c>
      <c r="C276" t="s">
        <v>16</v>
      </c>
      <c r="D276">
        <v>1947</v>
      </c>
      <c r="E276">
        <v>1949.5</v>
      </c>
      <c r="F276">
        <v>1946</v>
      </c>
      <c r="G276">
        <v>1949.5</v>
      </c>
      <c r="H276">
        <v>4600</v>
      </c>
    </row>
    <row r="277" spans="2:8">
      <c r="B277" t="s">
        <v>587</v>
      </c>
      <c r="C277" t="s">
        <v>17</v>
      </c>
      <c r="D277">
        <v>1948.5</v>
      </c>
      <c r="E277">
        <v>1949.5</v>
      </c>
      <c r="F277">
        <v>1948</v>
      </c>
      <c r="G277">
        <v>1948.5</v>
      </c>
      <c r="H277">
        <v>1600</v>
      </c>
    </row>
    <row r="278" spans="2:8">
      <c r="B278" t="s">
        <v>587</v>
      </c>
      <c r="C278" t="s">
        <v>18</v>
      </c>
      <c r="D278">
        <v>1948.5</v>
      </c>
      <c r="E278">
        <v>1949</v>
      </c>
      <c r="F278">
        <v>1947.5</v>
      </c>
      <c r="G278">
        <v>1948.5</v>
      </c>
      <c r="H278">
        <v>1700</v>
      </c>
    </row>
    <row r="279" spans="2:8">
      <c r="B279" t="s">
        <v>587</v>
      </c>
      <c r="C279" t="s">
        <v>19</v>
      </c>
      <c r="D279">
        <v>1949</v>
      </c>
      <c r="E279">
        <v>1949</v>
      </c>
      <c r="F279">
        <v>1947.5</v>
      </c>
      <c r="G279">
        <v>1948</v>
      </c>
      <c r="H279">
        <v>1800</v>
      </c>
    </row>
    <row r="280" spans="2:8">
      <c r="B280" t="s">
        <v>587</v>
      </c>
      <c r="C280" t="s">
        <v>20</v>
      </c>
      <c r="D280">
        <v>1948</v>
      </c>
      <c r="E280">
        <v>1948</v>
      </c>
      <c r="F280">
        <v>1946.5</v>
      </c>
      <c r="G280">
        <v>1946.5</v>
      </c>
      <c r="H280">
        <v>2300</v>
      </c>
    </row>
    <row r="281" spans="2:8">
      <c r="B281" t="s">
        <v>587</v>
      </c>
      <c r="C281" t="s">
        <v>21</v>
      </c>
      <c r="D281">
        <v>1947</v>
      </c>
      <c r="E281">
        <v>1951</v>
      </c>
      <c r="F281">
        <v>1947</v>
      </c>
      <c r="G281">
        <v>1951</v>
      </c>
      <c r="H281">
        <v>6600</v>
      </c>
    </row>
    <row r="282" spans="2:8">
      <c r="B282" t="s">
        <v>587</v>
      </c>
      <c r="C282" t="s">
        <v>22</v>
      </c>
      <c r="D282">
        <v>1951</v>
      </c>
      <c r="E282">
        <v>1951</v>
      </c>
      <c r="F282">
        <v>1948.5</v>
      </c>
      <c r="G282">
        <v>1948.5</v>
      </c>
      <c r="H282">
        <v>2100</v>
      </c>
    </row>
    <row r="283" spans="2:8">
      <c r="B283" t="s">
        <v>587</v>
      </c>
      <c r="C283" t="s">
        <v>23</v>
      </c>
      <c r="D283">
        <v>1948.5</v>
      </c>
      <c r="E283">
        <v>1950</v>
      </c>
      <c r="F283">
        <v>1948</v>
      </c>
      <c r="G283">
        <v>1949</v>
      </c>
      <c r="H283">
        <v>2000</v>
      </c>
    </row>
    <row r="284" spans="2:8">
      <c r="B284" t="s">
        <v>587</v>
      </c>
      <c r="C284" t="s">
        <v>24</v>
      </c>
      <c r="D284">
        <v>1948.5</v>
      </c>
      <c r="E284">
        <v>1949.5</v>
      </c>
      <c r="F284">
        <v>1948.5</v>
      </c>
      <c r="G284">
        <v>1949.5</v>
      </c>
      <c r="H284">
        <v>1600</v>
      </c>
    </row>
    <row r="285" spans="2:8">
      <c r="B285" t="s">
        <v>587</v>
      </c>
      <c r="C285" t="s">
        <v>25</v>
      </c>
      <c r="D285">
        <v>1949.5</v>
      </c>
      <c r="E285">
        <v>1949.5</v>
      </c>
      <c r="F285">
        <v>1946.5</v>
      </c>
      <c r="G285">
        <v>1946.5</v>
      </c>
      <c r="H285">
        <v>3100</v>
      </c>
    </row>
    <row r="286" spans="2:8">
      <c r="B286" t="s">
        <v>587</v>
      </c>
      <c r="C286" t="s">
        <v>26</v>
      </c>
      <c r="D286">
        <v>1947</v>
      </c>
      <c r="E286">
        <v>1947.5</v>
      </c>
      <c r="F286">
        <v>1945</v>
      </c>
      <c r="G286">
        <v>1945</v>
      </c>
      <c r="H286">
        <v>5300</v>
      </c>
    </row>
    <row r="287" spans="2:8">
      <c r="B287" t="s">
        <v>587</v>
      </c>
      <c r="C287" t="s">
        <v>27</v>
      </c>
      <c r="D287">
        <v>1944.5</v>
      </c>
      <c r="E287">
        <v>1948</v>
      </c>
      <c r="F287">
        <v>1944.5</v>
      </c>
      <c r="G287">
        <v>1946.5</v>
      </c>
      <c r="H287">
        <v>2100</v>
      </c>
    </row>
    <row r="288" spans="2:8">
      <c r="B288" t="s">
        <v>587</v>
      </c>
      <c r="C288" t="s">
        <v>28</v>
      </c>
      <c r="D288">
        <v>1946</v>
      </c>
      <c r="E288">
        <v>1946</v>
      </c>
      <c r="F288">
        <v>1944.5</v>
      </c>
      <c r="G288">
        <v>1946</v>
      </c>
      <c r="H288">
        <v>1900</v>
      </c>
    </row>
    <row r="289" spans="2:8">
      <c r="B289" t="s">
        <v>587</v>
      </c>
      <c r="C289" t="s">
        <v>29</v>
      </c>
      <c r="D289">
        <v>1945.5</v>
      </c>
      <c r="E289">
        <v>1946</v>
      </c>
      <c r="F289">
        <v>1945</v>
      </c>
      <c r="G289">
        <v>1945</v>
      </c>
      <c r="H289">
        <v>1600</v>
      </c>
    </row>
    <row r="290" spans="2:8">
      <c r="B290" t="s">
        <v>587</v>
      </c>
      <c r="C290" t="s">
        <v>30</v>
      </c>
      <c r="D290">
        <v>1944.5</v>
      </c>
      <c r="E290">
        <v>1945.5</v>
      </c>
      <c r="F290">
        <v>1944.5</v>
      </c>
      <c r="G290">
        <v>1945</v>
      </c>
      <c r="H290">
        <v>1800</v>
      </c>
    </row>
    <row r="291" spans="2:8">
      <c r="B291" t="s">
        <v>587</v>
      </c>
      <c r="C291" t="s">
        <v>31</v>
      </c>
      <c r="D291">
        <v>1945</v>
      </c>
      <c r="E291">
        <v>1946.5</v>
      </c>
      <c r="F291">
        <v>1944.5</v>
      </c>
      <c r="G291">
        <v>1946</v>
      </c>
      <c r="H291">
        <v>2400</v>
      </c>
    </row>
    <row r="292" spans="2:8">
      <c r="B292" t="s">
        <v>587</v>
      </c>
      <c r="C292" t="s">
        <v>32</v>
      </c>
      <c r="D292">
        <v>1946.5</v>
      </c>
      <c r="E292">
        <v>1948</v>
      </c>
      <c r="F292">
        <v>1945.5</v>
      </c>
      <c r="G292">
        <v>1948</v>
      </c>
      <c r="H292">
        <v>1400</v>
      </c>
    </row>
    <row r="293" spans="2:8">
      <c r="B293" t="s">
        <v>587</v>
      </c>
      <c r="C293" t="s">
        <v>33</v>
      </c>
      <c r="D293">
        <v>1947</v>
      </c>
      <c r="E293">
        <v>1947</v>
      </c>
      <c r="F293">
        <v>1945</v>
      </c>
      <c r="G293">
        <v>1946</v>
      </c>
      <c r="H293">
        <v>2500</v>
      </c>
    </row>
    <row r="294" spans="2:8">
      <c r="B294" t="s">
        <v>587</v>
      </c>
      <c r="C294" t="s">
        <v>34</v>
      </c>
      <c r="D294">
        <v>1945</v>
      </c>
      <c r="E294">
        <v>1946</v>
      </c>
      <c r="F294">
        <v>1944</v>
      </c>
      <c r="G294">
        <v>1945.5</v>
      </c>
      <c r="H294">
        <v>2700</v>
      </c>
    </row>
    <row r="295" spans="2:8">
      <c r="B295" t="s">
        <v>587</v>
      </c>
      <c r="C295" t="s">
        <v>35</v>
      </c>
      <c r="D295">
        <v>1945.5</v>
      </c>
      <c r="E295">
        <v>1947</v>
      </c>
      <c r="F295">
        <v>1945</v>
      </c>
      <c r="G295">
        <v>1946.5</v>
      </c>
      <c r="H295">
        <v>1600</v>
      </c>
    </row>
    <row r="296" spans="2:8">
      <c r="B296" t="s">
        <v>587</v>
      </c>
      <c r="C296" t="s">
        <v>36</v>
      </c>
      <c r="D296">
        <v>1947</v>
      </c>
      <c r="E296">
        <v>1947.5</v>
      </c>
      <c r="F296">
        <v>1946.5</v>
      </c>
      <c r="G296">
        <v>1947.5</v>
      </c>
      <c r="H296">
        <v>1200</v>
      </c>
    </row>
    <row r="297" spans="2:8">
      <c r="B297" t="s">
        <v>587</v>
      </c>
      <c r="C297" t="s">
        <v>37</v>
      </c>
      <c r="D297">
        <v>1947</v>
      </c>
      <c r="E297">
        <v>1948.5</v>
      </c>
      <c r="F297">
        <v>1947</v>
      </c>
      <c r="G297">
        <v>1948</v>
      </c>
      <c r="H297">
        <v>2600</v>
      </c>
    </row>
    <row r="298" spans="2:8">
      <c r="B298" t="s">
        <v>587</v>
      </c>
      <c r="C298" t="s">
        <v>38</v>
      </c>
      <c r="D298">
        <v>1948.5</v>
      </c>
      <c r="E298">
        <v>1948.5</v>
      </c>
      <c r="F298">
        <v>1948</v>
      </c>
      <c r="G298">
        <v>1948.5</v>
      </c>
      <c r="H298">
        <v>2700</v>
      </c>
    </row>
    <row r="299" spans="2:8">
      <c r="B299" t="s">
        <v>587</v>
      </c>
      <c r="C299" t="s">
        <v>39</v>
      </c>
      <c r="D299">
        <v>1948</v>
      </c>
      <c r="E299">
        <v>1949</v>
      </c>
      <c r="F299">
        <v>1948</v>
      </c>
      <c r="G299">
        <v>1948.5</v>
      </c>
      <c r="H299">
        <v>1400</v>
      </c>
    </row>
    <row r="300" spans="2:8">
      <c r="B300" t="s">
        <v>587</v>
      </c>
      <c r="C300" t="s">
        <v>40</v>
      </c>
      <c r="D300">
        <v>1948</v>
      </c>
      <c r="E300">
        <v>1949.5</v>
      </c>
      <c r="F300">
        <v>1948</v>
      </c>
      <c r="G300">
        <v>1949</v>
      </c>
      <c r="H300">
        <v>2800</v>
      </c>
    </row>
    <row r="301" spans="2:8">
      <c r="B301" t="s">
        <v>587</v>
      </c>
      <c r="C301" t="s">
        <v>41</v>
      </c>
      <c r="D301">
        <v>1949</v>
      </c>
      <c r="E301">
        <v>1949</v>
      </c>
      <c r="F301">
        <v>1948</v>
      </c>
      <c r="G301">
        <v>1949</v>
      </c>
      <c r="H301">
        <v>1100</v>
      </c>
    </row>
    <row r="302" spans="2:8">
      <c r="B302" t="s">
        <v>587</v>
      </c>
      <c r="C302" t="s">
        <v>42</v>
      </c>
      <c r="D302">
        <v>1949</v>
      </c>
      <c r="E302">
        <v>1949.5</v>
      </c>
      <c r="F302">
        <v>1948.5</v>
      </c>
      <c r="G302">
        <v>1949</v>
      </c>
      <c r="H302">
        <v>2400</v>
      </c>
    </row>
    <row r="303" spans="2:8">
      <c r="B303" t="s">
        <v>587</v>
      </c>
      <c r="C303" t="s">
        <v>43</v>
      </c>
      <c r="D303">
        <v>1948.5</v>
      </c>
      <c r="E303">
        <v>1949</v>
      </c>
      <c r="F303">
        <v>1947.5</v>
      </c>
      <c r="G303">
        <v>1949</v>
      </c>
      <c r="H303">
        <v>3600</v>
      </c>
    </row>
    <row r="304" spans="2:8">
      <c r="B304" t="s">
        <v>587</v>
      </c>
      <c r="C304" t="s">
        <v>44</v>
      </c>
      <c r="D304">
        <v>1949.5</v>
      </c>
      <c r="E304">
        <v>1951.5</v>
      </c>
      <c r="F304">
        <v>1949.5</v>
      </c>
      <c r="G304">
        <v>1949.5</v>
      </c>
      <c r="H304">
        <v>7600</v>
      </c>
    </row>
    <row r="305" spans="2:8">
      <c r="B305" t="s">
        <v>587</v>
      </c>
      <c r="C305" t="s">
        <v>45</v>
      </c>
      <c r="D305">
        <v>1948.5</v>
      </c>
      <c r="E305">
        <v>1952.5</v>
      </c>
      <c r="F305">
        <v>1948.5</v>
      </c>
      <c r="G305">
        <v>1952.5</v>
      </c>
      <c r="H305">
        <v>5900</v>
      </c>
    </row>
    <row r="306" spans="2:8">
      <c r="B306" t="s">
        <v>587</v>
      </c>
      <c r="C306" t="s">
        <v>46</v>
      </c>
      <c r="D306">
        <v>1952</v>
      </c>
      <c r="E306">
        <v>1952.5</v>
      </c>
      <c r="F306">
        <v>1950.5</v>
      </c>
      <c r="G306">
        <v>1950.5</v>
      </c>
      <c r="H306">
        <v>1300</v>
      </c>
    </row>
    <row r="307" spans="2:8">
      <c r="B307" t="s">
        <v>587</v>
      </c>
      <c r="C307" t="s">
        <v>47</v>
      </c>
      <c r="D307">
        <v>1950.5</v>
      </c>
      <c r="E307">
        <v>1952.5</v>
      </c>
      <c r="F307">
        <v>1950.5</v>
      </c>
      <c r="G307">
        <v>1952.5</v>
      </c>
      <c r="H307">
        <v>1000</v>
      </c>
    </row>
    <row r="308" spans="2:8">
      <c r="B308" t="s">
        <v>587</v>
      </c>
      <c r="C308" t="s">
        <v>48</v>
      </c>
      <c r="D308">
        <v>1952</v>
      </c>
      <c r="E308">
        <v>1954</v>
      </c>
      <c r="F308">
        <v>1951.5</v>
      </c>
      <c r="G308">
        <v>1953.5</v>
      </c>
      <c r="H308">
        <v>4300</v>
      </c>
    </row>
    <row r="309" spans="2:8">
      <c r="B309" t="s">
        <v>587</v>
      </c>
      <c r="C309" t="s">
        <v>49</v>
      </c>
      <c r="D309">
        <v>1954</v>
      </c>
      <c r="E309">
        <v>1954</v>
      </c>
      <c r="F309">
        <v>1953</v>
      </c>
      <c r="G309">
        <v>1953.5</v>
      </c>
      <c r="H309">
        <v>4200</v>
      </c>
    </row>
    <row r="310" spans="2:8">
      <c r="B310" t="s">
        <v>587</v>
      </c>
      <c r="C310" t="s">
        <v>50</v>
      </c>
      <c r="D310">
        <v>1954.5</v>
      </c>
      <c r="E310">
        <v>1955</v>
      </c>
      <c r="F310">
        <v>1953</v>
      </c>
      <c r="G310">
        <v>1954.5</v>
      </c>
      <c r="H310">
        <v>3500</v>
      </c>
    </row>
    <row r="311" spans="2:8">
      <c r="B311" t="s">
        <v>587</v>
      </c>
      <c r="C311" t="s">
        <v>51</v>
      </c>
      <c r="D311">
        <v>1954</v>
      </c>
      <c r="E311">
        <v>1955</v>
      </c>
      <c r="F311">
        <v>1954</v>
      </c>
      <c r="G311">
        <v>1955</v>
      </c>
      <c r="H311">
        <v>1800</v>
      </c>
    </row>
    <row r="312" spans="2:8">
      <c r="B312" t="s">
        <v>587</v>
      </c>
      <c r="C312" t="s">
        <v>52</v>
      </c>
      <c r="D312">
        <v>1955</v>
      </c>
      <c r="E312">
        <v>1957</v>
      </c>
      <c r="F312">
        <v>1954.5</v>
      </c>
      <c r="G312">
        <v>1954.5</v>
      </c>
      <c r="H312">
        <v>5200</v>
      </c>
    </row>
    <row r="313" spans="2:8">
      <c r="B313" t="s">
        <v>587</v>
      </c>
      <c r="C313" t="s">
        <v>53</v>
      </c>
      <c r="D313">
        <v>1955</v>
      </c>
      <c r="E313">
        <v>1956</v>
      </c>
      <c r="F313">
        <v>1954.5</v>
      </c>
      <c r="G313">
        <v>1955.5</v>
      </c>
      <c r="H313">
        <v>1600</v>
      </c>
    </row>
    <row r="314" spans="2:8">
      <c r="B314" t="s">
        <v>587</v>
      </c>
      <c r="C314" t="s">
        <v>54</v>
      </c>
      <c r="D314">
        <v>1956.5</v>
      </c>
      <c r="E314">
        <v>1956.5</v>
      </c>
      <c r="F314">
        <v>1954.5</v>
      </c>
      <c r="G314">
        <v>1955.5</v>
      </c>
      <c r="H314">
        <v>3100</v>
      </c>
    </row>
    <row r="315" spans="2:8">
      <c r="B315" t="s">
        <v>587</v>
      </c>
      <c r="C315" t="s">
        <v>55</v>
      </c>
      <c r="D315">
        <v>1955.5</v>
      </c>
      <c r="E315">
        <v>1956</v>
      </c>
      <c r="F315">
        <v>1955</v>
      </c>
      <c r="G315">
        <v>1955</v>
      </c>
      <c r="H315">
        <v>2500</v>
      </c>
    </row>
    <row r="316" spans="2:8">
      <c r="B316" t="s">
        <v>587</v>
      </c>
      <c r="C316" t="s">
        <v>56</v>
      </c>
      <c r="D316">
        <v>1954.5</v>
      </c>
      <c r="E316">
        <v>1955.5</v>
      </c>
      <c r="F316">
        <v>1954</v>
      </c>
      <c r="G316">
        <v>1954.5</v>
      </c>
      <c r="H316">
        <v>2000</v>
      </c>
    </row>
    <row r="317" spans="2:8">
      <c r="B317" t="s">
        <v>587</v>
      </c>
      <c r="C317" t="s">
        <v>57</v>
      </c>
      <c r="D317">
        <v>1955.5</v>
      </c>
      <c r="E317">
        <v>1956.5</v>
      </c>
      <c r="F317">
        <v>1954.5</v>
      </c>
      <c r="G317">
        <v>1956.5</v>
      </c>
      <c r="H317">
        <v>2600</v>
      </c>
    </row>
    <row r="318" spans="2:8">
      <c r="B318" t="s">
        <v>587</v>
      </c>
      <c r="C318" t="s">
        <v>58</v>
      </c>
      <c r="D318">
        <v>1956</v>
      </c>
      <c r="E318">
        <v>1956.5</v>
      </c>
      <c r="F318">
        <v>1955</v>
      </c>
      <c r="G318">
        <v>1955.5</v>
      </c>
      <c r="H318">
        <v>1900</v>
      </c>
    </row>
    <row r="319" spans="2:8">
      <c r="B319" t="s">
        <v>587</v>
      </c>
      <c r="C319" t="s">
        <v>59</v>
      </c>
      <c r="D319">
        <v>1955</v>
      </c>
      <c r="E319">
        <v>1955</v>
      </c>
      <c r="F319">
        <v>1951.5</v>
      </c>
      <c r="G319">
        <v>1952</v>
      </c>
      <c r="H319">
        <v>8400</v>
      </c>
    </row>
    <row r="320" spans="2:8">
      <c r="B320" t="s">
        <v>587</v>
      </c>
      <c r="C320" t="s">
        <v>60</v>
      </c>
      <c r="D320">
        <v>1952</v>
      </c>
      <c r="E320">
        <v>1952.5</v>
      </c>
      <c r="F320">
        <v>1951</v>
      </c>
      <c r="G320">
        <v>1952</v>
      </c>
      <c r="H320">
        <v>4400</v>
      </c>
    </row>
    <row r="321" spans="1:8">
      <c r="B321" t="s">
        <v>587</v>
      </c>
      <c r="C321" t="s">
        <v>61</v>
      </c>
      <c r="D321">
        <v>1951.5</v>
      </c>
      <c r="E321">
        <v>1952</v>
      </c>
      <c r="F321">
        <v>1950</v>
      </c>
      <c r="G321">
        <v>1951.5</v>
      </c>
      <c r="H321">
        <v>3900</v>
      </c>
    </row>
    <row r="322" spans="1:8">
      <c r="B322" t="s">
        <v>587</v>
      </c>
      <c r="C322" t="s">
        <v>62</v>
      </c>
      <c r="D322">
        <v>1952</v>
      </c>
      <c r="E322">
        <v>1952</v>
      </c>
      <c r="F322">
        <v>1949.5</v>
      </c>
      <c r="G322">
        <v>1950.5</v>
      </c>
      <c r="H322">
        <v>5000</v>
      </c>
    </row>
    <row r="323" spans="1:8">
      <c r="B323" t="s">
        <v>587</v>
      </c>
      <c r="C323" t="s">
        <v>63</v>
      </c>
      <c r="D323">
        <v>1950.5</v>
      </c>
      <c r="E323">
        <v>1953.5</v>
      </c>
      <c r="F323">
        <v>1949.5</v>
      </c>
      <c r="G323">
        <v>1953</v>
      </c>
      <c r="H323">
        <v>8600</v>
      </c>
    </row>
    <row r="324" spans="1:8">
      <c r="B324" t="s">
        <v>587</v>
      </c>
      <c r="C324" t="s">
        <v>64</v>
      </c>
      <c r="D324">
        <v>1952.5</v>
      </c>
      <c r="E324">
        <v>1952.5</v>
      </c>
      <c r="F324">
        <v>1951</v>
      </c>
      <c r="G324">
        <v>1951.5</v>
      </c>
      <c r="H324">
        <v>4200</v>
      </c>
    </row>
    <row r="325" spans="1:8">
      <c r="B325" t="s">
        <v>587</v>
      </c>
      <c r="C325" t="s">
        <v>65</v>
      </c>
      <c r="D325">
        <v>1952</v>
      </c>
      <c r="E325">
        <v>1953</v>
      </c>
      <c r="F325">
        <v>1950.5</v>
      </c>
      <c r="G325">
        <v>1953</v>
      </c>
      <c r="H325">
        <v>12900</v>
      </c>
    </row>
    <row r="326" spans="1:8">
      <c r="B326" t="s">
        <v>587</v>
      </c>
      <c r="C326" t="s">
        <v>66</v>
      </c>
      <c r="D326">
        <v>1953</v>
      </c>
      <c r="E326">
        <v>1953.5</v>
      </c>
      <c r="F326">
        <v>1952</v>
      </c>
      <c r="G326">
        <v>1953</v>
      </c>
      <c r="H326">
        <v>6200</v>
      </c>
    </row>
    <row r="327" spans="1:8">
      <c r="B327" t="s">
        <v>587</v>
      </c>
      <c r="C327" t="s">
        <v>164</v>
      </c>
      <c r="D327">
        <v>1953</v>
      </c>
      <c r="E327">
        <v>1954.5</v>
      </c>
      <c r="F327">
        <v>1952.5</v>
      </c>
      <c r="G327">
        <v>1954</v>
      </c>
      <c r="H327">
        <v>4300</v>
      </c>
    </row>
    <row r="328" spans="1:8">
      <c r="B328" t="s">
        <v>587</v>
      </c>
      <c r="C328" t="s">
        <v>165</v>
      </c>
      <c r="D328">
        <v>1954.5</v>
      </c>
      <c r="E328">
        <v>1955.5</v>
      </c>
      <c r="F328">
        <v>1953</v>
      </c>
      <c r="G328">
        <v>1955.5</v>
      </c>
      <c r="H328">
        <v>8600</v>
      </c>
    </row>
    <row r="329" spans="1:8">
      <c r="B329" t="s">
        <v>587</v>
      </c>
      <c r="C329" t="s">
        <v>67</v>
      </c>
      <c r="D329" t="s">
        <v>8</v>
      </c>
      <c r="E329" t="s">
        <v>8</v>
      </c>
      <c r="F329" t="s">
        <v>8</v>
      </c>
      <c r="G329" t="s">
        <v>8</v>
      </c>
      <c r="H329">
        <v>0</v>
      </c>
    </row>
    <row r="330" spans="1:8">
      <c r="B330" t="s">
        <v>587</v>
      </c>
      <c r="C330" t="s">
        <v>68</v>
      </c>
      <c r="D330" t="s">
        <v>8</v>
      </c>
      <c r="E330" t="s">
        <v>8</v>
      </c>
      <c r="F330" t="s">
        <v>8</v>
      </c>
      <c r="G330" t="s">
        <v>8</v>
      </c>
      <c r="H330">
        <v>0</v>
      </c>
    </row>
    <row r="331" spans="1:8">
      <c r="B331" t="s">
        <v>587</v>
      </c>
      <c r="C331" t="s">
        <v>69</v>
      </c>
      <c r="D331" t="s">
        <v>8</v>
      </c>
      <c r="E331" t="s">
        <v>8</v>
      </c>
      <c r="F331" t="s">
        <v>8</v>
      </c>
      <c r="G331" t="s">
        <v>8</v>
      </c>
      <c r="H331">
        <v>0</v>
      </c>
    </row>
    <row r="332" spans="1:8">
      <c r="B332" t="s">
        <v>587</v>
      </c>
      <c r="C332" t="s">
        <v>70</v>
      </c>
      <c r="D332" t="s">
        <v>8</v>
      </c>
      <c r="E332" t="s">
        <v>8</v>
      </c>
      <c r="F332" t="s">
        <v>8</v>
      </c>
      <c r="G332" t="s">
        <v>8</v>
      </c>
      <c r="H332">
        <v>0</v>
      </c>
    </row>
    <row r="333" spans="1:8">
      <c r="B333" t="s">
        <v>587</v>
      </c>
      <c r="C333" t="s">
        <v>71</v>
      </c>
      <c r="D333" t="s">
        <v>8</v>
      </c>
      <c r="E333" t="s">
        <v>8</v>
      </c>
      <c r="F333" t="s">
        <v>8</v>
      </c>
      <c r="G333" t="s">
        <v>8</v>
      </c>
      <c r="H333">
        <v>0</v>
      </c>
    </row>
    <row r="334" spans="1:8">
      <c r="B334" t="s">
        <v>587</v>
      </c>
      <c r="C334" t="s">
        <v>72</v>
      </c>
      <c r="D334">
        <v>1957.5</v>
      </c>
      <c r="E334">
        <v>1957.5</v>
      </c>
      <c r="F334">
        <v>1957.5</v>
      </c>
      <c r="G334">
        <v>1957.5</v>
      </c>
      <c r="H334">
        <v>202500</v>
      </c>
    </row>
    <row r="335" spans="1:8">
      <c r="A335" s="1" t="s">
        <v>79</v>
      </c>
      <c r="B335" s="1" t="s">
        <v>79</v>
      </c>
      <c r="C335" s="1" t="s">
        <v>79</v>
      </c>
      <c r="D335" s="1" t="s">
        <v>79</v>
      </c>
      <c r="E335" s="1" t="s">
        <v>79</v>
      </c>
      <c r="F335" s="1" t="s">
        <v>79</v>
      </c>
      <c r="G335" s="1" t="s">
        <v>79</v>
      </c>
      <c r="H335" s="1" t="s">
        <v>79</v>
      </c>
    </row>
    <row r="336" spans="1:8">
      <c r="B336" t="s">
        <v>442</v>
      </c>
      <c r="C336" t="s">
        <v>167</v>
      </c>
      <c r="D336">
        <v>1960.5</v>
      </c>
      <c r="E336">
        <v>1962.5</v>
      </c>
      <c r="F336">
        <v>1957</v>
      </c>
      <c r="G336">
        <v>1960</v>
      </c>
      <c r="H336">
        <v>4200</v>
      </c>
    </row>
    <row r="337" spans="2:8">
      <c r="B337" t="s">
        <v>442</v>
      </c>
      <c r="C337" t="s">
        <v>168</v>
      </c>
      <c r="D337">
        <v>1960</v>
      </c>
      <c r="E337">
        <v>1967</v>
      </c>
      <c r="F337">
        <v>1958.5</v>
      </c>
      <c r="G337">
        <v>1967</v>
      </c>
      <c r="H337">
        <v>6800</v>
      </c>
    </row>
    <row r="338" spans="2:8">
      <c r="B338" t="s">
        <v>442</v>
      </c>
      <c r="C338" t="s">
        <v>169</v>
      </c>
      <c r="D338">
        <v>1966</v>
      </c>
      <c r="E338">
        <v>1977</v>
      </c>
      <c r="F338">
        <v>1963</v>
      </c>
      <c r="G338">
        <v>1977</v>
      </c>
      <c r="H338">
        <v>17100</v>
      </c>
    </row>
    <row r="339" spans="2:8">
      <c r="B339" t="s">
        <v>442</v>
      </c>
      <c r="C339" t="s">
        <v>170</v>
      </c>
      <c r="D339">
        <v>1976</v>
      </c>
      <c r="E339">
        <v>1980.5</v>
      </c>
      <c r="F339">
        <v>1971.5</v>
      </c>
      <c r="G339">
        <v>1980</v>
      </c>
      <c r="H339">
        <v>9900</v>
      </c>
    </row>
    <row r="340" spans="2:8">
      <c r="B340" t="s">
        <v>442</v>
      </c>
      <c r="C340" t="s">
        <v>171</v>
      </c>
      <c r="D340">
        <v>1979.5</v>
      </c>
      <c r="E340">
        <v>1996.5</v>
      </c>
      <c r="F340">
        <v>1979</v>
      </c>
      <c r="G340">
        <v>1992.5</v>
      </c>
      <c r="H340">
        <v>36900</v>
      </c>
    </row>
    <row r="341" spans="2:8">
      <c r="B341" t="s">
        <v>442</v>
      </c>
      <c r="C341" t="s">
        <v>172</v>
      </c>
      <c r="D341">
        <v>1992.5</v>
      </c>
      <c r="E341">
        <v>1994</v>
      </c>
      <c r="F341">
        <v>1983</v>
      </c>
      <c r="G341">
        <v>1983.5</v>
      </c>
      <c r="H341">
        <v>9000</v>
      </c>
    </row>
    <row r="342" spans="2:8">
      <c r="B342" t="s">
        <v>442</v>
      </c>
      <c r="C342" t="s">
        <v>173</v>
      </c>
      <c r="D342">
        <v>1983</v>
      </c>
      <c r="E342">
        <v>1986</v>
      </c>
      <c r="F342">
        <v>1975.5</v>
      </c>
      <c r="G342">
        <v>1978</v>
      </c>
      <c r="H342">
        <v>8900</v>
      </c>
    </row>
    <row r="343" spans="2:8">
      <c r="B343" t="s">
        <v>442</v>
      </c>
      <c r="C343" t="s">
        <v>174</v>
      </c>
      <c r="D343">
        <v>1978</v>
      </c>
      <c r="E343">
        <v>1980.5</v>
      </c>
      <c r="F343">
        <v>1977.5</v>
      </c>
      <c r="G343">
        <v>1977.5</v>
      </c>
      <c r="H343">
        <v>4900</v>
      </c>
    </row>
    <row r="344" spans="2:8">
      <c r="B344" t="s">
        <v>442</v>
      </c>
      <c r="C344" t="s">
        <v>175</v>
      </c>
      <c r="D344">
        <v>1977</v>
      </c>
      <c r="E344">
        <v>1977</v>
      </c>
      <c r="F344">
        <v>1971.5</v>
      </c>
      <c r="G344">
        <v>1974.5</v>
      </c>
      <c r="H344">
        <v>4700</v>
      </c>
    </row>
    <row r="345" spans="2:8">
      <c r="B345" t="s">
        <v>442</v>
      </c>
      <c r="C345" t="s">
        <v>176</v>
      </c>
      <c r="D345">
        <v>1974</v>
      </c>
      <c r="E345">
        <v>1981</v>
      </c>
      <c r="F345">
        <v>1972.5</v>
      </c>
      <c r="G345">
        <v>1977</v>
      </c>
      <c r="H345">
        <v>8500</v>
      </c>
    </row>
    <row r="346" spans="2:8">
      <c r="B346" t="s">
        <v>442</v>
      </c>
      <c r="C346" t="s">
        <v>177</v>
      </c>
      <c r="D346">
        <v>1978.5</v>
      </c>
      <c r="E346">
        <v>1980</v>
      </c>
      <c r="F346">
        <v>1977</v>
      </c>
      <c r="G346">
        <v>1977.5</v>
      </c>
      <c r="H346">
        <v>2100</v>
      </c>
    </row>
    <row r="347" spans="2:8">
      <c r="B347" t="s">
        <v>442</v>
      </c>
      <c r="C347" t="s">
        <v>178</v>
      </c>
      <c r="D347">
        <v>1977.5</v>
      </c>
      <c r="E347">
        <v>1978</v>
      </c>
      <c r="F347">
        <v>1967</v>
      </c>
      <c r="G347">
        <v>1967</v>
      </c>
      <c r="H347">
        <v>19700</v>
      </c>
    </row>
    <row r="348" spans="2:8">
      <c r="B348" t="s">
        <v>442</v>
      </c>
      <c r="C348" t="s">
        <v>179</v>
      </c>
      <c r="D348">
        <v>1966</v>
      </c>
      <c r="E348">
        <v>1967.5</v>
      </c>
      <c r="F348">
        <v>1965.5</v>
      </c>
      <c r="G348">
        <v>1966</v>
      </c>
      <c r="H348">
        <v>1800</v>
      </c>
    </row>
    <row r="349" spans="2:8">
      <c r="B349" t="s">
        <v>442</v>
      </c>
      <c r="C349" t="s">
        <v>180</v>
      </c>
      <c r="D349">
        <v>1966</v>
      </c>
      <c r="E349">
        <v>1967.5</v>
      </c>
      <c r="F349">
        <v>1961.5</v>
      </c>
      <c r="G349">
        <v>1962</v>
      </c>
      <c r="H349">
        <v>6900</v>
      </c>
    </row>
    <row r="350" spans="2:8">
      <c r="B350" t="s">
        <v>442</v>
      </c>
      <c r="C350" t="s">
        <v>181</v>
      </c>
      <c r="D350">
        <v>1962</v>
      </c>
      <c r="E350">
        <v>1966</v>
      </c>
      <c r="F350">
        <v>1960</v>
      </c>
      <c r="G350">
        <v>1964</v>
      </c>
      <c r="H350">
        <v>7300</v>
      </c>
    </row>
    <row r="351" spans="2:8">
      <c r="B351" t="s">
        <v>442</v>
      </c>
      <c r="C351" t="s">
        <v>182</v>
      </c>
      <c r="D351">
        <v>1964.5</v>
      </c>
      <c r="E351">
        <v>1966</v>
      </c>
      <c r="F351">
        <v>1963</v>
      </c>
      <c r="G351">
        <v>1964.5</v>
      </c>
      <c r="H351">
        <v>1800</v>
      </c>
    </row>
    <row r="352" spans="2:8">
      <c r="B352" t="s">
        <v>442</v>
      </c>
      <c r="C352" t="s">
        <v>183</v>
      </c>
      <c r="D352">
        <v>1962</v>
      </c>
      <c r="E352">
        <v>1962.5</v>
      </c>
      <c r="F352">
        <v>1957</v>
      </c>
      <c r="G352">
        <v>1958</v>
      </c>
      <c r="H352">
        <v>8000</v>
      </c>
    </row>
    <row r="353" spans="2:8">
      <c r="B353" t="s">
        <v>442</v>
      </c>
      <c r="C353" t="s">
        <v>184</v>
      </c>
      <c r="D353">
        <v>1958</v>
      </c>
      <c r="E353">
        <v>1959.5</v>
      </c>
      <c r="F353">
        <v>1953.5</v>
      </c>
      <c r="G353">
        <v>1954</v>
      </c>
      <c r="H353">
        <v>16500</v>
      </c>
    </row>
    <row r="354" spans="2:8">
      <c r="B354" t="s">
        <v>442</v>
      </c>
      <c r="C354" t="s">
        <v>185</v>
      </c>
      <c r="D354">
        <v>1953</v>
      </c>
      <c r="E354">
        <v>1955.5</v>
      </c>
      <c r="F354">
        <v>1950.5</v>
      </c>
      <c r="G354">
        <v>1952</v>
      </c>
      <c r="H354">
        <v>6100</v>
      </c>
    </row>
    <row r="355" spans="2:8">
      <c r="B355" t="s">
        <v>442</v>
      </c>
      <c r="C355" t="s">
        <v>186</v>
      </c>
      <c r="D355">
        <v>1953.5</v>
      </c>
      <c r="E355">
        <v>1956</v>
      </c>
      <c r="F355">
        <v>1951.5</v>
      </c>
      <c r="G355">
        <v>1954</v>
      </c>
      <c r="H355">
        <v>4000</v>
      </c>
    </row>
    <row r="356" spans="2:8">
      <c r="B356" t="s">
        <v>442</v>
      </c>
      <c r="C356" t="s">
        <v>187</v>
      </c>
      <c r="D356">
        <v>1953.5</v>
      </c>
      <c r="E356">
        <v>1954.5</v>
      </c>
      <c r="F356">
        <v>1946.5</v>
      </c>
      <c r="G356">
        <v>1946.5</v>
      </c>
      <c r="H356">
        <v>16200</v>
      </c>
    </row>
    <row r="357" spans="2:8">
      <c r="B357" t="s">
        <v>442</v>
      </c>
      <c r="C357" t="s">
        <v>188</v>
      </c>
      <c r="D357">
        <v>1948</v>
      </c>
      <c r="E357">
        <v>1950.5</v>
      </c>
      <c r="F357">
        <v>1947</v>
      </c>
      <c r="G357">
        <v>1948</v>
      </c>
      <c r="H357">
        <v>4800</v>
      </c>
    </row>
    <row r="358" spans="2:8">
      <c r="B358" t="s">
        <v>442</v>
      </c>
      <c r="C358" t="s">
        <v>189</v>
      </c>
      <c r="D358">
        <v>1948.5</v>
      </c>
      <c r="E358">
        <v>1953</v>
      </c>
      <c r="F358">
        <v>1948.5</v>
      </c>
      <c r="G358">
        <v>1953</v>
      </c>
      <c r="H358">
        <v>4300</v>
      </c>
    </row>
    <row r="359" spans="2:8">
      <c r="B359" t="s">
        <v>442</v>
      </c>
      <c r="C359" t="s">
        <v>190</v>
      </c>
      <c r="D359">
        <v>1951.5</v>
      </c>
      <c r="E359">
        <v>1955.5</v>
      </c>
      <c r="F359">
        <v>1951</v>
      </c>
      <c r="G359">
        <v>1954</v>
      </c>
      <c r="H359">
        <v>3500</v>
      </c>
    </row>
    <row r="360" spans="2:8">
      <c r="B360" t="s">
        <v>442</v>
      </c>
      <c r="C360" t="s">
        <v>191</v>
      </c>
      <c r="D360">
        <v>1953.5</v>
      </c>
      <c r="E360">
        <v>1954.5</v>
      </c>
      <c r="F360">
        <v>1949</v>
      </c>
      <c r="G360">
        <v>1951.5</v>
      </c>
      <c r="H360">
        <v>7200</v>
      </c>
    </row>
    <row r="361" spans="2:8">
      <c r="B361" t="s">
        <v>442</v>
      </c>
      <c r="C361" t="s">
        <v>192</v>
      </c>
      <c r="D361">
        <v>1950</v>
      </c>
      <c r="E361">
        <v>1955</v>
      </c>
      <c r="F361">
        <v>1950</v>
      </c>
      <c r="G361">
        <v>1953.5</v>
      </c>
      <c r="H361">
        <v>5600</v>
      </c>
    </row>
    <row r="362" spans="2:8">
      <c r="B362" t="s">
        <v>442</v>
      </c>
      <c r="C362" t="s">
        <v>193</v>
      </c>
      <c r="D362">
        <v>1953.5</v>
      </c>
      <c r="E362">
        <v>1955</v>
      </c>
      <c r="F362">
        <v>1952</v>
      </c>
      <c r="G362">
        <v>1952</v>
      </c>
      <c r="H362">
        <v>2100</v>
      </c>
    </row>
    <row r="363" spans="2:8">
      <c r="B363" t="s">
        <v>442</v>
      </c>
      <c r="C363" t="s">
        <v>194</v>
      </c>
      <c r="D363">
        <v>1953.5</v>
      </c>
      <c r="E363">
        <v>1957</v>
      </c>
      <c r="F363">
        <v>1952</v>
      </c>
      <c r="G363">
        <v>1955</v>
      </c>
      <c r="H363">
        <v>3300</v>
      </c>
    </row>
    <row r="364" spans="2:8">
      <c r="B364" t="s">
        <v>442</v>
      </c>
      <c r="C364" t="s">
        <v>195</v>
      </c>
      <c r="D364">
        <v>1952</v>
      </c>
      <c r="E364">
        <v>1952.5</v>
      </c>
      <c r="F364">
        <v>1952</v>
      </c>
      <c r="G364">
        <v>1952</v>
      </c>
      <c r="H364">
        <v>700</v>
      </c>
    </row>
    <row r="365" spans="2:8">
      <c r="B365" t="s">
        <v>442</v>
      </c>
      <c r="C365" t="s">
        <v>196</v>
      </c>
      <c r="D365">
        <v>1951</v>
      </c>
      <c r="E365">
        <v>1955</v>
      </c>
      <c r="F365">
        <v>1950.5</v>
      </c>
      <c r="G365">
        <v>1953</v>
      </c>
      <c r="H365">
        <v>3800</v>
      </c>
    </row>
    <row r="366" spans="2:8">
      <c r="B366" t="s">
        <v>442</v>
      </c>
      <c r="C366" t="s">
        <v>197</v>
      </c>
      <c r="D366">
        <v>1954</v>
      </c>
      <c r="E366">
        <v>1954.5</v>
      </c>
      <c r="F366">
        <v>1953.5</v>
      </c>
      <c r="G366">
        <v>1953.5</v>
      </c>
      <c r="H366">
        <v>900</v>
      </c>
    </row>
    <row r="367" spans="2:8">
      <c r="B367" t="s">
        <v>442</v>
      </c>
      <c r="C367" t="s">
        <v>198</v>
      </c>
      <c r="D367">
        <v>1954.5</v>
      </c>
      <c r="E367">
        <v>1954.5</v>
      </c>
      <c r="F367">
        <v>1952</v>
      </c>
      <c r="G367">
        <v>1952</v>
      </c>
      <c r="H367">
        <v>1400</v>
      </c>
    </row>
    <row r="368" spans="2:8">
      <c r="B368" t="s">
        <v>442</v>
      </c>
      <c r="C368" t="s">
        <v>199</v>
      </c>
      <c r="D368">
        <v>1952</v>
      </c>
      <c r="E368">
        <v>1955</v>
      </c>
      <c r="F368">
        <v>1952</v>
      </c>
      <c r="G368">
        <v>1954.5</v>
      </c>
      <c r="H368">
        <v>1400</v>
      </c>
    </row>
    <row r="369" spans="2:8">
      <c r="B369" t="s">
        <v>442</v>
      </c>
      <c r="C369" t="s">
        <v>200</v>
      </c>
      <c r="D369">
        <v>1955</v>
      </c>
      <c r="E369">
        <v>1955.5</v>
      </c>
      <c r="F369">
        <v>1952.5</v>
      </c>
      <c r="G369">
        <v>1955.5</v>
      </c>
      <c r="H369">
        <v>1500</v>
      </c>
    </row>
    <row r="370" spans="2:8">
      <c r="B370" t="s">
        <v>442</v>
      </c>
      <c r="C370" t="s">
        <v>201</v>
      </c>
      <c r="D370">
        <v>1957.5</v>
      </c>
      <c r="E370">
        <v>1960</v>
      </c>
      <c r="F370">
        <v>1956</v>
      </c>
      <c r="G370">
        <v>1959.5</v>
      </c>
      <c r="H370">
        <v>5500</v>
      </c>
    </row>
    <row r="371" spans="2:8">
      <c r="B371" t="s">
        <v>442</v>
      </c>
      <c r="C371" t="s">
        <v>202</v>
      </c>
      <c r="D371">
        <v>1959.5</v>
      </c>
      <c r="E371">
        <v>1960</v>
      </c>
      <c r="F371">
        <v>1956</v>
      </c>
      <c r="G371">
        <v>1958</v>
      </c>
      <c r="H371">
        <v>3100</v>
      </c>
    </row>
    <row r="372" spans="2:8">
      <c r="B372" t="s">
        <v>442</v>
      </c>
      <c r="C372" t="s">
        <v>203</v>
      </c>
      <c r="D372">
        <v>1960</v>
      </c>
      <c r="E372">
        <v>1964</v>
      </c>
      <c r="F372">
        <v>1960</v>
      </c>
      <c r="G372">
        <v>1963</v>
      </c>
      <c r="H372">
        <v>5100</v>
      </c>
    </row>
    <row r="373" spans="2:8">
      <c r="B373" t="s">
        <v>442</v>
      </c>
      <c r="C373" t="s">
        <v>204</v>
      </c>
      <c r="D373">
        <v>1961.5</v>
      </c>
      <c r="E373">
        <v>1965</v>
      </c>
      <c r="F373">
        <v>1961.5</v>
      </c>
      <c r="G373">
        <v>1964</v>
      </c>
      <c r="H373">
        <v>2600</v>
      </c>
    </row>
    <row r="374" spans="2:8">
      <c r="B374" t="s">
        <v>442</v>
      </c>
      <c r="C374" t="s">
        <v>205</v>
      </c>
      <c r="D374">
        <v>1964.5</v>
      </c>
      <c r="E374">
        <v>1967</v>
      </c>
      <c r="F374">
        <v>1964</v>
      </c>
      <c r="G374">
        <v>1964.5</v>
      </c>
      <c r="H374">
        <v>10200</v>
      </c>
    </row>
    <row r="375" spans="2:8">
      <c r="B375" t="s">
        <v>442</v>
      </c>
      <c r="C375" t="s">
        <v>206</v>
      </c>
      <c r="D375">
        <v>1964</v>
      </c>
      <c r="E375">
        <v>1968</v>
      </c>
      <c r="F375">
        <v>1964</v>
      </c>
      <c r="G375">
        <v>1965.5</v>
      </c>
      <c r="H375">
        <v>4300</v>
      </c>
    </row>
    <row r="376" spans="2:8">
      <c r="B376" t="s">
        <v>442</v>
      </c>
      <c r="C376" t="s">
        <v>207</v>
      </c>
      <c r="D376">
        <v>1964</v>
      </c>
      <c r="E376">
        <v>1966</v>
      </c>
      <c r="F376">
        <v>1963.5</v>
      </c>
      <c r="G376">
        <v>1966</v>
      </c>
      <c r="H376">
        <v>1500</v>
      </c>
    </row>
    <row r="377" spans="2:8">
      <c r="B377" t="s">
        <v>442</v>
      </c>
      <c r="C377" t="s">
        <v>208</v>
      </c>
      <c r="D377">
        <v>1967.5</v>
      </c>
      <c r="E377">
        <v>1970</v>
      </c>
      <c r="F377">
        <v>1966</v>
      </c>
      <c r="G377">
        <v>1970</v>
      </c>
      <c r="H377">
        <v>9300</v>
      </c>
    </row>
    <row r="378" spans="2:8">
      <c r="B378" t="s">
        <v>442</v>
      </c>
      <c r="C378" t="s">
        <v>209</v>
      </c>
      <c r="D378">
        <v>1971</v>
      </c>
      <c r="E378">
        <v>1976.5</v>
      </c>
      <c r="F378">
        <v>1971</v>
      </c>
      <c r="G378">
        <v>1975</v>
      </c>
      <c r="H378">
        <v>5800</v>
      </c>
    </row>
    <row r="379" spans="2:8">
      <c r="B379" t="s">
        <v>442</v>
      </c>
      <c r="C379" t="s">
        <v>210</v>
      </c>
      <c r="D379">
        <v>1975</v>
      </c>
      <c r="E379">
        <v>1980.5</v>
      </c>
      <c r="F379">
        <v>1975</v>
      </c>
      <c r="G379">
        <v>1980.5</v>
      </c>
      <c r="H379">
        <v>5300</v>
      </c>
    </row>
    <row r="380" spans="2:8">
      <c r="B380" t="s">
        <v>442</v>
      </c>
      <c r="C380" t="s">
        <v>211</v>
      </c>
      <c r="D380">
        <v>1979.5</v>
      </c>
      <c r="E380">
        <v>1979.5</v>
      </c>
      <c r="F380">
        <v>1976</v>
      </c>
      <c r="G380">
        <v>1976</v>
      </c>
      <c r="H380">
        <v>6100</v>
      </c>
    </row>
    <row r="381" spans="2:8">
      <c r="B381" t="s">
        <v>442</v>
      </c>
      <c r="C381" t="s">
        <v>212</v>
      </c>
      <c r="D381">
        <v>1975.5</v>
      </c>
      <c r="E381">
        <v>1979</v>
      </c>
      <c r="F381">
        <v>1975.5</v>
      </c>
      <c r="G381">
        <v>1977.5</v>
      </c>
      <c r="H381">
        <v>1200</v>
      </c>
    </row>
    <row r="382" spans="2:8">
      <c r="B382" t="s">
        <v>442</v>
      </c>
      <c r="C382" t="s">
        <v>213</v>
      </c>
      <c r="D382">
        <v>1977.5</v>
      </c>
      <c r="E382">
        <v>1978</v>
      </c>
      <c r="F382">
        <v>1977</v>
      </c>
      <c r="G382">
        <v>1977.5</v>
      </c>
      <c r="H382">
        <v>1700</v>
      </c>
    </row>
    <row r="383" spans="2:8">
      <c r="B383" t="s">
        <v>442</v>
      </c>
      <c r="C383" t="s">
        <v>214</v>
      </c>
      <c r="D383">
        <v>1978</v>
      </c>
      <c r="E383">
        <v>1978.5</v>
      </c>
      <c r="F383">
        <v>1975</v>
      </c>
      <c r="G383">
        <v>1977.5</v>
      </c>
      <c r="H383">
        <v>3700</v>
      </c>
    </row>
    <row r="384" spans="2:8">
      <c r="B384" t="s">
        <v>442</v>
      </c>
      <c r="C384" t="s">
        <v>215</v>
      </c>
      <c r="D384">
        <v>1977.5</v>
      </c>
      <c r="E384">
        <v>1979</v>
      </c>
      <c r="F384">
        <v>1976</v>
      </c>
      <c r="G384">
        <v>1978.5</v>
      </c>
      <c r="H384">
        <v>4100</v>
      </c>
    </row>
    <row r="385" spans="2:8">
      <c r="B385" t="s">
        <v>442</v>
      </c>
      <c r="C385" t="s">
        <v>216</v>
      </c>
      <c r="D385">
        <v>1977.5</v>
      </c>
      <c r="E385">
        <v>1978</v>
      </c>
      <c r="F385">
        <v>1972.5</v>
      </c>
      <c r="G385">
        <v>1974</v>
      </c>
      <c r="H385">
        <v>6600</v>
      </c>
    </row>
    <row r="386" spans="2:8">
      <c r="B386" t="s">
        <v>442</v>
      </c>
      <c r="C386" t="s">
        <v>217</v>
      </c>
      <c r="D386">
        <v>1975.5</v>
      </c>
      <c r="E386">
        <v>1975.5</v>
      </c>
      <c r="F386">
        <v>1971.5</v>
      </c>
      <c r="G386">
        <v>1972.5</v>
      </c>
      <c r="H386">
        <v>8800</v>
      </c>
    </row>
    <row r="387" spans="2:8">
      <c r="B387" t="s">
        <v>442</v>
      </c>
      <c r="C387" t="s">
        <v>218</v>
      </c>
      <c r="D387">
        <v>1972.5</v>
      </c>
      <c r="E387">
        <v>1973.5</v>
      </c>
      <c r="F387">
        <v>1970</v>
      </c>
      <c r="G387">
        <v>1973</v>
      </c>
      <c r="H387">
        <v>5200</v>
      </c>
    </row>
    <row r="388" spans="2:8">
      <c r="B388" t="s">
        <v>442</v>
      </c>
      <c r="C388" t="s">
        <v>219</v>
      </c>
      <c r="D388">
        <v>1972</v>
      </c>
      <c r="E388">
        <v>1973</v>
      </c>
      <c r="F388">
        <v>1971.5</v>
      </c>
      <c r="G388">
        <v>1973</v>
      </c>
      <c r="H388">
        <v>1600</v>
      </c>
    </row>
    <row r="389" spans="2:8">
      <c r="B389" t="s">
        <v>442</v>
      </c>
      <c r="C389" t="s">
        <v>220</v>
      </c>
      <c r="D389">
        <v>1972.5</v>
      </c>
      <c r="E389">
        <v>1973</v>
      </c>
      <c r="F389">
        <v>1966</v>
      </c>
      <c r="G389">
        <v>1968</v>
      </c>
      <c r="H389">
        <v>4200</v>
      </c>
    </row>
    <row r="390" spans="2:8">
      <c r="B390" t="s">
        <v>442</v>
      </c>
      <c r="C390" t="s">
        <v>221</v>
      </c>
      <c r="D390">
        <v>1968</v>
      </c>
      <c r="E390">
        <v>1970.5</v>
      </c>
      <c r="F390">
        <v>1968</v>
      </c>
      <c r="G390">
        <v>1969.5</v>
      </c>
      <c r="H390">
        <v>3500</v>
      </c>
    </row>
    <row r="391" spans="2:8">
      <c r="B391" t="s">
        <v>442</v>
      </c>
      <c r="C391" t="s">
        <v>222</v>
      </c>
      <c r="D391">
        <v>1967.5</v>
      </c>
      <c r="E391">
        <v>1967.5</v>
      </c>
      <c r="F391">
        <v>1964</v>
      </c>
      <c r="G391">
        <v>1967.5</v>
      </c>
      <c r="H391">
        <v>3600</v>
      </c>
    </row>
    <row r="392" spans="2:8">
      <c r="B392" t="s">
        <v>442</v>
      </c>
      <c r="C392" t="s">
        <v>223</v>
      </c>
      <c r="D392">
        <v>1968</v>
      </c>
      <c r="E392">
        <v>1968.5</v>
      </c>
      <c r="F392">
        <v>1967</v>
      </c>
      <c r="G392">
        <v>1968</v>
      </c>
      <c r="H392">
        <v>600</v>
      </c>
    </row>
    <row r="393" spans="2:8">
      <c r="B393" t="s">
        <v>442</v>
      </c>
      <c r="C393" t="s">
        <v>224</v>
      </c>
      <c r="D393">
        <v>1968</v>
      </c>
      <c r="E393">
        <v>1970</v>
      </c>
      <c r="F393">
        <v>1968</v>
      </c>
      <c r="G393">
        <v>1970</v>
      </c>
      <c r="H393">
        <v>3500</v>
      </c>
    </row>
    <row r="394" spans="2:8">
      <c r="B394" t="s">
        <v>442</v>
      </c>
      <c r="C394" t="s">
        <v>225</v>
      </c>
      <c r="D394">
        <v>1971</v>
      </c>
      <c r="E394">
        <v>1975</v>
      </c>
      <c r="F394">
        <v>1971</v>
      </c>
      <c r="G394">
        <v>1975</v>
      </c>
      <c r="H394">
        <v>2700</v>
      </c>
    </row>
    <row r="395" spans="2:8">
      <c r="B395" t="s">
        <v>442</v>
      </c>
      <c r="C395" t="s">
        <v>226</v>
      </c>
      <c r="D395">
        <v>1974.5</v>
      </c>
      <c r="E395">
        <v>1974.5</v>
      </c>
      <c r="F395">
        <v>1968</v>
      </c>
      <c r="G395">
        <v>1970.5</v>
      </c>
      <c r="H395">
        <v>4800</v>
      </c>
    </row>
    <row r="396" spans="2:8">
      <c r="B396" t="s">
        <v>442</v>
      </c>
      <c r="C396" t="s">
        <v>227</v>
      </c>
      <c r="D396">
        <v>1970.5</v>
      </c>
      <c r="E396">
        <v>1979.5</v>
      </c>
      <c r="F396">
        <v>1969</v>
      </c>
      <c r="G396">
        <v>1979</v>
      </c>
      <c r="H396">
        <v>10600</v>
      </c>
    </row>
    <row r="397" spans="2:8">
      <c r="B397" t="s">
        <v>442</v>
      </c>
      <c r="C397" t="s">
        <v>228</v>
      </c>
      <c r="D397">
        <v>1979</v>
      </c>
      <c r="E397">
        <v>1981</v>
      </c>
      <c r="F397">
        <v>1978.5</v>
      </c>
      <c r="G397">
        <v>1980</v>
      </c>
      <c r="H397">
        <v>3000</v>
      </c>
    </row>
    <row r="398" spans="2:8">
      <c r="B398" t="s">
        <v>442</v>
      </c>
      <c r="C398" t="s">
        <v>229</v>
      </c>
      <c r="D398">
        <v>1980.5</v>
      </c>
      <c r="E398">
        <v>1983</v>
      </c>
      <c r="F398">
        <v>1980</v>
      </c>
      <c r="G398">
        <v>1980.5</v>
      </c>
      <c r="H398">
        <v>5600</v>
      </c>
    </row>
    <row r="399" spans="2:8">
      <c r="B399" t="s">
        <v>442</v>
      </c>
      <c r="C399" t="s">
        <v>230</v>
      </c>
      <c r="D399">
        <v>1980</v>
      </c>
      <c r="E399">
        <v>1980</v>
      </c>
      <c r="F399">
        <v>1976</v>
      </c>
      <c r="G399">
        <v>1976</v>
      </c>
      <c r="H399">
        <v>5000</v>
      </c>
    </row>
    <row r="400" spans="2:8">
      <c r="B400" t="s">
        <v>442</v>
      </c>
      <c r="C400" t="s">
        <v>231</v>
      </c>
      <c r="D400">
        <v>1977</v>
      </c>
      <c r="E400">
        <v>1978</v>
      </c>
      <c r="F400">
        <v>1976</v>
      </c>
      <c r="G400">
        <v>1977</v>
      </c>
      <c r="H400">
        <v>3600</v>
      </c>
    </row>
    <row r="401" spans="2:8">
      <c r="B401" t="s">
        <v>442</v>
      </c>
      <c r="C401" t="s">
        <v>232</v>
      </c>
      <c r="D401">
        <v>1976.5</v>
      </c>
      <c r="E401">
        <v>1977</v>
      </c>
      <c r="F401">
        <v>1970.5</v>
      </c>
      <c r="G401">
        <v>1970.5</v>
      </c>
      <c r="H401">
        <v>5800</v>
      </c>
    </row>
    <row r="402" spans="2:8">
      <c r="B402" t="s">
        <v>442</v>
      </c>
      <c r="C402" t="s">
        <v>233</v>
      </c>
      <c r="D402">
        <v>1971.5</v>
      </c>
      <c r="E402">
        <v>1975</v>
      </c>
      <c r="F402">
        <v>1971</v>
      </c>
      <c r="G402">
        <v>1974.5</v>
      </c>
      <c r="H402">
        <v>3700</v>
      </c>
    </row>
    <row r="403" spans="2:8">
      <c r="B403" t="s">
        <v>442</v>
      </c>
      <c r="C403" t="s">
        <v>234</v>
      </c>
      <c r="D403">
        <v>1974.5</v>
      </c>
      <c r="E403">
        <v>1979</v>
      </c>
      <c r="F403">
        <v>1974.5</v>
      </c>
      <c r="G403">
        <v>1977</v>
      </c>
      <c r="H403">
        <v>3400</v>
      </c>
    </row>
    <row r="404" spans="2:8">
      <c r="B404" t="s">
        <v>442</v>
      </c>
      <c r="C404" t="s">
        <v>235</v>
      </c>
      <c r="D404">
        <v>1977.5</v>
      </c>
      <c r="E404">
        <v>1977.5</v>
      </c>
      <c r="F404">
        <v>1976.5</v>
      </c>
      <c r="G404">
        <v>1976.5</v>
      </c>
      <c r="H404">
        <v>3300</v>
      </c>
    </row>
    <row r="405" spans="2:8">
      <c r="B405" t="s">
        <v>442</v>
      </c>
      <c r="C405" t="s">
        <v>236</v>
      </c>
      <c r="D405">
        <v>1976</v>
      </c>
      <c r="E405">
        <v>1976</v>
      </c>
      <c r="F405">
        <v>1975.5</v>
      </c>
      <c r="G405">
        <v>1975.5</v>
      </c>
      <c r="H405">
        <v>800</v>
      </c>
    </row>
    <row r="406" spans="2:8">
      <c r="B406" t="s">
        <v>442</v>
      </c>
      <c r="C406" t="s">
        <v>237</v>
      </c>
      <c r="D406">
        <v>1975</v>
      </c>
      <c r="E406">
        <v>1975.5</v>
      </c>
      <c r="F406">
        <v>1974.5</v>
      </c>
      <c r="G406">
        <v>1974.5</v>
      </c>
      <c r="H406">
        <v>700</v>
      </c>
    </row>
    <row r="407" spans="2:8">
      <c r="B407" t="s">
        <v>442</v>
      </c>
      <c r="C407" t="s">
        <v>238</v>
      </c>
      <c r="D407">
        <v>1974.5</v>
      </c>
      <c r="E407">
        <v>1975</v>
      </c>
      <c r="F407">
        <v>1974</v>
      </c>
      <c r="G407">
        <v>1975</v>
      </c>
      <c r="H407">
        <v>1300</v>
      </c>
    </row>
    <row r="408" spans="2:8">
      <c r="B408" t="s">
        <v>442</v>
      </c>
      <c r="C408" t="s">
        <v>239</v>
      </c>
      <c r="D408">
        <v>1976</v>
      </c>
      <c r="E408">
        <v>1978</v>
      </c>
      <c r="F408">
        <v>1976</v>
      </c>
      <c r="G408">
        <v>1978</v>
      </c>
      <c r="H408">
        <v>500</v>
      </c>
    </row>
    <row r="409" spans="2:8">
      <c r="B409" t="s">
        <v>442</v>
      </c>
      <c r="C409" t="s">
        <v>240</v>
      </c>
      <c r="D409">
        <v>1977</v>
      </c>
      <c r="E409">
        <v>1977</v>
      </c>
      <c r="F409">
        <v>1975.5</v>
      </c>
      <c r="G409">
        <v>1977</v>
      </c>
      <c r="H409">
        <v>2500</v>
      </c>
    </row>
    <row r="410" spans="2:8">
      <c r="B410" t="s">
        <v>442</v>
      </c>
      <c r="C410" t="s">
        <v>241</v>
      </c>
      <c r="D410">
        <v>1977.5</v>
      </c>
      <c r="E410">
        <v>1978.5</v>
      </c>
      <c r="F410">
        <v>1977</v>
      </c>
      <c r="G410">
        <v>1977</v>
      </c>
      <c r="H410">
        <v>1100</v>
      </c>
    </row>
    <row r="411" spans="2:8">
      <c r="B411" t="s">
        <v>442</v>
      </c>
      <c r="C411" t="s">
        <v>242</v>
      </c>
      <c r="D411">
        <v>1977.5</v>
      </c>
      <c r="E411">
        <v>1977.5</v>
      </c>
      <c r="F411">
        <v>1976</v>
      </c>
      <c r="G411">
        <v>1976</v>
      </c>
      <c r="H411">
        <v>1400</v>
      </c>
    </row>
    <row r="412" spans="2:8">
      <c r="B412" t="s">
        <v>442</v>
      </c>
      <c r="C412" t="s">
        <v>243</v>
      </c>
      <c r="D412">
        <v>1977.5</v>
      </c>
      <c r="E412">
        <v>1979</v>
      </c>
      <c r="F412">
        <v>1977.5</v>
      </c>
      <c r="G412">
        <v>1978</v>
      </c>
      <c r="H412">
        <v>1800</v>
      </c>
    </row>
    <row r="413" spans="2:8">
      <c r="B413" t="s">
        <v>442</v>
      </c>
      <c r="C413" t="s">
        <v>244</v>
      </c>
      <c r="D413">
        <v>1978</v>
      </c>
      <c r="E413">
        <v>1979.5</v>
      </c>
      <c r="F413">
        <v>1978</v>
      </c>
      <c r="G413">
        <v>1979.5</v>
      </c>
      <c r="H413">
        <v>900</v>
      </c>
    </row>
    <row r="414" spans="2:8">
      <c r="B414" t="s">
        <v>442</v>
      </c>
      <c r="C414" t="s">
        <v>245</v>
      </c>
      <c r="D414">
        <v>1978.5</v>
      </c>
      <c r="E414">
        <v>1978.5</v>
      </c>
      <c r="F414">
        <v>1977</v>
      </c>
      <c r="G414">
        <v>1977</v>
      </c>
      <c r="H414">
        <v>400</v>
      </c>
    </row>
    <row r="415" spans="2:8">
      <c r="B415" t="s">
        <v>442</v>
      </c>
      <c r="C415" t="s">
        <v>246</v>
      </c>
      <c r="D415">
        <v>1977.5</v>
      </c>
      <c r="E415">
        <v>1978</v>
      </c>
      <c r="F415">
        <v>1976.5</v>
      </c>
      <c r="G415">
        <v>1978</v>
      </c>
      <c r="H415">
        <v>3100</v>
      </c>
    </row>
    <row r="416" spans="2:8">
      <c r="B416" t="s">
        <v>442</v>
      </c>
      <c r="C416" t="s">
        <v>247</v>
      </c>
      <c r="D416">
        <v>1977</v>
      </c>
      <c r="E416">
        <v>1979</v>
      </c>
      <c r="F416">
        <v>1977</v>
      </c>
      <c r="G416">
        <v>1977.5</v>
      </c>
      <c r="H416">
        <v>2000</v>
      </c>
    </row>
    <row r="417" spans="2:8">
      <c r="B417" t="s">
        <v>442</v>
      </c>
      <c r="C417" t="s">
        <v>248</v>
      </c>
      <c r="D417">
        <v>1977</v>
      </c>
      <c r="E417">
        <v>1977.5</v>
      </c>
      <c r="F417">
        <v>1974.5</v>
      </c>
      <c r="G417">
        <v>1975.5</v>
      </c>
      <c r="H417">
        <v>2300</v>
      </c>
    </row>
    <row r="418" spans="2:8">
      <c r="B418" t="s">
        <v>442</v>
      </c>
      <c r="C418" t="s">
        <v>249</v>
      </c>
      <c r="D418">
        <v>1975</v>
      </c>
      <c r="E418">
        <v>1975</v>
      </c>
      <c r="F418">
        <v>1972.5</v>
      </c>
      <c r="G418">
        <v>1972.5</v>
      </c>
      <c r="H418">
        <v>1600</v>
      </c>
    </row>
    <row r="419" spans="2:8">
      <c r="B419" t="s">
        <v>442</v>
      </c>
      <c r="C419" t="s">
        <v>250</v>
      </c>
      <c r="D419">
        <v>1972</v>
      </c>
      <c r="E419">
        <v>1975</v>
      </c>
      <c r="F419">
        <v>1972</v>
      </c>
      <c r="G419">
        <v>1974</v>
      </c>
      <c r="H419">
        <v>1200</v>
      </c>
    </row>
    <row r="420" spans="2:8">
      <c r="B420" t="s">
        <v>442</v>
      </c>
      <c r="C420" t="s">
        <v>251</v>
      </c>
      <c r="D420">
        <v>1973</v>
      </c>
      <c r="E420">
        <v>1973</v>
      </c>
      <c r="F420">
        <v>1972.5</v>
      </c>
      <c r="G420">
        <v>1972.5</v>
      </c>
      <c r="H420">
        <v>500</v>
      </c>
    </row>
    <row r="421" spans="2:8">
      <c r="B421" t="s">
        <v>442</v>
      </c>
      <c r="C421" t="s">
        <v>252</v>
      </c>
      <c r="D421">
        <v>1973</v>
      </c>
      <c r="E421">
        <v>1973</v>
      </c>
      <c r="F421">
        <v>1973</v>
      </c>
      <c r="G421">
        <v>1973</v>
      </c>
      <c r="H421">
        <v>800</v>
      </c>
    </row>
    <row r="422" spans="2:8">
      <c r="B422" t="s">
        <v>442</v>
      </c>
      <c r="C422" t="s">
        <v>253</v>
      </c>
      <c r="D422">
        <v>1974</v>
      </c>
      <c r="E422">
        <v>1975</v>
      </c>
      <c r="F422">
        <v>1973</v>
      </c>
      <c r="G422">
        <v>1973</v>
      </c>
      <c r="H422">
        <v>1700</v>
      </c>
    </row>
    <row r="423" spans="2:8">
      <c r="B423" t="s">
        <v>442</v>
      </c>
      <c r="C423" t="s">
        <v>254</v>
      </c>
      <c r="D423">
        <v>1972.5</v>
      </c>
      <c r="E423">
        <v>1973.5</v>
      </c>
      <c r="F423">
        <v>1971</v>
      </c>
      <c r="G423">
        <v>1971</v>
      </c>
      <c r="H423">
        <v>2400</v>
      </c>
    </row>
    <row r="424" spans="2:8">
      <c r="B424" t="s">
        <v>442</v>
      </c>
      <c r="C424" t="s">
        <v>255</v>
      </c>
      <c r="D424">
        <v>1971</v>
      </c>
      <c r="E424">
        <v>1971</v>
      </c>
      <c r="F424">
        <v>1970</v>
      </c>
      <c r="G424">
        <v>1970.5</v>
      </c>
      <c r="H424">
        <v>800</v>
      </c>
    </row>
    <row r="425" spans="2:8">
      <c r="B425" t="s">
        <v>442</v>
      </c>
      <c r="C425" t="s">
        <v>256</v>
      </c>
      <c r="D425">
        <v>1970.5</v>
      </c>
      <c r="E425">
        <v>1971</v>
      </c>
      <c r="F425">
        <v>1968</v>
      </c>
      <c r="G425">
        <v>1968</v>
      </c>
      <c r="H425">
        <v>5700</v>
      </c>
    </row>
    <row r="426" spans="2:8">
      <c r="B426" t="s">
        <v>442</v>
      </c>
      <c r="C426" t="s">
        <v>257</v>
      </c>
      <c r="D426">
        <v>1967</v>
      </c>
      <c r="E426">
        <v>1967</v>
      </c>
      <c r="F426">
        <v>1962</v>
      </c>
      <c r="G426">
        <v>1964</v>
      </c>
      <c r="H426">
        <v>10600</v>
      </c>
    </row>
    <row r="427" spans="2:8">
      <c r="B427" t="s">
        <v>442</v>
      </c>
      <c r="C427" t="s">
        <v>258</v>
      </c>
      <c r="D427">
        <v>1963.5</v>
      </c>
      <c r="E427">
        <v>1964</v>
      </c>
      <c r="F427">
        <v>1963</v>
      </c>
      <c r="G427">
        <v>1963</v>
      </c>
      <c r="H427">
        <v>2100</v>
      </c>
    </row>
    <row r="428" spans="2:8">
      <c r="B428" t="s">
        <v>442</v>
      </c>
      <c r="C428" t="s">
        <v>259</v>
      </c>
      <c r="D428">
        <v>1964</v>
      </c>
      <c r="E428">
        <v>1968</v>
      </c>
      <c r="F428">
        <v>1964</v>
      </c>
      <c r="G428">
        <v>1966</v>
      </c>
      <c r="H428">
        <v>8600</v>
      </c>
    </row>
    <row r="429" spans="2:8">
      <c r="B429" t="s">
        <v>442</v>
      </c>
      <c r="C429" t="s">
        <v>260</v>
      </c>
      <c r="D429">
        <v>1965.5</v>
      </c>
      <c r="E429">
        <v>1966.5</v>
      </c>
      <c r="F429">
        <v>1964.5</v>
      </c>
      <c r="G429">
        <v>1966.5</v>
      </c>
      <c r="H429">
        <v>2200</v>
      </c>
    </row>
    <row r="430" spans="2:8">
      <c r="B430" t="s">
        <v>442</v>
      </c>
      <c r="C430" t="s">
        <v>261</v>
      </c>
      <c r="D430">
        <v>1966.5</v>
      </c>
      <c r="E430">
        <v>1967.5</v>
      </c>
      <c r="F430">
        <v>1966</v>
      </c>
      <c r="G430">
        <v>1967</v>
      </c>
      <c r="H430">
        <v>1600</v>
      </c>
    </row>
    <row r="431" spans="2:8">
      <c r="B431" t="s">
        <v>442</v>
      </c>
      <c r="C431" t="s">
        <v>262</v>
      </c>
      <c r="D431">
        <v>1967</v>
      </c>
      <c r="E431">
        <v>1967</v>
      </c>
      <c r="F431">
        <v>1966.5</v>
      </c>
      <c r="G431">
        <v>1967</v>
      </c>
      <c r="H431">
        <v>600</v>
      </c>
    </row>
    <row r="432" spans="2:8">
      <c r="B432" t="s">
        <v>442</v>
      </c>
      <c r="C432" t="s">
        <v>263</v>
      </c>
      <c r="D432">
        <v>1966.5</v>
      </c>
      <c r="E432">
        <v>1967.5</v>
      </c>
      <c r="F432">
        <v>1964.5</v>
      </c>
      <c r="G432">
        <v>1967.5</v>
      </c>
      <c r="H432">
        <v>2500</v>
      </c>
    </row>
    <row r="433" spans="2:8">
      <c r="B433" t="s">
        <v>442</v>
      </c>
      <c r="C433" t="s">
        <v>264</v>
      </c>
      <c r="D433">
        <v>1967</v>
      </c>
      <c r="E433">
        <v>1968.5</v>
      </c>
      <c r="F433">
        <v>1967</v>
      </c>
      <c r="G433">
        <v>1968.5</v>
      </c>
      <c r="H433">
        <v>1500</v>
      </c>
    </row>
    <row r="434" spans="2:8">
      <c r="B434" t="s">
        <v>442</v>
      </c>
      <c r="C434" t="s">
        <v>265</v>
      </c>
      <c r="D434">
        <v>1968</v>
      </c>
      <c r="E434">
        <v>1968</v>
      </c>
      <c r="F434">
        <v>1965</v>
      </c>
      <c r="G434">
        <v>1965</v>
      </c>
      <c r="H434">
        <v>700</v>
      </c>
    </row>
    <row r="435" spans="2:8">
      <c r="B435" t="s">
        <v>442</v>
      </c>
      <c r="C435" t="s">
        <v>266</v>
      </c>
      <c r="D435">
        <v>1965</v>
      </c>
      <c r="E435">
        <v>1965</v>
      </c>
      <c r="F435">
        <v>1962.5</v>
      </c>
      <c r="G435">
        <v>1962.5</v>
      </c>
      <c r="H435">
        <v>800</v>
      </c>
    </row>
    <row r="436" spans="2:8">
      <c r="B436" t="s">
        <v>442</v>
      </c>
      <c r="C436" t="s">
        <v>267</v>
      </c>
      <c r="D436">
        <v>1962.5</v>
      </c>
      <c r="E436">
        <v>1963</v>
      </c>
      <c r="F436">
        <v>1962</v>
      </c>
      <c r="G436">
        <v>1963</v>
      </c>
      <c r="H436">
        <v>1200</v>
      </c>
    </row>
    <row r="437" spans="2:8">
      <c r="B437" t="s">
        <v>442</v>
      </c>
      <c r="C437" t="s">
        <v>268</v>
      </c>
      <c r="D437">
        <v>1962.5</v>
      </c>
      <c r="E437">
        <v>1962.5</v>
      </c>
      <c r="F437">
        <v>1962.5</v>
      </c>
      <c r="G437">
        <v>1962.5</v>
      </c>
      <c r="H437">
        <v>100</v>
      </c>
    </row>
    <row r="438" spans="2:8">
      <c r="B438" t="s">
        <v>442</v>
      </c>
      <c r="C438" t="s">
        <v>269</v>
      </c>
      <c r="D438">
        <v>1963.5</v>
      </c>
      <c r="E438">
        <v>1965.5</v>
      </c>
      <c r="F438">
        <v>1963.5</v>
      </c>
      <c r="G438">
        <v>1965.5</v>
      </c>
      <c r="H438">
        <v>1300</v>
      </c>
    </row>
    <row r="439" spans="2:8">
      <c r="B439" t="s">
        <v>442</v>
      </c>
      <c r="C439" t="s">
        <v>270</v>
      </c>
      <c r="D439">
        <v>1965</v>
      </c>
      <c r="E439">
        <v>1966.5</v>
      </c>
      <c r="F439">
        <v>1964.5</v>
      </c>
      <c r="G439">
        <v>1966.5</v>
      </c>
      <c r="H439">
        <v>1200</v>
      </c>
    </row>
    <row r="440" spans="2:8">
      <c r="B440" t="s">
        <v>442</v>
      </c>
      <c r="C440" t="s">
        <v>271</v>
      </c>
      <c r="D440">
        <v>1966.5</v>
      </c>
      <c r="E440">
        <v>1966.5</v>
      </c>
      <c r="F440">
        <v>1965.5</v>
      </c>
      <c r="G440">
        <v>1965.5</v>
      </c>
      <c r="H440">
        <v>500</v>
      </c>
    </row>
    <row r="441" spans="2:8">
      <c r="B441" t="s">
        <v>442</v>
      </c>
      <c r="C441" t="s">
        <v>272</v>
      </c>
      <c r="D441">
        <v>1965.5</v>
      </c>
      <c r="E441">
        <v>1973.5</v>
      </c>
      <c r="F441">
        <v>1964</v>
      </c>
      <c r="G441">
        <v>1971</v>
      </c>
      <c r="H441">
        <v>8300</v>
      </c>
    </row>
    <row r="442" spans="2:8">
      <c r="B442" t="s">
        <v>442</v>
      </c>
      <c r="C442" t="s">
        <v>273</v>
      </c>
      <c r="D442">
        <v>1972</v>
      </c>
      <c r="E442">
        <v>1976.5</v>
      </c>
      <c r="F442">
        <v>1972</v>
      </c>
      <c r="G442">
        <v>1974.5</v>
      </c>
      <c r="H442">
        <v>2500</v>
      </c>
    </row>
    <row r="443" spans="2:8">
      <c r="B443" t="s">
        <v>442</v>
      </c>
      <c r="C443" t="s">
        <v>274</v>
      </c>
      <c r="D443">
        <v>1973.5</v>
      </c>
      <c r="E443">
        <v>1977.5</v>
      </c>
      <c r="F443">
        <v>1973</v>
      </c>
      <c r="G443">
        <v>1977.5</v>
      </c>
      <c r="H443">
        <v>2400</v>
      </c>
    </row>
    <row r="444" spans="2:8">
      <c r="B444" t="s">
        <v>442</v>
      </c>
      <c r="C444" t="s">
        <v>275</v>
      </c>
      <c r="D444">
        <v>1976.5</v>
      </c>
      <c r="E444">
        <v>1982.5</v>
      </c>
      <c r="F444">
        <v>1976.5</v>
      </c>
      <c r="G444">
        <v>1980.5</v>
      </c>
      <c r="H444">
        <v>9400</v>
      </c>
    </row>
    <row r="445" spans="2:8">
      <c r="B445" t="s">
        <v>442</v>
      </c>
      <c r="C445" t="s">
        <v>276</v>
      </c>
      <c r="D445">
        <v>1980</v>
      </c>
      <c r="E445">
        <v>1982.5</v>
      </c>
      <c r="F445">
        <v>1978</v>
      </c>
      <c r="G445">
        <v>1982.5</v>
      </c>
      <c r="H445">
        <v>2400</v>
      </c>
    </row>
    <row r="446" spans="2:8">
      <c r="B446" t="s">
        <v>442</v>
      </c>
      <c r="C446" t="s">
        <v>277</v>
      </c>
      <c r="D446">
        <v>1981.5</v>
      </c>
      <c r="E446">
        <v>1984</v>
      </c>
      <c r="F446">
        <v>1980.5</v>
      </c>
      <c r="G446">
        <v>1982.5</v>
      </c>
      <c r="H446">
        <v>6100</v>
      </c>
    </row>
    <row r="447" spans="2:8">
      <c r="B447" t="s">
        <v>442</v>
      </c>
      <c r="C447" t="s">
        <v>278</v>
      </c>
      <c r="D447">
        <v>1981.5</v>
      </c>
      <c r="E447">
        <v>1982</v>
      </c>
      <c r="F447">
        <v>1978.5</v>
      </c>
      <c r="G447">
        <v>1980</v>
      </c>
      <c r="H447">
        <v>8200</v>
      </c>
    </row>
    <row r="448" spans="2:8">
      <c r="B448" t="s">
        <v>442</v>
      </c>
      <c r="C448" t="s">
        <v>279</v>
      </c>
      <c r="D448">
        <v>1980.5</v>
      </c>
      <c r="E448">
        <v>1980.5</v>
      </c>
      <c r="F448">
        <v>1980</v>
      </c>
      <c r="G448">
        <v>1980.5</v>
      </c>
      <c r="H448">
        <v>800</v>
      </c>
    </row>
    <row r="449" spans="2:8">
      <c r="B449" t="s">
        <v>442</v>
      </c>
      <c r="C449" t="s">
        <v>280</v>
      </c>
      <c r="D449">
        <v>1981</v>
      </c>
      <c r="E449">
        <v>1981.5</v>
      </c>
      <c r="F449">
        <v>1981</v>
      </c>
      <c r="G449">
        <v>1981</v>
      </c>
      <c r="H449">
        <v>700</v>
      </c>
    </row>
    <row r="450" spans="2:8">
      <c r="B450" t="s">
        <v>442</v>
      </c>
      <c r="C450" t="s">
        <v>281</v>
      </c>
      <c r="D450">
        <v>1980.5</v>
      </c>
      <c r="E450">
        <v>1981.5</v>
      </c>
      <c r="F450">
        <v>1980</v>
      </c>
      <c r="G450">
        <v>1981</v>
      </c>
      <c r="H450">
        <v>3200</v>
      </c>
    </row>
    <row r="451" spans="2:8">
      <c r="B451" t="s">
        <v>442</v>
      </c>
      <c r="C451" t="s">
        <v>282</v>
      </c>
      <c r="D451">
        <v>1981</v>
      </c>
      <c r="E451">
        <v>1981</v>
      </c>
      <c r="F451">
        <v>1976.5</v>
      </c>
      <c r="G451">
        <v>1977.5</v>
      </c>
      <c r="H451">
        <v>4900</v>
      </c>
    </row>
    <row r="452" spans="2:8">
      <c r="B452" t="s">
        <v>442</v>
      </c>
      <c r="C452" t="s">
        <v>283</v>
      </c>
      <c r="D452">
        <v>1976</v>
      </c>
      <c r="E452">
        <v>1976</v>
      </c>
      <c r="F452">
        <v>1970.5</v>
      </c>
      <c r="G452">
        <v>1972.5</v>
      </c>
      <c r="H452">
        <v>4000</v>
      </c>
    </row>
    <row r="453" spans="2:8">
      <c r="B453" t="s">
        <v>442</v>
      </c>
      <c r="C453" t="s">
        <v>284</v>
      </c>
      <c r="D453">
        <v>1971</v>
      </c>
      <c r="E453">
        <v>1971.5</v>
      </c>
      <c r="F453">
        <v>1971</v>
      </c>
      <c r="G453">
        <v>1971</v>
      </c>
      <c r="H453">
        <v>800</v>
      </c>
    </row>
    <row r="454" spans="2:8">
      <c r="B454" t="s">
        <v>442</v>
      </c>
      <c r="C454" t="s">
        <v>285</v>
      </c>
      <c r="D454">
        <v>1970</v>
      </c>
      <c r="E454">
        <v>1971</v>
      </c>
      <c r="F454">
        <v>1969</v>
      </c>
      <c r="G454">
        <v>1970</v>
      </c>
      <c r="H454">
        <v>3700</v>
      </c>
    </row>
    <row r="455" spans="2:8">
      <c r="B455" t="s">
        <v>442</v>
      </c>
      <c r="C455" t="s">
        <v>286</v>
      </c>
      <c r="D455">
        <v>1970.5</v>
      </c>
      <c r="E455">
        <v>1973.5</v>
      </c>
      <c r="F455">
        <v>1970.5</v>
      </c>
      <c r="G455">
        <v>1970.5</v>
      </c>
      <c r="H455">
        <v>4900</v>
      </c>
    </row>
    <row r="456" spans="2:8">
      <c r="B456" t="s">
        <v>442</v>
      </c>
      <c r="C456" t="s">
        <v>287</v>
      </c>
      <c r="D456">
        <v>1972</v>
      </c>
      <c r="E456">
        <v>1972</v>
      </c>
      <c r="F456">
        <v>1971</v>
      </c>
      <c r="G456">
        <v>1971</v>
      </c>
      <c r="H456">
        <v>200</v>
      </c>
    </row>
    <row r="457" spans="2:8">
      <c r="B457" t="s">
        <v>442</v>
      </c>
      <c r="C457" t="s">
        <v>288</v>
      </c>
      <c r="D457">
        <v>1972.5</v>
      </c>
      <c r="E457">
        <v>1977</v>
      </c>
      <c r="F457">
        <v>1972.5</v>
      </c>
      <c r="G457">
        <v>1977</v>
      </c>
      <c r="H457">
        <v>7200</v>
      </c>
    </row>
    <row r="458" spans="2:8">
      <c r="B458" t="s">
        <v>442</v>
      </c>
      <c r="C458" t="s">
        <v>289</v>
      </c>
      <c r="D458">
        <v>1976.5</v>
      </c>
      <c r="E458">
        <v>1978</v>
      </c>
      <c r="F458">
        <v>1976.5</v>
      </c>
      <c r="G458">
        <v>1977</v>
      </c>
      <c r="H458">
        <v>1200</v>
      </c>
    </row>
    <row r="459" spans="2:8">
      <c r="B459" t="s">
        <v>442</v>
      </c>
      <c r="C459" t="s">
        <v>290</v>
      </c>
      <c r="D459">
        <v>1976</v>
      </c>
      <c r="E459">
        <v>1976</v>
      </c>
      <c r="F459">
        <v>1970.5</v>
      </c>
      <c r="G459">
        <v>1970.5</v>
      </c>
      <c r="H459">
        <v>3600</v>
      </c>
    </row>
    <row r="460" spans="2:8">
      <c r="B460" t="s">
        <v>442</v>
      </c>
      <c r="C460" t="s">
        <v>291</v>
      </c>
      <c r="D460">
        <v>1970</v>
      </c>
      <c r="E460">
        <v>1971.5</v>
      </c>
      <c r="F460">
        <v>1969</v>
      </c>
      <c r="G460">
        <v>1971.5</v>
      </c>
      <c r="H460">
        <v>2500</v>
      </c>
    </row>
    <row r="461" spans="2:8">
      <c r="B461" t="s">
        <v>442</v>
      </c>
      <c r="C461" t="s">
        <v>292</v>
      </c>
      <c r="D461">
        <v>1972</v>
      </c>
      <c r="E461">
        <v>1972</v>
      </c>
      <c r="F461">
        <v>1970</v>
      </c>
      <c r="G461">
        <v>1971</v>
      </c>
      <c r="H461">
        <v>1600</v>
      </c>
    </row>
    <row r="462" spans="2:8">
      <c r="B462" t="s">
        <v>442</v>
      </c>
      <c r="C462" t="s">
        <v>293</v>
      </c>
      <c r="D462" t="s">
        <v>8</v>
      </c>
      <c r="E462" t="s">
        <v>8</v>
      </c>
      <c r="F462" t="s">
        <v>8</v>
      </c>
      <c r="G462" t="s">
        <v>8</v>
      </c>
      <c r="H462">
        <v>0</v>
      </c>
    </row>
    <row r="463" spans="2:8">
      <c r="B463" t="s">
        <v>442</v>
      </c>
      <c r="C463" t="s">
        <v>294</v>
      </c>
      <c r="D463">
        <v>1971</v>
      </c>
      <c r="E463">
        <v>1971</v>
      </c>
      <c r="F463">
        <v>1968.5</v>
      </c>
      <c r="G463">
        <v>1968.5</v>
      </c>
      <c r="H463">
        <v>1300</v>
      </c>
    </row>
    <row r="464" spans="2:8">
      <c r="B464" t="s">
        <v>442</v>
      </c>
      <c r="C464" t="s">
        <v>295</v>
      </c>
      <c r="D464">
        <v>1969</v>
      </c>
      <c r="E464">
        <v>1969</v>
      </c>
      <c r="F464">
        <v>1966</v>
      </c>
      <c r="G464">
        <v>1966</v>
      </c>
      <c r="H464">
        <v>600</v>
      </c>
    </row>
    <row r="465" spans="2:8">
      <c r="B465" t="s">
        <v>442</v>
      </c>
      <c r="C465" t="s">
        <v>296</v>
      </c>
      <c r="D465">
        <v>1966.5</v>
      </c>
      <c r="E465">
        <v>1968</v>
      </c>
      <c r="F465">
        <v>1965</v>
      </c>
      <c r="G465">
        <v>1966.5</v>
      </c>
      <c r="H465">
        <v>6400</v>
      </c>
    </row>
    <row r="466" spans="2:8">
      <c r="B466" t="s">
        <v>442</v>
      </c>
      <c r="C466" t="s">
        <v>297</v>
      </c>
      <c r="D466">
        <v>1966</v>
      </c>
      <c r="E466">
        <v>1966.5</v>
      </c>
      <c r="F466">
        <v>1965.5</v>
      </c>
      <c r="G466">
        <v>1965.5</v>
      </c>
      <c r="H466">
        <v>800</v>
      </c>
    </row>
    <row r="467" spans="2:8">
      <c r="B467" t="s">
        <v>442</v>
      </c>
      <c r="C467" t="s">
        <v>298</v>
      </c>
      <c r="D467">
        <v>1965</v>
      </c>
      <c r="E467">
        <v>1967.5</v>
      </c>
      <c r="F467">
        <v>1964.5</v>
      </c>
      <c r="G467">
        <v>1967.5</v>
      </c>
      <c r="H467">
        <v>1600</v>
      </c>
    </row>
    <row r="468" spans="2:8">
      <c r="B468" t="s">
        <v>442</v>
      </c>
      <c r="C468" t="s">
        <v>299</v>
      </c>
      <c r="D468">
        <v>1966.5</v>
      </c>
      <c r="E468">
        <v>1966.5</v>
      </c>
      <c r="F468">
        <v>1966.5</v>
      </c>
      <c r="G468">
        <v>1966.5</v>
      </c>
      <c r="H468">
        <v>200</v>
      </c>
    </row>
    <row r="469" spans="2:8">
      <c r="B469" t="s">
        <v>442</v>
      </c>
      <c r="C469" t="s">
        <v>300</v>
      </c>
      <c r="D469">
        <v>1965</v>
      </c>
      <c r="E469">
        <v>1965</v>
      </c>
      <c r="F469">
        <v>1964</v>
      </c>
      <c r="G469">
        <v>1964</v>
      </c>
      <c r="H469">
        <v>800</v>
      </c>
    </row>
    <row r="470" spans="2:8">
      <c r="B470" t="s">
        <v>442</v>
      </c>
      <c r="C470" t="s">
        <v>301</v>
      </c>
      <c r="D470">
        <v>1964.5</v>
      </c>
      <c r="E470">
        <v>1964.5</v>
      </c>
      <c r="F470">
        <v>1962.5</v>
      </c>
      <c r="G470">
        <v>1962.5</v>
      </c>
      <c r="H470">
        <v>3600</v>
      </c>
    </row>
    <row r="471" spans="2:8">
      <c r="B471" t="s">
        <v>442</v>
      </c>
      <c r="C471" t="s">
        <v>302</v>
      </c>
      <c r="D471">
        <v>1962.5</v>
      </c>
      <c r="E471">
        <v>1962.5</v>
      </c>
      <c r="F471">
        <v>1961.5</v>
      </c>
      <c r="G471">
        <v>1961.5</v>
      </c>
      <c r="H471">
        <v>1500</v>
      </c>
    </row>
    <row r="472" spans="2:8">
      <c r="B472" t="s">
        <v>442</v>
      </c>
      <c r="C472" t="s">
        <v>303</v>
      </c>
      <c r="D472">
        <v>1962</v>
      </c>
      <c r="E472">
        <v>1963</v>
      </c>
      <c r="F472">
        <v>1961</v>
      </c>
      <c r="G472">
        <v>1961.5</v>
      </c>
      <c r="H472">
        <v>1600</v>
      </c>
    </row>
    <row r="473" spans="2:8">
      <c r="B473" t="s">
        <v>442</v>
      </c>
      <c r="C473" t="s">
        <v>304</v>
      </c>
      <c r="D473">
        <v>1960.5</v>
      </c>
      <c r="E473">
        <v>1960.5</v>
      </c>
      <c r="F473">
        <v>1960.5</v>
      </c>
      <c r="G473">
        <v>1960.5</v>
      </c>
      <c r="H473">
        <v>100</v>
      </c>
    </row>
    <row r="474" spans="2:8">
      <c r="B474" t="s">
        <v>442</v>
      </c>
      <c r="C474" t="s">
        <v>305</v>
      </c>
      <c r="D474">
        <v>1961.5</v>
      </c>
      <c r="E474">
        <v>1962.5</v>
      </c>
      <c r="F474">
        <v>1961</v>
      </c>
      <c r="G474">
        <v>1961</v>
      </c>
      <c r="H474">
        <v>700</v>
      </c>
    </row>
    <row r="475" spans="2:8">
      <c r="B475" t="s">
        <v>442</v>
      </c>
      <c r="C475" t="s">
        <v>306</v>
      </c>
      <c r="D475">
        <v>1960.5</v>
      </c>
      <c r="E475">
        <v>1962.5</v>
      </c>
      <c r="F475">
        <v>1960.5</v>
      </c>
      <c r="G475">
        <v>1962.5</v>
      </c>
      <c r="H475">
        <v>2800</v>
      </c>
    </row>
    <row r="476" spans="2:8">
      <c r="B476" t="s">
        <v>442</v>
      </c>
      <c r="C476" t="s">
        <v>307</v>
      </c>
      <c r="D476">
        <v>1963</v>
      </c>
      <c r="E476">
        <v>1964.5</v>
      </c>
      <c r="F476">
        <v>1963</v>
      </c>
      <c r="G476">
        <v>1963.5</v>
      </c>
      <c r="H476">
        <v>1000</v>
      </c>
    </row>
    <row r="477" spans="2:8">
      <c r="B477" t="s">
        <v>442</v>
      </c>
      <c r="C477" t="s">
        <v>308</v>
      </c>
      <c r="D477">
        <v>1964.5</v>
      </c>
      <c r="E477">
        <v>1965</v>
      </c>
      <c r="F477">
        <v>1964.5</v>
      </c>
      <c r="G477">
        <v>1965</v>
      </c>
      <c r="H477">
        <v>700</v>
      </c>
    </row>
    <row r="478" spans="2:8">
      <c r="B478" t="s">
        <v>442</v>
      </c>
      <c r="C478" t="s">
        <v>309</v>
      </c>
      <c r="D478">
        <v>1964</v>
      </c>
      <c r="E478">
        <v>1964</v>
      </c>
      <c r="F478">
        <v>1963.5</v>
      </c>
      <c r="G478">
        <v>1963.5</v>
      </c>
      <c r="H478">
        <v>500</v>
      </c>
    </row>
    <row r="479" spans="2:8">
      <c r="B479" t="s">
        <v>442</v>
      </c>
      <c r="C479" t="s">
        <v>310</v>
      </c>
      <c r="D479">
        <v>1963</v>
      </c>
      <c r="E479">
        <v>1963</v>
      </c>
      <c r="F479">
        <v>1962.5</v>
      </c>
      <c r="G479">
        <v>1962.5</v>
      </c>
      <c r="H479">
        <v>600</v>
      </c>
    </row>
    <row r="480" spans="2:8">
      <c r="B480" t="s">
        <v>442</v>
      </c>
      <c r="C480" t="s">
        <v>311</v>
      </c>
      <c r="D480">
        <v>1962.5</v>
      </c>
      <c r="E480">
        <v>1963.5</v>
      </c>
      <c r="F480">
        <v>1962.5</v>
      </c>
      <c r="G480">
        <v>1963.5</v>
      </c>
      <c r="H480">
        <v>200</v>
      </c>
    </row>
    <row r="481" spans="2:8">
      <c r="B481" t="s">
        <v>442</v>
      </c>
      <c r="C481" t="s">
        <v>312</v>
      </c>
      <c r="D481">
        <v>1963.5</v>
      </c>
      <c r="E481">
        <v>1963.5</v>
      </c>
      <c r="F481">
        <v>1963.5</v>
      </c>
      <c r="G481">
        <v>1963.5</v>
      </c>
      <c r="H481">
        <v>400</v>
      </c>
    </row>
    <row r="482" spans="2:8">
      <c r="B482" t="s">
        <v>442</v>
      </c>
      <c r="C482" t="s">
        <v>313</v>
      </c>
      <c r="D482">
        <v>1963</v>
      </c>
      <c r="E482">
        <v>1963</v>
      </c>
      <c r="F482">
        <v>1962</v>
      </c>
      <c r="G482">
        <v>1962</v>
      </c>
      <c r="H482">
        <v>900</v>
      </c>
    </row>
    <row r="483" spans="2:8">
      <c r="B483" t="s">
        <v>442</v>
      </c>
      <c r="C483" t="s">
        <v>314</v>
      </c>
      <c r="D483">
        <v>1962.5</v>
      </c>
      <c r="E483">
        <v>1962.5</v>
      </c>
      <c r="F483">
        <v>1961</v>
      </c>
      <c r="G483">
        <v>1961</v>
      </c>
      <c r="H483">
        <v>800</v>
      </c>
    </row>
    <row r="484" spans="2:8">
      <c r="B484" t="s">
        <v>442</v>
      </c>
      <c r="C484" t="s">
        <v>315</v>
      </c>
      <c r="D484">
        <v>1961.5</v>
      </c>
      <c r="E484">
        <v>1962</v>
      </c>
      <c r="F484">
        <v>1961</v>
      </c>
      <c r="G484">
        <v>1961.5</v>
      </c>
      <c r="H484">
        <v>1900</v>
      </c>
    </row>
    <row r="485" spans="2:8">
      <c r="B485" t="s">
        <v>442</v>
      </c>
      <c r="C485" t="s">
        <v>316</v>
      </c>
      <c r="D485">
        <v>1962</v>
      </c>
      <c r="E485">
        <v>1962</v>
      </c>
      <c r="F485">
        <v>1962</v>
      </c>
      <c r="G485">
        <v>1962</v>
      </c>
      <c r="H485">
        <v>300</v>
      </c>
    </row>
    <row r="486" spans="2:8">
      <c r="B486" t="s">
        <v>442</v>
      </c>
      <c r="C486" t="s">
        <v>317</v>
      </c>
      <c r="D486">
        <v>1962</v>
      </c>
      <c r="E486">
        <v>1963.5</v>
      </c>
      <c r="F486">
        <v>1957</v>
      </c>
      <c r="G486">
        <v>1959</v>
      </c>
      <c r="H486">
        <v>15600</v>
      </c>
    </row>
    <row r="487" spans="2:8">
      <c r="B487" t="s">
        <v>442</v>
      </c>
      <c r="C487" t="s">
        <v>318</v>
      </c>
      <c r="D487">
        <v>1959.5</v>
      </c>
      <c r="E487">
        <v>1963.5</v>
      </c>
      <c r="F487">
        <v>1955.5</v>
      </c>
      <c r="G487">
        <v>1963.5</v>
      </c>
      <c r="H487">
        <v>6500</v>
      </c>
    </row>
    <row r="488" spans="2:8">
      <c r="B488" t="s">
        <v>442</v>
      </c>
      <c r="C488" t="s">
        <v>319</v>
      </c>
      <c r="D488">
        <v>1963.5</v>
      </c>
      <c r="E488">
        <v>1973</v>
      </c>
      <c r="F488">
        <v>1963.5</v>
      </c>
      <c r="G488">
        <v>1971.5</v>
      </c>
      <c r="H488">
        <v>9000</v>
      </c>
    </row>
    <row r="489" spans="2:8">
      <c r="B489" t="s">
        <v>442</v>
      </c>
      <c r="C489" t="s">
        <v>320</v>
      </c>
      <c r="D489">
        <v>1971.5</v>
      </c>
      <c r="E489">
        <v>1972.5</v>
      </c>
      <c r="F489">
        <v>1971</v>
      </c>
      <c r="G489">
        <v>1971.5</v>
      </c>
      <c r="H489">
        <v>2900</v>
      </c>
    </row>
    <row r="490" spans="2:8">
      <c r="B490" t="s">
        <v>442</v>
      </c>
      <c r="C490" t="s">
        <v>321</v>
      </c>
      <c r="D490">
        <v>1971</v>
      </c>
      <c r="E490">
        <v>1971.5</v>
      </c>
      <c r="F490">
        <v>1969.5</v>
      </c>
      <c r="G490">
        <v>1969.5</v>
      </c>
      <c r="H490">
        <v>4300</v>
      </c>
    </row>
    <row r="491" spans="2:8">
      <c r="B491" t="s">
        <v>442</v>
      </c>
      <c r="C491" t="s">
        <v>322</v>
      </c>
      <c r="D491">
        <v>1970</v>
      </c>
      <c r="E491">
        <v>1975.5</v>
      </c>
      <c r="F491">
        <v>1969</v>
      </c>
      <c r="G491">
        <v>1973.5</v>
      </c>
      <c r="H491">
        <v>10300</v>
      </c>
    </row>
    <row r="492" spans="2:8">
      <c r="B492" t="s">
        <v>442</v>
      </c>
      <c r="C492" t="s">
        <v>323</v>
      </c>
      <c r="D492">
        <v>1974</v>
      </c>
      <c r="E492">
        <v>1975</v>
      </c>
      <c r="F492">
        <v>1973</v>
      </c>
      <c r="G492">
        <v>1974</v>
      </c>
      <c r="H492">
        <v>3300</v>
      </c>
    </row>
    <row r="493" spans="2:8">
      <c r="B493" t="s">
        <v>442</v>
      </c>
      <c r="C493" t="s">
        <v>324</v>
      </c>
      <c r="D493">
        <v>1972.5</v>
      </c>
      <c r="E493">
        <v>1972.5</v>
      </c>
      <c r="F493">
        <v>1970</v>
      </c>
      <c r="G493">
        <v>1970</v>
      </c>
      <c r="H493">
        <v>1700</v>
      </c>
    </row>
    <row r="494" spans="2:8">
      <c r="B494" t="s">
        <v>442</v>
      </c>
      <c r="C494" t="s">
        <v>325</v>
      </c>
      <c r="D494">
        <v>1971.5</v>
      </c>
      <c r="E494">
        <v>1972.5</v>
      </c>
      <c r="F494">
        <v>1969</v>
      </c>
      <c r="G494">
        <v>1970.5</v>
      </c>
      <c r="H494">
        <v>3900</v>
      </c>
    </row>
    <row r="495" spans="2:8">
      <c r="B495" t="s">
        <v>442</v>
      </c>
      <c r="C495" t="s">
        <v>326</v>
      </c>
      <c r="D495">
        <v>1972</v>
      </c>
      <c r="E495">
        <v>1972</v>
      </c>
      <c r="F495">
        <v>1970</v>
      </c>
      <c r="G495">
        <v>1972</v>
      </c>
      <c r="H495">
        <v>1800</v>
      </c>
    </row>
    <row r="496" spans="2:8">
      <c r="B496" t="s">
        <v>442</v>
      </c>
      <c r="C496" t="s">
        <v>327</v>
      </c>
      <c r="D496">
        <v>1972.5</v>
      </c>
      <c r="E496">
        <v>1973</v>
      </c>
      <c r="F496">
        <v>1971.5</v>
      </c>
      <c r="G496">
        <v>1972.5</v>
      </c>
      <c r="H496">
        <v>1000</v>
      </c>
    </row>
    <row r="497" spans="2:8">
      <c r="B497" t="s">
        <v>442</v>
      </c>
      <c r="C497" t="s">
        <v>328</v>
      </c>
      <c r="D497">
        <v>1973</v>
      </c>
      <c r="E497">
        <v>1975</v>
      </c>
      <c r="F497">
        <v>1972</v>
      </c>
      <c r="G497">
        <v>1975</v>
      </c>
      <c r="H497">
        <v>2100</v>
      </c>
    </row>
    <row r="498" spans="2:8">
      <c r="B498" t="s">
        <v>442</v>
      </c>
      <c r="C498" t="s">
        <v>329</v>
      </c>
      <c r="D498">
        <v>1974.5</v>
      </c>
      <c r="E498">
        <v>1977.5</v>
      </c>
      <c r="F498">
        <v>1973.5</v>
      </c>
      <c r="G498">
        <v>1976</v>
      </c>
      <c r="H498">
        <v>4700</v>
      </c>
    </row>
    <row r="499" spans="2:8">
      <c r="B499" t="s">
        <v>442</v>
      </c>
      <c r="C499" t="s">
        <v>330</v>
      </c>
      <c r="D499">
        <v>1975</v>
      </c>
      <c r="E499">
        <v>1979</v>
      </c>
      <c r="F499">
        <v>1975</v>
      </c>
      <c r="G499">
        <v>1979</v>
      </c>
      <c r="H499">
        <v>6600</v>
      </c>
    </row>
    <row r="500" spans="2:8">
      <c r="B500" t="s">
        <v>442</v>
      </c>
      <c r="C500" t="s">
        <v>331</v>
      </c>
      <c r="D500">
        <v>1979</v>
      </c>
      <c r="E500">
        <v>1983</v>
      </c>
      <c r="F500">
        <v>1979</v>
      </c>
      <c r="G500">
        <v>1982.5</v>
      </c>
      <c r="H500">
        <v>12500</v>
      </c>
    </row>
    <row r="501" spans="2:8">
      <c r="B501" t="s">
        <v>442</v>
      </c>
      <c r="C501" t="s">
        <v>332</v>
      </c>
      <c r="D501">
        <v>1982</v>
      </c>
      <c r="E501">
        <v>1984.5</v>
      </c>
      <c r="F501">
        <v>1978</v>
      </c>
      <c r="G501">
        <v>1978</v>
      </c>
      <c r="H501">
        <v>8300</v>
      </c>
    </row>
    <row r="502" spans="2:8">
      <c r="B502" t="s">
        <v>442</v>
      </c>
      <c r="C502" t="s">
        <v>333</v>
      </c>
      <c r="D502">
        <v>1978</v>
      </c>
      <c r="E502">
        <v>1979</v>
      </c>
      <c r="F502">
        <v>1977</v>
      </c>
      <c r="G502">
        <v>1977</v>
      </c>
      <c r="H502">
        <v>2800</v>
      </c>
    </row>
    <row r="503" spans="2:8">
      <c r="B503" t="s">
        <v>442</v>
      </c>
      <c r="C503" t="s">
        <v>334</v>
      </c>
      <c r="D503">
        <v>1977</v>
      </c>
      <c r="E503">
        <v>1978</v>
      </c>
      <c r="F503">
        <v>1977</v>
      </c>
      <c r="G503">
        <v>1978</v>
      </c>
      <c r="H503">
        <v>900</v>
      </c>
    </row>
    <row r="504" spans="2:8">
      <c r="B504" t="s">
        <v>442</v>
      </c>
      <c r="C504" t="s">
        <v>335</v>
      </c>
      <c r="D504">
        <v>1977.5</v>
      </c>
      <c r="E504">
        <v>1977.5</v>
      </c>
      <c r="F504">
        <v>1971.5</v>
      </c>
      <c r="G504">
        <v>1975</v>
      </c>
      <c r="H504">
        <v>9200</v>
      </c>
    </row>
    <row r="505" spans="2:8">
      <c r="B505" t="s">
        <v>442</v>
      </c>
      <c r="C505" t="s">
        <v>336</v>
      </c>
      <c r="D505">
        <v>1974</v>
      </c>
      <c r="E505">
        <v>1974</v>
      </c>
      <c r="F505">
        <v>1971.5</v>
      </c>
      <c r="G505">
        <v>1972.5</v>
      </c>
      <c r="H505">
        <v>2200</v>
      </c>
    </row>
    <row r="506" spans="2:8">
      <c r="B506" t="s">
        <v>442</v>
      </c>
      <c r="C506" t="s">
        <v>337</v>
      </c>
      <c r="D506">
        <v>1972</v>
      </c>
      <c r="E506">
        <v>1974.5</v>
      </c>
      <c r="F506">
        <v>1972</v>
      </c>
      <c r="G506">
        <v>1974.5</v>
      </c>
      <c r="H506">
        <v>700</v>
      </c>
    </row>
    <row r="507" spans="2:8">
      <c r="B507" t="s">
        <v>442</v>
      </c>
      <c r="C507" t="s">
        <v>338</v>
      </c>
      <c r="D507">
        <v>1974</v>
      </c>
      <c r="E507">
        <v>1974</v>
      </c>
      <c r="F507">
        <v>1973.5</v>
      </c>
      <c r="G507">
        <v>1973.5</v>
      </c>
      <c r="H507">
        <v>900</v>
      </c>
    </row>
    <row r="508" spans="2:8">
      <c r="B508" t="s">
        <v>442</v>
      </c>
      <c r="C508" t="s">
        <v>339</v>
      </c>
      <c r="D508">
        <v>1972.5</v>
      </c>
      <c r="E508">
        <v>1972.5</v>
      </c>
      <c r="F508">
        <v>1971</v>
      </c>
      <c r="G508">
        <v>1971</v>
      </c>
      <c r="H508">
        <v>1000</v>
      </c>
    </row>
    <row r="509" spans="2:8">
      <c r="B509" t="s">
        <v>442</v>
      </c>
      <c r="C509" t="s">
        <v>340</v>
      </c>
      <c r="D509">
        <v>1970.5</v>
      </c>
      <c r="E509">
        <v>1970.5</v>
      </c>
      <c r="F509">
        <v>1969</v>
      </c>
      <c r="G509">
        <v>1969</v>
      </c>
      <c r="H509">
        <v>2400</v>
      </c>
    </row>
    <row r="510" spans="2:8">
      <c r="B510" t="s">
        <v>442</v>
      </c>
      <c r="C510" t="s">
        <v>341</v>
      </c>
      <c r="D510">
        <v>1970.5</v>
      </c>
      <c r="E510">
        <v>1970.5</v>
      </c>
      <c r="F510">
        <v>1969</v>
      </c>
      <c r="G510">
        <v>1969</v>
      </c>
      <c r="H510">
        <v>1000</v>
      </c>
    </row>
    <row r="511" spans="2:8">
      <c r="B511" t="s">
        <v>442</v>
      </c>
      <c r="C511" t="s">
        <v>342</v>
      </c>
      <c r="D511">
        <v>1969</v>
      </c>
      <c r="E511">
        <v>1970</v>
      </c>
      <c r="F511">
        <v>1969</v>
      </c>
      <c r="G511">
        <v>1970</v>
      </c>
      <c r="H511">
        <v>800</v>
      </c>
    </row>
    <row r="512" spans="2:8">
      <c r="B512" t="s">
        <v>442</v>
      </c>
      <c r="C512" t="s">
        <v>343</v>
      </c>
      <c r="D512">
        <v>1970.5</v>
      </c>
      <c r="E512">
        <v>1974</v>
      </c>
      <c r="F512">
        <v>1970.5</v>
      </c>
      <c r="G512">
        <v>1972.5</v>
      </c>
      <c r="H512">
        <v>5600</v>
      </c>
    </row>
    <row r="513" spans="2:8">
      <c r="B513" t="s">
        <v>442</v>
      </c>
      <c r="C513" t="s">
        <v>344</v>
      </c>
      <c r="D513">
        <v>1973.5</v>
      </c>
      <c r="E513">
        <v>1974</v>
      </c>
      <c r="F513">
        <v>1972.5</v>
      </c>
      <c r="G513">
        <v>1974</v>
      </c>
      <c r="H513">
        <v>2300</v>
      </c>
    </row>
    <row r="514" spans="2:8">
      <c r="B514" t="s">
        <v>442</v>
      </c>
      <c r="C514" t="s">
        <v>345</v>
      </c>
      <c r="D514">
        <v>1974</v>
      </c>
      <c r="E514">
        <v>1974</v>
      </c>
      <c r="F514">
        <v>1972.5</v>
      </c>
      <c r="G514">
        <v>1972.5</v>
      </c>
      <c r="H514">
        <v>1700</v>
      </c>
    </row>
    <row r="515" spans="2:8">
      <c r="B515" t="s">
        <v>442</v>
      </c>
      <c r="C515" t="s">
        <v>346</v>
      </c>
      <c r="D515">
        <v>1972</v>
      </c>
      <c r="E515">
        <v>1972</v>
      </c>
      <c r="F515">
        <v>1971.5</v>
      </c>
      <c r="G515">
        <v>1971.5</v>
      </c>
      <c r="H515">
        <v>400</v>
      </c>
    </row>
    <row r="516" spans="2:8">
      <c r="B516" t="s">
        <v>442</v>
      </c>
      <c r="C516" t="s">
        <v>347</v>
      </c>
      <c r="D516">
        <v>1971.5</v>
      </c>
      <c r="E516">
        <v>1971.5</v>
      </c>
      <c r="F516">
        <v>1970.5</v>
      </c>
      <c r="G516">
        <v>1970.5</v>
      </c>
      <c r="H516">
        <v>900</v>
      </c>
    </row>
    <row r="517" spans="2:8">
      <c r="B517" t="s">
        <v>442</v>
      </c>
      <c r="C517" t="s">
        <v>348</v>
      </c>
      <c r="D517">
        <v>1970.5</v>
      </c>
      <c r="E517">
        <v>1971</v>
      </c>
      <c r="F517">
        <v>1969</v>
      </c>
      <c r="G517">
        <v>1971</v>
      </c>
      <c r="H517">
        <v>5600</v>
      </c>
    </row>
    <row r="518" spans="2:8">
      <c r="B518" t="s">
        <v>442</v>
      </c>
      <c r="C518" t="s">
        <v>349</v>
      </c>
      <c r="D518">
        <v>1971</v>
      </c>
      <c r="E518">
        <v>1971</v>
      </c>
      <c r="F518">
        <v>1970</v>
      </c>
      <c r="G518">
        <v>1971</v>
      </c>
      <c r="H518">
        <v>1200</v>
      </c>
    </row>
    <row r="519" spans="2:8">
      <c r="B519" t="s">
        <v>442</v>
      </c>
      <c r="C519" t="s">
        <v>350</v>
      </c>
      <c r="D519">
        <v>1972</v>
      </c>
      <c r="E519">
        <v>1972.5</v>
      </c>
      <c r="F519">
        <v>1971</v>
      </c>
      <c r="G519">
        <v>1971</v>
      </c>
      <c r="H519">
        <v>700</v>
      </c>
    </row>
    <row r="520" spans="2:8">
      <c r="B520" t="s">
        <v>442</v>
      </c>
      <c r="C520" t="s">
        <v>351</v>
      </c>
      <c r="D520">
        <v>1970.5</v>
      </c>
      <c r="E520">
        <v>1976</v>
      </c>
      <c r="F520">
        <v>1970</v>
      </c>
      <c r="G520">
        <v>1975.5</v>
      </c>
      <c r="H520">
        <v>7300</v>
      </c>
    </row>
    <row r="521" spans="2:8">
      <c r="B521" t="s">
        <v>442</v>
      </c>
      <c r="C521" t="s">
        <v>352</v>
      </c>
      <c r="D521">
        <v>1975.5</v>
      </c>
      <c r="E521">
        <v>1976.5</v>
      </c>
      <c r="F521">
        <v>1975.5</v>
      </c>
      <c r="G521">
        <v>1975.5</v>
      </c>
      <c r="H521">
        <v>1700</v>
      </c>
    </row>
    <row r="522" spans="2:8">
      <c r="B522" t="s">
        <v>442</v>
      </c>
      <c r="C522" t="s">
        <v>353</v>
      </c>
      <c r="D522">
        <v>1975</v>
      </c>
      <c r="E522">
        <v>1975.5</v>
      </c>
      <c r="F522">
        <v>1974.5</v>
      </c>
      <c r="G522">
        <v>1975</v>
      </c>
      <c r="H522">
        <v>900</v>
      </c>
    </row>
    <row r="523" spans="2:8">
      <c r="B523" t="s">
        <v>442</v>
      </c>
      <c r="C523" t="s">
        <v>354</v>
      </c>
      <c r="D523">
        <v>1974</v>
      </c>
      <c r="E523">
        <v>1974</v>
      </c>
      <c r="F523">
        <v>1974</v>
      </c>
      <c r="G523">
        <v>1974</v>
      </c>
      <c r="H523">
        <v>200</v>
      </c>
    </row>
    <row r="524" spans="2:8">
      <c r="B524" t="s">
        <v>442</v>
      </c>
      <c r="C524" t="s">
        <v>355</v>
      </c>
      <c r="D524">
        <v>1974</v>
      </c>
      <c r="E524">
        <v>1974</v>
      </c>
      <c r="F524">
        <v>1973.5</v>
      </c>
      <c r="G524">
        <v>1973.5</v>
      </c>
      <c r="H524">
        <v>300</v>
      </c>
    </row>
    <row r="525" spans="2:8">
      <c r="B525" t="s">
        <v>442</v>
      </c>
      <c r="C525" t="s">
        <v>356</v>
      </c>
      <c r="D525">
        <v>1973.5</v>
      </c>
      <c r="E525">
        <v>1973.5</v>
      </c>
      <c r="F525">
        <v>1972.5</v>
      </c>
      <c r="G525">
        <v>1973</v>
      </c>
      <c r="H525">
        <v>900</v>
      </c>
    </row>
    <row r="526" spans="2:8">
      <c r="B526" t="s">
        <v>442</v>
      </c>
      <c r="C526" t="s">
        <v>357</v>
      </c>
      <c r="D526">
        <v>1972.5</v>
      </c>
      <c r="E526">
        <v>1976</v>
      </c>
      <c r="F526">
        <v>1972.5</v>
      </c>
      <c r="G526">
        <v>1974</v>
      </c>
      <c r="H526">
        <v>1100</v>
      </c>
    </row>
    <row r="527" spans="2:8">
      <c r="B527" t="s">
        <v>442</v>
      </c>
      <c r="C527" t="s">
        <v>358</v>
      </c>
      <c r="D527">
        <v>1974.5</v>
      </c>
      <c r="E527">
        <v>1974.5</v>
      </c>
      <c r="F527">
        <v>1973.5</v>
      </c>
      <c r="G527">
        <v>1973.5</v>
      </c>
      <c r="H527">
        <v>700</v>
      </c>
    </row>
    <row r="528" spans="2:8">
      <c r="B528" t="s">
        <v>442</v>
      </c>
      <c r="C528" t="s">
        <v>359</v>
      </c>
      <c r="D528">
        <v>1973.5</v>
      </c>
      <c r="E528">
        <v>1973.5</v>
      </c>
      <c r="F528">
        <v>1973.5</v>
      </c>
      <c r="G528">
        <v>1973.5</v>
      </c>
      <c r="H528">
        <v>400</v>
      </c>
    </row>
    <row r="529" spans="2:8">
      <c r="B529" t="s">
        <v>442</v>
      </c>
      <c r="C529" t="s">
        <v>360</v>
      </c>
      <c r="D529">
        <v>1973.5</v>
      </c>
      <c r="E529">
        <v>1974</v>
      </c>
      <c r="F529">
        <v>1973.5</v>
      </c>
      <c r="G529">
        <v>1974</v>
      </c>
      <c r="H529">
        <v>300</v>
      </c>
    </row>
    <row r="530" spans="2:8">
      <c r="B530" t="s">
        <v>442</v>
      </c>
      <c r="C530" t="s">
        <v>361</v>
      </c>
      <c r="D530">
        <v>1974.5</v>
      </c>
      <c r="E530">
        <v>1974.5</v>
      </c>
      <c r="F530">
        <v>1973</v>
      </c>
      <c r="G530">
        <v>1973</v>
      </c>
      <c r="H530">
        <v>1900</v>
      </c>
    </row>
    <row r="531" spans="2:8">
      <c r="B531" t="s">
        <v>442</v>
      </c>
      <c r="C531" t="s">
        <v>362</v>
      </c>
      <c r="D531">
        <v>1973</v>
      </c>
      <c r="E531">
        <v>1973.5</v>
      </c>
      <c r="F531">
        <v>1972.5</v>
      </c>
      <c r="G531">
        <v>1973.5</v>
      </c>
      <c r="H531">
        <v>600</v>
      </c>
    </row>
    <row r="532" spans="2:8">
      <c r="B532" t="s">
        <v>442</v>
      </c>
      <c r="C532" t="s">
        <v>363</v>
      </c>
      <c r="D532">
        <v>1973</v>
      </c>
      <c r="E532">
        <v>1973</v>
      </c>
      <c r="F532">
        <v>1973</v>
      </c>
      <c r="G532">
        <v>1973</v>
      </c>
      <c r="H532">
        <v>100</v>
      </c>
    </row>
    <row r="533" spans="2:8">
      <c r="B533" t="s">
        <v>442</v>
      </c>
      <c r="C533" t="s">
        <v>364</v>
      </c>
      <c r="D533">
        <v>1972.5</v>
      </c>
      <c r="E533">
        <v>1972.5</v>
      </c>
      <c r="F533">
        <v>1971</v>
      </c>
      <c r="G533">
        <v>1971.5</v>
      </c>
      <c r="H533">
        <v>2200</v>
      </c>
    </row>
    <row r="534" spans="2:8">
      <c r="B534" t="s">
        <v>442</v>
      </c>
      <c r="C534" t="s">
        <v>365</v>
      </c>
      <c r="D534">
        <v>1972</v>
      </c>
      <c r="E534">
        <v>1972.5</v>
      </c>
      <c r="F534">
        <v>1970.5</v>
      </c>
      <c r="G534">
        <v>1970.5</v>
      </c>
      <c r="H534">
        <v>600</v>
      </c>
    </row>
    <row r="535" spans="2:8">
      <c r="B535" t="s">
        <v>442</v>
      </c>
      <c r="C535" t="s">
        <v>366</v>
      </c>
      <c r="D535">
        <v>1970.5</v>
      </c>
      <c r="E535">
        <v>1971</v>
      </c>
      <c r="F535">
        <v>1970.5</v>
      </c>
      <c r="G535">
        <v>1970.5</v>
      </c>
      <c r="H535">
        <v>300</v>
      </c>
    </row>
    <row r="536" spans="2:8">
      <c r="B536" t="s">
        <v>442</v>
      </c>
      <c r="C536" t="s">
        <v>367</v>
      </c>
      <c r="D536">
        <v>1970.5</v>
      </c>
      <c r="E536">
        <v>1970.5</v>
      </c>
      <c r="F536">
        <v>1969</v>
      </c>
      <c r="G536">
        <v>1969</v>
      </c>
      <c r="H536">
        <v>2800</v>
      </c>
    </row>
    <row r="537" spans="2:8">
      <c r="B537" t="s">
        <v>442</v>
      </c>
      <c r="C537" t="s">
        <v>368</v>
      </c>
      <c r="D537">
        <v>1969</v>
      </c>
      <c r="E537">
        <v>1969</v>
      </c>
      <c r="F537">
        <v>1967</v>
      </c>
      <c r="G537">
        <v>1968</v>
      </c>
      <c r="H537">
        <v>3500</v>
      </c>
    </row>
    <row r="538" spans="2:8">
      <c r="B538" t="s">
        <v>442</v>
      </c>
      <c r="C538" t="s">
        <v>369</v>
      </c>
      <c r="D538">
        <v>1969</v>
      </c>
      <c r="E538">
        <v>1969</v>
      </c>
      <c r="F538">
        <v>1966</v>
      </c>
      <c r="G538">
        <v>1967</v>
      </c>
      <c r="H538">
        <v>5800</v>
      </c>
    </row>
    <row r="539" spans="2:8">
      <c r="B539" t="s">
        <v>442</v>
      </c>
      <c r="C539" t="s">
        <v>370</v>
      </c>
      <c r="D539">
        <v>1967.5</v>
      </c>
      <c r="E539">
        <v>1967.5</v>
      </c>
      <c r="F539">
        <v>1965.5</v>
      </c>
      <c r="G539">
        <v>1965.5</v>
      </c>
      <c r="H539">
        <v>1500</v>
      </c>
    </row>
    <row r="540" spans="2:8">
      <c r="B540" t="s">
        <v>442</v>
      </c>
      <c r="C540" t="s">
        <v>371</v>
      </c>
      <c r="D540">
        <v>1965</v>
      </c>
      <c r="E540">
        <v>1965</v>
      </c>
      <c r="F540">
        <v>1964</v>
      </c>
      <c r="G540">
        <v>1964</v>
      </c>
      <c r="H540">
        <v>1300</v>
      </c>
    </row>
    <row r="541" spans="2:8">
      <c r="B541" t="s">
        <v>442</v>
      </c>
      <c r="C541" t="s">
        <v>372</v>
      </c>
      <c r="D541">
        <v>1964</v>
      </c>
      <c r="E541">
        <v>1965</v>
      </c>
      <c r="F541">
        <v>1963.5</v>
      </c>
      <c r="G541">
        <v>1964</v>
      </c>
      <c r="H541">
        <v>1300</v>
      </c>
    </row>
    <row r="542" spans="2:8">
      <c r="B542" t="s">
        <v>442</v>
      </c>
      <c r="C542" t="s">
        <v>373</v>
      </c>
      <c r="D542">
        <v>1964</v>
      </c>
      <c r="E542">
        <v>1965</v>
      </c>
      <c r="F542">
        <v>1963.5</v>
      </c>
      <c r="G542">
        <v>1965</v>
      </c>
      <c r="H542">
        <v>800</v>
      </c>
    </row>
    <row r="543" spans="2:8">
      <c r="B543" t="s">
        <v>442</v>
      </c>
      <c r="C543" t="s">
        <v>374</v>
      </c>
      <c r="D543">
        <v>1965.5</v>
      </c>
      <c r="E543">
        <v>1967.5</v>
      </c>
      <c r="F543">
        <v>1963.5</v>
      </c>
      <c r="G543">
        <v>1964.5</v>
      </c>
      <c r="H543">
        <v>5800</v>
      </c>
    </row>
    <row r="544" spans="2:8">
      <c r="B544" t="s">
        <v>442</v>
      </c>
      <c r="C544" t="s">
        <v>375</v>
      </c>
      <c r="D544">
        <v>1964.5</v>
      </c>
      <c r="E544">
        <v>1966</v>
      </c>
      <c r="F544">
        <v>1964.5</v>
      </c>
      <c r="G544">
        <v>1966</v>
      </c>
      <c r="H544">
        <v>800</v>
      </c>
    </row>
    <row r="545" spans="2:8">
      <c r="B545" t="s">
        <v>442</v>
      </c>
      <c r="C545" t="s">
        <v>376</v>
      </c>
      <c r="D545">
        <v>1966</v>
      </c>
      <c r="E545">
        <v>1966.5</v>
      </c>
      <c r="F545">
        <v>1963</v>
      </c>
      <c r="G545">
        <v>1963</v>
      </c>
      <c r="H545">
        <v>4800</v>
      </c>
    </row>
    <row r="546" spans="2:8">
      <c r="B546" t="s">
        <v>442</v>
      </c>
      <c r="C546" t="s">
        <v>377</v>
      </c>
      <c r="D546">
        <v>1964</v>
      </c>
      <c r="E546">
        <v>1964.5</v>
      </c>
      <c r="F546">
        <v>1964</v>
      </c>
      <c r="G546">
        <v>1964</v>
      </c>
      <c r="H546">
        <v>700</v>
      </c>
    </row>
    <row r="547" spans="2:8">
      <c r="B547" t="s">
        <v>442</v>
      </c>
      <c r="C547" t="s">
        <v>378</v>
      </c>
      <c r="D547">
        <v>1965</v>
      </c>
      <c r="E547">
        <v>1965.5</v>
      </c>
      <c r="F547">
        <v>1965</v>
      </c>
      <c r="G547">
        <v>1965.5</v>
      </c>
      <c r="H547">
        <v>800</v>
      </c>
    </row>
    <row r="548" spans="2:8">
      <c r="B548" t="s">
        <v>442</v>
      </c>
      <c r="C548" t="s">
        <v>379</v>
      </c>
      <c r="D548">
        <v>1965.5</v>
      </c>
      <c r="E548">
        <v>1965.5</v>
      </c>
      <c r="F548">
        <v>1965.5</v>
      </c>
      <c r="G548">
        <v>1965.5</v>
      </c>
      <c r="H548">
        <v>2300</v>
      </c>
    </row>
    <row r="549" spans="2:8">
      <c r="B549" t="s">
        <v>442</v>
      </c>
      <c r="C549" t="s">
        <v>380</v>
      </c>
      <c r="D549">
        <v>1965</v>
      </c>
      <c r="E549">
        <v>1965.5</v>
      </c>
      <c r="F549">
        <v>1965</v>
      </c>
      <c r="G549">
        <v>1965.5</v>
      </c>
      <c r="H549">
        <v>200</v>
      </c>
    </row>
    <row r="550" spans="2:8">
      <c r="B550" t="s">
        <v>442</v>
      </c>
      <c r="C550" t="s">
        <v>381</v>
      </c>
      <c r="D550">
        <v>1964.5</v>
      </c>
      <c r="E550">
        <v>1964.5</v>
      </c>
      <c r="F550">
        <v>1963.5</v>
      </c>
      <c r="G550">
        <v>1963.5</v>
      </c>
      <c r="H550">
        <v>1800</v>
      </c>
    </row>
    <row r="551" spans="2:8">
      <c r="B551" t="s">
        <v>442</v>
      </c>
      <c r="C551" t="s">
        <v>382</v>
      </c>
      <c r="D551">
        <v>1964</v>
      </c>
      <c r="E551">
        <v>1964</v>
      </c>
      <c r="F551">
        <v>1963.5</v>
      </c>
      <c r="G551">
        <v>1963.5</v>
      </c>
      <c r="H551">
        <v>200</v>
      </c>
    </row>
    <row r="552" spans="2:8">
      <c r="B552" t="s">
        <v>442</v>
      </c>
      <c r="C552" t="s">
        <v>383</v>
      </c>
      <c r="D552">
        <v>1964</v>
      </c>
      <c r="E552">
        <v>1969</v>
      </c>
      <c r="F552">
        <v>1964</v>
      </c>
      <c r="G552">
        <v>1968.5</v>
      </c>
      <c r="H552">
        <v>3500</v>
      </c>
    </row>
    <row r="553" spans="2:8">
      <c r="B553" t="s">
        <v>442</v>
      </c>
      <c r="C553" t="s">
        <v>384</v>
      </c>
      <c r="D553">
        <v>1969</v>
      </c>
      <c r="E553">
        <v>1973</v>
      </c>
      <c r="F553">
        <v>1969</v>
      </c>
      <c r="G553">
        <v>1972</v>
      </c>
      <c r="H553">
        <v>6500</v>
      </c>
    </row>
    <row r="554" spans="2:8">
      <c r="B554" t="s">
        <v>442</v>
      </c>
      <c r="C554" t="s">
        <v>385</v>
      </c>
      <c r="D554">
        <v>1971</v>
      </c>
      <c r="E554">
        <v>1971</v>
      </c>
      <c r="F554">
        <v>1970</v>
      </c>
      <c r="G554">
        <v>1971</v>
      </c>
      <c r="H554">
        <v>800</v>
      </c>
    </row>
    <row r="555" spans="2:8">
      <c r="B555" t="s">
        <v>442</v>
      </c>
      <c r="C555" t="s">
        <v>386</v>
      </c>
      <c r="D555">
        <v>1970.5</v>
      </c>
      <c r="E555">
        <v>1971</v>
      </c>
      <c r="F555">
        <v>1969.5</v>
      </c>
      <c r="G555">
        <v>1969.5</v>
      </c>
      <c r="H555">
        <v>1600</v>
      </c>
    </row>
    <row r="556" spans="2:8">
      <c r="B556" t="s">
        <v>442</v>
      </c>
      <c r="C556" t="s">
        <v>387</v>
      </c>
      <c r="D556">
        <v>1969.5</v>
      </c>
      <c r="E556">
        <v>1969.5</v>
      </c>
      <c r="F556">
        <v>1968.5</v>
      </c>
      <c r="G556">
        <v>1969</v>
      </c>
      <c r="H556">
        <v>900</v>
      </c>
    </row>
    <row r="557" spans="2:8">
      <c r="B557" t="s">
        <v>442</v>
      </c>
      <c r="C557" t="s">
        <v>388</v>
      </c>
      <c r="D557">
        <v>1969</v>
      </c>
      <c r="E557">
        <v>1971</v>
      </c>
      <c r="F557">
        <v>1969</v>
      </c>
      <c r="G557">
        <v>1971</v>
      </c>
      <c r="H557">
        <v>700</v>
      </c>
    </row>
    <row r="558" spans="2:8">
      <c r="B558" t="s">
        <v>442</v>
      </c>
      <c r="C558" t="s">
        <v>389</v>
      </c>
      <c r="D558">
        <v>1970</v>
      </c>
      <c r="E558">
        <v>1970</v>
      </c>
      <c r="F558">
        <v>1966.5</v>
      </c>
      <c r="G558">
        <v>1967.5</v>
      </c>
      <c r="H558">
        <v>5600</v>
      </c>
    </row>
    <row r="559" spans="2:8">
      <c r="B559" t="s">
        <v>442</v>
      </c>
      <c r="C559" t="s">
        <v>390</v>
      </c>
      <c r="D559">
        <v>1967.5</v>
      </c>
      <c r="E559">
        <v>1967.5</v>
      </c>
      <c r="F559">
        <v>1964</v>
      </c>
      <c r="G559">
        <v>1964</v>
      </c>
      <c r="H559">
        <v>800</v>
      </c>
    </row>
    <row r="560" spans="2:8">
      <c r="B560" t="s">
        <v>442</v>
      </c>
      <c r="C560" t="s">
        <v>391</v>
      </c>
      <c r="D560">
        <v>1964</v>
      </c>
      <c r="E560">
        <v>1964</v>
      </c>
      <c r="F560">
        <v>1963</v>
      </c>
      <c r="G560">
        <v>1963</v>
      </c>
      <c r="H560">
        <v>1000</v>
      </c>
    </row>
    <row r="561" spans="2:8">
      <c r="B561" t="s">
        <v>442</v>
      </c>
      <c r="C561" t="s">
        <v>392</v>
      </c>
      <c r="D561">
        <v>1963</v>
      </c>
      <c r="E561">
        <v>1964.5</v>
      </c>
      <c r="F561">
        <v>1963</v>
      </c>
      <c r="G561">
        <v>1964.5</v>
      </c>
      <c r="H561">
        <v>1500</v>
      </c>
    </row>
    <row r="562" spans="2:8">
      <c r="B562" t="s">
        <v>442</v>
      </c>
      <c r="C562" t="s">
        <v>393</v>
      </c>
      <c r="D562" t="s">
        <v>8</v>
      </c>
      <c r="E562" t="s">
        <v>8</v>
      </c>
      <c r="F562" t="s">
        <v>8</v>
      </c>
      <c r="G562" t="s">
        <v>8</v>
      </c>
      <c r="H562">
        <v>0</v>
      </c>
    </row>
    <row r="563" spans="2:8">
      <c r="B563" t="s">
        <v>442</v>
      </c>
      <c r="C563" t="s">
        <v>394</v>
      </c>
      <c r="D563">
        <v>1964</v>
      </c>
      <c r="E563">
        <v>1964.5</v>
      </c>
      <c r="F563">
        <v>1964</v>
      </c>
      <c r="G563">
        <v>1964</v>
      </c>
      <c r="H563">
        <v>1400</v>
      </c>
    </row>
    <row r="564" spans="2:8">
      <c r="B564" t="s">
        <v>442</v>
      </c>
      <c r="C564" t="s">
        <v>395</v>
      </c>
      <c r="D564">
        <v>1965</v>
      </c>
      <c r="E564">
        <v>1966.5</v>
      </c>
      <c r="F564">
        <v>1965</v>
      </c>
      <c r="G564">
        <v>1965</v>
      </c>
      <c r="H564">
        <v>3500</v>
      </c>
    </row>
    <row r="565" spans="2:8">
      <c r="B565" t="s">
        <v>442</v>
      </c>
      <c r="C565" t="s">
        <v>396</v>
      </c>
      <c r="D565">
        <v>1964.5</v>
      </c>
      <c r="E565">
        <v>1964.5</v>
      </c>
      <c r="F565">
        <v>1961</v>
      </c>
      <c r="G565">
        <v>1961</v>
      </c>
      <c r="H565">
        <v>7100</v>
      </c>
    </row>
    <row r="566" spans="2:8">
      <c r="B566" t="s">
        <v>442</v>
      </c>
      <c r="C566" t="s">
        <v>397</v>
      </c>
      <c r="D566">
        <v>1962</v>
      </c>
      <c r="E566">
        <v>1962</v>
      </c>
      <c r="F566">
        <v>1961</v>
      </c>
      <c r="G566">
        <v>1961</v>
      </c>
      <c r="H566">
        <v>400</v>
      </c>
    </row>
    <row r="567" spans="2:8">
      <c r="B567" t="s">
        <v>442</v>
      </c>
      <c r="C567" t="s">
        <v>398</v>
      </c>
      <c r="D567">
        <v>1961.5</v>
      </c>
      <c r="E567">
        <v>1962.5</v>
      </c>
      <c r="F567">
        <v>1961.5</v>
      </c>
      <c r="G567">
        <v>1961.5</v>
      </c>
      <c r="H567">
        <v>1100</v>
      </c>
    </row>
    <row r="568" spans="2:8">
      <c r="B568" t="s">
        <v>442</v>
      </c>
      <c r="C568" t="s">
        <v>399</v>
      </c>
      <c r="D568">
        <v>1962</v>
      </c>
      <c r="E568">
        <v>1962.5</v>
      </c>
      <c r="F568">
        <v>1961.5</v>
      </c>
      <c r="G568">
        <v>1962.5</v>
      </c>
      <c r="H568">
        <v>700</v>
      </c>
    </row>
    <row r="569" spans="2:8">
      <c r="B569" t="s">
        <v>442</v>
      </c>
      <c r="C569" t="s">
        <v>400</v>
      </c>
      <c r="D569">
        <v>1962.5</v>
      </c>
      <c r="E569">
        <v>1963.5</v>
      </c>
      <c r="F569">
        <v>1962.5</v>
      </c>
      <c r="G569">
        <v>1963.5</v>
      </c>
      <c r="H569">
        <v>700</v>
      </c>
    </row>
    <row r="570" spans="2:8">
      <c r="B570" t="s">
        <v>442</v>
      </c>
      <c r="C570" t="s">
        <v>401</v>
      </c>
      <c r="D570">
        <v>1963.5</v>
      </c>
      <c r="E570">
        <v>1965.5</v>
      </c>
      <c r="F570">
        <v>1963.5</v>
      </c>
      <c r="G570">
        <v>1964</v>
      </c>
      <c r="H570">
        <v>4800</v>
      </c>
    </row>
    <row r="571" spans="2:8">
      <c r="B571" t="s">
        <v>442</v>
      </c>
      <c r="C571" t="s">
        <v>402</v>
      </c>
      <c r="D571">
        <v>1964.5</v>
      </c>
      <c r="E571">
        <v>1965.5</v>
      </c>
      <c r="F571">
        <v>1964.5</v>
      </c>
      <c r="G571">
        <v>1965.5</v>
      </c>
      <c r="H571">
        <v>1800</v>
      </c>
    </row>
    <row r="572" spans="2:8">
      <c r="B572" t="s">
        <v>442</v>
      </c>
      <c r="C572" t="s">
        <v>403</v>
      </c>
      <c r="D572">
        <v>1965</v>
      </c>
      <c r="E572">
        <v>1965</v>
      </c>
      <c r="F572">
        <v>1962</v>
      </c>
      <c r="G572">
        <v>1962</v>
      </c>
      <c r="H572">
        <v>2000</v>
      </c>
    </row>
    <row r="573" spans="2:8">
      <c r="B573" t="s">
        <v>442</v>
      </c>
      <c r="C573" t="s">
        <v>404</v>
      </c>
      <c r="D573" t="s">
        <v>8</v>
      </c>
      <c r="E573" t="s">
        <v>8</v>
      </c>
      <c r="F573" t="s">
        <v>8</v>
      </c>
      <c r="G573" t="s">
        <v>8</v>
      </c>
      <c r="H573">
        <v>0</v>
      </c>
    </row>
    <row r="574" spans="2:8">
      <c r="B574" t="s">
        <v>442</v>
      </c>
      <c r="C574" t="s">
        <v>405</v>
      </c>
      <c r="D574">
        <v>1962.5</v>
      </c>
      <c r="E574">
        <v>1962.5</v>
      </c>
      <c r="F574">
        <v>1958</v>
      </c>
      <c r="G574">
        <v>1958</v>
      </c>
      <c r="H574">
        <v>5400</v>
      </c>
    </row>
    <row r="575" spans="2:8">
      <c r="B575" t="s">
        <v>442</v>
      </c>
      <c r="C575" t="s">
        <v>406</v>
      </c>
      <c r="D575">
        <v>1958</v>
      </c>
      <c r="E575">
        <v>1959.5</v>
      </c>
      <c r="F575">
        <v>1958</v>
      </c>
      <c r="G575">
        <v>1958.5</v>
      </c>
      <c r="H575">
        <v>1000</v>
      </c>
    </row>
    <row r="576" spans="2:8">
      <c r="B576" t="s">
        <v>442</v>
      </c>
      <c r="C576" t="s">
        <v>407</v>
      </c>
      <c r="D576">
        <v>1958</v>
      </c>
      <c r="E576">
        <v>1958</v>
      </c>
      <c r="F576">
        <v>1955</v>
      </c>
      <c r="G576">
        <v>1956</v>
      </c>
      <c r="H576">
        <v>6800</v>
      </c>
    </row>
    <row r="577" spans="2:8">
      <c r="B577" t="s">
        <v>442</v>
      </c>
      <c r="C577" t="s">
        <v>408</v>
      </c>
      <c r="D577">
        <v>1956.5</v>
      </c>
      <c r="E577">
        <v>1958</v>
      </c>
      <c r="F577">
        <v>1956.5</v>
      </c>
      <c r="G577">
        <v>1958</v>
      </c>
      <c r="H577">
        <v>2400</v>
      </c>
    </row>
    <row r="578" spans="2:8">
      <c r="B578" t="s">
        <v>442</v>
      </c>
      <c r="C578" t="s">
        <v>409</v>
      </c>
      <c r="D578">
        <v>1958.5</v>
      </c>
      <c r="E578">
        <v>1959</v>
      </c>
      <c r="F578">
        <v>1957</v>
      </c>
      <c r="G578">
        <v>1957</v>
      </c>
      <c r="H578">
        <v>1100</v>
      </c>
    </row>
    <row r="579" spans="2:8">
      <c r="B579" t="s">
        <v>442</v>
      </c>
      <c r="C579" t="s">
        <v>410</v>
      </c>
      <c r="D579">
        <v>1956.5</v>
      </c>
      <c r="E579">
        <v>1957.5</v>
      </c>
      <c r="F579">
        <v>1956</v>
      </c>
      <c r="G579">
        <v>1957.5</v>
      </c>
      <c r="H579">
        <v>800</v>
      </c>
    </row>
    <row r="580" spans="2:8">
      <c r="B580" t="s">
        <v>442</v>
      </c>
      <c r="C580" t="s">
        <v>411</v>
      </c>
      <c r="D580">
        <v>1957.5</v>
      </c>
      <c r="E580">
        <v>1958</v>
      </c>
      <c r="F580">
        <v>1957</v>
      </c>
      <c r="G580">
        <v>1957</v>
      </c>
      <c r="H580">
        <v>3000</v>
      </c>
    </row>
    <row r="581" spans="2:8">
      <c r="B581" t="s">
        <v>442</v>
      </c>
      <c r="C581" t="s">
        <v>412</v>
      </c>
      <c r="D581">
        <v>1957</v>
      </c>
      <c r="E581">
        <v>1958</v>
      </c>
      <c r="F581">
        <v>1955.5</v>
      </c>
      <c r="G581">
        <v>1955.5</v>
      </c>
      <c r="H581">
        <v>2200</v>
      </c>
    </row>
    <row r="582" spans="2:8">
      <c r="B582" t="s">
        <v>442</v>
      </c>
      <c r="C582" t="s">
        <v>413</v>
      </c>
      <c r="D582">
        <v>1956.5</v>
      </c>
      <c r="E582">
        <v>1956.5</v>
      </c>
      <c r="F582">
        <v>1956.5</v>
      </c>
      <c r="G582">
        <v>1956.5</v>
      </c>
      <c r="H582">
        <v>100</v>
      </c>
    </row>
    <row r="583" spans="2:8">
      <c r="B583" t="s">
        <v>442</v>
      </c>
      <c r="C583" t="s">
        <v>414</v>
      </c>
      <c r="D583">
        <v>1956</v>
      </c>
      <c r="E583">
        <v>1956</v>
      </c>
      <c r="F583">
        <v>1954</v>
      </c>
      <c r="G583">
        <v>1954</v>
      </c>
      <c r="H583">
        <v>1600</v>
      </c>
    </row>
    <row r="584" spans="2:8">
      <c r="B584" t="s">
        <v>442</v>
      </c>
      <c r="C584" t="s">
        <v>415</v>
      </c>
      <c r="D584">
        <v>1954.5</v>
      </c>
      <c r="E584">
        <v>1959.5</v>
      </c>
      <c r="F584">
        <v>1954</v>
      </c>
      <c r="G584">
        <v>1959.5</v>
      </c>
      <c r="H584">
        <v>5100</v>
      </c>
    </row>
    <row r="585" spans="2:8">
      <c r="B585" t="s">
        <v>442</v>
      </c>
      <c r="C585" t="s">
        <v>416</v>
      </c>
      <c r="D585">
        <v>1959</v>
      </c>
      <c r="E585">
        <v>1960.5</v>
      </c>
      <c r="F585">
        <v>1959</v>
      </c>
      <c r="G585">
        <v>1959.5</v>
      </c>
      <c r="H585">
        <v>800</v>
      </c>
    </row>
    <row r="586" spans="2:8">
      <c r="B586" t="s">
        <v>442</v>
      </c>
      <c r="C586" t="s">
        <v>417</v>
      </c>
      <c r="D586">
        <v>1960.5</v>
      </c>
      <c r="E586">
        <v>1961</v>
      </c>
      <c r="F586">
        <v>1960</v>
      </c>
      <c r="G586">
        <v>1961</v>
      </c>
      <c r="H586">
        <v>1600</v>
      </c>
    </row>
    <row r="587" spans="2:8">
      <c r="B587" t="s">
        <v>442</v>
      </c>
      <c r="C587" t="s">
        <v>418</v>
      </c>
      <c r="D587">
        <v>1961</v>
      </c>
      <c r="E587">
        <v>1962</v>
      </c>
      <c r="F587">
        <v>1960</v>
      </c>
      <c r="G587">
        <v>1960</v>
      </c>
      <c r="H587">
        <v>900</v>
      </c>
    </row>
    <row r="588" spans="2:8">
      <c r="B588" t="s">
        <v>442</v>
      </c>
      <c r="C588" t="s">
        <v>419</v>
      </c>
      <c r="D588">
        <v>1959.5</v>
      </c>
      <c r="E588">
        <v>1960.5</v>
      </c>
      <c r="F588">
        <v>1958</v>
      </c>
      <c r="G588">
        <v>1960.5</v>
      </c>
      <c r="H588">
        <v>4200</v>
      </c>
    </row>
    <row r="589" spans="2:8">
      <c r="B589" t="s">
        <v>442</v>
      </c>
      <c r="C589" t="s">
        <v>420</v>
      </c>
      <c r="D589">
        <v>1960.5</v>
      </c>
      <c r="E589">
        <v>1960.5</v>
      </c>
      <c r="F589">
        <v>1958.5</v>
      </c>
      <c r="G589">
        <v>1959.5</v>
      </c>
      <c r="H589">
        <v>1100</v>
      </c>
    </row>
    <row r="590" spans="2:8">
      <c r="B590" t="s">
        <v>442</v>
      </c>
      <c r="C590" t="s">
        <v>421</v>
      </c>
      <c r="D590">
        <v>1959.5</v>
      </c>
      <c r="E590">
        <v>1959.5</v>
      </c>
      <c r="F590">
        <v>1959.5</v>
      </c>
      <c r="G590">
        <v>1959.5</v>
      </c>
      <c r="H590">
        <v>100</v>
      </c>
    </row>
    <row r="591" spans="2:8">
      <c r="B591" t="s">
        <v>442</v>
      </c>
      <c r="C591" t="s">
        <v>422</v>
      </c>
      <c r="D591">
        <v>1959.5</v>
      </c>
      <c r="E591">
        <v>1959.5</v>
      </c>
      <c r="F591">
        <v>1957</v>
      </c>
      <c r="G591">
        <v>1957</v>
      </c>
      <c r="H591">
        <v>1600</v>
      </c>
    </row>
    <row r="592" spans="2:8">
      <c r="B592" t="s">
        <v>442</v>
      </c>
      <c r="C592" t="s">
        <v>423</v>
      </c>
      <c r="D592">
        <v>1956.5</v>
      </c>
      <c r="E592">
        <v>1956.5</v>
      </c>
      <c r="F592">
        <v>1956</v>
      </c>
      <c r="G592">
        <v>1956</v>
      </c>
      <c r="H592">
        <v>1100</v>
      </c>
    </row>
    <row r="593" spans="2:8">
      <c r="B593" t="s">
        <v>442</v>
      </c>
      <c r="C593" t="s">
        <v>424</v>
      </c>
      <c r="D593">
        <v>1956.5</v>
      </c>
      <c r="E593">
        <v>1958</v>
      </c>
      <c r="F593">
        <v>1955.5</v>
      </c>
      <c r="G593">
        <v>1958</v>
      </c>
      <c r="H593">
        <v>3000</v>
      </c>
    </row>
    <row r="594" spans="2:8">
      <c r="B594" t="s">
        <v>442</v>
      </c>
      <c r="C594" t="s">
        <v>425</v>
      </c>
      <c r="D594">
        <v>1958</v>
      </c>
      <c r="E594">
        <v>1958.5</v>
      </c>
      <c r="F594">
        <v>1958</v>
      </c>
      <c r="G594">
        <v>1958</v>
      </c>
      <c r="H594">
        <v>900</v>
      </c>
    </row>
    <row r="595" spans="2:8">
      <c r="B595" t="s">
        <v>442</v>
      </c>
      <c r="C595" t="s">
        <v>426</v>
      </c>
      <c r="D595">
        <v>1958</v>
      </c>
      <c r="E595">
        <v>1958</v>
      </c>
      <c r="F595">
        <v>1957.5</v>
      </c>
      <c r="G595">
        <v>1957.5</v>
      </c>
      <c r="H595">
        <v>700</v>
      </c>
    </row>
    <row r="596" spans="2:8">
      <c r="B596" t="s">
        <v>442</v>
      </c>
      <c r="C596" t="s">
        <v>427</v>
      </c>
      <c r="D596">
        <v>1958</v>
      </c>
      <c r="E596">
        <v>1960.5</v>
      </c>
      <c r="F596">
        <v>1958</v>
      </c>
      <c r="G596">
        <v>1960.5</v>
      </c>
      <c r="H596">
        <v>2000</v>
      </c>
    </row>
    <row r="597" spans="2:8">
      <c r="B597" t="s">
        <v>442</v>
      </c>
      <c r="C597" t="s">
        <v>428</v>
      </c>
      <c r="D597">
        <v>1960.5</v>
      </c>
      <c r="E597">
        <v>1961.5</v>
      </c>
      <c r="F597">
        <v>1959.5</v>
      </c>
      <c r="G597">
        <v>1961</v>
      </c>
      <c r="H597">
        <v>3300</v>
      </c>
    </row>
    <row r="598" spans="2:8">
      <c r="B598" t="s">
        <v>442</v>
      </c>
      <c r="C598" t="s">
        <v>429</v>
      </c>
      <c r="D598">
        <v>1961</v>
      </c>
      <c r="E598">
        <v>1961</v>
      </c>
      <c r="F598">
        <v>1959</v>
      </c>
      <c r="G598">
        <v>1960.5</v>
      </c>
      <c r="H598">
        <v>4300</v>
      </c>
    </row>
    <row r="599" spans="2:8">
      <c r="B599" t="s">
        <v>442</v>
      </c>
      <c r="C599" t="s">
        <v>430</v>
      </c>
      <c r="D599">
        <v>1960</v>
      </c>
      <c r="E599">
        <v>1960</v>
      </c>
      <c r="F599">
        <v>1958.5</v>
      </c>
      <c r="G599">
        <v>1959</v>
      </c>
      <c r="H599">
        <v>1100</v>
      </c>
    </row>
    <row r="600" spans="2:8">
      <c r="B600" t="s">
        <v>442</v>
      </c>
      <c r="C600" t="s">
        <v>431</v>
      </c>
      <c r="D600">
        <v>1959</v>
      </c>
      <c r="E600">
        <v>1959</v>
      </c>
      <c r="F600">
        <v>1959</v>
      </c>
      <c r="G600">
        <v>1959</v>
      </c>
      <c r="H600">
        <v>100</v>
      </c>
    </row>
    <row r="601" spans="2:8">
      <c r="B601" t="s">
        <v>442</v>
      </c>
      <c r="C601" t="s">
        <v>9</v>
      </c>
      <c r="D601">
        <v>1959</v>
      </c>
      <c r="E601">
        <v>1959</v>
      </c>
      <c r="F601">
        <v>1957.5</v>
      </c>
      <c r="G601">
        <v>1957.5</v>
      </c>
      <c r="H601">
        <v>900</v>
      </c>
    </row>
    <row r="602" spans="2:8">
      <c r="B602" t="s">
        <v>442</v>
      </c>
      <c r="C602" t="s">
        <v>10</v>
      </c>
      <c r="D602">
        <v>1957.5</v>
      </c>
      <c r="E602">
        <v>1959</v>
      </c>
      <c r="F602">
        <v>1957.5</v>
      </c>
      <c r="G602">
        <v>1959</v>
      </c>
      <c r="H602">
        <v>1900</v>
      </c>
    </row>
    <row r="603" spans="2:8">
      <c r="B603" t="s">
        <v>442</v>
      </c>
      <c r="C603" t="s">
        <v>11</v>
      </c>
      <c r="D603">
        <v>1958.5</v>
      </c>
      <c r="E603">
        <v>1958.5</v>
      </c>
      <c r="F603">
        <v>1957.5</v>
      </c>
      <c r="G603">
        <v>1957.5</v>
      </c>
      <c r="H603">
        <v>2000</v>
      </c>
    </row>
    <row r="604" spans="2:8">
      <c r="B604" t="s">
        <v>442</v>
      </c>
      <c r="C604" t="s">
        <v>12</v>
      </c>
      <c r="D604">
        <v>1957.5</v>
      </c>
      <c r="E604">
        <v>1959</v>
      </c>
      <c r="F604">
        <v>1957.5</v>
      </c>
      <c r="G604">
        <v>1959</v>
      </c>
      <c r="H604">
        <v>2100</v>
      </c>
    </row>
    <row r="605" spans="2:8">
      <c r="B605" t="s">
        <v>442</v>
      </c>
      <c r="C605" t="s">
        <v>13</v>
      </c>
      <c r="D605">
        <v>1959</v>
      </c>
      <c r="E605">
        <v>1959.5</v>
      </c>
      <c r="F605">
        <v>1957.5</v>
      </c>
      <c r="G605">
        <v>1957.5</v>
      </c>
      <c r="H605">
        <v>2200</v>
      </c>
    </row>
    <row r="606" spans="2:8">
      <c r="B606" t="s">
        <v>442</v>
      </c>
      <c r="C606" t="s">
        <v>14</v>
      </c>
      <c r="D606">
        <v>1958</v>
      </c>
      <c r="E606">
        <v>1958</v>
      </c>
      <c r="F606">
        <v>1957</v>
      </c>
      <c r="G606">
        <v>1957</v>
      </c>
      <c r="H606">
        <v>1700</v>
      </c>
    </row>
    <row r="607" spans="2:8">
      <c r="B607" t="s">
        <v>442</v>
      </c>
      <c r="C607" t="s">
        <v>15</v>
      </c>
      <c r="D607">
        <v>1957.5</v>
      </c>
      <c r="E607">
        <v>1958.5</v>
      </c>
      <c r="F607">
        <v>1957</v>
      </c>
      <c r="G607">
        <v>1957</v>
      </c>
      <c r="H607">
        <v>2800</v>
      </c>
    </row>
    <row r="608" spans="2:8">
      <c r="B608" t="s">
        <v>442</v>
      </c>
      <c r="C608" t="s">
        <v>16</v>
      </c>
      <c r="D608">
        <v>1956</v>
      </c>
      <c r="E608">
        <v>1956.5</v>
      </c>
      <c r="F608">
        <v>1956</v>
      </c>
      <c r="G608">
        <v>1956.5</v>
      </c>
      <c r="H608">
        <v>1200</v>
      </c>
    </row>
    <row r="609" spans="2:8">
      <c r="B609" t="s">
        <v>442</v>
      </c>
      <c r="C609" t="s">
        <v>17</v>
      </c>
      <c r="D609">
        <v>1957</v>
      </c>
      <c r="E609">
        <v>1957</v>
      </c>
      <c r="F609">
        <v>1955</v>
      </c>
      <c r="G609">
        <v>1955</v>
      </c>
      <c r="H609">
        <v>2600</v>
      </c>
    </row>
    <row r="610" spans="2:8">
      <c r="B610" t="s">
        <v>442</v>
      </c>
      <c r="C610" t="s">
        <v>18</v>
      </c>
      <c r="D610">
        <v>1956</v>
      </c>
      <c r="E610">
        <v>1956</v>
      </c>
      <c r="F610">
        <v>1956</v>
      </c>
      <c r="G610">
        <v>1956</v>
      </c>
      <c r="H610">
        <v>200</v>
      </c>
    </row>
    <row r="611" spans="2:8">
      <c r="B611" t="s">
        <v>442</v>
      </c>
      <c r="C611" t="s">
        <v>19</v>
      </c>
      <c r="D611">
        <v>1956</v>
      </c>
      <c r="E611">
        <v>1956</v>
      </c>
      <c r="F611">
        <v>1955.5</v>
      </c>
      <c r="G611">
        <v>1955.5</v>
      </c>
      <c r="H611">
        <v>1000</v>
      </c>
    </row>
    <row r="612" spans="2:8">
      <c r="B612" t="s">
        <v>442</v>
      </c>
      <c r="C612" t="s">
        <v>20</v>
      </c>
      <c r="D612">
        <v>1955.5</v>
      </c>
      <c r="E612">
        <v>1955.5</v>
      </c>
      <c r="F612">
        <v>1954.5</v>
      </c>
      <c r="G612">
        <v>1954.5</v>
      </c>
      <c r="H612">
        <v>4100</v>
      </c>
    </row>
    <row r="613" spans="2:8">
      <c r="B613" t="s">
        <v>442</v>
      </c>
      <c r="C613" t="s">
        <v>21</v>
      </c>
      <c r="D613">
        <v>1954</v>
      </c>
      <c r="E613">
        <v>1955</v>
      </c>
      <c r="F613">
        <v>1953</v>
      </c>
      <c r="G613">
        <v>1955</v>
      </c>
      <c r="H613">
        <v>2000</v>
      </c>
    </row>
    <row r="614" spans="2:8">
      <c r="B614" t="s">
        <v>442</v>
      </c>
      <c r="C614" t="s">
        <v>22</v>
      </c>
      <c r="D614">
        <v>1955</v>
      </c>
      <c r="E614">
        <v>1956</v>
      </c>
      <c r="F614">
        <v>1953.5</v>
      </c>
      <c r="G614">
        <v>1953.5</v>
      </c>
      <c r="H614">
        <v>2700</v>
      </c>
    </row>
    <row r="615" spans="2:8">
      <c r="B615" t="s">
        <v>442</v>
      </c>
      <c r="C615" t="s">
        <v>23</v>
      </c>
      <c r="D615">
        <v>1953.5</v>
      </c>
      <c r="E615">
        <v>1954</v>
      </c>
      <c r="F615">
        <v>1953.5</v>
      </c>
      <c r="G615">
        <v>1953.5</v>
      </c>
      <c r="H615">
        <v>600</v>
      </c>
    </row>
    <row r="616" spans="2:8">
      <c r="B616" t="s">
        <v>442</v>
      </c>
      <c r="C616" t="s">
        <v>24</v>
      </c>
      <c r="D616">
        <v>1953.5</v>
      </c>
      <c r="E616">
        <v>1954</v>
      </c>
      <c r="F616">
        <v>1951.5</v>
      </c>
      <c r="G616">
        <v>1951.5</v>
      </c>
      <c r="H616">
        <v>4700</v>
      </c>
    </row>
    <row r="617" spans="2:8">
      <c r="B617" t="s">
        <v>442</v>
      </c>
      <c r="C617" t="s">
        <v>25</v>
      </c>
      <c r="D617">
        <v>1951.5</v>
      </c>
      <c r="E617">
        <v>1955</v>
      </c>
      <c r="F617">
        <v>1951.5</v>
      </c>
      <c r="G617">
        <v>1955</v>
      </c>
      <c r="H617">
        <v>2900</v>
      </c>
    </row>
    <row r="618" spans="2:8">
      <c r="B618" t="s">
        <v>442</v>
      </c>
      <c r="C618" t="s">
        <v>26</v>
      </c>
      <c r="D618">
        <v>1955</v>
      </c>
      <c r="E618">
        <v>1955</v>
      </c>
      <c r="F618">
        <v>1954.5</v>
      </c>
      <c r="G618">
        <v>1954.5</v>
      </c>
      <c r="H618">
        <v>600</v>
      </c>
    </row>
    <row r="619" spans="2:8">
      <c r="B619" t="s">
        <v>442</v>
      </c>
      <c r="C619" t="s">
        <v>27</v>
      </c>
      <c r="D619">
        <v>1953</v>
      </c>
      <c r="E619">
        <v>1953</v>
      </c>
      <c r="F619">
        <v>1949</v>
      </c>
      <c r="G619">
        <v>1951.5</v>
      </c>
      <c r="H619">
        <v>11500</v>
      </c>
    </row>
    <row r="620" spans="2:8">
      <c r="B620" t="s">
        <v>442</v>
      </c>
      <c r="C620" t="s">
        <v>28</v>
      </c>
      <c r="D620">
        <v>1950.5</v>
      </c>
      <c r="E620">
        <v>1951</v>
      </c>
      <c r="F620">
        <v>1950</v>
      </c>
      <c r="G620">
        <v>1950</v>
      </c>
      <c r="H620">
        <v>2300</v>
      </c>
    </row>
    <row r="621" spans="2:8">
      <c r="B621" t="s">
        <v>442</v>
      </c>
      <c r="C621" t="s">
        <v>29</v>
      </c>
      <c r="D621">
        <v>1950.5</v>
      </c>
      <c r="E621">
        <v>1953</v>
      </c>
      <c r="F621">
        <v>1950.5</v>
      </c>
      <c r="G621">
        <v>1953</v>
      </c>
      <c r="H621">
        <v>1500</v>
      </c>
    </row>
    <row r="622" spans="2:8">
      <c r="B622" t="s">
        <v>442</v>
      </c>
      <c r="C622" t="s">
        <v>30</v>
      </c>
      <c r="D622">
        <v>1953</v>
      </c>
      <c r="E622">
        <v>1953.5</v>
      </c>
      <c r="F622">
        <v>1953</v>
      </c>
      <c r="G622">
        <v>1953.5</v>
      </c>
      <c r="H622">
        <v>400</v>
      </c>
    </row>
    <row r="623" spans="2:8">
      <c r="B623" t="s">
        <v>442</v>
      </c>
      <c r="C623" t="s">
        <v>31</v>
      </c>
      <c r="D623">
        <v>1953.5</v>
      </c>
      <c r="E623">
        <v>1954</v>
      </c>
      <c r="F623">
        <v>1952</v>
      </c>
      <c r="G623">
        <v>1952.5</v>
      </c>
      <c r="H623">
        <v>2100</v>
      </c>
    </row>
    <row r="624" spans="2:8">
      <c r="B624" t="s">
        <v>442</v>
      </c>
      <c r="C624" t="s">
        <v>32</v>
      </c>
      <c r="D624">
        <v>1953.5</v>
      </c>
      <c r="E624">
        <v>1955</v>
      </c>
      <c r="F624">
        <v>1953.5</v>
      </c>
      <c r="G624">
        <v>1955</v>
      </c>
      <c r="H624">
        <v>1100</v>
      </c>
    </row>
    <row r="625" spans="2:8">
      <c r="B625" t="s">
        <v>442</v>
      </c>
      <c r="C625" t="s">
        <v>33</v>
      </c>
      <c r="D625">
        <v>1954</v>
      </c>
      <c r="E625">
        <v>1954.5</v>
      </c>
      <c r="F625">
        <v>1953.5</v>
      </c>
      <c r="G625">
        <v>1953.5</v>
      </c>
      <c r="H625">
        <v>1000</v>
      </c>
    </row>
    <row r="626" spans="2:8">
      <c r="B626" t="s">
        <v>442</v>
      </c>
      <c r="C626" t="s">
        <v>34</v>
      </c>
      <c r="D626">
        <v>1953.5</v>
      </c>
      <c r="E626">
        <v>1955</v>
      </c>
      <c r="F626">
        <v>1953.5</v>
      </c>
      <c r="G626">
        <v>1955</v>
      </c>
      <c r="H626">
        <v>2400</v>
      </c>
    </row>
    <row r="627" spans="2:8">
      <c r="B627" t="s">
        <v>442</v>
      </c>
      <c r="C627" t="s">
        <v>35</v>
      </c>
      <c r="D627">
        <v>1953.5</v>
      </c>
      <c r="E627">
        <v>1953.5</v>
      </c>
      <c r="F627">
        <v>1952.5</v>
      </c>
      <c r="G627">
        <v>1952.5</v>
      </c>
      <c r="H627">
        <v>500</v>
      </c>
    </row>
    <row r="628" spans="2:8">
      <c r="B628" t="s">
        <v>442</v>
      </c>
      <c r="C628" t="s">
        <v>36</v>
      </c>
      <c r="D628">
        <v>1951.5</v>
      </c>
      <c r="E628">
        <v>1952.5</v>
      </c>
      <c r="F628">
        <v>1951.5</v>
      </c>
      <c r="G628">
        <v>1951.5</v>
      </c>
      <c r="H628">
        <v>600</v>
      </c>
    </row>
    <row r="629" spans="2:8">
      <c r="B629" t="s">
        <v>442</v>
      </c>
      <c r="C629" t="s">
        <v>37</v>
      </c>
      <c r="D629">
        <v>1951.5</v>
      </c>
      <c r="E629">
        <v>1951.5</v>
      </c>
      <c r="F629">
        <v>1951</v>
      </c>
      <c r="G629">
        <v>1951.5</v>
      </c>
      <c r="H629">
        <v>900</v>
      </c>
    </row>
    <row r="630" spans="2:8">
      <c r="B630" t="s">
        <v>442</v>
      </c>
      <c r="C630" t="s">
        <v>38</v>
      </c>
      <c r="D630">
        <v>1951.5</v>
      </c>
      <c r="E630">
        <v>1951.5</v>
      </c>
      <c r="F630">
        <v>1951.5</v>
      </c>
      <c r="G630">
        <v>1951.5</v>
      </c>
      <c r="H630">
        <v>100</v>
      </c>
    </row>
    <row r="631" spans="2:8">
      <c r="B631" t="s">
        <v>442</v>
      </c>
      <c r="C631" t="s">
        <v>39</v>
      </c>
      <c r="D631">
        <v>1951</v>
      </c>
      <c r="E631">
        <v>1951</v>
      </c>
      <c r="F631">
        <v>1950</v>
      </c>
      <c r="G631">
        <v>1950</v>
      </c>
      <c r="H631">
        <v>2100</v>
      </c>
    </row>
    <row r="632" spans="2:8">
      <c r="B632" t="s">
        <v>442</v>
      </c>
      <c r="C632" t="s">
        <v>40</v>
      </c>
      <c r="D632">
        <v>1950</v>
      </c>
      <c r="E632">
        <v>1951</v>
      </c>
      <c r="F632">
        <v>1950</v>
      </c>
      <c r="G632">
        <v>1951</v>
      </c>
      <c r="H632">
        <v>1100</v>
      </c>
    </row>
    <row r="633" spans="2:8">
      <c r="B633" t="s">
        <v>442</v>
      </c>
      <c r="C633" t="s">
        <v>41</v>
      </c>
      <c r="D633">
        <v>1950.5</v>
      </c>
      <c r="E633">
        <v>1951</v>
      </c>
      <c r="F633">
        <v>1950</v>
      </c>
      <c r="G633">
        <v>1950.5</v>
      </c>
      <c r="H633">
        <v>1100</v>
      </c>
    </row>
    <row r="634" spans="2:8">
      <c r="B634" t="s">
        <v>442</v>
      </c>
      <c r="C634" t="s">
        <v>42</v>
      </c>
      <c r="D634">
        <v>1950.5</v>
      </c>
      <c r="E634">
        <v>1951.5</v>
      </c>
      <c r="F634">
        <v>1950</v>
      </c>
      <c r="G634">
        <v>1951</v>
      </c>
      <c r="H634">
        <v>2700</v>
      </c>
    </row>
    <row r="635" spans="2:8">
      <c r="B635" t="s">
        <v>442</v>
      </c>
      <c r="C635" t="s">
        <v>43</v>
      </c>
      <c r="D635">
        <v>1951</v>
      </c>
      <c r="E635">
        <v>1951</v>
      </c>
      <c r="F635">
        <v>1949.5</v>
      </c>
      <c r="G635">
        <v>1949.5</v>
      </c>
      <c r="H635">
        <v>700</v>
      </c>
    </row>
    <row r="636" spans="2:8">
      <c r="B636" t="s">
        <v>442</v>
      </c>
      <c r="C636" t="s">
        <v>44</v>
      </c>
      <c r="D636">
        <v>1949.5</v>
      </c>
      <c r="E636">
        <v>1950.5</v>
      </c>
      <c r="F636">
        <v>1948.5</v>
      </c>
      <c r="G636">
        <v>1950.5</v>
      </c>
      <c r="H636">
        <v>3300</v>
      </c>
    </row>
    <row r="637" spans="2:8">
      <c r="B637" t="s">
        <v>442</v>
      </c>
      <c r="C637" t="s">
        <v>45</v>
      </c>
      <c r="D637">
        <v>1950</v>
      </c>
      <c r="E637">
        <v>1951.5</v>
      </c>
      <c r="F637">
        <v>1950</v>
      </c>
      <c r="G637">
        <v>1951</v>
      </c>
      <c r="H637">
        <v>1500</v>
      </c>
    </row>
    <row r="638" spans="2:8">
      <c r="B638" t="s">
        <v>442</v>
      </c>
      <c r="C638" t="s">
        <v>46</v>
      </c>
      <c r="D638">
        <v>1950.5</v>
      </c>
      <c r="E638">
        <v>1950.5</v>
      </c>
      <c r="F638">
        <v>1949.5</v>
      </c>
      <c r="G638">
        <v>1949.5</v>
      </c>
      <c r="H638">
        <v>1000</v>
      </c>
    </row>
    <row r="639" spans="2:8">
      <c r="B639" t="s">
        <v>442</v>
      </c>
      <c r="C639" t="s">
        <v>47</v>
      </c>
      <c r="D639">
        <v>1948.5</v>
      </c>
      <c r="E639">
        <v>1950</v>
      </c>
      <c r="F639">
        <v>1948.5</v>
      </c>
      <c r="G639">
        <v>1948.5</v>
      </c>
      <c r="H639">
        <v>1500</v>
      </c>
    </row>
    <row r="640" spans="2:8">
      <c r="B640" t="s">
        <v>442</v>
      </c>
      <c r="C640" t="s">
        <v>48</v>
      </c>
      <c r="D640">
        <v>1948.5</v>
      </c>
      <c r="E640">
        <v>1948.5</v>
      </c>
      <c r="F640">
        <v>1948</v>
      </c>
      <c r="G640">
        <v>1948.5</v>
      </c>
      <c r="H640">
        <v>4300</v>
      </c>
    </row>
    <row r="641" spans="2:8">
      <c r="B641" t="s">
        <v>442</v>
      </c>
      <c r="C641" t="s">
        <v>49</v>
      </c>
      <c r="D641">
        <v>1949</v>
      </c>
      <c r="E641">
        <v>1951</v>
      </c>
      <c r="F641">
        <v>1949</v>
      </c>
      <c r="G641">
        <v>1951</v>
      </c>
      <c r="H641">
        <v>3300</v>
      </c>
    </row>
    <row r="642" spans="2:8">
      <c r="B642" t="s">
        <v>442</v>
      </c>
      <c r="C642" t="s">
        <v>50</v>
      </c>
      <c r="D642">
        <v>1951.5</v>
      </c>
      <c r="E642">
        <v>1952.5</v>
      </c>
      <c r="F642">
        <v>1951.5</v>
      </c>
      <c r="G642">
        <v>1952.5</v>
      </c>
      <c r="H642">
        <v>4700</v>
      </c>
    </row>
    <row r="643" spans="2:8">
      <c r="B643" t="s">
        <v>442</v>
      </c>
      <c r="C643" t="s">
        <v>51</v>
      </c>
      <c r="D643">
        <v>1952.5</v>
      </c>
      <c r="E643">
        <v>1954</v>
      </c>
      <c r="F643">
        <v>1952.5</v>
      </c>
      <c r="G643">
        <v>1953.5</v>
      </c>
      <c r="H643">
        <v>1600</v>
      </c>
    </row>
    <row r="644" spans="2:8">
      <c r="B644" t="s">
        <v>442</v>
      </c>
      <c r="C644" t="s">
        <v>52</v>
      </c>
      <c r="D644">
        <v>1953</v>
      </c>
      <c r="E644">
        <v>1953</v>
      </c>
      <c r="F644">
        <v>1952.5</v>
      </c>
      <c r="G644">
        <v>1952.5</v>
      </c>
      <c r="H644">
        <v>3500</v>
      </c>
    </row>
    <row r="645" spans="2:8">
      <c r="B645" t="s">
        <v>442</v>
      </c>
      <c r="C645" t="s">
        <v>53</v>
      </c>
      <c r="D645">
        <v>1952</v>
      </c>
      <c r="E645">
        <v>1952.5</v>
      </c>
      <c r="F645">
        <v>1950</v>
      </c>
      <c r="G645">
        <v>1951</v>
      </c>
      <c r="H645">
        <v>5300</v>
      </c>
    </row>
    <row r="646" spans="2:8">
      <c r="B646" t="s">
        <v>442</v>
      </c>
      <c r="C646" t="s">
        <v>54</v>
      </c>
      <c r="D646">
        <v>1951</v>
      </c>
      <c r="E646">
        <v>1953.5</v>
      </c>
      <c r="F646">
        <v>1950.5</v>
      </c>
      <c r="G646">
        <v>1953.5</v>
      </c>
      <c r="H646">
        <v>6600</v>
      </c>
    </row>
    <row r="647" spans="2:8">
      <c r="B647" t="s">
        <v>442</v>
      </c>
      <c r="C647" t="s">
        <v>55</v>
      </c>
      <c r="D647">
        <v>1952.5</v>
      </c>
      <c r="E647">
        <v>1956</v>
      </c>
      <c r="F647">
        <v>1952.5</v>
      </c>
      <c r="G647">
        <v>1955</v>
      </c>
      <c r="H647">
        <v>2600</v>
      </c>
    </row>
    <row r="648" spans="2:8">
      <c r="B648" t="s">
        <v>442</v>
      </c>
      <c r="C648" t="s">
        <v>56</v>
      </c>
      <c r="D648">
        <v>1954.5</v>
      </c>
      <c r="E648">
        <v>1955</v>
      </c>
      <c r="F648">
        <v>1953</v>
      </c>
      <c r="G648">
        <v>1953</v>
      </c>
      <c r="H648">
        <v>4200</v>
      </c>
    </row>
    <row r="649" spans="2:8">
      <c r="B649" t="s">
        <v>442</v>
      </c>
      <c r="C649" t="s">
        <v>57</v>
      </c>
      <c r="D649">
        <v>1952.5</v>
      </c>
      <c r="E649">
        <v>1952.5</v>
      </c>
      <c r="F649">
        <v>1952</v>
      </c>
      <c r="G649">
        <v>1952.5</v>
      </c>
      <c r="H649">
        <v>1500</v>
      </c>
    </row>
    <row r="650" spans="2:8">
      <c r="B650" t="s">
        <v>442</v>
      </c>
      <c r="C650" t="s">
        <v>58</v>
      </c>
      <c r="D650">
        <v>1953</v>
      </c>
      <c r="E650">
        <v>1954</v>
      </c>
      <c r="F650">
        <v>1952.5</v>
      </c>
      <c r="G650">
        <v>1952.5</v>
      </c>
      <c r="H650">
        <v>2700</v>
      </c>
    </row>
    <row r="651" spans="2:8">
      <c r="B651" t="s">
        <v>442</v>
      </c>
      <c r="C651" t="s">
        <v>59</v>
      </c>
      <c r="D651">
        <v>1953.5</v>
      </c>
      <c r="E651">
        <v>1953.5</v>
      </c>
      <c r="F651">
        <v>1953</v>
      </c>
      <c r="G651">
        <v>1953.5</v>
      </c>
      <c r="H651">
        <v>500</v>
      </c>
    </row>
    <row r="652" spans="2:8">
      <c r="B652" t="s">
        <v>442</v>
      </c>
      <c r="C652" t="s">
        <v>60</v>
      </c>
      <c r="D652">
        <v>1953</v>
      </c>
      <c r="E652">
        <v>1953.5</v>
      </c>
      <c r="F652">
        <v>1949</v>
      </c>
      <c r="G652">
        <v>1950</v>
      </c>
      <c r="H652">
        <v>5300</v>
      </c>
    </row>
    <row r="653" spans="2:8">
      <c r="B653" t="s">
        <v>442</v>
      </c>
      <c r="C653" t="s">
        <v>61</v>
      </c>
      <c r="D653">
        <v>1950.5</v>
      </c>
      <c r="E653">
        <v>1952.5</v>
      </c>
      <c r="F653">
        <v>1950.5</v>
      </c>
      <c r="G653">
        <v>1952.5</v>
      </c>
      <c r="H653">
        <v>2900</v>
      </c>
    </row>
    <row r="654" spans="2:8">
      <c r="B654" t="s">
        <v>442</v>
      </c>
      <c r="C654" t="s">
        <v>62</v>
      </c>
      <c r="D654">
        <v>1952.5</v>
      </c>
      <c r="E654">
        <v>1952.5</v>
      </c>
      <c r="F654">
        <v>1952.5</v>
      </c>
      <c r="G654">
        <v>1952.5</v>
      </c>
      <c r="H654">
        <v>1000</v>
      </c>
    </row>
    <row r="655" spans="2:8">
      <c r="B655" t="s">
        <v>442</v>
      </c>
      <c r="C655" t="s">
        <v>63</v>
      </c>
      <c r="D655">
        <v>1952.5</v>
      </c>
      <c r="E655">
        <v>1953.5</v>
      </c>
      <c r="F655">
        <v>1952.5</v>
      </c>
      <c r="G655">
        <v>1953</v>
      </c>
      <c r="H655">
        <v>9300</v>
      </c>
    </row>
    <row r="656" spans="2:8">
      <c r="B656" t="s">
        <v>442</v>
      </c>
      <c r="C656" t="s">
        <v>64</v>
      </c>
      <c r="D656">
        <v>1952.5</v>
      </c>
      <c r="E656">
        <v>1956.5</v>
      </c>
      <c r="F656">
        <v>1952.5</v>
      </c>
      <c r="G656">
        <v>1956</v>
      </c>
      <c r="H656">
        <v>10500</v>
      </c>
    </row>
    <row r="657" spans="2:8">
      <c r="B657" t="s">
        <v>442</v>
      </c>
      <c r="C657" t="s">
        <v>65</v>
      </c>
      <c r="D657">
        <v>1955.5</v>
      </c>
      <c r="E657">
        <v>1956.5</v>
      </c>
      <c r="F657">
        <v>1953.5</v>
      </c>
      <c r="G657">
        <v>1953.5</v>
      </c>
      <c r="H657">
        <v>5900</v>
      </c>
    </row>
    <row r="658" spans="2:8">
      <c r="B658" t="s">
        <v>442</v>
      </c>
      <c r="C658" t="s">
        <v>66</v>
      </c>
      <c r="D658">
        <v>1953.5</v>
      </c>
      <c r="E658">
        <v>1955</v>
      </c>
      <c r="F658">
        <v>1953.5</v>
      </c>
      <c r="G658">
        <v>1954</v>
      </c>
      <c r="H658">
        <v>1300</v>
      </c>
    </row>
    <row r="659" spans="2:8">
      <c r="B659" t="s">
        <v>442</v>
      </c>
      <c r="C659" t="s">
        <v>164</v>
      </c>
      <c r="D659">
        <v>1953.5</v>
      </c>
      <c r="E659">
        <v>1953.5</v>
      </c>
      <c r="F659">
        <v>1952</v>
      </c>
      <c r="G659">
        <v>1952</v>
      </c>
      <c r="H659">
        <v>4500</v>
      </c>
    </row>
    <row r="660" spans="2:8">
      <c r="B660" t="s">
        <v>442</v>
      </c>
      <c r="C660" t="s">
        <v>165</v>
      </c>
      <c r="D660">
        <v>1953</v>
      </c>
      <c r="E660">
        <v>1953.5</v>
      </c>
      <c r="F660">
        <v>1950</v>
      </c>
      <c r="G660">
        <v>1950</v>
      </c>
      <c r="H660">
        <v>6100</v>
      </c>
    </row>
    <row r="661" spans="2:8">
      <c r="B661" t="s">
        <v>442</v>
      </c>
      <c r="C661" t="s">
        <v>67</v>
      </c>
      <c r="D661" t="s">
        <v>8</v>
      </c>
      <c r="E661" t="s">
        <v>8</v>
      </c>
      <c r="F661" t="s">
        <v>8</v>
      </c>
      <c r="G661" t="s">
        <v>8</v>
      </c>
      <c r="H661">
        <v>0</v>
      </c>
    </row>
    <row r="662" spans="2:8">
      <c r="B662" t="s">
        <v>442</v>
      </c>
      <c r="C662" t="s">
        <v>68</v>
      </c>
      <c r="D662" t="s">
        <v>8</v>
      </c>
      <c r="E662" t="s">
        <v>8</v>
      </c>
      <c r="F662" t="s">
        <v>8</v>
      </c>
      <c r="G662" t="s">
        <v>8</v>
      </c>
      <c r="H662">
        <v>0</v>
      </c>
    </row>
    <row r="663" spans="2:8">
      <c r="B663" t="s">
        <v>442</v>
      </c>
      <c r="C663" t="s">
        <v>69</v>
      </c>
      <c r="D663" t="s">
        <v>8</v>
      </c>
      <c r="E663" t="s">
        <v>8</v>
      </c>
      <c r="F663" t="s">
        <v>8</v>
      </c>
      <c r="G663" t="s">
        <v>8</v>
      </c>
      <c r="H663">
        <v>0</v>
      </c>
    </row>
    <row r="664" spans="2:8">
      <c r="B664" t="s">
        <v>442</v>
      </c>
      <c r="C664" t="s">
        <v>70</v>
      </c>
      <c r="D664" t="s">
        <v>8</v>
      </c>
      <c r="E664" t="s">
        <v>8</v>
      </c>
      <c r="F664" t="s">
        <v>8</v>
      </c>
      <c r="G664" t="s">
        <v>8</v>
      </c>
      <c r="H664">
        <v>0</v>
      </c>
    </row>
    <row r="665" spans="2:8">
      <c r="B665" t="s">
        <v>442</v>
      </c>
      <c r="C665" t="s">
        <v>71</v>
      </c>
      <c r="D665" t="s">
        <v>8</v>
      </c>
      <c r="E665" t="s">
        <v>8</v>
      </c>
      <c r="F665" t="s">
        <v>8</v>
      </c>
      <c r="G665" t="s">
        <v>8</v>
      </c>
      <c r="H665">
        <v>0</v>
      </c>
    </row>
    <row r="666" spans="2:8">
      <c r="B666" t="s">
        <v>442</v>
      </c>
      <c r="C666" t="s">
        <v>72</v>
      </c>
      <c r="D666">
        <v>1949</v>
      </c>
      <c r="E666">
        <v>1949</v>
      </c>
      <c r="F666">
        <v>1949</v>
      </c>
      <c r="G666">
        <v>1949</v>
      </c>
      <c r="H666">
        <v>125600</v>
      </c>
    </row>
    <row r="667" spans="2:8">
      <c r="B667" t="s">
        <v>443</v>
      </c>
      <c r="C667" t="s">
        <v>166</v>
      </c>
      <c r="D667">
        <v>1965.5</v>
      </c>
      <c r="E667">
        <v>1966.5</v>
      </c>
      <c r="F667">
        <v>1956.5</v>
      </c>
      <c r="G667">
        <v>1962</v>
      </c>
      <c r="H667">
        <v>44300</v>
      </c>
    </row>
    <row r="668" spans="2:8">
      <c r="B668" t="s">
        <v>443</v>
      </c>
      <c r="C668" t="s">
        <v>167</v>
      </c>
      <c r="D668">
        <v>1961</v>
      </c>
      <c r="E668">
        <v>1961.5</v>
      </c>
      <c r="F668">
        <v>1951</v>
      </c>
      <c r="G668">
        <v>1951</v>
      </c>
      <c r="H668">
        <v>5400</v>
      </c>
    </row>
    <row r="669" spans="2:8">
      <c r="B669" t="s">
        <v>443</v>
      </c>
      <c r="C669" t="s">
        <v>168</v>
      </c>
      <c r="D669">
        <v>1952.5</v>
      </c>
      <c r="E669">
        <v>1952.5</v>
      </c>
      <c r="F669">
        <v>1949.5</v>
      </c>
      <c r="G669">
        <v>1952</v>
      </c>
      <c r="H669">
        <v>2800</v>
      </c>
    </row>
    <row r="670" spans="2:8">
      <c r="B670" t="s">
        <v>443</v>
      </c>
      <c r="C670" t="s">
        <v>169</v>
      </c>
      <c r="D670">
        <v>1951</v>
      </c>
      <c r="E670">
        <v>1954.5</v>
      </c>
      <c r="F670">
        <v>1947</v>
      </c>
      <c r="G670">
        <v>1948</v>
      </c>
      <c r="H670">
        <v>7000</v>
      </c>
    </row>
    <row r="671" spans="2:8">
      <c r="B671" t="s">
        <v>443</v>
      </c>
      <c r="C671" t="s">
        <v>170</v>
      </c>
      <c r="D671">
        <v>1946.5</v>
      </c>
      <c r="E671">
        <v>1950.5</v>
      </c>
      <c r="F671">
        <v>1942</v>
      </c>
      <c r="G671">
        <v>1950.5</v>
      </c>
      <c r="H671">
        <v>7200</v>
      </c>
    </row>
    <row r="672" spans="2:8">
      <c r="B672" t="s">
        <v>443</v>
      </c>
      <c r="C672" t="s">
        <v>171</v>
      </c>
      <c r="D672">
        <v>1951.5</v>
      </c>
      <c r="E672">
        <v>1958</v>
      </c>
      <c r="F672">
        <v>1951</v>
      </c>
      <c r="G672">
        <v>1955</v>
      </c>
      <c r="H672">
        <v>5600</v>
      </c>
    </row>
    <row r="673" spans="2:8">
      <c r="B673" t="s">
        <v>443</v>
      </c>
      <c r="C673" t="s">
        <v>172</v>
      </c>
      <c r="D673">
        <v>1953</v>
      </c>
      <c r="E673">
        <v>1953</v>
      </c>
      <c r="F673">
        <v>1943</v>
      </c>
      <c r="G673">
        <v>1943</v>
      </c>
      <c r="H673">
        <v>3500</v>
      </c>
    </row>
    <row r="674" spans="2:8">
      <c r="B674" t="s">
        <v>443</v>
      </c>
      <c r="C674" t="s">
        <v>173</v>
      </c>
      <c r="D674">
        <v>1942.5</v>
      </c>
      <c r="E674">
        <v>1945.5</v>
      </c>
      <c r="F674">
        <v>1940.5</v>
      </c>
      <c r="G674">
        <v>1943</v>
      </c>
      <c r="H674">
        <v>4800</v>
      </c>
    </row>
    <row r="675" spans="2:8">
      <c r="B675" t="s">
        <v>443</v>
      </c>
      <c r="C675" t="s">
        <v>174</v>
      </c>
      <c r="D675">
        <v>1944</v>
      </c>
      <c r="E675">
        <v>1946</v>
      </c>
      <c r="F675">
        <v>1943.5</v>
      </c>
      <c r="G675">
        <v>1946</v>
      </c>
      <c r="H675">
        <v>1500</v>
      </c>
    </row>
    <row r="676" spans="2:8">
      <c r="B676" t="s">
        <v>443</v>
      </c>
      <c r="C676" t="s">
        <v>175</v>
      </c>
      <c r="D676">
        <v>1945.5</v>
      </c>
      <c r="E676">
        <v>1945.5</v>
      </c>
      <c r="F676">
        <v>1944</v>
      </c>
      <c r="G676">
        <v>1944.5</v>
      </c>
      <c r="H676">
        <v>1100</v>
      </c>
    </row>
    <row r="677" spans="2:8">
      <c r="B677" t="s">
        <v>443</v>
      </c>
      <c r="C677" t="s">
        <v>176</v>
      </c>
      <c r="D677">
        <v>1945</v>
      </c>
      <c r="E677">
        <v>1946</v>
      </c>
      <c r="F677">
        <v>1942</v>
      </c>
      <c r="G677">
        <v>1945.5</v>
      </c>
      <c r="H677">
        <v>7400</v>
      </c>
    </row>
    <row r="678" spans="2:8">
      <c r="B678" t="s">
        <v>443</v>
      </c>
      <c r="C678" t="s">
        <v>177</v>
      </c>
      <c r="D678">
        <v>1945</v>
      </c>
      <c r="E678">
        <v>1945</v>
      </c>
      <c r="F678">
        <v>1941.5</v>
      </c>
      <c r="G678">
        <v>1943.5</v>
      </c>
      <c r="H678">
        <v>3300</v>
      </c>
    </row>
    <row r="679" spans="2:8">
      <c r="B679" t="s">
        <v>443</v>
      </c>
      <c r="C679" t="s">
        <v>178</v>
      </c>
      <c r="D679">
        <v>1944.5</v>
      </c>
      <c r="E679">
        <v>1948.5</v>
      </c>
      <c r="F679">
        <v>1942</v>
      </c>
      <c r="G679">
        <v>1945.5</v>
      </c>
      <c r="H679">
        <v>4000</v>
      </c>
    </row>
    <row r="680" spans="2:8">
      <c r="B680" t="s">
        <v>443</v>
      </c>
      <c r="C680" t="s">
        <v>179</v>
      </c>
      <c r="D680">
        <v>1944.5</v>
      </c>
      <c r="E680">
        <v>1947.5</v>
      </c>
      <c r="F680">
        <v>1940.5</v>
      </c>
      <c r="G680">
        <v>1945.5</v>
      </c>
      <c r="H680">
        <v>7300</v>
      </c>
    </row>
    <row r="681" spans="2:8">
      <c r="B681" t="s">
        <v>443</v>
      </c>
      <c r="C681" t="s">
        <v>180</v>
      </c>
      <c r="D681">
        <v>1946</v>
      </c>
      <c r="E681">
        <v>1952.5</v>
      </c>
      <c r="F681">
        <v>1946</v>
      </c>
      <c r="G681">
        <v>1949.5</v>
      </c>
      <c r="H681">
        <v>4500</v>
      </c>
    </row>
    <row r="682" spans="2:8">
      <c r="B682" t="s">
        <v>443</v>
      </c>
      <c r="C682" t="s">
        <v>181</v>
      </c>
      <c r="D682">
        <v>1949.5</v>
      </c>
      <c r="E682">
        <v>1952</v>
      </c>
      <c r="F682">
        <v>1947.5</v>
      </c>
      <c r="G682">
        <v>1950</v>
      </c>
      <c r="H682">
        <v>5900</v>
      </c>
    </row>
    <row r="683" spans="2:8">
      <c r="B683" t="s">
        <v>443</v>
      </c>
      <c r="C683" t="s">
        <v>182</v>
      </c>
      <c r="D683">
        <v>1950</v>
      </c>
      <c r="E683">
        <v>1950</v>
      </c>
      <c r="F683">
        <v>1946</v>
      </c>
      <c r="G683">
        <v>1948</v>
      </c>
      <c r="H683">
        <v>4300</v>
      </c>
    </row>
    <row r="684" spans="2:8">
      <c r="B684" t="s">
        <v>443</v>
      </c>
      <c r="C684" t="s">
        <v>183</v>
      </c>
      <c r="D684">
        <v>1947</v>
      </c>
      <c r="E684">
        <v>1947</v>
      </c>
      <c r="F684">
        <v>1944.5</v>
      </c>
      <c r="G684">
        <v>1946.5</v>
      </c>
      <c r="H684">
        <v>9800</v>
      </c>
    </row>
    <row r="685" spans="2:8">
      <c r="B685" t="s">
        <v>443</v>
      </c>
      <c r="C685" t="s">
        <v>184</v>
      </c>
      <c r="D685">
        <v>1947.5</v>
      </c>
      <c r="E685">
        <v>1948.5</v>
      </c>
      <c r="F685">
        <v>1946.5</v>
      </c>
      <c r="G685">
        <v>1946.5</v>
      </c>
      <c r="H685">
        <v>1900</v>
      </c>
    </row>
    <row r="686" spans="2:8">
      <c r="B686" t="s">
        <v>443</v>
      </c>
      <c r="C686" t="s">
        <v>185</v>
      </c>
      <c r="D686">
        <v>1948</v>
      </c>
      <c r="E686">
        <v>1952</v>
      </c>
      <c r="F686">
        <v>1947.5</v>
      </c>
      <c r="G686">
        <v>1950.5</v>
      </c>
      <c r="H686">
        <v>2300</v>
      </c>
    </row>
    <row r="687" spans="2:8">
      <c r="B687" t="s">
        <v>443</v>
      </c>
      <c r="C687" t="s">
        <v>186</v>
      </c>
      <c r="D687">
        <v>1949.5</v>
      </c>
      <c r="E687">
        <v>1951.5</v>
      </c>
      <c r="F687">
        <v>1948</v>
      </c>
      <c r="G687">
        <v>1951.5</v>
      </c>
      <c r="H687">
        <v>2000</v>
      </c>
    </row>
    <row r="688" spans="2:8">
      <c r="B688" t="s">
        <v>443</v>
      </c>
      <c r="C688" t="s">
        <v>187</v>
      </c>
      <c r="D688">
        <v>1950.5</v>
      </c>
      <c r="E688">
        <v>1951.5</v>
      </c>
      <c r="F688">
        <v>1949.5</v>
      </c>
      <c r="G688">
        <v>1951.5</v>
      </c>
      <c r="H688">
        <v>1900</v>
      </c>
    </row>
    <row r="689" spans="2:8">
      <c r="B689" t="s">
        <v>443</v>
      </c>
      <c r="C689" t="s">
        <v>188</v>
      </c>
      <c r="D689">
        <v>1952.5</v>
      </c>
      <c r="E689">
        <v>1952.5</v>
      </c>
      <c r="F689">
        <v>1950.5</v>
      </c>
      <c r="G689">
        <v>1950.5</v>
      </c>
      <c r="H689">
        <v>2500</v>
      </c>
    </row>
    <row r="690" spans="2:8">
      <c r="B690" t="s">
        <v>443</v>
      </c>
      <c r="C690" t="s">
        <v>189</v>
      </c>
      <c r="D690">
        <v>1950.5</v>
      </c>
      <c r="E690">
        <v>1950.5</v>
      </c>
      <c r="F690">
        <v>1945.5</v>
      </c>
      <c r="G690">
        <v>1948</v>
      </c>
      <c r="H690">
        <v>3400</v>
      </c>
    </row>
    <row r="691" spans="2:8">
      <c r="B691" t="s">
        <v>443</v>
      </c>
      <c r="C691" t="s">
        <v>190</v>
      </c>
      <c r="D691">
        <v>1949</v>
      </c>
      <c r="E691">
        <v>1949</v>
      </c>
      <c r="F691">
        <v>1947</v>
      </c>
      <c r="G691">
        <v>1948</v>
      </c>
      <c r="H691">
        <v>2600</v>
      </c>
    </row>
    <row r="692" spans="2:8">
      <c r="B692" t="s">
        <v>443</v>
      </c>
      <c r="C692" t="s">
        <v>191</v>
      </c>
      <c r="D692">
        <v>1949</v>
      </c>
      <c r="E692">
        <v>1956</v>
      </c>
      <c r="F692">
        <v>1949</v>
      </c>
      <c r="G692">
        <v>1955.5</v>
      </c>
      <c r="H692">
        <v>4900</v>
      </c>
    </row>
    <row r="693" spans="2:8">
      <c r="B693" t="s">
        <v>443</v>
      </c>
      <c r="C693" t="s">
        <v>192</v>
      </c>
      <c r="D693">
        <v>1956</v>
      </c>
      <c r="E693">
        <v>1961</v>
      </c>
      <c r="F693">
        <v>1956</v>
      </c>
      <c r="G693">
        <v>1960.5</v>
      </c>
      <c r="H693">
        <v>4700</v>
      </c>
    </row>
    <row r="694" spans="2:8">
      <c r="B694" t="s">
        <v>443</v>
      </c>
      <c r="C694" t="s">
        <v>193</v>
      </c>
      <c r="D694">
        <v>1960</v>
      </c>
      <c r="E694">
        <v>1960</v>
      </c>
      <c r="F694">
        <v>1957.5</v>
      </c>
      <c r="G694">
        <v>1959</v>
      </c>
      <c r="H694">
        <v>5100</v>
      </c>
    </row>
    <row r="695" spans="2:8">
      <c r="B695" t="s">
        <v>443</v>
      </c>
      <c r="C695" t="s">
        <v>194</v>
      </c>
      <c r="D695">
        <v>1960</v>
      </c>
      <c r="E695">
        <v>1964</v>
      </c>
      <c r="F695">
        <v>1958</v>
      </c>
      <c r="G695">
        <v>1963.5</v>
      </c>
      <c r="H695">
        <v>3400</v>
      </c>
    </row>
    <row r="696" spans="2:8">
      <c r="B696" t="s">
        <v>443</v>
      </c>
      <c r="C696" t="s">
        <v>195</v>
      </c>
      <c r="D696">
        <v>1964</v>
      </c>
      <c r="E696">
        <v>1965.5</v>
      </c>
      <c r="F696">
        <v>1963</v>
      </c>
      <c r="G696">
        <v>1963</v>
      </c>
      <c r="H696">
        <v>6100</v>
      </c>
    </row>
    <row r="697" spans="2:8">
      <c r="B697" t="s">
        <v>443</v>
      </c>
      <c r="C697" t="s">
        <v>196</v>
      </c>
      <c r="D697">
        <v>1963</v>
      </c>
      <c r="E697">
        <v>1963.5</v>
      </c>
      <c r="F697">
        <v>1960.5</v>
      </c>
      <c r="G697">
        <v>1963.5</v>
      </c>
      <c r="H697">
        <v>4800</v>
      </c>
    </row>
    <row r="698" spans="2:8">
      <c r="B698" t="s">
        <v>443</v>
      </c>
      <c r="C698" t="s">
        <v>197</v>
      </c>
      <c r="D698">
        <v>1965</v>
      </c>
      <c r="E698">
        <v>1965</v>
      </c>
      <c r="F698">
        <v>1959.5</v>
      </c>
      <c r="G698">
        <v>1960.5</v>
      </c>
      <c r="H698">
        <v>6300</v>
      </c>
    </row>
    <row r="699" spans="2:8">
      <c r="B699" t="s">
        <v>443</v>
      </c>
      <c r="C699" t="s">
        <v>198</v>
      </c>
      <c r="D699">
        <v>1961</v>
      </c>
      <c r="E699">
        <v>1963</v>
      </c>
      <c r="F699">
        <v>1959</v>
      </c>
      <c r="G699">
        <v>1962</v>
      </c>
      <c r="H699">
        <v>2900</v>
      </c>
    </row>
    <row r="700" spans="2:8">
      <c r="B700" t="s">
        <v>443</v>
      </c>
      <c r="C700" t="s">
        <v>199</v>
      </c>
      <c r="D700">
        <v>1961.5</v>
      </c>
      <c r="E700">
        <v>1961.5</v>
      </c>
      <c r="F700">
        <v>1957</v>
      </c>
      <c r="G700">
        <v>1958.5</v>
      </c>
      <c r="H700">
        <v>4600</v>
      </c>
    </row>
    <row r="701" spans="2:8">
      <c r="B701" t="s">
        <v>443</v>
      </c>
      <c r="C701" t="s">
        <v>200</v>
      </c>
      <c r="D701">
        <v>1958.5</v>
      </c>
      <c r="E701">
        <v>1960</v>
      </c>
      <c r="F701">
        <v>1958.5</v>
      </c>
      <c r="G701">
        <v>1960</v>
      </c>
      <c r="H701">
        <v>500</v>
      </c>
    </row>
    <row r="702" spans="2:8">
      <c r="B702" t="s">
        <v>443</v>
      </c>
      <c r="C702" t="s">
        <v>201</v>
      </c>
      <c r="D702">
        <v>1960</v>
      </c>
      <c r="E702">
        <v>1960.5</v>
      </c>
      <c r="F702">
        <v>1956.5</v>
      </c>
      <c r="G702">
        <v>1956.5</v>
      </c>
      <c r="H702">
        <v>2700</v>
      </c>
    </row>
    <row r="703" spans="2:8">
      <c r="B703" t="s">
        <v>443</v>
      </c>
      <c r="C703" t="s">
        <v>202</v>
      </c>
      <c r="D703">
        <v>1956.5</v>
      </c>
      <c r="E703">
        <v>1957.5</v>
      </c>
      <c r="F703">
        <v>1956</v>
      </c>
      <c r="G703">
        <v>1956</v>
      </c>
      <c r="H703">
        <v>1300</v>
      </c>
    </row>
    <row r="704" spans="2:8">
      <c r="B704" t="s">
        <v>443</v>
      </c>
      <c r="C704" t="s">
        <v>203</v>
      </c>
      <c r="D704">
        <v>1955.5</v>
      </c>
      <c r="E704">
        <v>1955.5</v>
      </c>
      <c r="F704">
        <v>1952</v>
      </c>
      <c r="G704">
        <v>1953.5</v>
      </c>
      <c r="H704">
        <v>3700</v>
      </c>
    </row>
    <row r="705" spans="2:8">
      <c r="B705" t="s">
        <v>443</v>
      </c>
      <c r="C705" t="s">
        <v>204</v>
      </c>
      <c r="D705">
        <v>1953.5</v>
      </c>
      <c r="E705">
        <v>1954</v>
      </c>
      <c r="F705">
        <v>1952</v>
      </c>
      <c r="G705">
        <v>1952</v>
      </c>
      <c r="H705">
        <v>2100</v>
      </c>
    </row>
    <row r="706" spans="2:8">
      <c r="B706" t="s">
        <v>443</v>
      </c>
      <c r="C706" t="s">
        <v>205</v>
      </c>
      <c r="D706">
        <v>1952.5</v>
      </c>
      <c r="E706">
        <v>1952.5</v>
      </c>
      <c r="F706">
        <v>1952</v>
      </c>
      <c r="G706">
        <v>1952</v>
      </c>
      <c r="H706">
        <v>400</v>
      </c>
    </row>
    <row r="707" spans="2:8">
      <c r="B707" t="s">
        <v>443</v>
      </c>
      <c r="C707" t="s">
        <v>206</v>
      </c>
      <c r="D707">
        <v>1952</v>
      </c>
      <c r="E707">
        <v>1952</v>
      </c>
      <c r="F707">
        <v>1951.5</v>
      </c>
      <c r="G707">
        <v>1951.5</v>
      </c>
      <c r="H707">
        <v>1500</v>
      </c>
    </row>
    <row r="708" spans="2:8">
      <c r="B708" t="s">
        <v>443</v>
      </c>
      <c r="C708" t="s">
        <v>207</v>
      </c>
      <c r="D708">
        <v>1951</v>
      </c>
      <c r="E708">
        <v>1951</v>
      </c>
      <c r="F708">
        <v>1948.5</v>
      </c>
      <c r="G708">
        <v>1948.5</v>
      </c>
      <c r="H708">
        <v>3800</v>
      </c>
    </row>
    <row r="709" spans="2:8">
      <c r="B709" t="s">
        <v>443</v>
      </c>
      <c r="C709" t="s">
        <v>208</v>
      </c>
      <c r="D709">
        <v>1949</v>
      </c>
      <c r="E709">
        <v>1950</v>
      </c>
      <c r="F709">
        <v>1947.5</v>
      </c>
      <c r="G709">
        <v>1950</v>
      </c>
      <c r="H709">
        <v>4200</v>
      </c>
    </row>
    <row r="710" spans="2:8">
      <c r="B710" t="s">
        <v>443</v>
      </c>
      <c r="C710" t="s">
        <v>209</v>
      </c>
      <c r="D710">
        <v>1950.5</v>
      </c>
      <c r="E710">
        <v>1954.5</v>
      </c>
      <c r="F710">
        <v>1950.5</v>
      </c>
      <c r="G710">
        <v>1954.5</v>
      </c>
      <c r="H710">
        <v>7700</v>
      </c>
    </row>
    <row r="711" spans="2:8">
      <c r="B711" t="s">
        <v>443</v>
      </c>
      <c r="C711" t="s">
        <v>210</v>
      </c>
      <c r="D711">
        <v>1954</v>
      </c>
      <c r="E711">
        <v>1954</v>
      </c>
      <c r="F711">
        <v>1952.5</v>
      </c>
      <c r="G711">
        <v>1952.5</v>
      </c>
      <c r="H711">
        <v>1200</v>
      </c>
    </row>
    <row r="712" spans="2:8">
      <c r="B712" t="s">
        <v>443</v>
      </c>
      <c r="C712" t="s">
        <v>211</v>
      </c>
      <c r="D712">
        <v>1952.5</v>
      </c>
      <c r="E712">
        <v>1955</v>
      </c>
      <c r="F712">
        <v>1952.5</v>
      </c>
      <c r="G712">
        <v>1954</v>
      </c>
      <c r="H712">
        <v>4000</v>
      </c>
    </row>
    <row r="713" spans="2:8">
      <c r="B713" t="s">
        <v>443</v>
      </c>
      <c r="C713" t="s">
        <v>212</v>
      </c>
      <c r="D713">
        <v>1955</v>
      </c>
      <c r="E713">
        <v>1955</v>
      </c>
      <c r="F713">
        <v>1954.5</v>
      </c>
      <c r="G713">
        <v>1955</v>
      </c>
      <c r="H713">
        <v>800</v>
      </c>
    </row>
    <row r="714" spans="2:8">
      <c r="B714" t="s">
        <v>443</v>
      </c>
      <c r="C714" t="s">
        <v>213</v>
      </c>
      <c r="D714">
        <v>1954</v>
      </c>
      <c r="E714">
        <v>1954</v>
      </c>
      <c r="F714">
        <v>1951.5</v>
      </c>
      <c r="G714">
        <v>1952.5</v>
      </c>
      <c r="H714">
        <v>2500</v>
      </c>
    </row>
    <row r="715" spans="2:8">
      <c r="B715" t="s">
        <v>443</v>
      </c>
      <c r="C715" t="s">
        <v>214</v>
      </c>
      <c r="D715">
        <v>1951</v>
      </c>
      <c r="E715">
        <v>1952</v>
      </c>
      <c r="F715">
        <v>1951</v>
      </c>
      <c r="G715">
        <v>1951</v>
      </c>
      <c r="H715">
        <v>2200</v>
      </c>
    </row>
    <row r="716" spans="2:8">
      <c r="B716" t="s">
        <v>443</v>
      </c>
      <c r="C716" t="s">
        <v>215</v>
      </c>
      <c r="D716">
        <v>1952</v>
      </c>
      <c r="E716">
        <v>1952</v>
      </c>
      <c r="F716">
        <v>1948</v>
      </c>
      <c r="G716">
        <v>1948</v>
      </c>
      <c r="H716">
        <v>3200</v>
      </c>
    </row>
    <row r="717" spans="2:8">
      <c r="B717" t="s">
        <v>443</v>
      </c>
      <c r="C717" t="s">
        <v>216</v>
      </c>
      <c r="D717">
        <v>1948.5</v>
      </c>
      <c r="E717">
        <v>1949.5</v>
      </c>
      <c r="F717">
        <v>1948</v>
      </c>
      <c r="G717">
        <v>1948.5</v>
      </c>
      <c r="H717">
        <v>1200</v>
      </c>
    </row>
    <row r="718" spans="2:8">
      <c r="B718" t="s">
        <v>443</v>
      </c>
      <c r="C718" t="s">
        <v>217</v>
      </c>
      <c r="D718">
        <v>1949</v>
      </c>
      <c r="E718">
        <v>1949.5</v>
      </c>
      <c r="F718">
        <v>1948.5</v>
      </c>
      <c r="G718">
        <v>1948.5</v>
      </c>
      <c r="H718">
        <v>1400</v>
      </c>
    </row>
    <row r="719" spans="2:8">
      <c r="B719" t="s">
        <v>443</v>
      </c>
      <c r="C719" t="s">
        <v>218</v>
      </c>
      <c r="D719">
        <v>1948.5</v>
      </c>
      <c r="E719">
        <v>1948.5</v>
      </c>
      <c r="F719">
        <v>1945</v>
      </c>
      <c r="G719">
        <v>1945</v>
      </c>
      <c r="H719">
        <v>7500</v>
      </c>
    </row>
    <row r="720" spans="2:8">
      <c r="B720" t="s">
        <v>443</v>
      </c>
      <c r="C720" t="s">
        <v>219</v>
      </c>
      <c r="D720">
        <v>1944.5</v>
      </c>
      <c r="E720">
        <v>1944.5</v>
      </c>
      <c r="F720">
        <v>1941.5</v>
      </c>
      <c r="G720">
        <v>1943</v>
      </c>
      <c r="H720">
        <v>2700</v>
      </c>
    </row>
    <row r="721" spans="2:8">
      <c r="B721" t="s">
        <v>443</v>
      </c>
      <c r="C721" t="s">
        <v>220</v>
      </c>
      <c r="D721">
        <v>1942.5</v>
      </c>
      <c r="E721">
        <v>1944.5</v>
      </c>
      <c r="F721">
        <v>1941.5</v>
      </c>
      <c r="G721">
        <v>1943</v>
      </c>
      <c r="H721">
        <v>4400</v>
      </c>
    </row>
    <row r="722" spans="2:8">
      <c r="B722" t="s">
        <v>443</v>
      </c>
      <c r="C722" t="s">
        <v>221</v>
      </c>
      <c r="D722">
        <v>1943.5</v>
      </c>
      <c r="E722">
        <v>1949.5</v>
      </c>
      <c r="F722">
        <v>1943.5</v>
      </c>
      <c r="G722">
        <v>1948.5</v>
      </c>
      <c r="H722">
        <v>5200</v>
      </c>
    </row>
    <row r="723" spans="2:8">
      <c r="B723" t="s">
        <v>443</v>
      </c>
      <c r="C723" t="s">
        <v>222</v>
      </c>
      <c r="D723">
        <v>1948</v>
      </c>
      <c r="E723">
        <v>1948</v>
      </c>
      <c r="F723">
        <v>1945</v>
      </c>
      <c r="G723">
        <v>1946.5</v>
      </c>
      <c r="H723">
        <v>2200</v>
      </c>
    </row>
    <row r="724" spans="2:8">
      <c r="B724" t="s">
        <v>443</v>
      </c>
      <c r="C724" t="s">
        <v>223</v>
      </c>
      <c r="D724">
        <v>1947</v>
      </c>
      <c r="E724">
        <v>1947</v>
      </c>
      <c r="F724">
        <v>1944</v>
      </c>
      <c r="G724">
        <v>1944.5</v>
      </c>
      <c r="H724">
        <v>4200</v>
      </c>
    </row>
    <row r="725" spans="2:8">
      <c r="B725" t="s">
        <v>443</v>
      </c>
      <c r="C725" t="s">
        <v>224</v>
      </c>
      <c r="D725">
        <v>1944</v>
      </c>
      <c r="E725">
        <v>1947.5</v>
      </c>
      <c r="F725">
        <v>1944</v>
      </c>
      <c r="G725">
        <v>1947</v>
      </c>
      <c r="H725">
        <v>1000</v>
      </c>
    </row>
    <row r="726" spans="2:8">
      <c r="B726" t="s">
        <v>443</v>
      </c>
      <c r="C726" t="s">
        <v>225</v>
      </c>
      <c r="D726">
        <v>1948</v>
      </c>
      <c r="E726">
        <v>1949</v>
      </c>
      <c r="F726">
        <v>1948</v>
      </c>
      <c r="G726">
        <v>1949</v>
      </c>
      <c r="H726">
        <v>800</v>
      </c>
    </row>
    <row r="727" spans="2:8">
      <c r="B727" t="s">
        <v>443</v>
      </c>
      <c r="C727" t="s">
        <v>226</v>
      </c>
      <c r="D727">
        <v>1948</v>
      </c>
      <c r="E727">
        <v>1950</v>
      </c>
      <c r="F727">
        <v>1947.5</v>
      </c>
      <c r="G727">
        <v>1948.5</v>
      </c>
      <c r="H727">
        <v>3300</v>
      </c>
    </row>
    <row r="728" spans="2:8">
      <c r="B728" t="s">
        <v>443</v>
      </c>
      <c r="C728" t="s">
        <v>227</v>
      </c>
      <c r="D728">
        <v>1949</v>
      </c>
      <c r="E728">
        <v>1949.5</v>
      </c>
      <c r="F728">
        <v>1948</v>
      </c>
      <c r="G728">
        <v>1948.5</v>
      </c>
      <c r="H728">
        <v>2500</v>
      </c>
    </row>
    <row r="729" spans="2:8">
      <c r="B729" t="s">
        <v>443</v>
      </c>
      <c r="C729" t="s">
        <v>228</v>
      </c>
      <c r="D729">
        <v>1949</v>
      </c>
      <c r="E729">
        <v>1952</v>
      </c>
      <c r="F729">
        <v>1948.5</v>
      </c>
      <c r="G729">
        <v>1951</v>
      </c>
      <c r="H729">
        <v>2500</v>
      </c>
    </row>
    <row r="730" spans="2:8">
      <c r="B730" t="s">
        <v>443</v>
      </c>
      <c r="C730" t="s">
        <v>229</v>
      </c>
      <c r="D730">
        <v>1950</v>
      </c>
      <c r="E730">
        <v>1953.5</v>
      </c>
      <c r="F730">
        <v>1950</v>
      </c>
      <c r="G730">
        <v>1953</v>
      </c>
      <c r="H730">
        <v>1800</v>
      </c>
    </row>
    <row r="731" spans="2:8">
      <c r="B731" t="s">
        <v>443</v>
      </c>
      <c r="C731" t="s">
        <v>230</v>
      </c>
      <c r="D731">
        <v>1953.5</v>
      </c>
      <c r="E731">
        <v>1956</v>
      </c>
      <c r="F731">
        <v>1953.5</v>
      </c>
      <c r="G731">
        <v>1955.5</v>
      </c>
      <c r="H731">
        <v>3900</v>
      </c>
    </row>
    <row r="732" spans="2:8">
      <c r="B732" t="s">
        <v>443</v>
      </c>
      <c r="C732" t="s">
        <v>231</v>
      </c>
      <c r="D732">
        <v>1954.5</v>
      </c>
      <c r="E732">
        <v>1954.5</v>
      </c>
      <c r="F732">
        <v>1950</v>
      </c>
      <c r="G732">
        <v>1950.5</v>
      </c>
      <c r="H732">
        <v>2700</v>
      </c>
    </row>
    <row r="733" spans="2:8">
      <c r="B733" t="s">
        <v>443</v>
      </c>
      <c r="C733" t="s">
        <v>232</v>
      </c>
      <c r="D733">
        <v>1951</v>
      </c>
      <c r="E733">
        <v>1952</v>
      </c>
      <c r="F733">
        <v>1950</v>
      </c>
      <c r="G733">
        <v>1952</v>
      </c>
      <c r="H733">
        <v>500</v>
      </c>
    </row>
    <row r="734" spans="2:8">
      <c r="B734" t="s">
        <v>443</v>
      </c>
      <c r="C734" t="s">
        <v>233</v>
      </c>
      <c r="D734">
        <v>1952.5</v>
      </c>
      <c r="E734">
        <v>1954</v>
      </c>
      <c r="F734">
        <v>1952.5</v>
      </c>
      <c r="G734">
        <v>1954</v>
      </c>
      <c r="H734">
        <v>800</v>
      </c>
    </row>
    <row r="735" spans="2:8">
      <c r="B735" t="s">
        <v>443</v>
      </c>
      <c r="C735" t="s">
        <v>234</v>
      </c>
      <c r="D735">
        <v>1955</v>
      </c>
      <c r="E735">
        <v>1955.5</v>
      </c>
      <c r="F735">
        <v>1955</v>
      </c>
      <c r="G735">
        <v>1955</v>
      </c>
      <c r="H735">
        <v>1000</v>
      </c>
    </row>
    <row r="736" spans="2:8">
      <c r="B736" t="s">
        <v>443</v>
      </c>
      <c r="C736" t="s">
        <v>235</v>
      </c>
      <c r="D736">
        <v>1954.5</v>
      </c>
      <c r="E736">
        <v>1955.5</v>
      </c>
      <c r="F736">
        <v>1953.5</v>
      </c>
      <c r="G736">
        <v>1955.5</v>
      </c>
      <c r="H736">
        <v>3000</v>
      </c>
    </row>
    <row r="737" spans="2:8">
      <c r="B737" t="s">
        <v>443</v>
      </c>
      <c r="C737" t="s">
        <v>236</v>
      </c>
      <c r="D737">
        <v>1955</v>
      </c>
      <c r="E737">
        <v>1955</v>
      </c>
      <c r="F737">
        <v>1953.5</v>
      </c>
      <c r="G737">
        <v>1953.5</v>
      </c>
      <c r="H737">
        <v>500</v>
      </c>
    </row>
    <row r="738" spans="2:8">
      <c r="B738" t="s">
        <v>443</v>
      </c>
      <c r="C738" t="s">
        <v>237</v>
      </c>
      <c r="D738">
        <v>1953</v>
      </c>
      <c r="E738">
        <v>1954.5</v>
      </c>
      <c r="F738">
        <v>1953</v>
      </c>
      <c r="G738">
        <v>1954.5</v>
      </c>
      <c r="H738">
        <v>1200</v>
      </c>
    </row>
    <row r="739" spans="2:8">
      <c r="B739" t="s">
        <v>443</v>
      </c>
      <c r="C739" t="s">
        <v>238</v>
      </c>
      <c r="D739">
        <v>1954</v>
      </c>
      <c r="E739">
        <v>1954</v>
      </c>
      <c r="F739">
        <v>1952</v>
      </c>
      <c r="G739">
        <v>1952</v>
      </c>
      <c r="H739">
        <v>1100</v>
      </c>
    </row>
    <row r="740" spans="2:8">
      <c r="B740" t="s">
        <v>443</v>
      </c>
      <c r="C740" t="s">
        <v>239</v>
      </c>
      <c r="D740">
        <v>1952</v>
      </c>
      <c r="E740">
        <v>1952</v>
      </c>
      <c r="F740">
        <v>1952</v>
      </c>
      <c r="G740">
        <v>1952</v>
      </c>
      <c r="H740">
        <v>1600</v>
      </c>
    </row>
    <row r="741" spans="2:8">
      <c r="B741" t="s">
        <v>443</v>
      </c>
      <c r="C741" t="s">
        <v>240</v>
      </c>
      <c r="D741">
        <v>1952.5</v>
      </c>
      <c r="E741">
        <v>1952.5</v>
      </c>
      <c r="F741">
        <v>1952.5</v>
      </c>
      <c r="G741">
        <v>1952.5</v>
      </c>
      <c r="H741">
        <v>500</v>
      </c>
    </row>
    <row r="742" spans="2:8">
      <c r="B742" t="s">
        <v>443</v>
      </c>
      <c r="C742" t="s">
        <v>241</v>
      </c>
      <c r="D742">
        <v>1952</v>
      </c>
      <c r="E742">
        <v>1952</v>
      </c>
      <c r="F742">
        <v>1950.5</v>
      </c>
      <c r="G742">
        <v>1950.5</v>
      </c>
      <c r="H742">
        <v>1700</v>
      </c>
    </row>
    <row r="743" spans="2:8">
      <c r="B743" t="s">
        <v>443</v>
      </c>
      <c r="C743" t="s">
        <v>242</v>
      </c>
      <c r="D743">
        <v>1950.5</v>
      </c>
      <c r="E743">
        <v>1950.5</v>
      </c>
      <c r="F743">
        <v>1950.5</v>
      </c>
      <c r="G743">
        <v>1950.5</v>
      </c>
      <c r="H743">
        <v>400</v>
      </c>
    </row>
    <row r="744" spans="2:8">
      <c r="B744" t="s">
        <v>443</v>
      </c>
      <c r="C744" t="s">
        <v>243</v>
      </c>
      <c r="D744">
        <v>1951</v>
      </c>
      <c r="E744">
        <v>1951.5</v>
      </c>
      <c r="F744">
        <v>1950.5</v>
      </c>
      <c r="G744">
        <v>1950.5</v>
      </c>
      <c r="H744">
        <v>1000</v>
      </c>
    </row>
    <row r="745" spans="2:8">
      <c r="B745" t="s">
        <v>443</v>
      </c>
      <c r="C745" t="s">
        <v>244</v>
      </c>
      <c r="D745">
        <v>1950</v>
      </c>
      <c r="E745">
        <v>1950</v>
      </c>
      <c r="F745">
        <v>1947.5</v>
      </c>
      <c r="G745">
        <v>1949</v>
      </c>
      <c r="H745">
        <v>1700</v>
      </c>
    </row>
    <row r="746" spans="2:8">
      <c r="B746" t="s">
        <v>443</v>
      </c>
      <c r="C746" t="s">
        <v>245</v>
      </c>
      <c r="D746">
        <v>1948.5</v>
      </c>
      <c r="E746">
        <v>1949</v>
      </c>
      <c r="F746">
        <v>1948</v>
      </c>
      <c r="G746">
        <v>1949</v>
      </c>
      <c r="H746">
        <v>1200</v>
      </c>
    </row>
    <row r="747" spans="2:8">
      <c r="B747" t="s">
        <v>443</v>
      </c>
      <c r="C747" t="s">
        <v>246</v>
      </c>
      <c r="D747">
        <v>1949</v>
      </c>
      <c r="E747">
        <v>1949</v>
      </c>
      <c r="F747">
        <v>1948.5</v>
      </c>
      <c r="G747">
        <v>1948.5</v>
      </c>
      <c r="H747">
        <v>600</v>
      </c>
    </row>
    <row r="748" spans="2:8">
      <c r="B748" t="s">
        <v>443</v>
      </c>
      <c r="C748" t="s">
        <v>247</v>
      </c>
      <c r="D748">
        <v>1948</v>
      </c>
      <c r="E748">
        <v>1948</v>
      </c>
      <c r="F748">
        <v>1947.5</v>
      </c>
      <c r="G748">
        <v>1947.5</v>
      </c>
      <c r="H748">
        <v>1000</v>
      </c>
    </row>
    <row r="749" spans="2:8">
      <c r="B749" t="s">
        <v>443</v>
      </c>
      <c r="C749" t="s">
        <v>248</v>
      </c>
      <c r="D749">
        <v>1948</v>
      </c>
      <c r="E749">
        <v>1952.5</v>
      </c>
      <c r="F749">
        <v>1948</v>
      </c>
      <c r="G749">
        <v>1952.5</v>
      </c>
      <c r="H749">
        <v>3000</v>
      </c>
    </row>
    <row r="750" spans="2:8">
      <c r="B750" t="s">
        <v>443</v>
      </c>
      <c r="C750" t="s">
        <v>249</v>
      </c>
      <c r="D750">
        <v>1952.5</v>
      </c>
      <c r="E750">
        <v>1952.5</v>
      </c>
      <c r="F750">
        <v>1951</v>
      </c>
      <c r="G750">
        <v>1952.5</v>
      </c>
      <c r="H750">
        <v>800</v>
      </c>
    </row>
    <row r="751" spans="2:8">
      <c r="B751" t="s">
        <v>443</v>
      </c>
      <c r="C751" t="s">
        <v>250</v>
      </c>
      <c r="D751">
        <v>1953</v>
      </c>
      <c r="E751">
        <v>1956.5</v>
      </c>
      <c r="F751">
        <v>1953</v>
      </c>
      <c r="G751">
        <v>1956</v>
      </c>
      <c r="H751">
        <v>3500</v>
      </c>
    </row>
    <row r="752" spans="2:8">
      <c r="B752" t="s">
        <v>443</v>
      </c>
      <c r="C752" t="s">
        <v>251</v>
      </c>
      <c r="D752">
        <v>1955.5</v>
      </c>
      <c r="E752">
        <v>1955.5</v>
      </c>
      <c r="F752">
        <v>1954</v>
      </c>
      <c r="G752">
        <v>1954</v>
      </c>
      <c r="H752">
        <v>500</v>
      </c>
    </row>
    <row r="753" spans="2:8">
      <c r="B753" t="s">
        <v>443</v>
      </c>
      <c r="C753" t="s">
        <v>252</v>
      </c>
      <c r="D753">
        <v>1954</v>
      </c>
      <c r="E753">
        <v>1954</v>
      </c>
      <c r="F753">
        <v>1954</v>
      </c>
      <c r="G753">
        <v>1954</v>
      </c>
      <c r="H753">
        <v>200</v>
      </c>
    </row>
    <row r="754" spans="2:8">
      <c r="B754" t="s">
        <v>443</v>
      </c>
      <c r="C754" t="s">
        <v>253</v>
      </c>
      <c r="D754">
        <v>1954</v>
      </c>
      <c r="E754">
        <v>1955.5</v>
      </c>
      <c r="F754">
        <v>1954</v>
      </c>
      <c r="G754">
        <v>1955.5</v>
      </c>
      <c r="H754">
        <v>2000</v>
      </c>
    </row>
    <row r="755" spans="2:8">
      <c r="B755" t="s">
        <v>443</v>
      </c>
      <c r="C755" t="s">
        <v>254</v>
      </c>
      <c r="D755">
        <v>1955.5</v>
      </c>
      <c r="E755">
        <v>1955.5</v>
      </c>
      <c r="F755">
        <v>1955</v>
      </c>
      <c r="G755">
        <v>1955</v>
      </c>
      <c r="H755">
        <v>500</v>
      </c>
    </row>
    <row r="756" spans="2:8">
      <c r="B756" t="s">
        <v>443</v>
      </c>
      <c r="C756" t="s">
        <v>255</v>
      </c>
      <c r="D756">
        <v>1955</v>
      </c>
      <c r="E756">
        <v>1955</v>
      </c>
      <c r="F756">
        <v>1955</v>
      </c>
      <c r="G756">
        <v>1955</v>
      </c>
      <c r="H756">
        <v>700</v>
      </c>
    </row>
    <row r="757" spans="2:8">
      <c r="B757" t="s">
        <v>443</v>
      </c>
      <c r="C757" t="s">
        <v>256</v>
      </c>
      <c r="D757">
        <v>1954.5</v>
      </c>
      <c r="E757">
        <v>1954.5</v>
      </c>
      <c r="F757">
        <v>1952.5</v>
      </c>
      <c r="G757">
        <v>1952.5</v>
      </c>
      <c r="H757">
        <v>2000</v>
      </c>
    </row>
    <row r="758" spans="2:8">
      <c r="B758" t="s">
        <v>443</v>
      </c>
      <c r="C758" t="s">
        <v>257</v>
      </c>
      <c r="D758">
        <v>1953</v>
      </c>
      <c r="E758">
        <v>1953</v>
      </c>
      <c r="F758">
        <v>1951</v>
      </c>
      <c r="G758">
        <v>1951</v>
      </c>
      <c r="H758">
        <v>2100</v>
      </c>
    </row>
    <row r="759" spans="2:8">
      <c r="B759" t="s">
        <v>443</v>
      </c>
      <c r="C759" t="s">
        <v>258</v>
      </c>
      <c r="D759">
        <v>1951</v>
      </c>
      <c r="E759">
        <v>1952</v>
      </c>
      <c r="F759">
        <v>1951</v>
      </c>
      <c r="G759">
        <v>1951</v>
      </c>
      <c r="H759">
        <v>500</v>
      </c>
    </row>
    <row r="760" spans="2:8">
      <c r="B760" t="s">
        <v>443</v>
      </c>
      <c r="C760" t="s">
        <v>259</v>
      </c>
      <c r="D760">
        <v>1952</v>
      </c>
      <c r="E760">
        <v>1952</v>
      </c>
      <c r="F760">
        <v>1951</v>
      </c>
      <c r="G760">
        <v>1952</v>
      </c>
      <c r="H760">
        <v>1900</v>
      </c>
    </row>
    <row r="761" spans="2:8">
      <c r="B761" t="s">
        <v>443</v>
      </c>
      <c r="C761" t="s">
        <v>260</v>
      </c>
      <c r="D761">
        <v>1951</v>
      </c>
      <c r="E761">
        <v>1952</v>
      </c>
      <c r="F761">
        <v>1951</v>
      </c>
      <c r="G761">
        <v>1952</v>
      </c>
      <c r="H761">
        <v>1100</v>
      </c>
    </row>
    <row r="762" spans="2:8">
      <c r="B762" t="s">
        <v>443</v>
      </c>
      <c r="C762" t="s">
        <v>261</v>
      </c>
      <c r="D762">
        <v>1951</v>
      </c>
      <c r="E762">
        <v>1951</v>
      </c>
      <c r="F762">
        <v>1950.5</v>
      </c>
      <c r="G762">
        <v>1951</v>
      </c>
      <c r="H762">
        <v>600</v>
      </c>
    </row>
    <row r="763" spans="2:8">
      <c r="B763" t="s">
        <v>443</v>
      </c>
      <c r="C763" t="s">
        <v>262</v>
      </c>
      <c r="D763">
        <v>1951.5</v>
      </c>
      <c r="E763">
        <v>1951.5</v>
      </c>
      <c r="F763">
        <v>1947.5</v>
      </c>
      <c r="G763">
        <v>1947.5</v>
      </c>
      <c r="H763">
        <v>2000</v>
      </c>
    </row>
    <row r="764" spans="2:8">
      <c r="B764" t="s">
        <v>443</v>
      </c>
      <c r="C764" t="s">
        <v>263</v>
      </c>
      <c r="D764">
        <v>1947</v>
      </c>
      <c r="E764">
        <v>1948</v>
      </c>
      <c r="F764">
        <v>1946.5</v>
      </c>
      <c r="G764">
        <v>1947</v>
      </c>
      <c r="H764">
        <v>1700</v>
      </c>
    </row>
    <row r="765" spans="2:8">
      <c r="B765" t="s">
        <v>443</v>
      </c>
      <c r="C765" t="s">
        <v>264</v>
      </c>
      <c r="D765">
        <v>1947</v>
      </c>
      <c r="E765">
        <v>1947</v>
      </c>
      <c r="F765">
        <v>1945</v>
      </c>
      <c r="G765">
        <v>1945</v>
      </c>
      <c r="H765">
        <v>3600</v>
      </c>
    </row>
    <row r="766" spans="2:8">
      <c r="B766" t="s">
        <v>443</v>
      </c>
      <c r="C766" t="s">
        <v>265</v>
      </c>
      <c r="D766">
        <v>1945</v>
      </c>
      <c r="E766">
        <v>1945.5</v>
      </c>
      <c r="F766">
        <v>1943.5</v>
      </c>
      <c r="G766">
        <v>1945.5</v>
      </c>
      <c r="H766">
        <v>1900</v>
      </c>
    </row>
    <row r="767" spans="2:8">
      <c r="B767" t="s">
        <v>443</v>
      </c>
      <c r="C767" t="s">
        <v>266</v>
      </c>
      <c r="D767">
        <v>1945.5</v>
      </c>
      <c r="E767">
        <v>1946.5</v>
      </c>
      <c r="F767">
        <v>1945.5</v>
      </c>
      <c r="G767">
        <v>1946</v>
      </c>
      <c r="H767">
        <v>1500</v>
      </c>
    </row>
    <row r="768" spans="2:8">
      <c r="B768" t="s">
        <v>443</v>
      </c>
      <c r="C768" t="s">
        <v>267</v>
      </c>
      <c r="D768">
        <v>1946</v>
      </c>
      <c r="E768">
        <v>1948</v>
      </c>
      <c r="F768">
        <v>1946</v>
      </c>
      <c r="G768">
        <v>1948</v>
      </c>
      <c r="H768">
        <v>1300</v>
      </c>
    </row>
    <row r="769" spans="2:8">
      <c r="B769" t="s">
        <v>443</v>
      </c>
      <c r="C769" t="s">
        <v>268</v>
      </c>
      <c r="D769">
        <v>1948</v>
      </c>
      <c r="E769">
        <v>1948.5</v>
      </c>
      <c r="F769">
        <v>1947.5</v>
      </c>
      <c r="G769">
        <v>1947.5</v>
      </c>
      <c r="H769">
        <v>1800</v>
      </c>
    </row>
    <row r="770" spans="2:8">
      <c r="B770" t="s">
        <v>443</v>
      </c>
      <c r="C770" t="s">
        <v>269</v>
      </c>
      <c r="D770">
        <v>1947</v>
      </c>
      <c r="E770">
        <v>1947</v>
      </c>
      <c r="F770">
        <v>1945.5</v>
      </c>
      <c r="G770">
        <v>1945.5</v>
      </c>
      <c r="H770">
        <v>800</v>
      </c>
    </row>
    <row r="771" spans="2:8">
      <c r="B771" t="s">
        <v>443</v>
      </c>
      <c r="C771" t="s">
        <v>270</v>
      </c>
      <c r="D771">
        <v>1945.5</v>
      </c>
      <c r="E771">
        <v>1946</v>
      </c>
      <c r="F771">
        <v>1945</v>
      </c>
      <c r="G771">
        <v>1946</v>
      </c>
      <c r="H771">
        <v>300</v>
      </c>
    </row>
    <row r="772" spans="2:8">
      <c r="B772" t="s">
        <v>443</v>
      </c>
      <c r="C772" t="s">
        <v>271</v>
      </c>
      <c r="D772">
        <v>1945.5</v>
      </c>
      <c r="E772">
        <v>1947.5</v>
      </c>
      <c r="F772">
        <v>1945.5</v>
      </c>
      <c r="G772">
        <v>1947.5</v>
      </c>
      <c r="H772">
        <v>1700</v>
      </c>
    </row>
    <row r="773" spans="2:8">
      <c r="B773" t="s">
        <v>443</v>
      </c>
      <c r="C773" t="s">
        <v>272</v>
      </c>
      <c r="D773">
        <v>1946.5</v>
      </c>
      <c r="E773">
        <v>1946.5</v>
      </c>
      <c r="F773">
        <v>1943.5</v>
      </c>
      <c r="G773">
        <v>1943.5</v>
      </c>
      <c r="H773">
        <v>4000</v>
      </c>
    </row>
    <row r="774" spans="2:8">
      <c r="B774" t="s">
        <v>443</v>
      </c>
      <c r="C774" t="s">
        <v>273</v>
      </c>
      <c r="D774">
        <v>1944</v>
      </c>
      <c r="E774">
        <v>1945</v>
      </c>
      <c r="F774">
        <v>1943.5</v>
      </c>
      <c r="G774">
        <v>1943.5</v>
      </c>
      <c r="H774">
        <v>1600</v>
      </c>
    </row>
    <row r="775" spans="2:8">
      <c r="B775" t="s">
        <v>443</v>
      </c>
      <c r="C775" t="s">
        <v>274</v>
      </c>
      <c r="D775">
        <v>1943.5</v>
      </c>
      <c r="E775">
        <v>1945.5</v>
      </c>
      <c r="F775">
        <v>1943.5</v>
      </c>
      <c r="G775">
        <v>1945.5</v>
      </c>
      <c r="H775">
        <v>1200</v>
      </c>
    </row>
    <row r="776" spans="2:8">
      <c r="B776" t="s">
        <v>443</v>
      </c>
      <c r="C776" t="s">
        <v>275</v>
      </c>
      <c r="D776">
        <v>1945.5</v>
      </c>
      <c r="E776">
        <v>1945.5</v>
      </c>
      <c r="F776">
        <v>1945.5</v>
      </c>
      <c r="G776">
        <v>1945.5</v>
      </c>
      <c r="H776">
        <v>200</v>
      </c>
    </row>
    <row r="777" spans="2:8">
      <c r="B777" t="s">
        <v>443</v>
      </c>
      <c r="C777" t="s">
        <v>276</v>
      </c>
      <c r="D777">
        <v>1945</v>
      </c>
      <c r="E777">
        <v>1945.5</v>
      </c>
      <c r="F777">
        <v>1945</v>
      </c>
      <c r="G777">
        <v>1945.5</v>
      </c>
      <c r="H777">
        <v>1000</v>
      </c>
    </row>
    <row r="778" spans="2:8">
      <c r="B778" t="s">
        <v>443</v>
      </c>
      <c r="C778" t="s">
        <v>277</v>
      </c>
      <c r="D778">
        <v>1945.5</v>
      </c>
      <c r="E778">
        <v>1945.5</v>
      </c>
      <c r="F778">
        <v>1943.5</v>
      </c>
      <c r="G778">
        <v>1943.5</v>
      </c>
      <c r="H778">
        <v>1600</v>
      </c>
    </row>
    <row r="779" spans="2:8">
      <c r="B779" t="s">
        <v>443</v>
      </c>
      <c r="C779" t="s">
        <v>278</v>
      </c>
      <c r="D779">
        <v>1943</v>
      </c>
      <c r="E779">
        <v>1943.5</v>
      </c>
      <c r="F779">
        <v>1943</v>
      </c>
      <c r="G779">
        <v>1943.5</v>
      </c>
      <c r="H779">
        <v>400</v>
      </c>
    </row>
    <row r="780" spans="2:8">
      <c r="B780" t="s">
        <v>443</v>
      </c>
      <c r="C780" t="s">
        <v>279</v>
      </c>
      <c r="D780">
        <v>1943.5</v>
      </c>
      <c r="E780">
        <v>1944.5</v>
      </c>
      <c r="F780">
        <v>1943</v>
      </c>
      <c r="G780">
        <v>1944.5</v>
      </c>
      <c r="H780">
        <v>3600</v>
      </c>
    </row>
    <row r="781" spans="2:8">
      <c r="B781" t="s">
        <v>443</v>
      </c>
      <c r="C781" t="s">
        <v>280</v>
      </c>
      <c r="D781">
        <v>1943.5</v>
      </c>
      <c r="E781">
        <v>1944.5</v>
      </c>
      <c r="F781">
        <v>1943.5</v>
      </c>
      <c r="G781">
        <v>1944.5</v>
      </c>
      <c r="H781">
        <v>700</v>
      </c>
    </row>
    <row r="782" spans="2:8">
      <c r="B782" t="s">
        <v>443</v>
      </c>
      <c r="C782" t="s">
        <v>281</v>
      </c>
      <c r="D782">
        <v>1945.5</v>
      </c>
      <c r="E782">
        <v>1946</v>
      </c>
      <c r="F782">
        <v>1945</v>
      </c>
      <c r="G782">
        <v>1945</v>
      </c>
      <c r="H782">
        <v>1100</v>
      </c>
    </row>
    <row r="783" spans="2:8">
      <c r="B783" t="s">
        <v>443</v>
      </c>
      <c r="C783" t="s">
        <v>282</v>
      </c>
      <c r="D783">
        <v>1945</v>
      </c>
      <c r="E783">
        <v>1945</v>
      </c>
      <c r="F783">
        <v>1944.5</v>
      </c>
      <c r="G783">
        <v>1945</v>
      </c>
      <c r="H783">
        <v>1000</v>
      </c>
    </row>
    <row r="784" spans="2:8">
      <c r="B784" t="s">
        <v>443</v>
      </c>
      <c r="C784" t="s">
        <v>283</v>
      </c>
      <c r="D784">
        <v>1944.5</v>
      </c>
      <c r="E784">
        <v>1946</v>
      </c>
      <c r="F784">
        <v>1944.5</v>
      </c>
      <c r="G784">
        <v>1946</v>
      </c>
      <c r="H784">
        <v>700</v>
      </c>
    </row>
    <row r="785" spans="2:8">
      <c r="B785" t="s">
        <v>443</v>
      </c>
      <c r="C785" t="s">
        <v>284</v>
      </c>
      <c r="D785">
        <v>1945.5</v>
      </c>
      <c r="E785">
        <v>1946</v>
      </c>
      <c r="F785">
        <v>1945.5</v>
      </c>
      <c r="G785">
        <v>1946</v>
      </c>
      <c r="H785">
        <v>600</v>
      </c>
    </row>
    <row r="786" spans="2:8">
      <c r="B786" t="s">
        <v>443</v>
      </c>
      <c r="C786" t="s">
        <v>285</v>
      </c>
      <c r="D786">
        <v>1946</v>
      </c>
      <c r="E786">
        <v>1948</v>
      </c>
      <c r="F786">
        <v>1946</v>
      </c>
      <c r="G786">
        <v>1946.5</v>
      </c>
      <c r="H786">
        <v>2000</v>
      </c>
    </row>
    <row r="787" spans="2:8">
      <c r="B787" t="s">
        <v>443</v>
      </c>
      <c r="C787" t="s">
        <v>286</v>
      </c>
      <c r="D787">
        <v>1946.5</v>
      </c>
      <c r="E787">
        <v>1947.5</v>
      </c>
      <c r="F787">
        <v>1946.5</v>
      </c>
      <c r="G787">
        <v>1947.5</v>
      </c>
      <c r="H787">
        <v>1000</v>
      </c>
    </row>
    <row r="788" spans="2:8">
      <c r="B788" t="s">
        <v>443</v>
      </c>
      <c r="C788" t="s">
        <v>287</v>
      </c>
      <c r="D788">
        <v>1947</v>
      </c>
      <c r="E788">
        <v>1947</v>
      </c>
      <c r="F788">
        <v>1944.5</v>
      </c>
      <c r="G788">
        <v>1945.5</v>
      </c>
      <c r="H788">
        <v>2600</v>
      </c>
    </row>
    <row r="789" spans="2:8">
      <c r="B789" t="s">
        <v>443</v>
      </c>
      <c r="C789" t="s">
        <v>288</v>
      </c>
      <c r="D789">
        <v>1945.5</v>
      </c>
      <c r="E789">
        <v>1945.5</v>
      </c>
      <c r="F789">
        <v>1945.5</v>
      </c>
      <c r="G789">
        <v>1945.5</v>
      </c>
      <c r="H789">
        <v>100</v>
      </c>
    </row>
    <row r="790" spans="2:8">
      <c r="B790" t="s">
        <v>443</v>
      </c>
      <c r="C790" t="s">
        <v>289</v>
      </c>
      <c r="D790">
        <v>1945</v>
      </c>
      <c r="E790">
        <v>1945</v>
      </c>
      <c r="F790">
        <v>1943</v>
      </c>
      <c r="G790">
        <v>1944</v>
      </c>
      <c r="H790">
        <v>1900</v>
      </c>
    </row>
    <row r="791" spans="2:8">
      <c r="B791" t="s">
        <v>443</v>
      </c>
      <c r="C791" t="s">
        <v>290</v>
      </c>
      <c r="D791">
        <v>1944</v>
      </c>
      <c r="E791">
        <v>1944</v>
      </c>
      <c r="F791">
        <v>1943</v>
      </c>
      <c r="G791">
        <v>1943</v>
      </c>
      <c r="H791">
        <v>700</v>
      </c>
    </row>
    <row r="792" spans="2:8">
      <c r="B792" t="s">
        <v>443</v>
      </c>
      <c r="C792" t="s">
        <v>291</v>
      </c>
      <c r="D792">
        <v>1943.5</v>
      </c>
      <c r="E792">
        <v>1943.5</v>
      </c>
      <c r="F792">
        <v>1943</v>
      </c>
      <c r="G792">
        <v>1943.5</v>
      </c>
      <c r="H792">
        <v>1100</v>
      </c>
    </row>
    <row r="793" spans="2:8">
      <c r="B793" t="s">
        <v>443</v>
      </c>
      <c r="C793" t="s">
        <v>292</v>
      </c>
      <c r="D793">
        <v>1944</v>
      </c>
      <c r="E793">
        <v>1945</v>
      </c>
      <c r="F793">
        <v>1944</v>
      </c>
      <c r="G793">
        <v>1945</v>
      </c>
      <c r="H793">
        <v>500</v>
      </c>
    </row>
    <row r="794" spans="2:8">
      <c r="B794" t="s">
        <v>443</v>
      </c>
      <c r="C794" t="s">
        <v>293</v>
      </c>
      <c r="D794">
        <v>1944.5</v>
      </c>
      <c r="E794">
        <v>1944.5</v>
      </c>
      <c r="F794">
        <v>1942.5</v>
      </c>
      <c r="G794">
        <v>1942.5</v>
      </c>
      <c r="H794">
        <v>1600</v>
      </c>
    </row>
    <row r="795" spans="2:8">
      <c r="B795" t="s">
        <v>443</v>
      </c>
      <c r="C795" t="s">
        <v>294</v>
      </c>
      <c r="D795">
        <v>1943</v>
      </c>
      <c r="E795">
        <v>1943.5</v>
      </c>
      <c r="F795">
        <v>1942.5</v>
      </c>
      <c r="G795">
        <v>1942.5</v>
      </c>
      <c r="H795">
        <v>1100</v>
      </c>
    </row>
    <row r="796" spans="2:8">
      <c r="B796" t="s">
        <v>443</v>
      </c>
      <c r="C796" t="s">
        <v>295</v>
      </c>
      <c r="D796">
        <v>1943</v>
      </c>
      <c r="E796">
        <v>1943</v>
      </c>
      <c r="F796">
        <v>1941.5</v>
      </c>
      <c r="G796">
        <v>1941.5</v>
      </c>
      <c r="H796">
        <v>1900</v>
      </c>
    </row>
    <row r="797" spans="2:8">
      <c r="B797" t="s">
        <v>443</v>
      </c>
      <c r="C797" t="s">
        <v>296</v>
      </c>
      <c r="D797">
        <v>1941.5</v>
      </c>
      <c r="E797">
        <v>1942</v>
      </c>
      <c r="F797">
        <v>1941</v>
      </c>
      <c r="G797">
        <v>1942</v>
      </c>
      <c r="H797">
        <v>400</v>
      </c>
    </row>
    <row r="798" spans="2:8">
      <c r="B798" t="s">
        <v>443</v>
      </c>
      <c r="C798" t="s">
        <v>297</v>
      </c>
      <c r="D798">
        <v>1942</v>
      </c>
      <c r="E798">
        <v>1944.5</v>
      </c>
      <c r="F798">
        <v>1942</v>
      </c>
      <c r="G798">
        <v>1944.5</v>
      </c>
      <c r="H798">
        <v>1400</v>
      </c>
    </row>
    <row r="799" spans="2:8">
      <c r="B799" t="s">
        <v>443</v>
      </c>
      <c r="C799" t="s">
        <v>298</v>
      </c>
      <c r="D799">
        <v>1944</v>
      </c>
      <c r="E799">
        <v>1944</v>
      </c>
      <c r="F799">
        <v>1943.5</v>
      </c>
      <c r="G799">
        <v>1943.5</v>
      </c>
      <c r="H799">
        <v>600</v>
      </c>
    </row>
    <row r="800" spans="2:8">
      <c r="B800" t="s">
        <v>443</v>
      </c>
      <c r="C800" t="s">
        <v>299</v>
      </c>
      <c r="D800">
        <v>1943.5</v>
      </c>
      <c r="E800">
        <v>1943.5</v>
      </c>
      <c r="F800">
        <v>1942.5</v>
      </c>
      <c r="G800">
        <v>1943.5</v>
      </c>
      <c r="H800">
        <v>2100</v>
      </c>
    </row>
    <row r="801" spans="2:8">
      <c r="B801" t="s">
        <v>443</v>
      </c>
      <c r="C801" t="s">
        <v>300</v>
      </c>
      <c r="D801">
        <v>1943.5</v>
      </c>
      <c r="E801">
        <v>1943.5</v>
      </c>
      <c r="F801">
        <v>1943.5</v>
      </c>
      <c r="G801">
        <v>1943.5</v>
      </c>
      <c r="H801">
        <v>300</v>
      </c>
    </row>
    <row r="802" spans="2:8">
      <c r="B802" t="s">
        <v>443</v>
      </c>
      <c r="C802" t="s">
        <v>301</v>
      </c>
      <c r="D802">
        <v>1942.5</v>
      </c>
      <c r="E802">
        <v>1942.5</v>
      </c>
      <c r="F802">
        <v>1942</v>
      </c>
      <c r="G802">
        <v>1942</v>
      </c>
      <c r="H802">
        <v>600</v>
      </c>
    </row>
    <row r="803" spans="2:8">
      <c r="B803" t="s">
        <v>443</v>
      </c>
      <c r="C803" t="s">
        <v>302</v>
      </c>
      <c r="D803">
        <v>1942.5</v>
      </c>
      <c r="E803">
        <v>1943</v>
      </c>
      <c r="F803">
        <v>1942.5</v>
      </c>
      <c r="G803">
        <v>1943</v>
      </c>
      <c r="H803">
        <v>900</v>
      </c>
    </row>
    <row r="804" spans="2:8">
      <c r="B804" t="s">
        <v>443</v>
      </c>
      <c r="C804" t="s">
        <v>303</v>
      </c>
      <c r="D804">
        <v>1943.5</v>
      </c>
      <c r="E804">
        <v>1944</v>
      </c>
      <c r="F804">
        <v>1943</v>
      </c>
      <c r="G804">
        <v>1944</v>
      </c>
      <c r="H804">
        <v>500</v>
      </c>
    </row>
    <row r="805" spans="2:8">
      <c r="B805" t="s">
        <v>443</v>
      </c>
      <c r="C805" t="s">
        <v>304</v>
      </c>
      <c r="D805">
        <v>1943</v>
      </c>
      <c r="E805">
        <v>1943</v>
      </c>
      <c r="F805">
        <v>1942.5</v>
      </c>
      <c r="G805">
        <v>1942.5</v>
      </c>
      <c r="H805">
        <v>1100</v>
      </c>
    </row>
    <row r="806" spans="2:8">
      <c r="B806" t="s">
        <v>443</v>
      </c>
      <c r="C806" t="s">
        <v>305</v>
      </c>
      <c r="D806">
        <v>1942.5</v>
      </c>
      <c r="E806">
        <v>1942.5</v>
      </c>
      <c r="F806">
        <v>1942.5</v>
      </c>
      <c r="G806">
        <v>1942.5</v>
      </c>
      <c r="H806">
        <v>500</v>
      </c>
    </row>
    <row r="807" spans="2:8">
      <c r="B807" t="s">
        <v>443</v>
      </c>
      <c r="C807" t="s">
        <v>306</v>
      </c>
      <c r="D807">
        <v>1942.5</v>
      </c>
      <c r="E807">
        <v>1943.5</v>
      </c>
      <c r="F807">
        <v>1942.5</v>
      </c>
      <c r="G807">
        <v>1943.5</v>
      </c>
      <c r="H807">
        <v>600</v>
      </c>
    </row>
    <row r="808" spans="2:8">
      <c r="B808" t="s">
        <v>443</v>
      </c>
      <c r="C808" t="s">
        <v>307</v>
      </c>
      <c r="D808">
        <v>1943.5</v>
      </c>
      <c r="E808">
        <v>1945</v>
      </c>
      <c r="F808">
        <v>1943.5</v>
      </c>
      <c r="G808">
        <v>1945</v>
      </c>
      <c r="H808">
        <v>2100</v>
      </c>
    </row>
    <row r="809" spans="2:8">
      <c r="B809" t="s">
        <v>443</v>
      </c>
      <c r="C809" t="s">
        <v>308</v>
      </c>
      <c r="D809">
        <v>1945</v>
      </c>
      <c r="E809">
        <v>1945</v>
      </c>
      <c r="F809">
        <v>1944</v>
      </c>
      <c r="G809">
        <v>1944</v>
      </c>
      <c r="H809">
        <v>1900</v>
      </c>
    </row>
    <row r="810" spans="2:8">
      <c r="B810" t="s">
        <v>443</v>
      </c>
      <c r="C810" t="s">
        <v>309</v>
      </c>
      <c r="D810">
        <v>1943.5</v>
      </c>
      <c r="E810">
        <v>1944.5</v>
      </c>
      <c r="F810">
        <v>1943.5</v>
      </c>
      <c r="G810">
        <v>1944</v>
      </c>
      <c r="H810">
        <v>500</v>
      </c>
    </row>
    <row r="811" spans="2:8">
      <c r="B811" t="s">
        <v>443</v>
      </c>
      <c r="C811" t="s">
        <v>310</v>
      </c>
      <c r="D811">
        <v>1943.5</v>
      </c>
      <c r="E811">
        <v>1944</v>
      </c>
      <c r="F811">
        <v>1943</v>
      </c>
      <c r="G811">
        <v>1943</v>
      </c>
      <c r="H811">
        <v>1400</v>
      </c>
    </row>
    <row r="812" spans="2:8">
      <c r="B812" t="s">
        <v>443</v>
      </c>
      <c r="C812" t="s">
        <v>311</v>
      </c>
      <c r="D812">
        <v>1942.5</v>
      </c>
      <c r="E812">
        <v>1943</v>
      </c>
      <c r="F812">
        <v>1942</v>
      </c>
      <c r="G812">
        <v>1943</v>
      </c>
      <c r="H812">
        <v>2000</v>
      </c>
    </row>
    <row r="813" spans="2:8">
      <c r="B813" t="s">
        <v>443</v>
      </c>
      <c r="C813" t="s">
        <v>312</v>
      </c>
      <c r="D813">
        <v>1943.5</v>
      </c>
      <c r="E813">
        <v>1944</v>
      </c>
      <c r="F813">
        <v>1943</v>
      </c>
      <c r="G813">
        <v>1943</v>
      </c>
      <c r="H813">
        <v>500</v>
      </c>
    </row>
    <row r="814" spans="2:8">
      <c r="B814" t="s">
        <v>443</v>
      </c>
      <c r="C814" t="s">
        <v>313</v>
      </c>
      <c r="D814" t="s">
        <v>8</v>
      </c>
      <c r="E814" t="s">
        <v>8</v>
      </c>
      <c r="F814" t="s">
        <v>8</v>
      </c>
      <c r="G814" t="s">
        <v>8</v>
      </c>
      <c r="H814">
        <v>0</v>
      </c>
    </row>
    <row r="815" spans="2:8">
      <c r="B815" t="s">
        <v>443</v>
      </c>
      <c r="C815" t="s">
        <v>314</v>
      </c>
      <c r="D815">
        <v>1942.5</v>
      </c>
      <c r="E815">
        <v>1943</v>
      </c>
      <c r="F815">
        <v>1942.5</v>
      </c>
      <c r="G815">
        <v>1942.5</v>
      </c>
      <c r="H815">
        <v>300</v>
      </c>
    </row>
    <row r="816" spans="2:8">
      <c r="B816" t="s">
        <v>443</v>
      </c>
      <c r="C816" t="s">
        <v>315</v>
      </c>
      <c r="D816">
        <v>1942.5</v>
      </c>
      <c r="E816">
        <v>1943</v>
      </c>
      <c r="F816">
        <v>1941</v>
      </c>
      <c r="G816">
        <v>1942</v>
      </c>
      <c r="H816">
        <v>3600</v>
      </c>
    </row>
    <row r="817" spans="2:8">
      <c r="B817" t="s">
        <v>443</v>
      </c>
      <c r="C817" t="s">
        <v>316</v>
      </c>
      <c r="D817">
        <v>1942.5</v>
      </c>
      <c r="E817">
        <v>1942.5</v>
      </c>
      <c r="F817">
        <v>1942.5</v>
      </c>
      <c r="G817">
        <v>1942.5</v>
      </c>
      <c r="H817">
        <v>800</v>
      </c>
    </row>
    <row r="818" spans="2:8">
      <c r="B818" t="s">
        <v>443</v>
      </c>
      <c r="C818" t="s">
        <v>317</v>
      </c>
      <c r="D818">
        <v>1943.5</v>
      </c>
      <c r="E818">
        <v>1943.5</v>
      </c>
      <c r="F818">
        <v>1935.5</v>
      </c>
      <c r="G818">
        <v>1936.5</v>
      </c>
      <c r="H818">
        <v>28300</v>
      </c>
    </row>
    <row r="819" spans="2:8">
      <c r="B819" t="s">
        <v>443</v>
      </c>
      <c r="C819" t="s">
        <v>318</v>
      </c>
      <c r="D819">
        <v>1936</v>
      </c>
      <c r="E819">
        <v>1939</v>
      </c>
      <c r="F819">
        <v>1936</v>
      </c>
      <c r="G819">
        <v>1938</v>
      </c>
      <c r="H819">
        <v>5500</v>
      </c>
    </row>
    <row r="820" spans="2:8">
      <c r="B820" t="s">
        <v>443</v>
      </c>
      <c r="C820" t="s">
        <v>319</v>
      </c>
      <c r="D820">
        <v>1938</v>
      </c>
      <c r="E820">
        <v>1938</v>
      </c>
      <c r="F820">
        <v>1937</v>
      </c>
      <c r="G820">
        <v>1937</v>
      </c>
      <c r="H820">
        <v>1400</v>
      </c>
    </row>
    <row r="821" spans="2:8">
      <c r="B821" t="s">
        <v>443</v>
      </c>
      <c r="C821" t="s">
        <v>320</v>
      </c>
      <c r="D821">
        <v>1937.5</v>
      </c>
      <c r="E821">
        <v>1938</v>
      </c>
      <c r="F821">
        <v>1937.5</v>
      </c>
      <c r="G821">
        <v>1938</v>
      </c>
      <c r="H821">
        <v>400</v>
      </c>
    </row>
    <row r="822" spans="2:8">
      <c r="B822" t="s">
        <v>443</v>
      </c>
      <c r="C822" t="s">
        <v>321</v>
      </c>
      <c r="D822">
        <v>1937</v>
      </c>
      <c r="E822">
        <v>1939.5</v>
      </c>
      <c r="F822">
        <v>1937</v>
      </c>
      <c r="G822">
        <v>1938.5</v>
      </c>
      <c r="H822">
        <v>2600</v>
      </c>
    </row>
    <row r="823" spans="2:8">
      <c r="B823" t="s">
        <v>443</v>
      </c>
      <c r="C823" t="s">
        <v>322</v>
      </c>
      <c r="D823">
        <v>1939</v>
      </c>
      <c r="E823">
        <v>1946.5</v>
      </c>
      <c r="F823">
        <v>1939</v>
      </c>
      <c r="G823">
        <v>1945</v>
      </c>
      <c r="H823">
        <v>12600</v>
      </c>
    </row>
    <row r="824" spans="2:8">
      <c r="B824" t="s">
        <v>443</v>
      </c>
      <c r="C824" t="s">
        <v>323</v>
      </c>
      <c r="D824">
        <v>1945.5</v>
      </c>
      <c r="E824">
        <v>1945.5</v>
      </c>
      <c r="F824">
        <v>1944</v>
      </c>
      <c r="G824">
        <v>1944</v>
      </c>
      <c r="H824">
        <v>1600</v>
      </c>
    </row>
    <row r="825" spans="2:8">
      <c r="B825" t="s">
        <v>443</v>
      </c>
      <c r="C825" t="s">
        <v>324</v>
      </c>
      <c r="D825">
        <v>1944</v>
      </c>
      <c r="E825">
        <v>1944</v>
      </c>
      <c r="F825">
        <v>1943</v>
      </c>
      <c r="G825">
        <v>1943.5</v>
      </c>
      <c r="H825">
        <v>800</v>
      </c>
    </row>
    <row r="826" spans="2:8">
      <c r="B826" t="s">
        <v>443</v>
      </c>
      <c r="C826" t="s">
        <v>325</v>
      </c>
      <c r="D826">
        <v>1943.5</v>
      </c>
      <c r="E826">
        <v>1943.5</v>
      </c>
      <c r="F826">
        <v>1938.5</v>
      </c>
      <c r="G826">
        <v>1939</v>
      </c>
      <c r="H826">
        <v>3200</v>
      </c>
    </row>
    <row r="827" spans="2:8">
      <c r="B827" t="s">
        <v>443</v>
      </c>
      <c r="C827" t="s">
        <v>326</v>
      </c>
      <c r="D827">
        <v>1939.5</v>
      </c>
      <c r="E827">
        <v>1939.5</v>
      </c>
      <c r="F827">
        <v>1937.5</v>
      </c>
      <c r="G827">
        <v>1938</v>
      </c>
      <c r="H827">
        <v>2800</v>
      </c>
    </row>
    <row r="828" spans="2:8">
      <c r="B828" t="s">
        <v>443</v>
      </c>
      <c r="C828" t="s">
        <v>327</v>
      </c>
      <c r="D828">
        <v>1938</v>
      </c>
      <c r="E828">
        <v>1938</v>
      </c>
      <c r="F828">
        <v>1935</v>
      </c>
      <c r="G828">
        <v>1937</v>
      </c>
      <c r="H828">
        <v>5000</v>
      </c>
    </row>
    <row r="829" spans="2:8">
      <c r="B829" t="s">
        <v>443</v>
      </c>
      <c r="C829" t="s">
        <v>328</v>
      </c>
      <c r="D829">
        <v>1937</v>
      </c>
      <c r="E829">
        <v>1937</v>
      </c>
      <c r="F829">
        <v>1937</v>
      </c>
      <c r="G829">
        <v>1937</v>
      </c>
      <c r="H829">
        <v>800</v>
      </c>
    </row>
    <row r="830" spans="2:8">
      <c r="B830" t="s">
        <v>443</v>
      </c>
      <c r="C830" t="s">
        <v>329</v>
      </c>
      <c r="D830">
        <v>1937</v>
      </c>
      <c r="E830">
        <v>1938</v>
      </c>
      <c r="F830">
        <v>1936.5</v>
      </c>
      <c r="G830">
        <v>1938</v>
      </c>
      <c r="H830">
        <v>3600</v>
      </c>
    </row>
    <row r="831" spans="2:8">
      <c r="B831" t="s">
        <v>443</v>
      </c>
      <c r="C831" t="s">
        <v>330</v>
      </c>
      <c r="D831">
        <v>1938</v>
      </c>
      <c r="E831">
        <v>1940</v>
      </c>
      <c r="F831">
        <v>1938</v>
      </c>
      <c r="G831">
        <v>1938.5</v>
      </c>
      <c r="H831">
        <v>1100</v>
      </c>
    </row>
    <row r="832" spans="2:8">
      <c r="B832" t="s">
        <v>443</v>
      </c>
      <c r="C832" t="s">
        <v>331</v>
      </c>
      <c r="D832">
        <v>1939</v>
      </c>
      <c r="E832">
        <v>1941</v>
      </c>
      <c r="F832">
        <v>1939</v>
      </c>
      <c r="G832">
        <v>1941</v>
      </c>
      <c r="H832">
        <v>1600</v>
      </c>
    </row>
    <row r="833" spans="2:8">
      <c r="B833" t="s">
        <v>443</v>
      </c>
      <c r="C833" t="s">
        <v>332</v>
      </c>
      <c r="D833">
        <v>1941.5</v>
      </c>
      <c r="E833">
        <v>1946</v>
      </c>
      <c r="F833">
        <v>1941.5</v>
      </c>
      <c r="G833">
        <v>1944.5</v>
      </c>
      <c r="H833">
        <v>4300</v>
      </c>
    </row>
    <row r="834" spans="2:8">
      <c r="B834" t="s">
        <v>443</v>
      </c>
      <c r="C834" t="s">
        <v>333</v>
      </c>
      <c r="D834">
        <v>1945</v>
      </c>
      <c r="E834">
        <v>1946</v>
      </c>
      <c r="F834">
        <v>1945</v>
      </c>
      <c r="G834">
        <v>1946</v>
      </c>
      <c r="H834">
        <v>700</v>
      </c>
    </row>
    <row r="835" spans="2:8">
      <c r="B835" t="s">
        <v>443</v>
      </c>
      <c r="C835" t="s">
        <v>334</v>
      </c>
      <c r="D835">
        <v>1946</v>
      </c>
      <c r="E835">
        <v>1946.5</v>
      </c>
      <c r="F835">
        <v>1946</v>
      </c>
      <c r="G835">
        <v>1946.5</v>
      </c>
      <c r="H835">
        <v>700</v>
      </c>
    </row>
    <row r="836" spans="2:8">
      <c r="B836" t="s">
        <v>443</v>
      </c>
      <c r="C836" t="s">
        <v>335</v>
      </c>
      <c r="D836">
        <v>1946</v>
      </c>
      <c r="E836">
        <v>1949.5</v>
      </c>
      <c r="F836">
        <v>1946</v>
      </c>
      <c r="G836">
        <v>1949.5</v>
      </c>
      <c r="H836">
        <v>7500</v>
      </c>
    </row>
    <row r="837" spans="2:8">
      <c r="B837" t="s">
        <v>443</v>
      </c>
      <c r="C837" t="s">
        <v>336</v>
      </c>
      <c r="D837">
        <v>1949</v>
      </c>
      <c r="E837">
        <v>1950</v>
      </c>
      <c r="F837">
        <v>1948.5</v>
      </c>
      <c r="G837">
        <v>1949.5</v>
      </c>
      <c r="H837">
        <v>8500</v>
      </c>
    </row>
    <row r="838" spans="2:8">
      <c r="B838" t="s">
        <v>443</v>
      </c>
      <c r="C838" t="s">
        <v>337</v>
      </c>
      <c r="D838">
        <v>1949.5</v>
      </c>
      <c r="E838">
        <v>1950</v>
      </c>
      <c r="F838">
        <v>1947.5</v>
      </c>
      <c r="G838">
        <v>1947.5</v>
      </c>
      <c r="H838">
        <v>2600</v>
      </c>
    </row>
    <row r="839" spans="2:8">
      <c r="B839" t="s">
        <v>443</v>
      </c>
      <c r="C839" t="s">
        <v>338</v>
      </c>
      <c r="D839">
        <v>1948</v>
      </c>
      <c r="E839">
        <v>1948</v>
      </c>
      <c r="F839">
        <v>1945</v>
      </c>
      <c r="G839">
        <v>1946</v>
      </c>
      <c r="H839">
        <v>3100</v>
      </c>
    </row>
    <row r="840" spans="2:8">
      <c r="B840" t="s">
        <v>443</v>
      </c>
      <c r="C840" t="s">
        <v>339</v>
      </c>
      <c r="D840">
        <v>1946.5</v>
      </c>
      <c r="E840">
        <v>1947</v>
      </c>
      <c r="F840">
        <v>1945.5</v>
      </c>
      <c r="G840">
        <v>1945.5</v>
      </c>
      <c r="H840">
        <v>3200</v>
      </c>
    </row>
    <row r="841" spans="2:8">
      <c r="B841" t="s">
        <v>443</v>
      </c>
      <c r="C841" t="s">
        <v>340</v>
      </c>
      <c r="D841">
        <v>1946.5</v>
      </c>
      <c r="E841">
        <v>1946.5</v>
      </c>
      <c r="F841">
        <v>1946</v>
      </c>
      <c r="G841">
        <v>1946</v>
      </c>
      <c r="H841">
        <v>3300</v>
      </c>
    </row>
    <row r="842" spans="2:8">
      <c r="B842" t="s">
        <v>443</v>
      </c>
      <c r="C842" t="s">
        <v>341</v>
      </c>
      <c r="D842">
        <v>1945.5</v>
      </c>
      <c r="E842">
        <v>1945.5</v>
      </c>
      <c r="F842">
        <v>1944.5</v>
      </c>
      <c r="G842">
        <v>1944.5</v>
      </c>
      <c r="H842">
        <v>1600</v>
      </c>
    </row>
    <row r="843" spans="2:8">
      <c r="B843" t="s">
        <v>443</v>
      </c>
      <c r="C843" t="s">
        <v>342</v>
      </c>
      <c r="D843">
        <v>1944.5</v>
      </c>
      <c r="E843">
        <v>1944.5</v>
      </c>
      <c r="F843">
        <v>1944.5</v>
      </c>
      <c r="G843">
        <v>1944.5</v>
      </c>
      <c r="H843">
        <v>900</v>
      </c>
    </row>
    <row r="844" spans="2:8">
      <c r="B844" t="s">
        <v>443</v>
      </c>
      <c r="C844" t="s">
        <v>343</v>
      </c>
      <c r="D844">
        <v>1944</v>
      </c>
      <c r="E844">
        <v>1944</v>
      </c>
      <c r="F844">
        <v>1942</v>
      </c>
      <c r="G844">
        <v>1942</v>
      </c>
      <c r="H844">
        <v>1600</v>
      </c>
    </row>
    <row r="845" spans="2:8">
      <c r="B845" t="s">
        <v>443</v>
      </c>
      <c r="C845" t="s">
        <v>344</v>
      </c>
      <c r="D845">
        <v>1942.5</v>
      </c>
      <c r="E845">
        <v>1943</v>
      </c>
      <c r="F845">
        <v>1942.5</v>
      </c>
      <c r="G845">
        <v>1942.5</v>
      </c>
      <c r="H845">
        <v>800</v>
      </c>
    </row>
    <row r="846" spans="2:8">
      <c r="B846" t="s">
        <v>443</v>
      </c>
      <c r="C846" t="s">
        <v>345</v>
      </c>
      <c r="D846">
        <v>1943</v>
      </c>
      <c r="E846">
        <v>1943</v>
      </c>
      <c r="F846">
        <v>1943</v>
      </c>
      <c r="G846">
        <v>1943</v>
      </c>
      <c r="H846">
        <v>300</v>
      </c>
    </row>
    <row r="847" spans="2:8">
      <c r="B847" t="s">
        <v>443</v>
      </c>
      <c r="C847" t="s">
        <v>346</v>
      </c>
      <c r="D847">
        <v>1943</v>
      </c>
      <c r="E847">
        <v>1943</v>
      </c>
      <c r="F847">
        <v>1941.5</v>
      </c>
      <c r="G847">
        <v>1941.5</v>
      </c>
      <c r="H847">
        <v>1600</v>
      </c>
    </row>
    <row r="848" spans="2:8">
      <c r="B848" t="s">
        <v>443</v>
      </c>
      <c r="C848" t="s">
        <v>347</v>
      </c>
      <c r="D848">
        <v>1942</v>
      </c>
      <c r="E848">
        <v>1942.5</v>
      </c>
      <c r="F848">
        <v>1942</v>
      </c>
      <c r="G848">
        <v>1942.5</v>
      </c>
      <c r="H848">
        <v>1700</v>
      </c>
    </row>
    <row r="849" spans="2:8">
      <c r="B849" t="s">
        <v>443</v>
      </c>
      <c r="C849" t="s">
        <v>348</v>
      </c>
      <c r="D849">
        <v>1943.5</v>
      </c>
      <c r="E849">
        <v>1944</v>
      </c>
      <c r="F849">
        <v>1943.5</v>
      </c>
      <c r="G849">
        <v>1944</v>
      </c>
      <c r="H849">
        <v>700</v>
      </c>
    </row>
    <row r="850" spans="2:8">
      <c r="B850" t="s">
        <v>443</v>
      </c>
      <c r="C850" t="s">
        <v>349</v>
      </c>
      <c r="D850">
        <v>1944</v>
      </c>
      <c r="E850">
        <v>1944.5</v>
      </c>
      <c r="F850">
        <v>1944</v>
      </c>
      <c r="G850">
        <v>1944.5</v>
      </c>
      <c r="H850">
        <v>600</v>
      </c>
    </row>
    <row r="851" spans="2:8">
      <c r="B851" t="s">
        <v>443</v>
      </c>
      <c r="C851" t="s">
        <v>350</v>
      </c>
      <c r="D851">
        <v>1944.5</v>
      </c>
      <c r="E851">
        <v>1946.5</v>
      </c>
      <c r="F851">
        <v>1944.5</v>
      </c>
      <c r="G851">
        <v>1946.5</v>
      </c>
      <c r="H851">
        <v>1200</v>
      </c>
    </row>
    <row r="852" spans="2:8">
      <c r="B852" t="s">
        <v>443</v>
      </c>
      <c r="C852" t="s">
        <v>351</v>
      </c>
      <c r="D852">
        <v>1947</v>
      </c>
      <c r="E852">
        <v>1947.5</v>
      </c>
      <c r="F852">
        <v>1946.5</v>
      </c>
      <c r="G852">
        <v>1946.5</v>
      </c>
      <c r="H852">
        <v>1500</v>
      </c>
    </row>
    <row r="853" spans="2:8">
      <c r="B853" t="s">
        <v>443</v>
      </c>
      <c r="C853" t="s">
        <v>352</v>
      </c>
      <c r="D853">
        <v>1946.5</v>
      </c>
      <c r="E853">
        <v>1946.5</v>
      </c>
      <c r="F853">
        <v>1946</v>
      </c>
      <c r="G853">
        <v>1946.5</v>
      </c>
      <c r="H853">
        <v>900</v>
      </c>
    </row>
    <row r="854" spans="2:8">
      <c r="B854" t="s">
        <v>443</v>
      </c>
      <c r="C854" t="s">
        <v>353</v>
      </c>
      <c r="D854">
        <v>1947</v>
      </c>
      <c r="E854">
        <v>1947</v>
      </c>
      <c r="F854">
        <v>1947</v>
      </c>
      <c r="G854">
        <v>1947</v>
      </c>
      <c r="H854">
        <v>300</v>
      </c>
    </row>
    <row r="855" spans="2:8">
      <c r="B855" t="s">
        <v>443</v>
      </c>
      <c r="C855" t="s">
        <v>354</v>
      </c>
      <c r="D855">
        <v>1947</v>
      </c>
      <c r="E855">
        <v>1947.5</v>
      </c>
      <c r="F855">
        <v>1946.5</v>
      </c>
      <c r="G855">
        <v>1946.5</v>
      </c>
      <c r="H855">
        <v>700</v>
      </c>
    </row>
    <row r="856" spans="2:8">
      <c r="B856" t="s">
        <v>443</v>
      </c>
      <c r="C856" t="s">
        <v>355</v>
      </c>
      <c r="D856">
        <v>1946.5</v>
      </c>
      <c r="E856">
        <v>1947</v>
      </c>
      <c r="F856">
        <v>1946.5</v>
      </c>
      <c r="G856">
        <v>1947</v>
      </c>
      <c r="H856">
        <v>500</v>
      </c>
    </row>
    <row r="857" spans="2:8">
      <c r="B857" t="s">
        <v>443</v>
      </c>
      <c r="C857" t="s">
        <v>356</v>
      </c>
      <c r="D857">
        <v>1947.5</v>
      </c>
      <c r="E857">
        <v>1949</v>
      </c>
      <c r="F857">
        <v>1947.5</v>
      </c>
      <c r="G857">
        <v>1949</v>
      </c>
      <c r="H857">
        <v>1200</v>
      </c>
    </row>
    <row r="858" spans="2:8">
      <c r="B858" t="s">
        <v>443</v>
      </c>
      <c r="C858" t="s">
        <v>357</v>
      </c>
      <c r="D858">
        <v>1948.5</v>
      </c>
      <c r="E858">
        <v>1948.5</v>
      </c>
      <c r="F858">
        <v>1947.5</v>
      </c>
      <c r="G858">
        <v>1947.5</v>
      </c>
      <c r="H858">
        <v>1300</v>
      </c>
    </row>
    <row r="859" spans="2:8">
      <c r="B859" t="s">
        <v>443</v>
      </c>
      <c r="C859" t="s">
        <v>358</v>
      </c>
      <c r="D859">
        <v>1947.5</v>
      </c>
      <c r="E859">
        <v>1947.5</v>
      </c>
      <c r="F859">
        <v>1947.5</v>
      </c>
      <c r="G859">
        <v>1947.5</v>
      </c>
      <c r="H859">
        <v>400</v>
      </c>
    </row>
    <row r="860" spans="2:8">
      <c r="B860" t="s">
        <v>443</v>
      </c>
      <c r="C860" t="s">
        <v>359</v>
      </c>
      <c r="D860">
        <v>1947.5</v>
      </c>
      <c r="E860">
        <v>1947.5</v>
      </c>
      <c r="F860">
        <v>1946</v>
      </c>
      <c r="G860">
        <v>1946</v>
      </c>
      <c r="H860">
        <v>3100</v>
      </c>
    </row>
    <row r="861" spans="2:8">
      <c r="B861" t="s">
        <v>443</v>
      </c>
      <c r="C861" t="s">
        <v>360</v>
      </c>
      <c r="D861">
        <v>1946</v>
      </c>
      <c r="E861">
        <v>1946</v>
      </c>
      <c r="F861">
        <v>1946</v>
      </c>
      <c r="G861">
        <v>1946</v>
      </c>
      <c r="H861">
        <v>300</v>
      </c>
    </row>
    <row r="862" spans="2:8">
      <c r="B862" t="s">
        <v>443</v>
      </c>
      <c r="C862" t="s">
        <v>361</v>
      </c>
      <c r="D862">
        <v>1946</v>
      </c>
      <c r="E862">
        <v>1948</v>
      </c>
      <c r="F862">
        <v>1946</v>
      </c>
      <c r="G862">
        <v>1948</v>
      </c>
      <c r="H862">
        <v>2000</v>
      </c>
    </row>
    <row r="863" spans="2:8">
      <c r="B863" t="s">
        <v>443</v>
      </c>
      <c r="C863" t="s">
        <v>362</v>
      </c>
      <c r="D863">
        <v>1948.5</v>
      </c>
      <c r="E863">
        <v>1948.5</v>
      </c>
      <c r="F863">
        <v>1947.5</v>
      </c>
      <c r="G863">
        <v>1947.5</v>
      </c>
      <c r="H863">
        <v>1500</v>
      </c>
    </row>
    <row r="864" spans="2:8">
      <c r="B864" t="s">
        <v>443</v>
      </c>
      <c r="C864" t="s">
        <v>363</v>
      </c>
      <c r="D864">
        <v>1947.5</v>
      </c>
      <c r="E864">
        <v>1948</v>
      </c>
      <c r="F864">
        <v>1947.5</v>
      </c>
      <c r="G864">
        <v>1948</v>
      </c>
      <c r="H864">
        <v>500</v>
      </c>
    </row>
    <row r="865" spans="2:8">
      <c r="B865" t="s">
        <v>443</v>
      </c>
      <c r="C865" t="s">
        <v>364</v>
      </c>
      <c r="D865">
        <v>1947.5</v>
      </c>
      <c r="E865">
        <v>1948.5</v>
      </c>
      <c r="F865">
        <v>1947.5</v>
      </c>
      <c r="G865">
        <v>1947.5</v>
      </c>
      <c r="H865">
        <v>1200</v>
      </c>
    </row>
    <row r="866" spans="2:8">
      <c r="B866" t="s">
        <v>443</v>
      </c>
      <c r="C866" t="s">
        <v>365</v>
      </c>
      <c r="D866">
        <v>1947.5</v>
      </c>
      <c r="E866">
        <v>1947.5</v>
      </c>
      <c r="F866">
        <v>1947.5</v>
      </c>
      <c r="G866">
        <v>1947.5</v>
      </c>
      <c r="H866">
        <v>500</v>
      </c>
    </row>
    <row r="867" spans="2:8">
      <c r="B867" t="s">
        <v>443</v>
      </c>
      <c r="C867" t="s">
        <v>366</v>
      </c>
      <c r="D867">
        <v>1947</v>
      </c>
      <c r="E867">
        <v>1947</v>
      </c>
      <c r="F867">
        <v>1947</v>
      </c>
      <c r="G867">
        <v>1947</v>
      </c>
      <c r="H867">
        <v>300</v>
      </c>
    </row>
    <row r="868" spans="2:8">
      <c r="B868" t="s">
        <v>443</v>
      </c>
      <c r="C868" t="s">
        <v>367</v>
      </c>
      <c r="D868">
        <v>1947</v>
      </c>
      <c r="E868">
        <v>1947</v>
      </c>
      <c r="F868">
        <v>1945</v>
      </c>
      <c r="G868">
        <v>1946.5</v>
      </c>
      <c r="H868">
        <v>4100</v>
      </c>
    </row>
    <row r="869" spans="2:8">
      <c r="B869" t="s">
        <v>443</v>
      </c>
      <c r="C869" t="s">
        <v>368</v>
      </c>
      <c r="D869" t="s">
        <v>8</v>
      </c>
      <c r="E869" t="s">
        <v>8</v>
      </c>
      <c r="F869" t="s">
        <v>8</v>
      </c>
      <c r="G869" t="s">
        <v>8</v>
      </c>
      <c r="H869">
        <v>0</v>
      </c>
    </row>
    <row r="870" spans="2:8">
      <c r="B870" t="s">
        <v>443</v>
      </c>
      <c r="C870" t="s">
        <v>369</v>
      </c>
      <c r="D870">
        <v>1946.5</v>
      </c>
      <c r="E870">
        <v>1946.5</v>
      </c>
      <c r="F870">
        <v>1945</v>
      </c>
      <c r="G870">
        <v>1946.5</v>
      </c>
      <c r="H870">
        <v>1700</v>
      </c>
    </row>
    <row r="871" spans="2:8">
      <c r="B871" t="s">
        <v>443</v>
      </c>
      <c r="C871" t="s">
        <v>370</v>
      </c>
      <c r="D871">
        <v>1947</v>
      </c>
      <c r="E871">
        <v>1947</v>
      </c>
      <c r="F871">
        <v>1947</v>
      </c>
      <c r="G871">
        <v>1947</v>
      </c>
      <c r="H871">
        <v>300</v>
      </c>
    </row>
    <row r="872" spans="2:8">
      <c r="B872" t="s">
        <v>443</v>
      </c>
      <c r="C872" t="s">
        <v>371</v>
      </c>
      <c r="D872">
        <v>1946.5</v>
      </c>
      <c r="E872">
        <v>1946.5</v>
      </c>
      <c r="F872">
        <v>1946</v>
      </c>
      <c r="G872">
        <v>1946</v>
      </c>
      <c r="H872">
        <v>900</v>
      </c>
    </row>
    <row r="873" spans="2:8">
      <c r="B873" t="s">
        <v>443</v>
      </c>
      <c r="C873" t="s">
        <v>372</v>
      </c>
      <c r="D873">
        <v>1945.5</v>
      </c>
      <c r="E873">
        <v>1946.5</v>
      </c>
      <c r="F873">
        <v>1945.5</v>
      </c>
      <c r="G873">
        <v>1946</v>
      </c>
      <c r="H873">
        <v>800</v>
      </c>
    </row>
    <row r="874" spans="2:8">
      <c r="B874" t="s">
        <v>443</v>
      </c>
      <c r="C874" t="s">
        <v>373</v>
      </c>
      <c r="D874">
        <v>1946</v>
      </c>
      <c r="E874">
        <v>1946</v>
      </c>
      <c r="F874">
        <v>1945</v>
      </c>
      <c r="G874">
        <v>1945</v>
      </c>
      <c r="H874">
        <v>500</v>
      </c>
    </row>
    <row r="875" spans="2:8">
      <c r="B875" t="s">
        <v>443</v>
      </c>
      <c r="C875" t="s">
        <v>374</v>
      </c>
      <c r="D875">
        <v>1946</v>
      </c>
      <c r="E875">
        <v>1947</v>
      </c>
      <c r="F875">
        <v>1946</v>
      </c>
      <c r="G875">
        <v>1947</v>
      </c>
      <c r="H875">
        <v>600</v>
      </c>
    </row>
    <row r="876" spans="2:8">
      <c r="B876" t="s">
        <v>443</v>
      </c>
      <c r="C876" t="s">
        <v>375</v>
      </c>
      <c r="D876">
        <v>1948</v>
      </c>
      <c r="E876">
        <v>1948</v>
      </c>
      <c r="F876">
        <v>1947.5</v>
      </c>
      <c r="G876">
        <v>1948</v>
      </c>
      <c r="H876">
        <v>400</v>
      </c>
    </row>
    <row r="877" spans="2:8">
      <c r="B877" t="s">
        <v>443</v>
      </c>
      <c r="C877" t="s">
        <v>376</v>
      </c>
      <c r="D877">
        <v>1947.5</v>
      </c>
      <c r="E877">
        <v>1948</v>
      </c>
      <c r="F877">
        <v>1947.5</v>
      </c>
      <c r="G877">
        <v>1947.5</v>
      </c>
      <c r="H877">
        <v>1400</v>
      </c>
    </row>
    <row r="878" spans="2:8">
      <c r="B878" t="s">
        <v>443</v>
      </c>
      <c r="C878" t="s">
        <v>377</v>
      </c>
      <c r="D878">
        <v>1947</v>
      </c>
      <c r="E878">
        <v>1947</v>
      </c>
      <c r="F878">
        <v>1946.5</v>
      </c>
      <c r="G878">
        <v>1946.5</v>
      </c>
      <c r="H878">
        <v>1600</v>
      </c>
    </row>
    <row r="879" spans="2:8">
      <c r="B879" t="s">
        <v>443</v>
      </c>
      <c r="C879" t="s">
        <v>378</v>
      </c>
      <c r="D879">
        <v>1946.5</v>
      </c>
      <c r="E879">
        <v>1946.5</v>
      </c>
      <c r="F879">
        <v>1946</v>
      </c>
      <c r="G879">
        <v>1946.5</v>
      </c>
      <c r="H879">
        <v>600</v>
      </c>
    </row>
    <row r="880" spans="2:8">
      <c r="B880" t="s">
        <v>443</v>
      </c>
      <c r="C880" t="s">
        <v>379</v>
      </c>
      <c r="D880">
        <v>1946.5</v>
      </c>
      <c r="E880">
        <v>1947</v>
      </c>
      <c r="F880">
        <v>1946.5</v>
      </c>
      <c r="G880">
        <v>1947</v>
      </c>
      <c r="H880">
        <v>700</v>
      </c>
    </row>
    <row r="881" spans="2:8">
      <c r="B881" t="s">
        <v>443</v>
      </c>
      <c r="C881" t="s">
        <v>380</v>
      </c>
      <c r="D881">
        <v>1947</v>
      </c>
      <c r="E881">
        <v>1947.5</v>
      </c>
      <c r="F881">
        <v>1947</v>
      </c>
      <c r="G881">
        <v>1947</v>
      </c>
      <c r="H881">
        <v>600</v>
      </c>
    </row>
    <row r="882" spans="2:8">
      <c r="B882" t="s">
        <v>443</v>
      </c>
      <c r="C882" t="s">
        <v>381</v>
      </c>
      <c r="D882">
        <v>1947</v>
      </c>
      <c r="E882">
        <v>1947</v>
      </c>
      <c r="F882">
        <v>1946.5</v>
      </c>
      <c r="G882">
        <v>1946.5</v>
      </c>
      <c r="H882">
        <v>1300</v>
      </c>
    </row>
    <row r="883" spans="2:8">
      <c r="B883" t="s">
        <v>443</v>
      </c>
      <c r="C883" t="s">
        <v>382</v>
      </c>
      <c r="D883">
        <v>1946</v>
      </c>
      <c r="E883">
        <v>1946</v>
      </c>
      <c r="F883">
        <v>1945</v>
      </c>
      <c r="G883">
        <v>1945.5</v>
      </c>
      <c r="H883">
        <v>1000</v>
      </c>
    </row>
    <row r="884" spans="2:8">
      <c r="B884" t="s">
        <v>443</v>
      </c>
      <c r="C884" t="s">
        <v>383</v>
      </c>
      <c r="D884">
        <v>1945</v>
      </c>
      <c r="E884">
        <v>1946</v>
      </c>
      <c r="F884">
        <v>1945</v>
      </c>
      <c r="G884">
        <v>1945.5</v>
      </c>
      <c r="H884">
        <v>2200</v>
      </c>
    </row>
    <row r="885" spans="2:8">
      <c r="B885" t="s">
        <v>443</v>
      </c>
      <c r="C885" t="s">
        <v>384</v>
      </c>
      <c r="D885">
        <v>1945</v>
      </c>
      <c r="E885">
        <v>1945.5</v>
      </c>
      <c r="F885">
        <v>1945</v>
      </c>
      <c r="G885">
        <v>1945</v>
      </c>
      <c r="H885">
        <v>1800</v>
      </c>
    </row>
    <row r="886" spans="2:8">
      <c r="B886" t="s">
        <v>443</v>
      </c>
      <c r="C886" t="s">
        <v>385</v>
      </c>
      <c r="D886">
        <v>1944.5</v>
      </c>
      <c r="E886">
        <v>1944.5</v>
      </c>
      <c r="F886">
        <v>1942.5</v>
      </c>
      <c r="G886">
        <v>1944</v>
      </c>
      <c r="H886">
        <v>4600</v>
      </c>
    </row>
    <row r="887" spans="2:8">
      <c r="B887" t="s">
        <v>443</v>
      </c>
      <c r="C887" t="s">
        <v>386</v>
      </c>
      <c r="D887">
        <v>1943.5</v>
      </c>
      <c r="E887">
        <v>1944</v>
      </c>
      <c r="F887">
        <v>1942.5</v>
      </c>
      <c r="G887">
        <v>1943.5</v>
      </c>
      <c r="H887">
        <v>1500</v>
      </c>
    </row>
    <row r="888" spans="2:8">
      <c r="B888" t="s">
        <v>443</v>
      </c>
      <c r="C888" t="s">
        <v>387</v>
      </c>
      <c r="D888">
        <v>1943</v>
      </c>
      <c r="E888">
        <v>1944</v>
      </c>
      <c r="F888">
        <v>1943</v>
      </c>
      <c r="G888">
        <v>1944</v>
      </c>
      <c r="H888">
        <v>1300</v>
      </c>
    </row>
    <row r="889" spans="2:8">
      <c r="B889" t="s">
        <v>443</v>
      </c>
      <c r="C889" t="s">
        <v>388</v>
      </c>
      <c r="D889">
        <v>1944.5</v>
      </c>
      <c r="E889">
        <v>1944.5</v>
      </c>
      <c r="F889">
        <v>1943.5</v>
      </c>
      <c r="G889">
        <v>1943.5</v>
      </c>
      <c r="H889">
        <v>800</v>
      </c>
    </row>
    <row r="890" spans="2:8">
      <c r="B890" t="s">
        <v>443</v>
      </c>
      <c r="C890" t="s">
        <v>389</v>
      </c>
      <c r="D890">
        <v>1942.5</v>
      </c>
      <c r="E890">
        <v>1942.5</v>
      </c>
      <c r="F890">
        <v>1942.5</v>
      </c>
      <c r="G890">
        <v>1942.5</v>
      </c>
      <c r="H890">
        <v>800</v>
      </c>
    </row>
    <row r="891" spans="2:8">
      <c r="B891" t="s">
        <v>443</v>
      </c>
      <c r="C891" t="s">
        <v>390</v>
      </c>
      <c r="D891">
        <v>1942</v>
      </c>
      <c r="E891">
        <v>1942</v>
      </c>
      <c r="F891">
        <v>1942</v>
      </c>
      <c r="G891">
        <v>1942</v>
      </c>
      <c r="H891">
        <v>200</v>
      </c>
    </row>
    <row r="892" spans="2:8">
      <c r="B892" t="s">
        <v>443</v>
      </c>
      <c r="C892" t="s">
        <v>391</v>
      </c>
      <c r="D892">
        <v>1942</v>
      </c>
      <c r="E892">
        <v>1942.5</v>
      </c>
      <c r="F892">
        <v>1942</v>
      </c>
      <c r="G892">
        <v>1942</v>
      </c>
      <c r="H892">
        <v>1300</v>
      </c>
    </row>
    <row r="893" spans="2:8">
      <c r="B893" t="s">
        <v>443</v>
      </c>
      <c r="C893" t="s">
        <v>392</v>
      </c>
      <c r="D893">
        <v>1942</v>
      </c>
      <c r="E893">
        <v>1942</v>
      </c>
      <c r="F893">
        <v>1940.5</v>
      </c>
      <c r="G893">
        <v>1941.5</v>
      </c>
      <c r="H893">
        <v>2300</v>
      </c>
    </row>
    <row r="894" spans="2:8">
      <c r="B894" t="s">
        <v>443</v>
      </c>
      <c r="C894" t="s">
        <v>393</v>
      </c>
      <c r="D894">
        <v>1942</v>
      </c>
      <c r="E894">
        <v>1942</v>
      </c>
      <c r="F894">
        <v>1941.5</v>
      </c>
      <c r="G894">
        <v>1941.5</v>
      </c>
      <c r="H894">
        <v>1300</v>
      </c>
    </row>
    <row r="895" spans="2:8">
      <c r="B895" t="s">
        <v>443</v>
      </c>
      <c r="C895" t="s">
        <v>394</v>
      </c>
      <c r="D895">
        <v>1941.5</v>
      </c>
      <c r="E895">
        <v>1942</v>
      </c>
      <c r="F895">
        <v>1941.5</v>
      </c>
      <c r="G895">
        <v>1941.5</v>
      </c>
      <c r="H895">
        <v>1100</v>
      </c>
    </row>
    <row r="896" spans="2:8">
      <c r="B896" t="s">
        <v>443</v>
      </c>
      <c r="C896" t="s">
        <v>395</v>
      </c>
      <c r="D896">
        <v>1941.5</v>
      </c>
      <c r="E896">
        <v>1941.5</v>
      </c>
      <c r="F896">
        <v>1940.5</v>
      </c>
      <c r="G896">
        <v>1940.5</v>
      </c>
      <c r="H896">
        <v>1000</v>
      </c>
    </row>
    <row r="897" spans="2:8">
      <c r="B897" t="s">
        <v>443</v>
      </c>
      <c r="C897" t="s">
        <v>396</v>
      </c>
      <c r="D897">
        <v>1941</v>
      </c>
      <c r="E897">
        <v>1941</v>
      </c>
      <c r="F897">
        <v>1940.5</v>
      </c>
      <c r="G897">
        <v>1940.5</v>
      </c>
      <c r="H897">
        <v>800</v>
      </c>
    </row>
    <row r="898" spans="2:8">
      <c r="B898" t="s">
        <v>443</v>
      </c>
      <c r="C898" t="s">
        <v>397</v>
      </c>
      <c r="D898" t="s">
        <v>8</v>
      </c>
      <c r="E898" t="s">
        <v>8</v>
      </c>
      <c r="F898" t="s">
        <v>8</v>
      </c>
      <c r="G898" t="s">
        <v>8</v>
      </c>
      <c r="H898">
        <v>0</v>
      </c>
    </row>
    <row r="899" spans="2:8">
      <c r="B899" t="s">
        <v>443</v>
      </c>
      <c r="C899" t="s">
        <v>398</v>
      </c>
      <c r="D899">
        <v>1941</v>
      </c>
      <c r="E899">
        <v>1941</v>
      </c>
      <c r="F899">
        <v>1940.5</v>
      </c>
      <c r="G899">
        <v>1940.5</v>
      </c>
      <c r="H899">
        <v>1000</v>
      </c>
    </row>
    <row r="900" spans="2:8">
      <c r="B900" t="s">
        <v>443</v>
      </c>
      <c r="C900" t="s">
        <v>399</v>
      </c>
      <c r="D900">
        <v>1940.5</v>
      </c>
      <c r="E900">
        <v>1942.5</v>
      </c>
      <c r="F900">
        <v>1940.5</v>
      </c>
      <c r="G900">
        <v>1942</v>
      </c>
      <c r="H900">
        <v>4700</v>
      </c>
    </row>
    <row r="901" spans="2:8">
      <c r="B901" t="s">
        <v>443</v>
      </c>
      <c r="C901" t="s">
        <v>400</v>
      </c>
      <c r="D901">
        <v>1942.5</v>
      </c>
      <c r="E901">
        <v>1942.5</v>
      </c>
      <c r="F901">
        <v>1942</v>
      </c>
      <c r="G901">
        <v>1942.5</v>
      </c>
      <c r="H901">
        <v>300</v>
      </c>
    </row>
    <row r="902" spans="2:8">
      <c r="B902" t="s">
        <v>443</v>
      </c>
      <c r="C902" t="s">
        <v>401</v>
      </c>
      <c r="D902">
        <v>1941.5</v>
      </c>
      <c r="E902">
        <v>1941.5</v>
      </c>
      <c r="F902">
        <v>1941.5</v>
      </c>
      <c r="G902">
        <v>1941.5</v>
      </c>
      <c r="H902">
        <v>700</v>
      </c>
    </row>
    <row r="903" spans="2:8">
      <c r="B903" t="s">
        <v>443</v>
      </c>
      <c r="C903" t="s">
        <v>402</v>
      </c>
      <c r="D903">
        <v>1942</v>
      </c>
      <c r="E903">
        <v>1942</v>
      </c>
      <c r="F903">
        <v>1941.5</v>
      </c>
      <c r="G903">
        <v>1942</v>
      </c>
      <c r="H903">
        <v>700</v>
      </c>
    </row>
    <row r="904" spans="2:8">
      <c r="B904" t="s">
        <v>443</v>
      </c>
      <c r="C904" t="s">
        <v>403</v>
      </c>
      <c r="D904">
        <v>1941.5</v>
      </c>
      <c r="E904">
        <v>1941.5</v>
      </c>
      <c r="F904">
        <v>1941.5</v>
      </c>
      <c r="G904">
        <v>1941.5</v>
      </c>
      <c r="H904">
        <v>100</v>
      </c>
    </row>
    <row r="905" spans="2:8">
      <c r="B905" t="s">
        <v>443</v>
      </c>
      <c r="C905" t="s">
        <v>404</v>
      </c>
      <c r="D905">
        <v>1941</v>
      </c>
      <c r="E905">
        <v>1941.5</v>
      </c>
      <c r="F905">
        <v>1941</v>
      </c>
      <c r="G905">
        <v>1941</v>
      </c>
      <c r="H905">
        <v>1800</v>
      </c>
    </row>
    <row r="906" spans="2:8">
      <c r="B906" t="s">
        <v>443</v>
      </c>
      <c r="C906" t="s">
        <v>405</v>
      </c>
      <c r="D906">
        <v>1941.5</v>
      </c>
      <c r="E906">
        <v>1942</v>
      </c>
      <c r="F906">
        <v>1941</v>
      </c>
      <c r="G906">
        <v>1942</v>
      </c>
      <c r="H906">
        <v>800</v>
      </c>
    </row>
    <row r="907" spans="2:8">
      <c r="B907" t="s">
        <v>443</v>
      </c>
      <c r="C907" t="s">
        <v>406</v>
      </c>
      <c r="D907">
        <v>1941.5</v>
      </c>
      <c r="E907">
        <v>1941.5</v>
      </c>
      <c r="F907">
        <v>1941</v>
      </c>
      <c r="G907">
        <v>1941</v>
      </c>
      <c r="H907">
        <v>300</v>
      </c>
    </row>
    <row r="908" spans="2:8">
      <c r="B908" t="s">
        <v>443</v>
      </c>
      <c r="C908" t="s">
        <v>407</v>
      </c>
      <c r="D908">
        <v>1942</v>
      </c>
      <c r="E908">
        <v>1942.5</v>
      </c>
      <c r="F908">
        <v>1941.5</v>
      </c>
      <c r="G908">
        <v>1942.5</v>
      </c>
      <c r="H908">
        <v>2900</v>
      </c>
    </row>
    <row r="909" spans="2:8">
      <c r="B909" t="s">
        <v>443</v>
      </c>
      <c r="C909" t="s">
        <v>408</v>
      </c>
      <c r="D909">
        <v>1942</v>
      </c>
      <c r="E909">
        <v>1942</v>
      </c>
      <c r="F909">
        <v>1942</v>
      </c>
      <c r="G909">
        <v>1942</v>
      </c>
      <c r="H909">
        <v>1800</v>
      </c>
    </row>
    <row r="910" spans="2:8">
      <c r="B910" t="s">
        <v>443</v>
      </c>
      <c r="C910" t="s">
        <v>409</v>
      </c>
      <c r="D910">
        <v>1942</v>
      </c>
      <c r="E910">
        <v>1942.5</v>
      </c>
      <c r="F910">
        <v>1942</v>
      </c>
      <c r="G910">
        <v>1942.5</v>
      </c>
      <c r="H910">
        <v>300</v>
      </c>
    </row>
    <row r="911" spans="2:8">
      <c r="B911" t="s">
        <v>443</v>
      </c>
      <c r="C911" t="s">
        <v>410</v>
      </c>
      <c r="D911">
        <v>1942.5</v>
      </c>
      <c r="E911">
        <v>1942.5</v>
      </c>
      <c r="F911">
        <v>1942.5</v>
      </c>
      <c r="G911">
        <v>1942.5</v>
      </c>
      <c r="H911">
        <v>400</v>
      </c>
    </row>
    <row r="912" spans="2:8">
      <c r="B912" t="s">
        <v>443</v>
      </c>
      <c r="C912" t="s">
        <v>411</v>
      </c>
      <c r="D912">
        <v>1943</v>
      </c>
      <c r="E912">
        <v>1944</v>
      </c>
      <c r="F912">
        <v>1943</v>
      </c>
      <c r="G912">
        <v>1944</v>
      </c>
      <c r="H912">
        <v>3500</v>
      </c>
    </row>
    <row r="913" spans="2:8">
      <c r="B913" t="s">
        <v>443</v>
      </c>
      <c r="C913" t="s">
        <v>412</v>
      </c>
      <c r="D913">
        <v>1943.5</v>
      </c>
      <c r="E913">
        <v>1944</v>
      </c>
      <c r="F913">
        <v>1943.5</v>
      </c>
      <c r="G913">
        <v>1944</v>
      </c>
      <c r="H913">
        <v>1200</v>
      </c>
    </row>
    <row r="914" spans="2:8">
      <c r="B914" t="s">
        <v>443</v>
      </c>
      <c r="C914" t="s">
        <v>413</v>
      </c>
      <c r="D914">
        <v>1944</v>
      </c>
      <c r="E914">
        <v>1947</v>
      </c>
      <c r="F914">
        <v>1944</v>
      </c>
      <c r="G914">
        <v>1946.5</v>
      </c>
      <c r="H914">
        <v>1400</v>
      </c>
    </row>
    <row r="915" spans="2:8">
      <c r="B915" t="s">
        <v>443</v>
      </c>
      <c r="C915" t="s">
        <v>414</v>
      </c>
      <c r="D915">
        <v>1946</v>
      </c>
      <c r="E915">
        <v>1946</v>
      </c>
      <c r="F915">
        <v>1943.5</v>
      </c>
      <c r="G915">
        <v>1943.5</v>
      </c>
      <c r="H915">
        <v>2000</v>
      </c>
    </row>
    <row r="916" spans="2:8">
      <c r="B916" t="s">
        <v>443</v>
      </c>
      <c r="C916" t="s">
        <v>415</v>
      </c>
      <c r="D916">
        <v>1945</v>
      </c>
      <c r="E916">
        <v>1945</v>
      </c>
      <c r="F916">
        <v>1944</v>
      </c>
      <c r="G916">
        <v>1944</v>
      </c>
      <c r="H916">
        <v>200</v>
      </c>
    </row>
    <row r="917" spans="2:8">
      <c r="B917" t="s">
        <v>443</v>
      </c>
      <c r="C917" t="s">
        <v>416</v>
      </c>
      <c r="D917">
        <v>1944</v>
      </c>
      <c r="E917">
        <v>1944</v>
      </c>
      <c r="F917">
        <v>1943</v>
      </c>
      <c r="G917">
        <v>1943</v>
      </c>
      <c r="H917">
        <v>800</v>
      </c>
    </row>
    <row r="918" spans="2:8">
      <c r="B918" t="s">
        <v>443</v>
      </c>
      <c r="C918" t="s">
        <v>417</v>
      </c>
      <c r="D918">
        <v>1943.5</v>
      </c>
      <c r="E918">
        <v>1943.5</v>
      </c>
      <c r="F918">
        <v>1943</v>
      </c>
      <c r="G918">
        <v>1943</v>
      </c>
      <c r="H918">
        <v>300</v>
      </c>
    </row>
    <row r="919" spans="2:8">
      <c r="B919" t="s">
        <v>443</v>
      </c>
      <c r="C919" t="s">
        <v>418</v>
      </c>
      <c r="D919">
        <v>1943.5</v>
      </c>
      <c r="E919">
        <v>1944</v>
      </c>
      <c r="F919">
        <v>1943.5</v>
      </c>
      <c r="G919">
        <v>1943.5</v>
      </c>
      <c r="H919">
        <v>500</v>
      </c>
    </row>
    <row r="920" spans="2:8">
      <c r="B920" t="s">
        <v>443</v>
      </c>
      <c r="C920" t="s">
        <v>419</v>
      </c>
      <c r="D920">
        <v>1943</v>
      </c>
      <c r="E920">
        <v>1943.5</v>
      </c>
      <c r="F920">
        <v>1941</v>
      </c>
      <c r="G920">
        <v>1943.5</v>
      </c>
      <c r="H920">
        <v>4900</v>
      </c>
    </row>
    <row r="921" spans="2:8">
      <c r="B921" t="s">
        <v>443</v>
      </c>
      <c r="C921" t="s">
        <v>420</v>
      </c>
      <c r="D921">
        <v>1943</v>
      </c>
      <c r="E921">
        <v>1943</v>
      </c>
      <c r="F921">
        <v>1943</v>
      </c>
      <c r="G921">
        <v>1943</v>
      </c>
      <c r="H921">
        <v>800</v>
      </c>
    </row>
    <row r="922" spans="2:8">
      <c r="B922" t="s">
        <v>443</v>
      </c>
      <c r="C922" t="s">
        <v>421</v>
      </c>
      <c r="D922">
        <v>1943</v>
      </c>
      <c r="E922">
        <v>1943</v>
      </c>
      <c r="F922">
        <v>1942.5</v>
      </c>
      <c r="G922">
        <v>1942.5</v>
      </c>
      <c r="H922">
        <v>1200</v>
      </c>
    </row>
    <row r="923" spans="2:8">
      <c r="B923" t="s">
        <v>443</v>
      </c>
      <c r="C923" t="s">
        <v>422</v>
      </c>
      <c r="D923">
        <v>1943</v>
      </c>
      <c r="E923">
        <v>1943</v>
      </c>
      <c r="F923">
        <v>1942</v>
      </c>
      <c r="G923">
        <v>1942</v>
      </c>
      <c r="H923">
        <v>800</v>
      </c>
    </row>
    <row r="924" spans="2:8">
      <c r="B924" t="s">
        <v>443</v>
      </c>
      <c r="C924" t="s">
        <v>423</v>
      </c>
      <c r="D924">
        <v>1942</v>
      </c>
      <c r="E924">
        <v>1942</v>
      </c>
      <c r="F924">
        <v>1941</v>
      </c>
      <c r="G924">
        <v>1941</v>
      </c>
      <c r="H924">
        <v>900</v>
      </c>
    </row>
    <row r="925" spans="2:8">
      <c r="B925" t="s">
        <v>443</v>
      </c>
      <c r="C925" t="s">
        <v>424</v>
      </c>
      <c r="D925">
        <v>1941</v>
      </c>
      <c r="E925">
        <v>1942</v>
      </c>
      <c r="F925">
        <v>1941</v>
      </c>
      <c r="G925">
        <v>1942</v>
      </c>
      <c r="H925">
        <v>700</v>
      </c>
    </row>
    <row r="926" spans="2:8">
      <c r="B926" t="s">
        <v>443</v>
      </c>
      <c r="C926" t="s">
        <v>425</v>
      </c>
      <c r="D926">
        <v>1942</v>
      </c>
      <c r="E926">
        <v>1942</v>
      </c>
      <c r="F926">
        <v>1942</v>
      </c>
      <c r="G926">
        <v>1942</v>
      </c>
      <c r="H926">
        <v>1100</v>
      </c>
    </row>
    <row r="927" spans="2:8">
      <c r="B927" t="s">
        <v>443</v>
      </c>
      <c r="C927" t="s">
        <v>426</v>
      </c>
      <c r="D927">
        <v>1942.5</v>
      </c>
      <c r="E927">
        <v>1944.5</v>
      </c>
      <c r="F927">
        <v>1942.5</v>
      </c>
      <c r="G927">
        <v>1943.5</v>
      </c>
      <c r="H927">
        <v>3000</v>
      </c>
    </row>
    <row r="928" spans="2:8">
      <c r="B928" t="s">
        <v>443</v>
      </c>
      <c r="C928" t="s">
        <v>427</v>
      </c>
      <c r="D928">
        <v>1943</v>
      </c>
      <c r="E928">
        <v>1944</v>
      </c>
      <c r="F928">
        <v>1942.5</v>
      </c>
      <c r="G928">
        <v>1944</v>
      </c>
      <c r="H928">
        <v>2300</v>
      </c>
    </row>
    <row r="929" spans="2:8">
      <c r="B929" t="s">
        <v>443</v>
      </c>
      <c r="C929" t="s">
        <v>428</v>
      </c>
      <c r="D929">
        <v>1945</v>
      </c>
      <c r="E929">
        <v>1945</v>
      </c>
      <c r="F929">
        <v>1944</v>
      </c>
      <c r="G929">
        <v>1944</v>
      </c>
      <c r="H929">
        <v>500</v>
      </c>
    </row>
    <row r="930" spans="2:8">
      <c r="B930" t="s">
        <v>443</v>
      </c>
      <c r="C930" t="s">
        <v>429</v>
      </c>
      <c r="D930">
        <v>1944</v>
      </c>
      <c r="E930">
        <v>1944.5</v>
      </c>
      <c r="F930">
        <v>1944</v>
      </c>
      <c r="G930">
        <v>1944.5</v>
      </c>
      <c r="H930">
        <v>400</v>
      </c>
    </row>
    <row r="931" spans="2:8">
      <c r="B931" t="s">
        <v>443</v>
      </c>
      <c r="C931" t="s">
        <v>430</v>
      </c>
      <c r="D931">
        <v>1945</v>
      </c>
      <c r="E931">
        <v>1945.5</v>
      </c>
      <c r="F931">
        <v>1945</v>
      </c>
      <c r="G931">
        <v>1945</v>
      </c>
      <c r="H931">
        <v>400</v>
      </c>
    </row>
    <row r="932" spans="2:8">
      <c r="B932" t="s">
        <v>443</v>
      </c>
      <c r="C932" t="s">
        <v>431</v>
      </c>
      <c r="D932">
        <v>1944.5</v>
      </c>
      <c r="E932">
        <v>1945</v>
      </c>
      <c r="F932">
        <v>1944.5</v>
      </c>
      <c r="G932">
        <v>1944.5</v>
      </c>
      <c r="H932">
        <v>700</v>
      </c>
    </row>
    <row r="933" spans="2:8">
      <c r="B933" t="s">
        <v>443</v>
      </c>
      <c r="C933" t="s">
        <v>9</v>
      </c>
      <c r="D933">
        <v>1944.5</v>
      </c>
      <c r="E933">
        <v>1944.5</v>
      </c>
      <c r="F933">
        <v>1944</v>
      </c>
      <c r="G933">
        <v>1944</v>
      </c>
      <c r="H933">
        <v>1100</v>
      </c>
    </row>
    <row r="934" spans="2:8">
      <c r="B934" t="s">
        <v>443</v>
      </c>
      <c r="C934" t="s">
        <v>10</v>
      </c>
      <c r="D934">
        <v>1944</v>
      </c>
      <c r="E934">
        <v>1944</v>
      </c>
      <c r="F934">
        <v>1943.5</v>
      </c>
      <c r="G934">
        <v>1943.5</v>
      </c>
      <c r="H934">
        <v>1000</v>
      </c>
    </row>
    <row r="935" spans="2:8">
      <c r="B935" t="s">
        <v>443</v>
      </c>
      <c r="C935" t="s">
        <v>11</v>
      </c>
      <c r="D935">
        <v>1943</v>
      </c>
      <c r="E935">
        <v>1943</v>
      </c>
      <c r="F935">
        <v>1943</v>
      </c>
      <c r="G935">
        <v>1943</v>
      </c>
      <c r="H935">
        <v>300</v>
      </c>
    </row>
    <row r="936" spans="2:8">
      <c r="B936" t="s">
        <v>443</v>
      </c>
      <c r="C936" t="s">
        <v>12</v>
      </c>
      <c r="D936">
        <v>1942</v>
      </c>
      <c r="E936">
        <v>1942.5</v>
      </c>
      <c r="F936">
        <v>1942</v>
      </c>
      <c r="G936">
        <v>1942</v>
      </c>
      <c r="H936">
        <v>600</v>
      </c>
    </row>
    <row r="937" spans="2:8">
      <c r="B937" t="s">
        <v>443</v>
      </c>
      <c r="C937" t="s">
        <v>13</v>
      </c>
      <c r="D937">
        <v>1941.5</v>
      </c>
      <c r="E937">
        <v>1941.5</v>
      </c>
      <c r="F937">
        <v>1941.5</v>
      </c>
      <c r="G937">
        <v>1941.5</v>
      </c>
      <c r="H937">
        <v>300</v>
      </c>
    </row>
    <row r="938" spans="2:8">
      <c r="B938" t="s">
        <v>443</v>
      </c>
      <c r="C938" t="s">
        <v>14</v>
      </c>
      <c r="D938">
        <v>1942</v>
      </c>
      <c r="E938">
        <v>1942.5</v>
      </c>
      <c r="F938">
        <v>1942</v>
      </c>
      <c r="G938">
        <v>1942</v>
      </c>
      <c r="H938">
        <v>800</v>
      </c>
    </row>
    <row r="939" spans="2:8">
      <c r="B939" t="s">
        <v>443</v>
      </c>
      <c r="C939" t="s">
        <v>15</v>
      </c>
      <c r="D939">
        <v>1941.5</v>
      </c>
      <c r="E939">
        <v>1942</v>
      </c>
      <c r="F939">
        <v>1941.5</v>
      </c>
      <c r="G939">
        <v>1942</v>
      </c>
      <c r="H939">
        <v>2800</v>
      </c>
    </row>
    <row r="940" spans="2:8">
      <c r="B940" t="s">
        <v>443</v>
      </c>
      <c r="C940" t="s">
        <v>16</v>
      </c>
      <c r="D940">
        <v>1942.5</v>
      </c>
      <c r="E940">
        <v>1943.5</v>
      </c>
      <c r="F940">
        <v>1942.5</v>
      </c>
      <c r="G940">
        <v>1943.5</v>
      </c>
      <c r="H940">
        <v>2600</v>
      </c>
    </row>
    <row r="941" spans="2:8">
      <c r="B941" t="s">
        <v>443</v>
      </c>
      <c r="C941" t="s">
        <v>17</v>
      </c>
      <c r="D941">
        <v>1943.5</v>
      </c>
      <c r="E941">
        <v>1943.5</v>
      </c>
      <c r="F941">
        <v>1942.5</v>
      </c>
      <c r="G941">
        <v>1943.5</v>
      </c>
      <c r="H941">
        <v>4200</v>
      </c>
    </row>
    <row r="942" spans="2:8">
      <c r="B942" t="s">
        <v>443</v>
      </c>
      <c r="C942" t="s">
        <v>18</v>
      </c>
      <c r="D942">
        <v>1943.5</v>
      </c>
      <c r="E942">
        <v>1943.5</v>
      </c>
      <c r="F942">
        <v>1943.5</v>
      </c>
      <c r="G942">
        <v>1943.5</v>
      </c>
      <c r="H942">
        <v>100</v>
      </c>
    </row>
    <row r="943" spans="2:8">
      <c r="B943" t="s">
        <v>443</v>
      </c>
      <c r="C943" t="s">
        <v>19</v>
      </c>
      <c r="D943">
        <v>1943</v>
      </c>
      <c r="E943">
        <v>1943</v>
      </c>
      <c r="F943">
        <v>1943</v>
      </c>
      <c r="G943">
        <v>1943</v>
      </c>
      <c r="H943">
        <v>900</v>
      </c>
    </row>
    <row r="944" spans="2:8">
      <c r="B944" t="s">
        <v>443</v>
      </c>
      <c r="C944" t="s">
        <v>20</v>
      </c>
      <c r="D944">
        <v>1942.5</v>
      </c>
      <c r="E944">
        <v>1942.5</v>
      </c>
      <c r="F944">
        <v>1942.5</v>
      </c>
      <c r="G944">
        <v>1942.5</v>
      </c>
      <c r="H944">
        <v>100</v>
      </c>
    </row>
    <row r="945" spans="2:8">
      <c r="B945" t="s">
        <v>443</v>
      </c>
      <c r="C945" t="s">
        <v>21</v>
      </c>
      <c r="D945">
        <v>1943.5</v>
      </c>
      <c r="E945">
        <v>1947</v>
      </c>
      <c r="F945">
        <v>1943.5</v>
      </c>
      <c r="G945">
        <v>1946.5</v>
      </c>
      <c r="H945">
        <v>5600</v>
      </c>
    </row>
    <row r="946" spans="2:8">
      <c r="B946" t="s">
        <v>443</v>
      </c>
      <c r="C946" t="s">
        <v>22</v>
      </c>
      <c r="D946">
        <v>1946</v>
      </c>
      <c r="E946">
        <v>1947</v>
      </c>
      <c r="F946">
        <v>1946</v>
      </c>
      <c r="G946">
        <v>1947</v>
      </c>
      <c r="H946">
        <v>400</v>
      </c>
    </row>
    <row r="947" spans="2:8">
      <c r="B947" t="s">
        <v>443</v>
      </c>
      <c r="C947" t="s">
        <v>23</v>
      </c>
      <c r="D947">
        <v>1947</v>
      </c>
      <c r="E947">
        <v>1947</v>
      </c>
      <c r="F947">
        <v>1946</v>
      </c>
      <c r="G947">
        <v>1946</v>
      </c>
      <c r="H947">
        <v>2200</v>
      </c>
    </row>
    <row r="948" spans="2:8">
      <c r="B948" t="s">
        <v>443</v>
      </c>
      <c r="C948" t="s">
        <v>24</v>
      </c>
      <c r="D948">
        <v>1945.5</v>
      </c>
      <c r="E948">
        <v>1946.5</v>
      </c>
      <c r="F948">
        <v>1945.5</v>
      </c>
      <c r="G948">
        <v>1945.5</v>
      </c>
      <c r="H948">
        <v>1400</v>
      </c>
    </row>
    <row r="949" spans="2:8">
      <c r="B949" t="s">
        <v>443</v>
      </c>
      <c r="C949" t="s">
        <v>25</v>
      </c>
      <c r="D949">
        <v>1946</v>
      </c>
      <c r="E949">
        <v>1946</v>
      </c>
      <c r="F949">
        <v>1944.5</v>
      </c>
      <c r="G949">
        <v>1944.5</v>
      </c>
      <c r="H949">
        <v>700</v>
      </c>
    </row>
    <row r="950" spans="2:8">
      <c r="B950" t="s">
        <v>443</v>
      </c>
      <c r="C950" t="s">
        <v>26</v>
      </c>
      <c r="D950">
        <v>1944.5</v>
      </c>
      <c r="E950">
        <v>1945</v>
      </c>
      <c r="F950">
        <v>1944.5</v>
      </c>
      <c r="G950">
        <v>1945</v>
      </c>
      <c r="H950">
        <v>600</v>
      </c>
    </row>
    <row r="951" spans="2:8">
      <c r="B951" t="s">
        <v>443</v>
      </c>
      <c r="C951" t="s">
        <v>27</v>
      </c>
      <c r="D951">
        <v>1944.5</v>
      </c>
      <c r="E951">
        <v>1944.5</v>
      </c>
      <c r="F951">
        <v>1944.5</v>
      </c>
      <c r="G951">
        <v>1944.5</v>
      </c>
      <c r="H951">
        <v>200</v>
      </c>
    </row>
    <row r="952" spans="2:8">
      <c r="B952" t="s">
        <v>443</v>
      </c>
      <c r="C952" t="s">
        <v>28</v>
      </c>
      <c r="D952">
        <v>1945</v>
      </c>
      <c r="E952">
        <v>1945</v>
      </c>
      <c r="F952">
        <v>1944.5</v>
      </c>
      <c r="G952">
        <v>1944.5</v>
      </c>
      <c r="H952">
        <v>1100</v>
      </c>
    </row>
    <row r="953" spans="2:8">
      <c r="B953" t="s">
        <v>443</v>
      </c>
      <c r="C953" t="s">
        <v>29</v>
      </c>
      <c r="D953">
        <v>1944.5</v>
      </c>
      <c r="E953">
        <v>1944.5</v>
      </c>
      <c r="F953">
        <v>1943</v>
      </c>
      <c r="G953">
        <v>1943</v>
      </c>
      <c r="H953">
        <v>1100</v>
      </c>
    </row>
    <row r="954" spans="2:8">
      <c r="B954" t="s">
        <v>443</v>
      </c>
      <c r="C954" t="s">
        <v>30</v>
      </c>
      <c r="D954">
        <v>1943.5</v>
      </c>
      <c r="E954">
        <v>1943.5</v>
      </c>
      <c r="F954">
        <v>1943</v>
      </c>
      <c r="G954">
        <v>1943</v>
      </c>
      <c r="H954">
        <v>800</v>
      </c>
    </row>
    <row r="955" spans="2:8">
      <c r="B955" t="s">
        <v>443</v>
      </c>
      <c r="C955" t="s">
        <v>31</v>
      </c>
      <c r="D955">
        <v>1943.5</v>
      </c>
      <c r="E955">
        <v>1943.5</v>
      </c>
      <c r="F955">
        <v>1943</v>
      </c>
      <c r="G955">
        <v>1943</v>
      </c>
      <c r="H955">
        <v>600</v>
      </c>
    </row>
    <row r="956" spans="2:8">
      <c r="B956" t="s">
        <v>443</v>
      </c>
      <c r="C956" t="s">
        <v>32</v>
      </c>
      <c r="D956">
        <v>1943</v>
      </c>
      <c r="E956">
        <v>1943.5</v>
      </c>
      <c r="F956">
        <v>1943</v>
      </c>
      <c r="G956">
        <v>1943</v>
      </c>
      <c r="H956">
        <v>1000</v>
      </c>
    </row>
    <row r="957" spans="2:8">
      <c r="B957" t="s">
        <v>443</v>
      </c>
      <c r="C957" t="s">
        <v>33</v>
      </c>
      <c r="D957">
        <v>1943.5</v>
      </c>
      <c r="E957">
        <v>1943.5</v>
      </c>
      <c r="F957">
        <v>1943.5</v>
      </c>
      <c r="G957">
        <v>1943.5</v>
      </c>
      <c r="H957">
        <v>700</v>
      </c>
    </row>
    <row r="958" spans="2:8">
      <c r="B958" t="s">
        <v>443</v>
      </c>
      <c r="C958" t="s">
        <v>34</v>
      </c>
      <c r="D958" t="s">
        <v>8</v>
      </c>
      <c r="E958" t="s">
        <v>8</v>
      </c>
      <c r="F958" t="s">
        <v>8</v>
      </c>
      <c r="G958" t="s">
        <v>8</v>
      </c>
      <c r="H958">
        <v>0</v>
      </c>
    </row>
    <row r="959" spans="2:8">
      <c r="B959" t="s">
        <v>443</v>
      </c>
      <c r="C959" t="s">
        <v>35</v>
      </c>
      <c r="D959">
        <v>1943</v>
      </c>
      <c r="E959">
        <v>1943</v>
      </c>
      <c r="F959">
        <v>1942</v>
      </c>
      <c r="G959">
        <v>1942.5</v>
      </c>
      <c r="H959">
        <v>1600</v>
      </c>
    </row>
    <row r="960" spans="2:8">
      <c r="B960" t="s">
        <v>443</v>
      </c>
      <c r="C960" t="s">
        <v>36</v>
      </c>
      <c r="D960">
        <v>1942.5</v>
      </c>
      <c r="E960">
        <v>1942.5</v>
      </c>
      <c r="F960">
        <v>1942.5</v>
      </c>
      <c r="G960">
        <v>1942.5</v>
      </c>
      <c r="H960">
        <v>700</v>
      </c>
    </row>
    <row r="961" spans="2:8">
      <c r="B961" t="s">
        <v>443</v>
      </c>
      <c r="C961" t="s">
        <v>37</v>
      </c>
      <c r="D961">
        <v>1942.5</v>
      </c>
      <c r="E961">
        <v>1943.5</v>
      </c>
      <c r="F961">
        <v>1942</v>
      </c>
      <c r="G961">
        <v>1943.5</v>
      </c>
      <c r="H961">
        <v>3600</v>
      </c>
    </row>
    <row r="962" spans="2:8">
      <c r="B962" t="s">
        <v>443</v>
      </c>
      <c r="C962" t="s">
        <v>38</v>
      </c>
      <c r="D962">
        <v>1943.5</v>
      </c>
      <c r="E962">
        <v>1944</v>
      </c>
      <c r="F962">
        <v>1943.5</v>
      </c>
      <c r="G962">
        <v>1944</v>
      </c>
      <c r="H962">
        <v>700</v>
      </c>
    </row>
    <row r="963" spans="2:8">
      <c r="B963" t="s">
        <v>443</v>
      </c>
      <c r="C963" t="s">
        <v>39</v>
      </c>
      <c r="D963">
        <v>1944</v>
      </c>
      <c r="E963">
        <v>1944</v>
      </c>
      <c r="F963">
        <v>1944</v>
      </c>
      <c r="G963">
        <v>1944</v>
      </c>
      <c r="H963">
        <v>300</v>
      </c>
    </row>
    <row r="964" spans="2:8">
      <c r="B964" t="s">
        <v>443</v>
      </c>
      <c r="C964" t="s">
        <v>40</v>
      </c>
      <c r="D964">
        <v>1944</v>
      </c>
      <c r="E964">
        <v>1944.5</v>
      </c>
      <c r="F964">
        <v>1943.5</v>
      </c>
      <c r="G964">
        <v>1943.5</v>
      </c>
      <c r="H964">
        <v>3100</v>
      </c>
    </row>
    <row r="965" spans="2:8">
      <c r="B965" t="s">
        <v>443</v>
      </c>
      <c r="C965" t="s">
        <v>41</v>
      </c>
      <c r="D965">
        <v>1943.5</v>
      </c>
      <c r="E965">
        <v>1943.5</v>
      </c>
      <c r="F965">
        <v>1943</v>
      </c>
      <c r="G965">
        <v>1943</v>
      </c>
      <c r="H965">
        <v>1000</v>
      </c>
    </row>
    <row r="966" spans="2:8">
      <c r="B966" t="s">
        <v>443</v>
      </c>
      <c r="C966" t="s">
        <v>42</v>
      </c>
      <c r="D966">
        <v>1943</v>
      </c>
      <c r="E966">
        <v>1943</v>
      </c>
      <c r="F966">
        <v>1941.5</v>
      </c>
      <c r="G966">
        <v>1942</v>
      </c>
      <c r="H966">
        <v>1400</v>
      </c>
    </row>
    <row r="967" spans="2:8">
      <c r="B967" t="s">
        <v>443</v>
      </c>
      <c r="C967" t="s">
        <v>43</v>
      </c>
      <c r="D967">
        <v>1942</v>
      </c>
      <c r="E967">
        <v>1942</v>
      </c>
      <c r="F967">
        <v>1941</v>
      </c>
      <c r="G967">
        <v>1941</v>
      </c>
      <c r="H967">
        <v>1900</v>
      </c>
    </row>
    <row r="968" spans="2:8">
      <c r="B968" t="s">
        <v>443</v>
      </c>
      <c r="C968" t="s">
        <v>44</v>
      </c>
      <c r="D968">
        <v>1940.5</v>
      </c>
      <c r="E968">
        <v>1941</v>
      </c>
      <c r="F968">
        <v>1936</v>
      </c>
      <c r="G968">
        <v>1938</v>
      </c>
      <c r="H968">
        <v>12100</v>
      </c>
    </row>
    <row r="969" spans="2:8">
      <c r="B969" t="s">
        <v>443</v>
      </c>
      <c r="C969" t="s">
        <v>45</v>
      </c>
      <c r="D969">
        <v>1938</v>
      </c>
      <c r="E969">
        <v>1938.5</v>
      </c>
      <c r="F969">
        <v>1938</v>
      </c>
      <c r="G969">
        <v>1938</v>
      </c>
      <c r="H969">
        <v>2000</v>
      </c>
    </row>
    <row r="970" spans="2:8">
      <c r="B970" t="s">
        <v>443</v>
      </c>
      <c r="C970" t="s">
        <v>46</v>
      </c>
      <c r="D970">
        <v>1938</v>
      </c>
      <c r="E970">
        <v>1940</v>
      </c>
      <c r="F970">
        <v>1938</v>
      </c>
      <c r="G970">
        <v>1940</v>
      </c>
      <c r="H970">
        <v>3000</v>
      </c>
    </row>
    <row r="971" spans="2:8">
      <c r="B971" t="s">
        <v>443</v>
      </c>
      <c r="C971" t="s">
        <v>47</v>
      </c>
      <c r="D971">
        <v>1939.5</v>
      </c>
      <c r="E971">
        <v>1939.5</v>
      </c>
      <c r="F971">
        <v>1938</v>
      </c>
      <c r="G971">
        <v>1939.5</v>
      </c>
      <c r="H971">
        <v>1400</v>
      </c>
    </row>
    <row r="972" spans="2:8">
      <c r="B972" t="s">
        <v>443</v>
      </c>
      <c r="C972" t="s">
        <v>48</v>
      </c>
      <c r="D972">
        <v>1939.5</v>
      </c>
      <c r="E972">
        <v>1940.5</v>
      </c>
      <c r="F972">
        <v>1938.5</v>
      </c>
      <c r="G972">
        <v>1938.5</v>
      </c>
      <c r="H972">
        <v>3300</v>
      </c>
    </row>
    <row r="973" spans="2:8">
      <c r="B973" t="s">
        <v>443</v>
      </c>
      <c r="C973" t="s">
        <v>49</v>
      </c>
      <c r="D973">
        <v>1939</v>
      </c>
      <c r="E973">
        <v>1939</v>
      </c>
      <c r="F973">
        <v>1938.5</v>
      </c>
      <c r="G973">
        <v>1938.5</v>
      </c>
      <c r="H973">
        <v>300</v>
      </c>
    </row>
    <row r="974" spans="2:8">
      <c r="B974" t="s">
        <v>443</v>
      </c>
      <c r="C974" t="s">
        <v>50</v>
      </c>
      <c r="D974">
        <v>1939</v>
      </c>
      <c r="E974">
        <v>1939</v>
      </c>
      <c r="F974">
        <v>1937.5</v>
      </c>
      <c r="G974">
        <v>1938</v>
      </c>
      <c r="H974">
        <v>3400</v>
      </c>
    </row>
    <row r="975" spans="2:8">
      <c r="B975" t="s">
        <v>443</v>
      </c>
      <c r="C975" t="s">
        <v>51</v>
      </c>
      <c r="D975">
        <v>1938.5</v>
      </c>
      <c r="E975">
        <v>1939.5</v>
      </c>
      <c r="F975">
        <v>1937.5</v>
      </c>
      <c r="G975">
        <v>1939</v>
      </c>
      <c r="H975">
        <v>2800</v>
      </c>
    </row>
    <row r="976" spans="2:8">
      <c r="B976" t="s">
        <v>443</v>
      </c>
      <c r="C976" t="s">
        <v>52</v>
      </c>
      <c r="D976">
        <v>1939.5</v>
      </c>
      <c r="E976">
        <v>1940</v>
      </c>
      <c r="F976">
        <v>1938.5</v>
      </c>
      <c r="G976">
        <v>1938.5</v>
      </c>
      <c r="H976">
        <v>2000</v>
      </c>
    </row>
    <row r="977" spans="2:8">
      <c r="B977" t="s">
        <v>443</v>
      </c>
      <c r="C977" t="s">
        <v>53</v>
      </c>
      <c r="D977">
        <v>1938.5</v>
      </c>
      <c r="E977">
        <v>1938.5</v>
      </c>
      <c r="F977">
        <v>1936</v>
      </c>
      <c r="G977">
        <v>1936</v>
      </c>
      <c r="H977">
        <v>6400</v>
      </c>
    </row>
    <row r="978" spans="2:8">
      <c r="B978" t="s">
        <v>443</v>
      </c>
      <c r="C978" t="s">
        <v>54</v>
      </c>
      <c r="D978">
        <v>1936.5</v>
      </c>
      <c r="E978">
        <v>1938.5</v>
      </c>
      <c r="F978">
        <v>1936</v>
      </c>
      <c r="G978">
        <v>1936</v>
      </c>
      <c r="H978">
        <v>6500</v>
      </c>
    </row>
    <row r="979" spans="2:8">
      <c r="B979" t="s">
        <v>443</v>
      </c>
      <c r="C979" t="s">
        <v>55</v>
      </c>
      <c r="D979">
        <v>1936.5</v>
      </c>
      <c r="E979">
        <v>1936.5</v>
      </c>
      <c r="F979">
        <v>1935</v>
      </c>
      <c r="G979">
        <v>1935.5</v>
      </c>
      <c r="H979">
        <v>3700</v>
      </c>
    </row>
    <row r="980" spans="2:8">
      <c r="B980" t="s">
        <v>443</v>
      </c>
      <c r="C980" t="s">
        <v>56</v>
      </c>
      <c r="D980">
        <v>1935.5</v>
      </c>
      <c r="E980">
        <v>1937</v>
      </c>
      <c r="F980">
        <v>1935.5</v>
      </c>
      <c r="G980">
        <v>1936</v>
      </c>
      <c r="H980">
        <v>2700</v>
      </c>
    </row>
    <row r="981" spans="2:8">
      <c r="B981" t="s">
        <v>443</v>
      </c>
      <c r="C981" t="s">
        <v>57</v>
      </c>
      <c r="D981">
        <v>1936.5</v>
      </c>
      <c r="E981">
        <v>1936.5</v>
      </c>
      <c r="F981">
        <v>1936.5</v>
      </c>
      <c r="G981">
        <v>1936.5</v>
      </c>
      <c r="H981">
        <v>1400</v>
      </c>
    </row>
    <row r="982" spans="2:8">
      <c r="B982" t="s">
        <v>443</v>
      </c>
      <c r="C982" t="s">
        <v>58</v>
      </c>
      <c r="D982">
        <v>1936</v>
      </c>
      <c r="E982">
        <v>1936.5</v>
      </c>
      <c r="F982">
        <v>1936</v>
      </c>
      <c r="G982">
        <v>1936.5</v>
      </c>
      <c r="H982">
        <v>3600</v>
      </c>
    </row>
    <row r="983" spans="2:8">
      <c r="B983" t="s">
        <v>443</v>
      </c>
      <c r="C983" t="s">
        <v>59</v>
      </c>
      <c r="D983">
        <v>1936.5</v>
      </c>
      <c r="E983">
        <v>1936.5</v>
      </c>
      <c r="F983">
        <v>1935.5</v>
      </c>
      <c r="G983">
        <v>1936.5</v>
      </c>
      <c r="H983">
        <v>2900</v>
      </c>
    </row>
    <row r="984" spans="2:8">
      <c r="B984" t="s">
        <v>443</v>
      </c>
      <c r="C984" t="s">
        <v>60</v>
      </c>
      <c r="D984">
        <v>1936.5</v>
      </c>
      <c r="E984">
        <v>1937.5</v>
      </c>
      <c r="F984">
        <v>1936.5</v>
      </c>
      <c r="G984">
        <v>1937</v>
      </c>
      <c r="H984">
        <v>3200</v>
      </c>
    </row>
    <row r="985" spans="2:8">
      <c r="B985" t="s">
        <v>443</v>
      </c>
      <c r="C985" t="s">
        <v>61</v>
      </c>
      <c r="D985">
        <v>1937.5</v>
      </c>
      <c r="E985">
        <v>1938</v>
      </c>
      <c r="F985">
        <v>1937.5</v>
      </c>
      <c r="G985">
        <v>1938</v>
      </c>
      <c r="H985">
        <v>300</v>
      </c>
    </row>
    <row r="986" spans="2:8">
      <c r="B986" t="s">
        <v>443</v>
      </c>
      <c r="C986" t="s">
        <v>62</v>
      </c>
      <c r="D986">
        <v>1937.5</v>
      </c>
      <c r="E986">
        <v>1937.5</v>
      </c>
      <c r="F986">
        <v>1937.5</v>
      </c>
      <c r="G986">
        <v>1937.5</v>
      </c>
      <c r="H986">
        <v>1800</v>
      </c>
    </row>
    <row r="987" spans="2:8">
      <c r="B987" t="s">
        <v>443</v>
      </c>
      <c r="C987" t="s">
        <v>63</v>
      </c>
      <c r="D987">
        <v>1938.5</v>
      </c>
      <c r="E987">
        <v>1939</v>
      </c>
      <c r="F987">
        <v>1938</v>
      </c>
      <c r="G987">
        <v>1939</v>
      </c>
      <c r="H987">
        <v>1100</v>
      </c>
    </row>
    <row r="988" spans="2:8">
      <c r="B988" t="s">
        <v>443</v>
      </c>
      <c r="C988" t="s">
        <v>64</v>
      </c>
      <c r="D988">
        <v>1939</v>
      </c>
      <c r="E988">
        <v>1939</v>
      </c>
      <c r="F988">
        <v>1938.5</v>
      </c>
      <c r="G988">
        <v>1939</v>
      </c>
      <c r="H988">
        <v>700</v>
      </c>
    </row>
    <row r="989" spans="2:8">
      <c r="B989" t="s">
        <v>443</v>
      </c>
      <c r="C989" t="s">
        <v>65</v>
      </c>
      <c r="D989">
        <v>1939</v>
      </c>
      <c r="E989">
        <v>1941.5</v>
      </c>
      <c r="F989">
        <v>1939</v>
      </c>
      <c r="G989">
        <v>1939.5</v>
      </c>
      <c r="H989">
        <v>6600</v>
      </c>
    </row>
    <row r="990" spans="2:8">
      <c r="B990" t="s">
        <v>443</v>
      </c>
      <c r="C990" t="s">
        <v>66</v>
      </c>
      <c r="D990">
        <v>1939.5</v>
      </c>
      <c r="E990">
        <v>1940.5</v>
      </c>
      <c r="F990">
        <v>1938.5</v>
      </c>
      <c r="G990">
        <v>1940.5</v>
      </c>
      <c r="H990">
        <v>2800</v>
      </c>
    </row>
    <row r="991" spans="2:8">
      <c r="B991" t="s">
        <v>443</v>
      </c>
      <c r="C991" t="s">
        <v>164</v>
      </c>
      <c r="D991">
        <v>1941</v>
      </c>
      <c r="E991">
        <v>1942</v>
      </c>
      <c r="F991">
        <v>1940</v>
      </c>
      <c r="G991">
        <v>1940</v>
      </c>
      <c r="H991">
        <v>3600</v>
      </c>
    </row>
    <row r="992" spans="2:8">
      <c r="B992" t="s">
        <v>443</v>
      </c>
      <c r="C992" t="s">
        <v>165</v>
      </c>
      <c r="D992">
        <v>1941</v>
      </c>
      <c r="E992">
        <v>1942.5</v>
      </c>
      <c r="F992">
        <v>1939</v>
      </c>
      <c r="G992">
        <v>1941.5</v>
      </c>
      <c r="H992">
        <v>7000</v>
      </c>
    </row>
    <row r="993" spans="2:8">
      <c r="B993" t="s">
        <v>443</v>
      </c>
      <c r="C993" t="s">
        <v>67</v>
      </c>
      <c r="D993" t="s">
        <v>8</v>
      </c>
      <c r="E993" t="s">
        <v>8</v>
      </c>
      <c r="F993" t="s">
        <v>8</v>
      </c>
      <c r="G993" t="s">
        <v>8</v>
      </c>
      <c r="H993">
        <v>0</v>
      </c>
    </row>
    <row r="994" spans="2:8">
      <c r="B994" t="s">
        <v>443</v>
      </c>
      <c r="C994" t="s">
        <v>68</v>
      </c>
      <c r="D994" t="s">
        <v>8</v>
      </c>
      <c r="E994" t="s">
        <v>8</v>
      </c>
      <c r="F994" t="s">
        <v>8</v>
      </c>
      <c r="G994" t="s">
        <v>8</v>
      </c>
      <c r="H994">
        <v>0</v>
      </c>
    </row>
    <row r="995" spans="2:8">
      <c r="B995" t="s">
        <v>443</v>
      </c>
      <c r="C995" t="s">
        <v>69</v>
      </c>
      <c r="D995" t="s">
        <v>8</v>
      </c>
      <c r="E995" t="s">
        <v>8</v>
      </c>
      <c r="F995" t="s">
        <v>8</v>
      </c>
      <c r="G995" t="s">
        <v>8</v>
      </c>
      <c r="H995">
        <v>0</v>
      </c>
    </row>
    <row r="996" spans="2:8">
      <c r="B996" t="s">
        <v>443</v>
      </c>
      <c r="C996" t="s">
        <v>70</v>
      </c>
      <c r="D996" t="s">
        <v>8</v>
      </c>
      <c r="E996" t="s">
        <v>8</v>
      </c>
      <c r="F996" t="s">
        <v>8</v>
      </c>
      <c r="G996" t="s">
        <v>8</v>
      </c>
      <c r="H996">
        <v>0</v>
      </c>
    </row>
    <row r="997" spans="2:8">
      <c r="B997" t="s">
        <v>443</v>
      </c>
      <c r="C997" t="s">
        <v>71</v>
      </c>
      <c r="D997" t="s">
        <v>8</v>
      </c>
      <c r="E997" t="s">
        <v>8</v>
      </c>
      <c r="F997" t="s">
        <v>8</v>
      </c>
      <c r="G997" t="s">
        <v>8</v>
      </c>
      <c r="H997">
        <v>0</v>
      </c>
    </row>
    <row r="998" spans="2:8">
      <c r="B998" t="s">
        <v>443</v>
      </c>
      <c r="C998" t="s">
        <v>72</v>
      </c>
      <c r="D998">
        <v>1945.5</v>
      </c>
      <c r="E998">
        <v>1945.5</v>
      </c>
      <c r="F998">
        <v>1945.5</v>
      </c>
      <c r="G998">
        <v>1945.5</v>
      </c>
      <c r="H998">
        <v>144900</v>
      </c>
    </row>
    <row r="999" spans="2:8">
      <c r="B999" t="s">
        <v>463</v>
      </c>
      <c r="C999" t="s">
        <v>166</v>
      </c>
      <c r="D999">
        <v>1967.5</v>
      </c>
      <c r="E999">
        <v>1973</v>
      </c>
      <c r="F999">
        <v>1962.5</v>
      </c>
      <c r="G999">
        <v>1962.5</v>
      </c>
      <c r="H999">
        <v>40600</v>
      </c>
    </row>
    <row r="1000" spans="2:8">
      <c r="B1000" t="s">
        <v>463</v>
      </c>
      <c r="C1000" t="s">
        <v>167</v>
      </c>
      <c r="D1000">
        <v>1962</v>
      </c>
      <c r="E1000">
        <v>1971</v>
      </c>
      <c r="F1000">
        <v>1961.5</v>
      </c>
      <c r="G1000">
        <v>1966</v>
      </c>
      <c r="H1000">
        <v>6900</v>
      </c>
    </row>
    <row r="1001" spans="2:8">
      <c r="B1001" t="s">
        <v>463</v>
      </c>
      <c r="C1001" t="s">
        <v>168</v>
      </c>
      <c r="D1001">
        <v>1965</v>
      </c>
      <c r="E1001">
        <v>1967.5</v>
      </c>
      <c r="F1001">
        <v>1962.5</v>
      </c>
      <c r="G1001">
        <v>1966.5</v>
      </c>
      <c r="H1001">
        <v>6800</v>
      </c>
    </row>
    <row r="1002" spans="2:8">
      <c r="B1002" t="s">
        <v>463</v>
      </c>
      <c r="C1002" t="s">
        <v>169</v>
      </c>
      <c r="D1002">
        <v>1968</v>
      </c>
      <c r="E1002">
        <v>1972</v>
      </c>
      <c r="F1002">
        <v>1968</v>
      </c>
      <c r="G1002">
        <v>1971.5</v>
      </c>
      <c r="H1002">
        <v>11800</v>
      </c>
    </row>
    <row r="1003" spans="2:8">
      <c r="B1003" t="s">
        <v>463</v>
      </c>
      <c r="C1003" t="s">
        <v>170</v>
      </c>
      <c r="D1003">
        <v>1972.5</v>
      </c>
      <c r="E1003">
        <v>1976</v>
      </c>
      <c r="F1003">
        <v>1972.5</v>
      </c>
      <c r="G1003">
        <v>1976</v>
      </c>
      <c r="H1003">
        <v>14800</v>
      </c>
    </row>
    <row r="1004" spans="2:8">
      <c r="B1004" t="s">
        <v>463</v>
      </c>
      <c r="C1004" t="s">
        <v>171</v>
      </c>
      <c r="D1004">
        <v>1977</v>
      </c>
      <c r="E1004">
        <v>1980</v>
      </c>
      <c r="F1004">
        <v>1971.5</v>
      </c>
      <c r="G1004">
        <v>1975</v>
      </c>
      <c r="H1004">
        <v>19100</v>
      </c>
    </row>
    <row r="1005" spans="2:8">
      <c r="B1005" t="s">
        <v>463</v>
      </c>
      <c r="C1005" t="s">
        <v>172</v>
      </c>
      <c r="D1005">
        <v>1977.5</v>
      </c>
      <c r="E1005">
        <v>1983</v>
      </c>
      <c r="F1005">
        <v>1977.5</v>
      </c>
      <c r="G1005">
        <v>1981</v>
      </c>
      <c r="H1005">
        <v>5300</v>
      </c>
    </row>
    <row r="1006" spans="2:8">
      <c r="B1006" t="s">
        <v>463</v>
      </c>
      <c r="C1006" t="s">
        <v>173</v>
      </c>
      <c r="D1006">
        <v>1981</v>
      </c>
      <c r="E1006">
        <v>1982.5</v>
      </c>
      <c r="F1006">
        <v>1978.5</v>
      </c>
      <c r="G1006">
        <v>1979.5</v>
      </c>
      <c r="H1006">
        <v>6400</v>
      </c>
    </row>
    <row r="1007" spans="2:8">
      <c r="B1007" t="s">
        <v>463</v>
      </c>
      <c r="C1007" t="s">
        <v>174</v>
      </c>
      <c r="D1007">
        <v>1979</v>
      </c>
      <c r="E1007">
        <v>1984</v>
      </c>
      <c r="F1007">
        <v>1976</v>
      </c>
      <c r="G1007">
        <v>1979</v>
      </c>
      <c r="H1007">
        <v>5800</v>
      </c>
    </row>
    <row r="1008" spans="2:8">
      <c r="B1008" t="s">
        <v>463</v>
      </c>
      <c r="C1008" t="s">
        <v>175</v>
      </c>
      <c r="D1008">
        <v>1978.5</v>
      </c>
      <c r="E1008">
        <v>1978.5</v>
      </c>
      <c r="F1008">
        <v>1975</v>
      </c>
      <c r="G1008">
        <v>1975.5</v>
      </c>
      <c r="H1008">
        <v>6800</v>
      </c>
    </row>
    <row r="1009" spans="2:8">
      <c r="B1009" t="s">
        <v>463</v>
      </c>
      <c r="C1009" t="s">
        <v>176</v>
      </c>
      <c r="D1009">
        <v>1974.5</v>
      </c>
      <c r="E1009">
        <v>1974.5</v>
      </c>
      <c r="F1009">
        <v>1970.5</v>
      </c>
      <c r="G1009">
        <v>1974</v>
      </c>
      <c r="H1009">
        <v>9200</v>
      </c>
    </row>
    <row r="1010" spans="2:8">
      <c r="B1010" t="s">
        <v>463</v>
      </c>
      <c r="C1010" t="s">
        <v>177</v>
      </c>
      <c r="D1010">
        <v>1975</v>
      </c>
      <c r="E1010">
        <v>1979.5</v>
      </c>
      <c r="F1010">
        <v>1974.5</v>
      </c>
      <c r="G1010">
        <v>1977.5</v>
      </c>
      <c r="H1010">
        <v>2400</v>
      </c>
    </row>
    <row r="1011" spans="2:8">
      <c r="B1011" t="s">
        <v>463</v>
      </c>
      <c r="C1011" t="s">
        <v>178</v>
      </c>
      <c r="D1011">
        <v>1978.5</v>
      </c>
      <c r="E1011">
        <v>1980</v>
      </c>
      <c r="F1011">
        <v>1975</v>
      </c>
      <c r="G1011">
        <v>1975</v>
      </c>
      <c r="H1011">
        <v>5300</v>
      </c>
    </row>
    <row r="1012" spans="2:8">
      <c r="B1012" t="s">
        <v>463</v>
      </c>
      <c r="C1012" t="s">
        <v>179</v>
      </c>
      <c r="D1012">
        <v>1975</v>
      </c>
      <c r="E1012">
        <v>1977.5</v>
      </c>
      <c r="F1012">
        <v>1973</v>
      </c>
      <c r="G1012">
        <v>1977</v>
      </c>
      <c r="H1012">
        <v>5600</v>
      </c>
    </row>
    <row r="1013" spans="2:8">
      <c r="B1013" t="s">
        <v>463</v>
      </c>
      <c r="C1013" t="s">
        <v>180</v>
      </c>
      <c r="D1013">
        <v>1976</v>
      </c>
      <c r="E1013">
        <v>1979</v>
      </c>
      <c r="F1013">
        <v>1976</v>
      </c>
      <c r="G1013">
        <v>1976</v>
      </c>
      <c r="H1013">
        <v>2800</v>
      </c>
    </row>
    <row r="1014" spans="2:8">
      <c r="B1014" t="s">
        <v>463</v>
      </c>
      <c r="C1014" t="s">
        <v>181</v>
      </c>
      <c r="D1014">
        <v>1979</v>
      </c>
      <c r="E1014">
        <v>1981.5</v>
      </c>
      <c r="F1014">
        <v>1977</v>
      </c>
      <c r="G1014">
        <v>1978</v>
      </c>
      <c r="H1014">
        <v>7800</v>
      </c>
    </row>
    <row r="1015" spans="2:8">
      <c r="B1015" t="s">
        <v>463</v>
      </c>
      <c r="C1015" t="s">
        <v>182</v>
      </c>
      <c r="D1015">
        <v>1978.5</v>
      </c>
      <c r="E1015">
        <v>1980.5</v>
      </c>
      <c r="F1015">
        <v>1977.5</v>
      </c>
      <c r="G1015">
        <v>1979.5</v>
      </c>
      <c r="H1015">
        <v>2800</v>
      </c>
    </row>
    <row r="1016" spans="2:8">
      <c r="B1016" t="s">
        <v>463</v>
      </c>
      <c r="C1016" t="s">
        <v>183</v>
      </c>
      <c r="D1016">
        <v>1979</v>
      </c>
      <c r="E1016">
        <v>1980.5</v>
      </c>
      <c r="F1016">
        <v>1977.5</v>
      </c>
      <c r="G1016">
        <v>1979</v>
      </c>
      <c r="H1016">
        <v>1400</v>
      </c>
    </row>
    <row r="1017" spans="2:8">
      <c r="B1017" t="s">
        <v>463</v>
      </c>
      <c r="C1017" t="s">
        <v>184</v>
      </c>
      <c r="D1017">
        <v>1980</v>
      </c>
      <c r="E1017">
        <v>1980</v>
      </c>
      <c r="F1017">
        <v>1979</v>
      </c>
      <c r="G1017">
        <v>1979</v>
      </c>
      <c r="H1017">
        <v>500</v>
      </c>
    </row>
    <row r="1018" spans="2:8">
      <c r="B1018" t="s">
        <v>463</v>
      </c>
      <c r="C1018" t="s">
        <v>185</v>
      </c>
      <c r="D1018">
        <v>1980</v>
      </c>
      <c r="E1018">
        <v>1982.5</v>
      </c>
      <c r="F1018">
        <v>1980</v>
      </c>
      <c r="G1018">
        <v>1981</v>
      </c>
      <c r="H1018">
        <v>4100</v>
      </c>
    </row>
    <row r="1019" spans="2:8">
      <c r="B1019" t="s">
        <v>463</v>
      </c>
      <c r="C1019" t="s">
        <v>186</v>
      </c>
      <c r="D1019">
        <v>1980.5</v>
      </c>
      <c r="E1019">
        <v>1989</v>
      </c>
      <c r="F1019">
        <v>1980.5</v>
      </c>
      <c r="G1019">
        <v>1988</v>
      </c>
      <c r="H1019">
        <v>19800</v>
      </c>
    </row>
    <row r="1020" spans="2:8">
      <c r="B1020" t="s">
        <v>463</v>
      </c>
      <c r="C1020" t="s">
        <v>187</v>
      </c>
      <c r="D1020">
        <v>1989</v>
      </c>
      <c r="E1020">
        <v>1994.5</v>
      </c>
      <c r="F1020">
        <v>1988</v>
      </c>
      <c r="G1020">
        <v>1993.5</v>
      </c>
      <c r="H1020">
        <v>18400</v>
      </c>
    </row>
    <row r="1021" spans="2:8">
      <c r="B1021" t="s">
        <v>463</v>
      </c>
      <c r="C1021" t="s">
        <v>188</v>
      </c>
      <c r="D1021">
        <v>1994</v>
      </c>
      <c r="E1021">
        <v>1996.5</v>
      </c>
      <c r="F1021">
        <v>1993</v>
      </c>
      <c r="G1021">
        <v>1996.5</v>
      </c>
      <c r="H1021">
        <v>8200</v>
      </c>
    </row>
    <row r="1022" spans="2:8">
      <c r="B1022" t="s">
        <v>463</v>
      </c>
      <c r="C1022" t="s">
        <v>189</v>
      </c>
      <c r="D1022">
        <v>1995.5</v>
      </c>
      <c r="E1022">
        <v>2004</v>
      </c>
      <c r="F1022">
        <v>1995.5</v>
      </c>
      <c r="G1022">
        <v>2003</v>
      </c>
      <c r="H1022">
        <v>32400</v>
      </c>
    </row>
    <row r="1023" spans="2:8">
      <c r="B1023" t="s">
        <v>463</v>
      </c>
      <c r="C1023" t="s">
        <v>190</v>
      </c>
      <c r="D1023">
        <v>2004</v>
      </c>
      <c r="E1023">
        <v>2007</v>
      </c>
      <c r="F1023">
        <v>2002.5</v>
      </c>
      <c r="G1023">
        <v>2005</v>
      </c>
      <c r="H1023">
        <v>12300</v>
      </c>
    </row>
    <row r="1024" spans="2:8">
      <c r="B1024" t="s">
        <v>463</v>
      </c>
      <c r="C1024" t="s">
        <v>191</v>
      </c>
      <c r="D1024">
        <v>2005</v>
      </c>
      <c r="E1024">
        <v>2015</v>
      </c>
      <c r="F1024">
        <v>2004</v>
      </c>
      <c r="G1024">
        <v>2010.5</v>
      </c>
      <c r="H1024">
        <v>32400</v>
      </c>
    </row>
    <row r="1025" spans="2:8">
      <c r="B1025" t="s">
        <v>463</v>
      </c>
      <c r="C1025" t="s">
        <v>192</v>
      </c>
      <c r="D1025">
        <v>2010</v>
      </c>
      <c r="E1025">
        <v>2011</v>
      </c>
      <c r="F1025">
        <v>2007.5</v>
      </c>
      <c r="G1025">
        <v>2010</v>
      </c>
      <c r="H1025">
        <v>10300</v>
      </c>
    </row>
    <row r="1026" spans="2:8">
      <c r="B1026" t="s">
        <v>463</v>
      </c>
      <c r="C1026" t="s">
        <v>193</v>
      </c>
      <c r="D1026">
        <v>2011</v>
      </c>
      <c r="E1026">
        <v>2016.5</v>
      </c>
      <c r="F1026">
        <v>2011</v>
      </c>
      <c r="G1026">
        <v>2016</v>
      </c>
      <c r="H1026">
        <v>20300</v>
      </c>
    </row>
    <row r="1027" spans="2:8">
      <c r="B1027" t="s">
        <v>463</v>
      </c>
      <c r="C1027" t="s">
        <v>194</v>
      </c>
      <c r="D1027">
        <v>2016.5</v>
      </c>
      <c r="E1027">
        <v>2019</v>
      </c>
      <c r="F1027">
        <v>2013.5</v>
      </c>
      <c r="G1027">
        <v>2013.5</v>
      </c>
      <c r="H1027">
        <v>13800</v>
      </c>
    </row>
    <row r="1028" spans="2:8">
      <c r="B1028" t="s">
        <v>463</v>
      </c>
      <c r="C1028" t="s">
        <v>195</v>
      </c>
      <c r="D1028">
        <v>2013.5</v>
      </c>
      <c r="E1028">
        <v>2014</v>
      </c>
      <c r="F1028">
        <v>2008.5</v>
      </c>
      <c r="G1028">
        <v>2012</v>
      </c>
      <c r="H1028">
        <v>4000</v>
      </c>
    </row>
    <row r="1029" spans="2:8">
      <c r="B1029" t="s">
        <v>463</v>
      </c>
      <c r="C1029" t="s">
        <v>196</v>
      </c>
      <c r="D1029">
        <v>2012.5</v>
      </c>
      <c r="E1029">
        <v>2014.5</v>
      </c>
      <c r="F1029">
        <v>2010.5</v>
      </c>
      <c r="G1029">
        <v>2012.5</v>
      </c>
      <c r="H1029">
        <v>8600</v>
      </c>
    </row>
    <row r="1030" spans="2:8">
      <c r="B1030" t="s">
        <v>463</v>
      </c>
      <c r="C1030" t="s">
        <v>197</v>
      </c>
      <c r="D1030">
        <v>2012.5</v>
      </c>
      <c r="E1030">
        <v>2019.5</v>
      </c>
      <c r="F1030">
        <v>2011.5</v>
      </c>
      <c r="G1030">
        <v>2019.5</v>
      </c>
      <c r="H1030">
        <v>11800</v>
      </c>
    </row>
    <row r="1031" spans="2:8">
      <c r="B1031" t="s">
        <v>463</v>
      </c>
      <c r="C1031" t="s">
        <v>198</v>
      </c>
      <c r="D1031">
        <v>2019</v>
      </c>
      <c r="E1031">
        <v>2019.5</v>
      </c>
      <c r="F1031">
        <v>2013.5</v>
      </c>
      <c r="G1031">
        <v>2014.5</v>
      </c>
      <c r="H1031">
        <v>5400</v>
      </c>
    </row>
    <row r="1032" spans="2:8">
      <c r="B1032" t="s">
        <v>463</v>
      </c>
      <c r="C1032" t="s">
        <v>199</v>
      </c>
      <c r="D1032">
        <v>2015.5</v>
      </c>
      <c r="E1032">
        <v>2015.5</v>
      </c>
      <c r="F1032">
        <v>2013</v>
      </c>
      <c r="G1032">
        <v>2013</v>
      </c>
      <c r="H1032">
        <v>1500</v>
      </c>
    </row>
    <row r="1033" spans="2:8">
      <c r="B1033" t="s">
        <v>463</v>
      </c>
      <c r="C1033" t="s">
        <v>200</v>
      </c>
      <c r="D1033">
        <v>2013.5</v>
      </c>
      <c r="E1033">
        <v>2015.5</v>
      </c>
      <c r="F1033">
        <v>2013</v>
      </c>
      <c r="G1033">
        <v>2014</v>
      </c>
      <c r="H1033">
        <v>4000</v>
      </c>
    </row>
    <row r="1034" spans="2:8">
      <c r="B1034" t="s">
        <v>463</v>
      </c>
      <c r="C1034" t="s">
        <v>201</v>
      </c>
      <c r="D1034">
        <v>2014</v>
      </c>
      <c r="E1034">
        <v>2017</v>
      </c>
      <c r="F1034">
        <v>2013.5</v>
      </c>
      <c r="G1034">
        <v>2015.5</v>
      </c>
      <c r="H1034">
        <v>4300</v>
      </c>
    </row>
    <row r="1035" spans="2:8">
      <c r="B1035" t="s">
        <v>463</v>
      </c>
      <c r="C1035" t="s">
        <v>202</v>
      </c>
      <c r="D1035">
        <v>2015.5</v>
      </c>
      <c r="E1035">
        <v>2015.5</v>
      </c>
      <c r="F1035">
        <v>2013</v>
      </c>
      <c r="G1035">
        <v>2015.5</v>
      </c>
      <c r="H1035">
        <v>5800</v>
      </c>
    </row>
    <row r="1036" spans="2:8">
      <c r="B1036" t="s">
        <v>463</v>
      </c>
      <c r="C1036" t="s">
        <v>203</v>
      </c>
      <c r="D1036">
        <v>2015.5</v>
      </c>
      <c r="E1036">
        <v>2015.5</v>
      </c>
      <c r="F1036">
        <v>2012.5</v>
      </c>
      <c r="G1036">
        <v>2012.5</v>
      </c>
      <c r="H1036">
        <v>2800</v>
      </c>
    </row>
    <row r="1037" spans="2:8">
      <c r="B1037" t="s">
        <v>463</v>
      </c>
      <c r="C1037" t="s">
        <v>204</v>
      </c>
      <c r="D1037">
        <v>2014.5</v>
      </c>
      <c r="E1037">
        <v>2014.5</v>
      </c>
      <c r="F1037">
        <v>2014</v>
      </c>
      <c r="G1037">
        <v>2014</v>
      </c>
      <c r="H1037">
        <v>500</v>
      </c>
    </row>
    <row r="1038" spans="2:8">
      <c r="B1038" t="s">
        <v>463</v>
      </c>
      <c r="C1038" t="s">
        <v>205</v>
      </c>
      <c r="D1038">
        <v>2013.5</v>
      </c>
      <c r="E1038">
        <v>2018</v>
      </c>
      <c r="F1038">
        <v>2012.5</v>
      </c>
      <c r="G1038">
        <v>2016</v>
      </c>
      <c r="H1038">
        <v>10500</v>
      </c>
    </row>
    <row r="1039" spans="2:8">
      <c r="B1039" t="s">
        <v>463</v>
      </c>
      <c r="C1039" t="s">
        <v>206</v>
      </c>
      <c r="D1039">
        <v>2016.5</v>
      </c>
      <c r="E1039">
        <v>2021</v>
      </c>
      <c r="F1039">
        <v>2016.5</v>
      </c>
      <c r="G1039">
        <v>2018.5</v>
      </c>
      <c r="H1039">
        <v>17100</v>
      </c>
    </row>
    <row r="1040" spans="2:8">
      <c r="B1040" t="s">
        <v>463</v>
      </c>
      <c r="C1040" t="s">
        <v>207</v>
      </c>
      <c r="D1040">
        <v>2018.5</v>
      </c>
      <c r="E1040">
        <v>2018.5</v>
      </c>
      <c r="F1040">
        <v>2011</v>
      </c>
      <c r="G1040">
        <v>2013</v>
      </c>
      <c r="H1040">
        <v>6800</v>
      </c>
    </row>
    <row r="1041" spans="2:8">
      <c r="B1041" t="s">
        <v>463</v>
      </c>
      <c r="C1041" t="s">
        <v>208</v>
      </c>
      <c r="D1041">
        <v>2013.5</v>
      </c>
      <c r="E1041">
        <v>2016</v>
      </c>
      <c r="F1041">
        <v>2012</v>
      </c>
      <c r="G1041">
        <v>2016</v>
      </c>
      <c r="H1041">
        <v>7300</v>
      </c>
    </row>
    <row r="1042" spans="2:8">
      <c r="B1042" t="s">
        <v>463</v>
      </c>
      <c r="C1042" t="s">
        <v>209</v>
      </c>
      <c r="D1042">
        <v>2015.5</v>
      </c>
      <c r="E1042">
        <v>2019</v>
      </c>
      <c r="F1042">
        <v>2014</v>
      </c>
      <c r="G1042">
        <v>2018</v>
      </c>
      <c r="H1042">
        <v>6100</v>
      </c>
    </row>
    <row r="1043" spans="2:8">
      <c r="B1043" t="s">
        <v>463</v>
      </c>
      <c r="C1043" t="s">
        <v>210</v>
      </c>
      <c r="D1043">
        <v>2017.5</v>
      </c>
      <c r="E1043">
        <v>2017.5</v>
      </c>
      <c r="F1043">
        <v>2015</v>
      </c>
      <c r="G1043">
        <v>2016</v>
      </c>
      <c r="H1043">
        <v>5100</v>
      </c>
    </row>
    <row r="1044" spans="2:8">
      <c r="B1044" t="s">
        <v>463</v>
      </c>
      <c r="C1044" t="s">
        <v>211</v>
      </c>
      <c r="D1044">
        <v>2016</v>
      </c>
      <c r="E1044">
        <v>2024</v>
      </c>
      <c r="F1044">
        <v>2016</v>
      </c>
      <c r="G1044">
        <v>2021.5</v>
      </c>
      <c r="H1044">
        <v>14200</v>
      </c>
    </row>
    <row r="1045" spans="2:8">
      <c r="B1045" t="s">
        <v>463</v>
      </c>
      <c r="C1045" t="s">
        <v>212</v>
      </c>
      <c r="D1045">
        <v>2022</v>
      </c>
      <c r="E1045">
        <v>2023</v>
      </c>
      <c r="F1045">
        <v>2021</v>
      </c>
      <c r="G1045">
        <v>2023</v>
      </c>
      <c r="H1045">
        <v>2500</v>
      </c>
    </row>
    <row r="1046" spans="2:8">
      <c r="B1046" t="s">
        <v>463</v>
      </c>
      <c r="C1046" t="s">
        <v>213</v>
      </c>
      <c r="D1046">
        <v>2022.5</v>
      </c>
      <c r="E1046">
        <v>2028.5</v>
      </c>
      <c r="F1046">
        <v>2022</v>
      </c>
      <c r="G1046">
        <v>2025.5</v>
      </c>
      <c r="H1046">
        <v>18700</v>
      </c>
    </row>
    <row r="1047" spans="2:8">
      <c r="B1047" t="s">
        <v>463</v>
      </c>
      <c r="C1047" t="s">
        <v>214</v>
      </c>
      <c r="D1047">
        <v>2026</v>
      </c>
      <c r="E1047">
        <v>2026</v>
      </c>
      <c r="F1047">
        <v>2023</v>
      </c>
      <c r="G1047">
        <v>2023</v>
      </c>
      <c r="H1047">
        <v>2100</v>
      </c>
    </row>
    <row r="1048" spans="2:8">
      <c r="B1048" t="s">
        <v>463</v>
      </c>
      <c r="C1048" t="s">
        <v>215</v>
      </c>
      <c r="D1048">
        <v>2023</v>
      </c>
      <c r="E1048">
        <v>2023</v>
      </c>
      <c r="F1048">
        <v>2022</v>
      </c>
      <c r="G1048">
        <v>2022.5</v>
      </c>
      <c r="H1048">
        <v>1000</v>
      </c>
    </row>
    <row r="1049" spans="2:8">
      <c r="B1049" t="s">
        <v>463</v>
      </c>
      <c r="C1049" t="s">
        <v>216</v>
      </c>
      <c r="D1049">
        <v>2023</v>
      </c>
      <c r="E1049">
        <v>2023</v>
      </c>
      <c r="F1049">
        <v>2018.5</v>
      </c>
      <c r="G1049">
        <v>2018.5</v>
      </c>
      <c r="H1049">
        <v>12100</v>
      </c>
    </row>
    <row r="1050" spans="2:8">
      <c r="B1050" t="s">
        <v>463</v>
      </c>
      <c r="C1050" t="s">
        <v>217</v>
      </c>
      <c r="D1050">
        <v>2019</v>
      </c>
      <c r="E1050">
        <v>2021</v>
      </c>
      <c r="F1050">
        <v>2017.5</v>
      </c>
      <c r="G1050">
        <v>2020</v>
      </c>
      <c r="H1050">
        <v>3500</v>
      </c>
    </row>
    <row r="1051" spans="2:8">
      <c r="B1051" t="s">
        <v>463</v>
      </c>
      <c r="C1051" t="s">
        <v>218</v>
      </c>
      <c r="D1051">
        <v>2020.5</v>
      </c>
      <c r="E1051">
        <v>2022</v>
      </c>
      <c r="F1051">
        <v>2020.5</v>
      </c>
      <c r="G1051">
        <v>2021</v>
      </c>
      <c r="H1051">
        <v>7000</v>
      </c>
    </row>
    <row r="1052" spans="2:8">
      <c r="B1052" t="s">
        <v>463</v>
      </c>
      <c r="C1052" t="s">
        <v>219</v>
      </c>
      <c r="D1052">
        <v>2021.5</v>
      </c>
      <c r="E1052">
        <v>2022</v>
      </c>
      <c r="F1052">
        <v>2020.5</v>
      </c>
      <c r="G1052">
        <v>2020.5</v>
      </c>
      <c r="H1052">
        <v>700</v>
      </c>
    </row>
    <row r="1053" spans="2:8">
      <c r="B1053" t="s">
        <v>463</v>
      </c>
      <c r="C1053" t="s">
        <v>220</v>
      </c>
      <c r="D1053">
        <v>2020</v>
      </c>
      <c r="E1053">
        <v>2023.5</v>
      </c>
      <c r="F1053">
        <v>2018.5</v>
      </c>
      <c r="G1053">
        <v>2022</v>
      </c>
      <c r="H1053">
        <v>6700</v>
      </c>
    </row>
    <row r="1054" spans="2:8">
      <c r="B1054" t="s">
        <v>463</v>
      </c>
      <c r="C1054" t="s">
        <v>221</v>
      </c>
      <c r="D1054">
        <v>2022</v>
      </c>
      <c r="E1054">
        <v>2022</v>
      </c>
      <c r="F1054">
        <v>2018.5</v>
      </c>
      <c r="G1054">
        <v>2019</v>
      </c>
      <c r="H1054">
        <v>2500</v>
      </c>
    </row>
    <row r="1055" spans="2:8">
      <c r="B1055" t="s">
        <v>463</v>
      </c>
      <c r="C1055" t="s">
        <v>222</v>
      </c>
      <c r="D1055">
        <v>2018</v>
      </c>
      <c r="E1055">
        <v>2021.5</v>
      </c>
      <c r="F1055">
        <v>2016.5</v>
      </c>
      <c r="G1055">
        <v>2021.5</v>
      </c>
      <c r="H1055">
        <v>3900</v>
      </c>
    </row>
    <row r="1056" spans="2:8">
      <c r="B1056" t="s">
        <v>463</v>
      </c>
      <c r="C1056" t="s">
        <v>223</v>
      </c>
      <c r="D1056">
        <v>2022</v>
      </c>
      <c r="E1056">
        <v>2022</v>
      </c>
      <c r="F1056">
        <v>2020.5</v>
      </c>
      <c r="G1056">
        <v>2021</v>
      </c>
      <c r="H1056">
        <v>1300</v>
      </c>
    </row>
    <row r="1057" spans="2:8">
      <c r="B1057" t="s">
        <v>463</v>
      </c>
      <c r="C1057" t="s">
        <v>224</v>
      </c>
      <c r="D1057">
        <v>2021.5</v>
      </c>
      <c r="E1057">
        <v>2024</v>
      </c>
      <c r="F1057">
        <v>2021.5</v>
      </c>
      <c r="G1057">
        <v>2024</v>
      </c>
      <c r="H1057">
        <v>3400</v>
      </c>
    </row>
    <row r="1058" spans="2:8">
      <c r="B1058" t="s">
        <v>463</v>
      </c>
      <c r="C1058" t="s">
        <v>225</v>
      </c>
      <c r="D1058">
        <v>2023</v>
      </c>
      <c r="E1058">
        <v>2023</v>
      </c>
      <c r="F1058">
        <v>2021</v>
      </c>
      <c r="G1058">
        <v>2022</v>
      </c>
      <c r="H1058">
        <v>2800</v>
      </c>
    </row>
    <row r="1059" spans="2:8">
      <c r="B1059" t="s">
        <v>463</v>
      </c>
      <c r="C1059" t="s">
        <v>226</v>
      </c>
      <c r="D1059">
        <v>2023</v>
      </c>
      <c r="E1059">
        <v>2023.5</v>
      </c>
      <c r="F1059">
        <v>2021.5</v>
      </c>
      <c r="G1059">
        <v>2022</v>
      </c>
      <c r="H1059">
        <v>3500</v>
      </c>
    </row>
    <row r="1060" spans="2:8">
      <c r="B1060" t="s">
        <v>463</v>
      </c>
      <c r="C1060" t="s">
        <v>227</v>
      </c>
      <c r="D1060">
        <v>2022.5</v>
      </c>
      <c r="E1060">
        <v>2022.5</v>
      </c>
      <c r="F1060">
        <v>2020</v>
      </c>
      <c r="G1060">
        <v>2021.5</v>
      </c>
      <c r="H1060">
        <v>4800</v>
      </c>
    </row>
    <row r="1061" spans="2:8">
      <c r="B1061" t="s">
        <v>463</v>
      </c>
      <c r="C1061" t="s">
        <v>228</v>
      </c>
      <c r="D1061">
        <v>2021</v>
      </c>
      <c r="E1061">
        <v>2029.5</v>
      </c>
      <c r="F1061">
        <v>2021</v>
      </c>
      <c r="G1061">
        <v>2029.5</v>
      </c>
      <c r="H1061">
        <v>17900</v>
      </c>
    </row>
    <row r="1062" spans="2:8">
      <c r="B1062" t="s">
        <v>463</v>
      </c>
      <c r="C1062" t="s">
        <v>229</v>
      </c>
      <c r="D1062">
        <v>2028.5</v>
      </c>
      <c r="E1062">
        <v>2029.5</v>
      </c>
      <c r="F1062">
        <v>2025</v>
      </c>
      <c r="G1062">
        <v>2029</v>
      </c>
      <c r="H1062">
        <v>6100</v>
      </c>
    </row>
    <row r="1063" spans="2:8">
      <c r="B1063" t="s">
        <v>463</v>
      </c>
      <c r="C1063" t="s">
        <v>230</v>
      </c>
      <c r="D1063">
        <v>2028</v>
      </c>
      <c r="E1063">
        <v>2032.5</v>
      </c>
      <c r="F1063">
        <v>2027</v>
      </c>
      <c r="G1063">
        <v>2032.5</v>
      </c>
      <c r="H1063">
        <v>15500</v>
      </c>
    </row>
    <row r="1064" spans="2:8">
      <c r="B1064" t="s">
        <v>463</v>
      </c>
      <c r="C1064" t="s">
        <v>231</v>
      </c>
      <c r="D1064">
        <v>2032.5</v>
      </c>
      <c r="E1064">
        <v>2032.5</v>
      </c>
      <c r="F1064">
        <v>2030</v>
      </c>
      <c r="G1064">
        <v>2030</v>
      </c>
      <c r="H1064">
        <v>3200</v>
      </c>
    </row>
    <row r="1065" spans="2:8">
      <c r="B1065" t="s">
        <v>463</v>
      </c>
      <c r="C1065" t="s">
        <v>232</v>
      </c>
      <c r="D1065">
        <v>2032</v>
      </c>
      <c r="E1065">
        <v>2032.5</v>
      </c>
      <c r="F1065">
        <v>2029.5</v>
      </c>
      <c r="G1065">
        <v>2031</v>
      </c>
      <c r="H1065">
        <v>3400</v>
      </c>
    </row>
    <row r="1066" spans="2:8">
      <c r="B1066" t="s">
        <v>463</v>
      </c>
      <c r="C1066" t="s">
        <v>233</v>
      </c>
      <c r="D1066">
        <v>2031.5</v>
      </c>
      <c r="E1066">
        <v>2034.5</v>
      </c>
      <c r="F1066">
        <v>2030</v>
      </c>
      <c r="G1066">
        <v>2030.5</v>
      </c>
      <c r="H1066">
        <v>16800</v>
      </c>
    </row>
    <row r="1067" spans="2:8">
      <c r="B1067" t="s">
        <v>463</v>
      </c>
      <c r="C1067" t="s">
        <v>234</v>
      </c>
      <c r="D1067">
        <v>2031</v>
      </c>
      <c r="E1067">
        <v>2032.5</v>
      </c>
      <c r="F1067">
        <v>2030.5</v>
      </c>
      <c r="G1067">
        <v>2030.5</v>
      </c>
      <c r="H1067">
        <v>3300</v>
      </c>
    </row>
    <row r="1068" spans="2:8">
      <c r="B1068" t="s">
        <v>463</v>
      </c>
      <c r="C1068" t="s">
        <v>235</v>
      </c>
      <c r="D1068">
        <v>2030</v>
      </c>
      <c r="E1068">
        <v>2030.5</v>
      </c>
      <c r="F1068">
        <v>2028.5</v>
      </c>
      <c r="G1068">
        <v>2028.5</v>
      </c>
      <c r="H1068">
        <v>2400</v>
      </c>
    </row>
    <row r="1069" spans="2:8">
      <c r="B1069" t="s">
        <v>463</v>
      </c>
      <c r="C1069" t="s">
        <v>236</v>
      </c>
      <c r="D1069">
        <v>2029.5</v>
      </c>
      <c r="E1069">
        <v>2032</v>
      </c>
      <c r="F1069">
        <v>2027</v>
      </c>
      <c r="G1069">
        <v>2030.5</v>
      </c>
      <c r="H1069">
        <v>11100</v>
      </c>
    </row>
    <row r="1070" spans="2:8">
      <c r="B1070" t="s">
        <v>463</v>
      </c>
      <c r="C1070" t="s">
        <v>237</v>
      </c>
      <c r="D1070">
        <v>2030.5</v>
      </c>
      <c r="E1070">
        <v>2034</v>
      </c>
      <c r="F1070">
        <v>2030.5</v>
      </c>
      <c r="G1070">
        <v>2033.5</v>
      </c>
      <c r="H1070">
        <v>5500</v>
      </c>
    </row>
    <row r="1071" spans="2:8">
      <c r="B1071" t="s">
        <v>463</v>
      </c>
      <c r="C1071" t="s">
        <v>238</v>
      </c>
      <c r="D1071">
        <v>2033</v>
      </c>
      <c r="E1071">
        <v>2034.5</v>
      </c>
      <c r="F1071">
        <v>2032.5</v>
      </c>
      <c r="G1071">
        <v>2034.5</v>
      </c>
      <c r="H1071">
        <v>3300</v>
      </c>
    </row>
    <row r="1072" spans="2:8">
      <c r="B1072" t="s">
        <v>463</v>
      </c>
      <c r="C1072" t="s">
        <v>239</v>
      </c>
      <c r="D1072">
        <v>2033.5</v>
      </c>
      <c r="E1072">
        <v>2033.5</v>
      </c>
      <c r="F1072">
        <v>2031.5</v>
      </c>
      <c r="G1072">
        <v>2032.5</v>
      </c>
      <c r="H1072">
        <v>1500</v>
      </c>
    </row>
    <row r="1073" spans="2:8">
      <c r="B1073" t="s">
        <v>463</v>
      </c>
      <c r="C1073" t="s">
        <v>240</v>
      </c>
      <c r="D1073">
        <v>2032</v>
      </c>
      <c r="E1073">
        <v>2032.5</v>
      </c>
      <c r="F1073">
        <v>2029.5</v>
      </c>
      <c r="G1073">
        <v>2030</v>
      </c>
      <c r="H1073">
        <v>5300</v>
      </c>
    </row>
    <row r="1074" spans="2:8">
      <c r="B1074" t="s">
        <v>463</v>
      </c>
      <c r="C1074" t="s">
        <v>241</v>
      </c>
      <c r="D1074">
        <v>2031.5</v>
      </c>
      <c r="E1074">
        <v>2033.5</v>
      </c>
      <c r="F1074">
        <v>2030</v>
      </c>
      <c r="G1074">
        <v>2033.5</v>
      </c>
      <c r="H1074">
        <v>5400</v>
      </c>
    </row>
    <row r="1075" spans="2:8">
      <c r="B1075" t="s">
        <v>463</v>
      </c>
      <c r="C1075" t="s">
        <v>242</v>
      </c>
      <c r="D1075">
        <v>2033</v>
      </c>
      <c r="E1075">
        <v>2033</v>
      </c>
      <c r="F1075">
        <v>2031</v>
      </c>
      <c r="G1075">
        <v>2032</v>
      </c>
      <c r="H1075">
        <v>2800</v>
      </c>
    </row>
    <row r="1076" spans="2:8">
      <c r="B1076" t="s">
        <v>463</v>
      </c>
      <c r="C1076" t="s">
        <v>243</v>
      </c>
      <c r="D1076">
        <v>2031.5</v>
      </c>
      <c r="E1076">
        <v>2031.5</v>
      </c>
      <c r="F1076">
        <v>2027</v>
      </c>
      <c r="G1076">
        <v>2027.5</v>
      </c>
      <c r="H1076">
        <v>4400</v>
      </c>
    </row>
    <row r="1077" spans="2:8">
      <c r="B1077" t="s">
        <v>463</v>
      </c>
      <c r="C1077" t="s">
        <v>244</v>
      </c>
      <c r="D1077">
        <v>2028.5</v>
      </c>
      <c r="E1077">
        <v>2029.5</v>
      </c>
      <c r="F1077">
        <v>2026</v>
      </c>
      <c r="G1077">
        <v>2027</v>
      </c>
      <c r="H1077">
        <v>2600</v>
      </c>
    </row>
    <row r="1078" spans="2:8">
      <c r="B1078" t="s">
        <v>463</v>
      </c>
      <c r="C1078" t="s">
        <v>245</v>
      </c>
      <c r="D1078">
        <v>2028.5</v>
      </c>
      <c r="E1078">
        <v>2037</v>
      </c>
      <c r="F1078">
        <v>2028.5</v>
      </c>
      <c r="G1078">
        <v>2036.5</v>
      </c>
      <c r="H1078">
        <v>13500</v>
      </c>
    </row>
    <row r="1079" spans="2:8">
      <c r="B1079" t="s">
        <v>463</v>
      </c>
      <c r="C1079" t="s">
        <v>246</v>
      </c>
      <c r="D1079">
        <v>2036</v>
      </c>
      <c r="E1079">
        <v>2051.5</v>
      </c>
      <c r="F1079">
        <v>2036</v>
      </c>
      <c r="G1079">
        <v>2050</v>
      </c>
      <c r="H1079">
        <v>84300</v>
      </c>
    </row>
    <row r="1080" spans="2:8">
      <c r="B1080" t="s">
        <v>463</v>
      </c>
      <c r="C1080" t="s">
        <v>247</v>
      </c>
      <c r="D1080">
        <v>2051</v>
      </c>
      <c r="E1080">
        <v>2056</v>
      </c>
      <c r="F1080">
        <v>2048</v>
      </c>
      <c r="G1080">
        <v>2055.5</v>
      </c>
      <c r="H1080">
        <v>19900</v>
      </c>
    </row>
    <row r="1081" spans="2:8">
      <c r="B1081" t="s">
        <v>463</v>
      </c>
      <c r="C1081" t="s">
        <v>248</v>
      </c>
      <c r="D1081">
        <v>2054.5</v>
      </c>
      <c r="E1081">
        <v>2055.5</v>
      </c>
      <c r="F1081">
        <v>2052.5</v>
      </c>
      <c r="G1081">
        <v>2054</v>
      </c>
      <c r="H1081">
        <v>12400</v>
      </c>
    </row>
    <row r="1082" spans="2:8">
      <c r="B1082" t="s">
        <v>463</v>
      </c>
      <c r="C1082" t="s">
        <v>249</v>
      </c>
      <c r="D1082">
        <v>2053.5</v>
      </c>
      <c r="E1082">
        <v>2056.5</v>
      </c>
      <c r="F1082">
        <v>2052.5</v>
      </c>
      <c r="G1082">
        <v>2056.5</v>
      </c>
      <c r="H1082">
        <v>13900</v>
      </c>
    </row>
    <row r="1083" spans="2:8">
      <c r="B1083" t="s">
        <v>463</v>
      </c>
      <c r="C1083" t="s">
        <v>250</v>
      </c>
      <c r="D1083">
        <v>2057.5</v>
      </c>
      <c r="E1083">
        <v>2057.5</v>
      </c>
      <c r="F1083">
        <v>2047</v>
      </c>
      <c r="G1083">
        <v>2050</v>
      </c>
      <c r="H1083">
        <v>16700</v>
      </c>
    </row>
    <row r="1084" spans="2:8">
      <c r="B1084" t="s">
        <v>463</v>
      </c>
      <c r="C1084" t="s">
        <v>251</v>
      </c>
      <c r="D1084">
        <v>2050</v>
      </c>
      <c r="E1084">
        <v>2050</v>
      </c>
      <c r="F1084">
        <v>2047.5</v>
      </c>
      <c r="G1084">
        <v>2048.5</v>
      </c>
      <c r="H1084">
        <v>7400</v>
      </c>
    </row>
    <row r="1085" spans="2:8">
      <c r="B1085" t="s">
        <v>463</v>
      </c>
      <c r="C1085" t="s">
        <v>252</v>
      </c>
      <c r="D1085">
        <v>2048.5</v>
      </c>
      <c r="E1085">
        <v>2051</v>
      </c>
      <c r="F1085">
        <v>2047.5</v>
      </c>
      <c r="G1085">
        <v>2047.5</v>
      </c>
      <c r="H1085">
        <v>3500</v>
      </c>
    </row>
    <row r="1086" spans="2:8">
      <c r="B1086" t="s">
        <v>463</v>
      </c>
      <c r="C1086" t="s">
        <v>253</v>
      </c>
      <c r="D1086">
        <v>2047</v>
      </c>
      <c r="E1086">
        <v>2052</v>
      </c>
      <c r="F1086">
        <v>2046.5</v>
      </c>
      <c r="G1086">
        <v>2052</v>
      </c>
      <c r="H1086">
        <v>6600</v>
      </c>
    </row>
    <row r="1087" spans="2:8">
      <c r="B1087" t="s">
        <v>463</v>
      </c>
      <c r="C1087" t="s">
        <v>254</v>
      </c>
      <c r="D1087">
        <v>2051</v>
      </c>
      <c r="E1087">
        <v>2053.5</v>
      </c>
      <c r="F1087">
        <v>2051</v>
      </c>
      <c r="G1087">
        <v>2053</v>
      </c>
      <c r="H1087">
        <v>3000</v>
      </c>
    </row>
    <row r="1088" spans="2:8">
      <c r="B1088" t="s">
        <v>463</v>
      </c>
      <c r="C1088" t="s">
        <v>255</v>
      </c>
      <c r="D1088">
        <v>2052</v>
      </c>
      <c r="E1088">
        <v>2052.5</v>
      </c>
      <c r="F1088">
        <v>2050.5</v>
      </c>
      <c r="G1088">
        <v>2052.5</v>
      </c>
      <c r="H1088">
        <v>1900</v>
      </c>
    </row>
    <row r="1089" spans="2:8">
      <c r="B1089" t="s">
        <v>463</v>
      </c>
      <c r="C1089" t="s">
        <v>256</v>
      </c>
      <c r="D1089">
        <v>2052</v>
      </c>
      <c r="E1089">
        <v>2055.5</v>
      </c>
      <c r="F1089">
        <v>2052</v>
      </c>
      <c r="G1089">
        <v>2054</v>
      </c>
      <c r="H1089">
        <v>6000</v>
      </c>
    </row>
    <row r="1090" spans="2:8">
      <c r="B1090" t="s">
        <v>463</v>
      </c>
      <c r="C1090" t="s">
        <v>257</v>
      </c>
      <c r="D1090">
        <v>2054</v>
      </c>
      <c r="E1090">
        <v>2056</v>
      </c>
      <c r="F1090">
        <v>2046.5</v>
      </c>
      <c r="G1090">
        <v>2046.5</v>
      </c>
      <c r="H1090">
        <v>6700</v>
      </c>
    </row>
    <row r="1091" spans="2:8">
      <c r="B1091" t="s">
        <v>463</v>
      </c>
      <c r="C1091" t="s">
        <v>258</v>
      </c>
      <c r="D1091">
        <v>2047.5</v>
      </c>
      <c r="E1091">
        <v>2053</v>
      </c>
      <c r="F1091">
        <v>2047.5</v>
      </c>
      <c r="G1091">
        <v>2051.5</v>
      </c>
      <c r="H1091">
        <v>2600</v>
      </c>
    </row>
    <row r="1092" spans="2:8">
      <c r="B1092" t="s">
        <v>463</v>
      </c>
      <c r="C1092" t="s">
        <v>259</v>
      </c>
      <c r="D1092">
        <v>2052.5</v>
      </c>
      <c r="E1092">
        <v>2052.5</v>
      </c>
      <c r="F1092">
        <v>2051.5</v>
      </c>
      <c r="G1092">
        <v>2052</v>
      </c>
      <c r="H1092">
        <v>1300</v>
      </c>
    </row>
    <row r="1093" spans="2:8">
      <c r="B1093" t="s">
        <v>463</v>
      </c>
      <c r="C1093" t="s">
        <v>260</v>
      </c>
      <c r="D1093">
        <v>2052.5</v>
      </c>
      <c r="E1093">
        <v>2059.5</v>
      </c>
      <c r="F1093">
        <v>2052.5</v>
      </c>
      <c r="G1093">
        <v>2058</v>
      </c>
      <c r="H1093">
        <v>22500</v>
      </c>
    </row>
    <row r="1094" spans="2:8">
      <c r="B1094" t="s">
        <v>463</v>
      </c>
      <c r="C1094" t="s">
        <v>261</v>
      </c>
      <c r="D1094">
        <v>2056.5</v>
      </c>
      <c r="E1094">
        <v>2058</v>
      </c>
      <c r="F1094">
        <v>2055.5</v>
      </c>
      <c r="G1094">
        <v>2057.5</v>
      </c>
      <c r="H1094">
        <v>2200</v>
      </c>
    </row>
    <row r="1095" spans="2:8">
      <c r="B1095" t="s">
        <v>463</v>
      </c>
      <c r="C1095" t="s">
        <v>262</v>
      </c>
      <c r="D1095">
        <v>2057</v>
      </c>
      <c r="E1095">
        <v>2058</v>
      </c>
      <c r="F1095">
        <v>2054.5</v>
      </c>
      <c r="G1095">
        <v>2058</v>
      </c>
      <c r="H1095">
        <v>10900</v>
      </c>
    </row>
    <row r="1096" spans="2:8">
      <c r="B1096" t="s">
        <v>463</v>
      </c>
      <c r="C1096" t="s">
        <v>263</v>
      </c>
      <c r="D1096">
        <v>2058</v>
      </c>
      <c r="E1096">
        <v>2058</v>
      </c>
      <c r="F1096">
        <v>2056.5</v>
      </c>
      <c r="G1096">
        <v>2058</v>
      </c>
      <c r="H1096">
        <v>5700</v>
      </c>
    </row>
    <row r="1097" spans="2:8">
      <c r="B1097" t="s">
        <v>463</v>
      </c>
      <c r="C1097" t="s">
        <v>264</v>
      </c>
      <c r="D1097">
        <v>2058</v>
      </c>
      <c r="E1097">
        <v>2059</v>
      </c>
      <c r="F1097">
        <v>2056</v>
      </c>
      <c r="G1097">
        <v>2059</v>
      </c>
      <c r="H1097">
        <v>5400</v>
      </c>
    </row>
    <row r="1098" spans="2:8">
      <c r="B1098" t="s">
        <v>463</v>
      </c>
      <c r="C1098" t="s">
        <v>265</v>
      </c>
      <c r="D1098">
        <v>2058.5</v>
      </c>
      <c r="E1098">
        <v>2060</v>
      </c>
      <c r="F1098">
        <v>2058.5</v>
      </c>
      <c r="G1098">
        <v>2059</v>
      </c>
      <c r="H1098">
        <v>7000</v>
      </c>
    </row>
    <row r="1099" spans="2:8">
      <c r="B1099" t="s">
        <v>463</v>
      </c>
      <c r="C1099" t="s">
        <v>266</v>
      </c>
      <c r="D1099">
        <v>2059</v>
      </c>
      <c r="E1099">
        <v>2059</v>
      </c>
      <c r="F1099">
        <v>2056.5</v>
      </c>
      <c r="G1099">
        <v>2056.5</v>
      </c>
      <c r="H1099">
        <v>3100</v>
      </c>
    </row>
    <row r="1100" spans="2:8">
      <c r="B1100" t="s">
        <v>463</v>
      </c>
      <c r="C1100" t="s">
        <v>267</v>
      </c>
      <c r="D1100">
        <v>2056</v>
      </c>
      <c r="E1100">
        <v>2057</v>
      </c>
      <c r="F1100">
        <v>2054.5</v>
      </c>
      <c r="G1100">
        <v>2054.5</v>
      </c>
      <c r="H1100">
        <v>3400</v>
      </c>
    </row>
    <row r="1101" spans="2:8">
      <c r="B1101" t="s">
        <v>463</v>
      </c>
      <c r="C1101" t="s">
        <v>268</v>
      </c>
      <c r="D1101">
        <v>2054.5</v>
      </c>
      <c r="E1101">
        <v>2055.5</v>
      </c>
      <c r="F1101">
        <v>2054</v>
      </c>
      <c r="G1101">
        <v>2055.5</v>
      </c>
      <c r="H1101">
        <v>1700</v>
      </c>
    </row>
    <row r="1102" spans="2:8">
      <c r="B1102" t="s">
        <v>463</v>
      </c>
      <c r="C1102" t="s">
        <v>269</v>
      </c>
      <c r="D1102">
        <v>2055</v>
      </c>
      <c r="E1102">
        <v>2055.5</v>
      </c>
      <c r="F1102">
        <v>2054</v>
      </c>
      <c r="G1102">
        <v>2054</v>
      </c>
      <c r="H1102">
        <v>4100</v>
      </c>
    </row>
    <row r="1103" spans="2:8">
      <c r="B1103" t="s">
        <v>463</v>
      </c>
      <c r="C1103" t="s">
        <v>270</v>
      </c>
      <c r="D1103">
        <v>2054</v>
      </c>
      <c r="E1103">
        <v>2054.5</v>
      </c>
      <c r="F1103">
        <v>2054</v>
      </c>
      <c r="G1103">
        <v>2054.5</v>
      </c>
      <c r="H1103">
        <v>2200</v>
      </c>
    </row>
    <row r="1104" spans="2:8">
      <c r="B1104" t="s">
        <v>463</v>
      </c>
      <c r="C1104" t="s">
        <v>271</v>
      </c>
      <c r="D1104">
        <v>2054</v>
      </c>
      <c r="E1104">
        <v>2054</v>
      </c>
      <c r="F1104">
        <v>2050</v>
      </c>
      <c r="G1104">
        <v>2051</v>
      </c>
      <c r="H1104">
        <v>6400</v>
      </c>
    </row>
    <row r="1105" spans="2:8">
      <c r="B1105" t="s">
        <v>463</v>
      </c>
      <c r="C1105" t="s">
        <v>272</v>
      </c>
      <c r="D1105">
        <v>2050.5</v>
      </c>
      <c r="E1105">
        <v>2050.5</v>
      </c>
      <c r="F1105">
        <v>2047</v>
      </c>
      <c r="G1105">
        <v>2048</v>
      </c>
      <c r="H1105">
        <v>4200</v>
      </c>
    </row>
    <row r="1106" spans="2:8">
      <c r="B1106" t="s">
        <v>463</v>
      </c>
      <c r="C1106" t="s">
        <v>273</v>
      </c>
      <c r="D1106">
        <v>2047.5</v>
      </c>
      <c r="E1106">
        <v>2051.5</v>
      </c>
      <c r="F1106">
        <v>2046.5</v>
      </c>
      <c r="G1106">
        <v>2051.5</v>
      </c>
      <c r="H1106">
        <v>8600</v>
      </c>
    </row>
    <row r="1107" spans="2:8">
      <c r="B1107" t="s">
        <v>463</v>
      </c>
      <c r="C1107" t="s">
        <v>274</v>
      </c>
      <c r="D1107">
        <v>2049.5</v>
      </c>
      <c r="E1107">
        <v>2050</v>
      </c>
      <c r="F1107">
        <v>2047</v>
      </c>
      <c r="G1107">
        <v>2047.5</v>
      </c>
      <c r="H1107">
        <v>2800</v>
      </c>
    </row>
    <row r="1108" spans="2:8">
      <c r="B1108" t="s">
        <v>463</v>
      </c>
      <c r="C1108" t="s">
        <v>275</v>
      </c>
      <c r="D1108">
        <v>2048</v>
      </c>
      <c r="E1108">
        <v>2048</v>
      </c>
      <c r="F1108">
        <v>2046</v>
      </c>
      <c r="G1108">
        <v>2046</v>
      </c>
      <c r="H1108">
        <v>1600</v>
      </c>
    </row>
    <row r="1109" spans="2:8">
      <c r="B1109" t="s">
        <v>463</v>
      </c>
      <c r="C1109" t="s">
        <v>276</v>
      </c>
      <c r="D1109">
        <v>2045.5</v>
      </c>
      <c r="E1109">
        <v>2045.5</v>
      </c>
      <c r="F1109">
        <v>2041</v>
      </c>
      <c r="G1109">
        <v>2042</v>
      </c>
      <c r="H1109">
        <v>6000</v>
      </c>
    </row>
    <row r="1110" spans="2:8">
      <c r="B1110" t="s">
        <v>463</v>
      </c>
      <c r="C1110" t="s">
        <v>277</v>
      </c>
      <c r="D1110">
        <v>2041</v>
      </c>
      <c r="E1110">
        <v>2044.5</v>
      </c>
      <c r="F1110">
        <v>2040.5</v>
      </c>
      <c r="G1110">
        <v>2044.5</v>
      </c>
      <c r="H1110">
        <v>17800</v>
      </c>
    </row>
    <row r="1111" spans="2:8">
      <c r="B1111" t="s">
        <v>463</v>
      </c>
      <c r="C1111" t="s">
        <v>278</v>
      </c>
      <c r="D1111">
        <v>2044</v>
      </c>
      <c r="E1111">
        <v>2045</v>
      </c>
      <c r="F1111">
        <v>2042.5</v>
      </c>
      <c r="G1111">
        <v>2044</v>
      </c>
      <c r="H1111">
        <v>4300</v>
      </c>
    </row>
    <row r="1112" spans="2:8">
      <c r="B1112" t="s">
        <v>463</v>
      </c>
      <c r="C1112" t="s">
        <v>279</v>
      </c>
      <c r="D1112">
        <v>2045</v>
      </c>
      <c r="E1112">
        <v>2047</v>
      </c>
      <c r="F1112">
        <v>2044</v>
      </c>
      <c r="G1112">
        <v>2045</v>
      </c>
      <c r="H1112">
        <v>8100</v>
      </c>
    </row>
    <row r="1113" spans="2:8">
      <c r="B1113" t="s">
        <v>463</v>
      </c>
      <c r="C1113" t="s">
        <v>280</v>
      </c>
      <c r="D1113">
        <v>2045.5</v>
      </c>
      <c r="E1113">
        <v>2045.5</v>
      </c>
      <c r="F1113">
        <v>2045</v>
      </c>
      <c r="G1113">
        <v>2045</v>
      </c>
      <c r="H1113">
        <v>1400</v>
      </c>
    </row>
    <row r="1114" spans="2:8">
      <c r="B1114" t="s">
        <v>463</v>
      </c>
      <c r="C1114" t="s">
        <v>281</v>
      </c>
      <c r="D1114">
        <v>2045</v>
      </c>
      <c r="E1114">
        <v>2045.5</v>
      </c>
      <c r="F1114">
        <v>2043.5</v>
      </c>
      <c r="G1114">
        <v>2045</v>
      </c>
      <c r="H1114">
        <v>4000</v>
      </c>
    </row>
    <row r="1115" spans="2:8">
      <c r="B1115" t="s">
        <v>463</v>
      </c>
      <c r="C1115" t="s">
        <v>282</v>
      </c>
      <c r="D1115">
        <v>2045</v>
      </c>
      <c r="E1115">
        <v>2045</v>
      </c>
      <c r="F1115">
        <v>2041</v>
      </c>
      <c r="G1115">
        <v>2042</v>
      </c>
      <c r="H1115">
        <v>2900</v>
      </c>
    </row>
    <row r="1116" spans="2:8">
      <c r="B1116" t="s">
        <v>463</v>
      </c>
      <c r="C1116" t="s">
        <v>283</v>
      </c>
      <c r="D1116">
        <v>2043</v>
      </c>
      <c r="E1116">
        <v>2043.5</v>
      </c>
      <c r="F1116">
        <v>2043</v>
      </c>
      <c r="G1116">
        <v>2043</v>
      </c>
      <c r="H1116">
        <v>1600</v>
      </c>
    </row>
    <row r="1117" spans="2:8">
      <c r="B1117" t="s">
        <v>463</v>
      </c>
      <c r="C1117" t="s">
        <v>284</v>
      </c>
      <c r="D1117">
        <v>2042.5</v>
      </c>
      <c r="E1117">
        <v>2044.5</v>
      </c>
      <c r="F1117">
        <v>2042.5</v>
      </c>
      <c r="G1117">
        <v>2044</v>
      </c>
      <c r="H1117">
        <v>1900</v>
      </c>
    </row>
    <row r="1118" spans="2:8">
      <c r="B1118" t="s">
        <v>463</v>
      </c>
      <c r="C1118" t="s">
        <v>285</v>
      </c>
      <c r="D1118">
        <v>2043.5</v>
      </c>
      <c r="E1118">
        <v>2047</v>
      </c>
      <c r="F1118">
        <v>2043.5</v>
      </c>
      <c r="G1118">
        <v>2046</v>
      </c>
      <c r="H1118">
        <v>3800</v>
      </c>
    </row>
    <row r="1119" spans="2:8">
      <c r="B1119" t="s">
        <v>463</v>
      </c>
      <c r="C1119" t="s">
        <v>286</v>
      </c>
      <c r="D1119">
        <v>2045.5</v>
      </c>
      <c r="E1119">
        <v>2047</v>
      </c>
      <c r="F1119">
        <v>2045</v>
      </c>
      <c r="G1119">
        <v>2046.5</v>
      </c>
      <c r="H1119">
        <v>2900</v>
      </c>
    </row>
    <row r="1120" spans="2:8">
      <c r="B1120" t="s">
        <v>463</v>
      </c>
      <c r="C1120" t="s">
        <v>287</v>
      </c>
      <c r="D1120">
        <v>2046</v>
      </c>
      <c r="E1120">
        <v>2047</v>
      </c>
      <c r="F1120">
        <v>2045.5</v>
      </c>
      <c r="G1120">
        <v>2047</v>
      </c>
      <c r="H1120">
        <v>2100</v>
      </c>
    </row>
    <row r="1121" spans="2:8">
      <c r="B1121" t="s">
        <v>463</v>
      </c>
      <c r="C1121" t="s">
        <v>288</v>
      </c>
      <c r="D1121">
        <v>2046.5</v>
      </c>
      <c r="E1121">
        <v>2047</v>
      </c>
      <c r="F1121">
        <v>2044.5</v>
      </c>
      <c r="G1121">
        <v>2045</v>
      </c>
      <c r="H1121">
        <v>5900</v>
      </c>
    </row>
    <row r="1122" spans="2:8">
      <c r="B1122" t="s">
        <v>463</v>
      </c>
      <c r="C1122" t="s">
        <v>289</v>
      </c>
      <c r="D1122">
        <v>2047</v>
      </c>
      <c r="E1122">
        <v>2050</v>
      </c>
      <c r="F1122">
        <v>2047</v>
      </c>
      <c r="G1122">
        <v>2048.5</v>
      </c>
      <c r="H1122">
        <v>7800</v>
      </c>
    </row>
    <row r="1123" spans="2:8">
      <c r="B1123" t="s">
        <v>463</v>
      </c>
      <c r="C1123" t="s">
        <v>290</v>
      </c>
      <c r="D1123">
        <v>2049</v>
      </c>
      <c r="E1123">
        <v>2049</v>
      </c>
      <c r="F1123">
        <v>2047.5</v>
      </c>
      <c r="G1123">
        <v>2047.5</v>
      </c>
      <c r="H1123">
        <v>1800</v>
      </c>
    </row>
    <row r="1124" spans="2:8">
      <c r="B1124" t="s">
        <v>463</v>
      </c>
      <c r="C1124" t="s">
        <v>291</v>
      </c>
      <c r="D1124">
        <v>2048</v>
      </c>
      <c r="E1124">
        <v>2049.5</v>
      </c>
      <c r="F1124">
        <v>2048</v>
      </c>
      <c r="G1124">
        <v>2048.5</v>
      </c>
      <c r="H1124">
        <v>800</v>
      </c>
    </row>
    <row r="1125" spans="2:8">
      <c r="B1125" t="s">
        <v>463</v>
      </c>
      <c r="C1125" t="s">
        <v>292</v>
      </c>
      <c r="D1125">
        <v>2048.5</v>
      </c>
      <c r="E1125">
        <v>2048.5</v>
      </c>
      <c r="F1125">
        <v>2046.5</v>
      </c>
      <c r="G1125">
        <v>2046.5</v>
      </c>
      <c r="H1125">
        <v>2600</v>
      </c>
    </row>
    <row r="1126" spans="2:8">
      <c r="B1126" t="s">
        <v>463</v>
      </c>
      <c r="C1126" t="s">
        <v>293</v>
      </c>
      <c r="D1126">
        <v>2047</v>
      </c>
      <c r="E1126">
        <v>2047</v>
      </c>
      <c r="F1126">
        <v>2046.5</v>
      </c>
      <c r="G1126">
        <v>2046.5</v>
      </c>
      <c r="H1126">
        <v>300</v>
      </c>
    </row>
    <row r="1127" spans="2:8">
      <c r="B1127" t="s">
        <v>463</v>
      </c>
      <c r="C1127" t="s">
        <v>294</v>
      </c>
      <c r="D1127">
        <v>2047.5</v>
      </c>
      <c r="E1127">
        <v>2047.5</v>
      </c>
      <c r="F1127">
        <v>2047</v>
      </c>
      <c r="G1127">
        <v>2047.5</v>
      </c>
      <c r="H1127">
        <v>800</v>
      </c>
    </row>
    <row r="1128" spans="2:8">
      <c r="B1128" t="s">
        <v>463</v>
      </c>
      <c r="C1128" t="s">
        <v>295</v>
      </c>
      <c r="D1128">
        <v>2048</v>
      </c>
      <c r="E1128">
        <v>2050</v>
      </c>
      <c r="F1128">
        <v>2047.5</v>
      </c>
      <c r="G1128">
        <v>2050</v>
      </c>
      <c r="H1128">
        <v>2100</v>
      </c>
    </row>
    <row r="1129" spans="2:8">
      <c r="B1129" t="s">
        <v>463</v>
      </c>
      <c r="C1129" t="s">
        <v>296</v>
      </c>
      <c r="D1129">
        <v>2049.5</v>
      </c>
      <c r="E1129">
        <v>2050</v>
      </c>
      <c r="F1129">
        <v>2047.5</v>
      </c>
      <c r="G1129">
        <v>2047.5</v>
      </c>
      <c r="H1129">
        <v>2000</v>
      </c>
    </row>
    <row r="1130" spans="2:8">
      <c r="B1130" t="s">
        <v>463</v>
      </c>
      <c r="C1130" t="s">
        <v>297</v>
      </c>
      <c r="D1130">
        <v>2047</v>
      </c>
      <c r="E1130">
        <v>2048</v>
      </c>
      <c r="F1130">
        <v>2047</v>
      </c>
      <c r="G1130">
        <v>2048</v>
      </c>
      <c r="H1130">
        <v>1900</v>
      </c>
    </row>
    <row r="1131" spans="2:8">
      <c r="B1131" t="s">
        <v>463</v>
      </c>
      <c r="C1131" t="s">
        <v>298</v>
      </c>
      <c r="D1131">
        <v>2048</v>
      </c>
      <c r="E1131">
        <v>2050</v>
      </c>
      <c r="F1131">
        <v>2048</v>
      </c>
      <c r="G1131">
        <v>2048.5</v>
      </c>
      <c r="H1131">
        <v>5200</v>
      </c>
    </row>
    <row r="1132" spans="2:8">
      <c r="B1132" t="s">
        <v>463</v>
      </c>
      <c r="C1132" t="s">
        <v>299</v>
      </c>
      <c r="D1132">
        <v>2048.5</v>
      </c>
      <c r="E1132">
        <v>2048.5</v>
      </c>
      <c r="F1132">
        <v>2047.5</v>
      </c>
      <c r="G1132">
        <v>2047.5</v>
      </c>
      <c r="H1132">
        <v>1000</v>
      </c>
    </row>
    <row r="1133" spans="2:8">
      <c r="B1133" t="s">
        <v>463</v>
      </c>
      <c r="C1133" t="s">
        <v>300</v>
      </c>
      <c r="D1133">
        <v>2048.5</v>
      </c>
      <c r="E1133">
        <v>2048.5</v>
      </c>
      <c r="F1133">
        <v>2047.5</v>
      </c>
      <c r="G1133">
        <v>2048.5</v>
      </c>
      <c r="H1133">
        <v>400</v>
      </c>
    </row>
    <row r="1134" spans="2:8">
      <c r="B1134" t="s">
        <v>463</v>
      </c>
      <c r="C1134" t="s">
        <v>301</v>
      </c>
      <c r="D1134">
        <v>2048</v>
      </c>
      <c r="E1134">
        <v>2050</v>
      </c>
      <c r="F1134">
        <v>2047.5</v>
      </c>
      <c r="G1134">
        <v>2048</v>
      </c>
      <c r="H1134">
        <v>7600</v>
      </c>
    </row>
    <row r="1135" spans="2:8">
      <c r="B1135" t="s">
        <v>463</v>
      </c>
      <c r="C1135" t="s">
        <v>302</v>
      </c>
      <c r="D1135">
        <v>2048.5</v>
      </c>
      <c r="E1135">
        <v>2049</v>
      </c>
      <c r="F1135">
        <v>2047.5</v>
      </c>
      <c r="G1135">
        <v>2049</v>
      </c>
      <c r="H1135">
        <v>2300</v>
      </c>
    </row>
    <row r="1136" spans="2:8">
      <c r="B1136" t="s">
        <v>463</v>
      </c>
      <c r="C1136" t="s">
        <v>303</v>
      </c>
      <c r="D1136">
        <v>2048.5</v>
      </c>
      <c r="E1136">
        <v>2048.5</v>
      </c>
      <c r="F1136">
        <v>2047.5</v>
      </c>
      <c r="G1136">
        <v>2047.5</v>
      </c>
      <c r="H1136">
        <v>1200</v>
      </c>
    </row>
    <row r="1137" spans="2:8">
      <c r="B1137" t="s">
        <v>463</v>
      </c>
      <c r="C1137" t="s">
        <v>304</v>
      </c>
      <c r="D1137">
        <v>2047</v>
      </c>
      <c r="E1137">
        <v>2047.5</v>
      </c>
      <c r="F1137">
        <v>2047</v>
      </c>
      <c r="G1137">
        <v>2047</v>
      </c>
      <c r="H1137">
        <v>800</v>
      </c>
    </row>
    <row r="1138" spans="2:8">
      <c r="B1138" t="s">
        <v>463</v>
      </c>
      <c r="C1138" t="s">
        <v>305</v>
      </c>
      <c r="D1138">
        <v>2048</v>
      </c>
      <c r="E1138">
        <v>2048</v>
      </c>
      <c r="F1138">
        <v>2045</v>
      </c>
      <c r="G1138">
        <v>2045</v>
      </c>
      <c r="H1138">
        <v>3900</v>
      </c>
    </row>
    <row r="1139" spans="2:8">
      <c r="B1139" t="s">
        <v>463</v>
      </c>
      <c r="C1139" t="s">
        <v>306</v>
      </c>
      <c r="D1139">
        <v>2045</v>
      </c>
      <c r="E1139">
        <v>2045.5</v>
      </c>
      <c r="F1139">
        <v>2044.5</v>
      </c>
      <c r="G1139">
        <v>2045</v>
      </c>
      <c r="H1139">
        <v>1500</v>
      </c>
    </row>
    <row r="1140" spans="2:8">
      <c r="B1140" t="s">
        <v>463</v>
      </c>
      <c r="C1140" t="s">
        <v>307</v>
      </c>
      <c r="D1140">
        <v>2045.5</v>
      </c>
      <c r="E1140">
        <v>2046</v>
      </c>
      <c r="F1140">
        <v>2045</v>
      </c>
      <c r="G1140">
        <v>2045.5</v>
      </c>
      <c r="H1140">
        <v>2100</v>
      </c>
    </row>
    <row r="1141" spans="2:8">
      <c r="B1141" t="s">
        <v>463</v>
      </c>
      <c r="C1141" t="s">
        <v>308</v>
      </c>
      <c r="D1141">
        <v>2045</v>
      </c>
      <c r="E1141">
        <v>2046.5</v>
      </c>
      <c r="F1141">
        <v>2045</v>
      </c>
      <c r="G1141">
        <v>2046.5</v>
      </c>
      <c r="H1141">
        <v>1300</v>
      </c>
    </row>
    <row r="1142" spans="2:8">
      <c r="B1142" t="s">
        <v>463</v>
      </c>
      <c r="C1142" t="s">
        <v>309</v>
      </c>
      <c r="D1142">
        <v>2046.5</v>
      </c>
      <c r="E1142">
        <v>2047</v>
      </c>
      <c r="F1142">
        <v>2046.5</v>
      </c>
      <c r="G1142">
        <v>2047</v>
      </c>
      <c r="H1142">
        <v>1300</v>
      </c>
    </row>
    <row r="1143" spans="2:8">
      <c r="B1143" t="s">
        <v>463</v>
      </c>
      <c r="C1143" t="s">
        <v>310</v>
      </c>
      <c r="D1143">
        <v>2048</v>
      </c>
      <c r="E1143">
        <v>2049.5</v>
      </c>
      <c r="F1143">
        <v>2048</v>
      </c>
      <c r="G1143">
        <v>2049.5</v>
      </c>
      <c r="H1143">
        <v>1500</v>
      </c>
    </row>
    <row r="1144" spans="2:8">
      <c r="B1144" t="s">
        <v>463</v>
      </c>
      <c r="C1144" t="s">
        <v>311</v>
      </c>
      <c r="D1144">
        <v>2049.5</v>
      </c>
      <c r="E1144">
        <v>2051.5</v>
      </c>
      <c r="F1144">
        <v>2049</v>
      </c>
      <c r="G1144">
        <v>2050.5</v>
      </c>
      <c r="H1144">
        <v>8400</v>
      </c>
    </row>
    <row r="1145" spans="2:8">
      <c r="B1145" t="s">
        <v>463</v>
      </c>
      <c r="C1145" t="s">
        <v>312</v>
      </c>
      <c r="D1145">
        <v>2051</v>
      </c>
      <c r="E1145">
        <v>2051</v>
      </c>
      <c r="F1145">
        <v>2050</v>
      </c>
      <c r="G1145">
        <v>2051</v>
      </c>
      <c r="H1145">
        <v>1500</v>
      </c>
    </row>
    <row r="1146" spans="2:8">
      <c r="B1146" t="s">
        <v>463</v>
      </c>
      <c r="C1146" t="s">
        <v>313</v>
      </c>
      <c r="D1146">
        <v>2051</v>
      </c>
      <c r="E1146">
        <v>2052.5</v>
      </c>
      <c r="F1146">
        <v>2050</v>
      </c>
      <c r="G1146">
        <v>2052.5</v>
      </c>
      <c r="H1146">
        <v>4100</v>
      </c>
    </row>
    <row r="1147" spans="2:8">
      <c r="B1147" t="s">
        <v>463</v>
      </c>
      <c r="C1147" t="s">
        <v>314</v>
      </c>
      <c r="D1147">
        <v>2053</v>
      </c>
      <c r="E1147">
        <v>2054.5</v>
      </c>
      <c r="F1147">
        <v>2053</v>
      </c>
      <c r="G1147">
        <v>2053</v>
      </c>
      <c r="H1147">
        <v>3000</v>
      </c>
    </row>
    <row r="1148" spans="2:8">
      <c r="B1148" t="s">
        <v>463</v>
      </c>
      <c r="C1148" t="s">
        <v>315</v>
      </c>
      <c r="D1148">
        <v>2053</v>
      </c>
      <c r="E1148">
        <v>2054.5</v>
      </c>
      <c r="F1148">
        <v>2053</v>
      </c>
      <c r="G1148">
        <v>2054.5</v>
      </c>
      <c r="H1148">
        <v>3700</v>
      </c>
    </row>
    <row r="1149" spans="2:8">
      <c r="B1149" t="s">
        <v>463</v>
      </c>
      <c r="C1149" t="s">
        <v>316</v>
      </c>
      <c r="D1149">
        <v>2055</v>
      </c>
      <c r="E1149">
        <v>2055</v>
      </c>
      <c r="F1149">
        <v>2055</v>
      </c>
      <c r="G1149">
        <v>2055</v>
      </c>
      <c r="H1149">
        <v>6500</v>
      </c>
    </row>
    <row r="1150" spans="2:8">
      <c r="B1150" t="s">
        <v>463</v>
      </c>
      <c r="C1150" t="s">
        <v>317</v>
      </c>
      <c r="D1150">
        <v>2048</v>
      </c>
      <c r="E1150">
        <v>2048.5</v>
      </c>
      <c r="F1150">
        <v>2038</v>
      </c>
      <c r="G1150">
        <v>2039</v>
      </c>
      <c r="H1150">
        <v>28100</v>
      </c>
    </row>
    <row r="1151" spans="2:8">
      <c r="B1151" t="s">
        <v>463</v>
      </c>
      <c r="C1151" t="s">
        <v>318</v>
      </c>
      <c r="D1151">
        <v>2038.5</v>
      </c>
      <c r="E1151">
        <v>2040.5</v>
      </c>
      <c r="F1151">
        <v>2037.5</v>
      </c>
      <c r="G1151">
        <v>2039</v>
      </c>
      <c r="H1151">
        <v>5700</v>
      </c>
    </row>
    <row r="1152" spans="2:8">
      <c r="B1152" t="s">
        <v>463</v>
      </c>
      <c r="C1152" t="s">
        <v>319</v>
      </c>
      <c r="D1152">
        <v>2039</v>
      </c>
      <c r="E1152">
        <v>2039</v>
      </c>
      <c r="F1152">
        <v>2037</v>
      </c>
      <c r="G1152">
        <v>2037</v>
      </c>
      <c r="H1152">
        <v>3400</v>
      </c>
    </row>
    <row r="1153" spans="2:8">
      <c r="B1153" t="s">
        <v>463</v>
      </c>
      <c r="C1153" t="s">
        <v>320</v>
      </c>
      <c r="D1153">
        <v>2037</v>
      </c>
      <c r="E1153">
        <v>2039</v>
      </c>
      <c r="F1153">
        <v>2035</v>
      </c>
      <c r="G1153">
        <v>2036.5</v>
      </c>
      <c r="H1153">
        <v>6500</v>
      </c>
    </row>
    <row r="1154" spans="2:8">
      <c r="B1154" t="s">
        <v>463</v>
      </c>
      <c r="C1154" t="s">
        <v>321</v>
      </c>
      <c r="D1154">
        <v>2036</v>
      </c>
      <c r="E1154">
        <v>2038</v>
      </c>
      <c r="F1154">
        <v>2035.5</v>
      </c>
      <c r="G1154">
        <v>2038</v>
      </c>
      <c r="H1154">
        <v>3900</v>
      </c>
    </row>
    <row r="1155" spans="2:8">
      <c r="B1155" t="s">
        <v>463</v>
      </c>
      <c r="C1155" t="s">
        <v>322</v>
      </c>
      <c r="D1155">
        <v>2037.5</v>
      </c>
      <c r="E1155">
        <v>2044.5</v>
      </c>
      <c r="F1155">
        <v>2037.5</v>
      </c>
      <c r="G1155">
        <v>2041.5</v>
      </c>
      <c r="H1155">
        <v>6500</v>
      </c>
    </row>
    <row r="1156" spans="2:8">
      <c r="B1156" t="s">
        <v>463</v>
      </c>
      <c r="C1156" t="s">
        <v>323</v>
      </c>
      <c r="D1156">
        <v>2041.5</v>
      </c>
      <c r="E1156">
        <v>2045</v>
      </c>
      <c r="F1156">
        <v>2041.5</v>
      </c>
      <c r="G1156">
        <v>2044.5</v>
      </c>
      <c r="H1156">
        <v>6900</v>
      </c>
    </row>
    <row r="1157" spans="2:8">
      <c r="B1157" t="s">
        <v>463</v>
      </c>
      <c r="C1157" t="s">
        <v>324</v>
      </c>
      <c r="D1157">
        <v>2044.5</v>
      </c>
      <c r="E1157">
        <v>2045</v>
      </c>
      <c r="F1157">
        <v>2042.5</v>
      </c>
      <c r="G1157">
        <v>2042.5</v>
      </c>
      <c r="H1157">
        <v>2400</v>
      </c>
    </row>
    <row r="1158" spans="2:8">
      <c r="B1158" t="s">
        <v>463</v>
      </c>
      <c r="C1158" t="s">
        <v>325</v>
      </c>
      <c r="D1158">
        <v>2043.5</v>
      </c>
      <c r="E1158">
        <v>2045</v>
      </c>
      <c r="F1158">
        <v>2042</v>
      </c>
      <c r="G1158">
        <v>2043</v>
      </c>
      <c r="H1158">
        <v>6900</v>
      </c>
    </row>
    <row r="1159" spans="2:8">
      <c r="B1159" t="s">
        <v>463</v>
      </c>
      <c r="C1159" t="s">
        <v>326</v>
      </c>
      <c r="D1159">
        <v>2042</v>
      </c>
      <c r="E1159">
        <v>2042.5</v>
      </c>
      <c r="F1159">
        <v>2040.5</v>
      </c>
      <c r="G1159">
        <v>2040.5</v>
      </c>
      <c r="H1159">
        <v>4500</v>
      </c>
    </row>
    <row r="1160" spans="2:8">
      <c r="B1160" t="s">
        <v>463</v>
      </c>
      <c r="C1160" t="s">
        <v>327</v>
      </c>
      <c r="D1160">
        <v>2041</v>
      </c>
      <c r="E1160">
        <v>2044</v>
      </c>
      <c r="F1160">
        <v>2041</v>
      </c>
      <c r="G1160">
        <v>2041</v>
      </c>
      <c r="H1160">
        <v>3800</v>
      </c>
    </row>
    <row r="1161" spans="2:8">
      <c r="B1161" t="s">
        <v>463</v>
      </c>
      <c r="C1161" t="s">
        <v>328</v>
      </c>
      <c r="D1161">
        <v>2041</v>
      </c>
      <c r="E1161">
        <v>2044</v>
      </c>
      <c r="F1161">
        <v>2041</v>
      </c>
      <c r="G1161">
        <v>2044</v>
      </c>
      <c r="H1161">
        <v>1000</v>
      </c>
    </row>
    <row r="1162" spans="2:8">
      <c r="B1162" t="s">
        <v>463</v>
      </c>
      <c r="C1162" t="s">
        <v>329</v>
      </c>
      <c r="D1162">
        <v>2044</v>
      </c>
      <c r="E1162">
        <v>2044.5</v>
      </c>
      <c r="F1162">
        <v>2042.5</v>
      </c>
      <c r="G1162">
        <v>2042.5</v>
      </c>
      <c r="H1162">
        <v>2500</v>
      </c>
    </row>
    <row r="1163" spans="2:8">
      <c r="B1163" t="s">
        <v>463</v>
      </c>
      <c r="C1163" t="s">
        <v>330</v>
      </c>
      <c r="D1163">
        <v>2042.5</v>
      </c>
      <c r="E1163">
        <v>2044</v>
      </c>
      <c r="F1163">
        <v>2042</v>
      </c>
      <c r="G1163">
        <v>2043</v>
      </c>
      <c r="H1163">
        <v>2500</v>
      </c>
    </row>
    <row r="1164" spans="2:8">
      <c r="B1164" t="s">
        <v>463</v>
      </c>
      <c r="C1164" t="s">
        <v>331</v>
      </c>
      <c r="D1164">
        <v>2042.5</v>
      </c>
      <c r="E1164">
        <v>2043.5</v>
      </c>
      <c r="F1164">
        <v>2042.5</v>
      </c>
      <c r="G1164">
        <v>2043.5</v>
      </c>
      <c r="H1164">
        <v>1100</v>
      </c>
    </row>
    <row r="1165" spans="2:8">
      <c r="B1165" t="s">
        <v>463</v>
      </c>
      <c r="C1165" t="s">
        <v>332</v>
      </c>
      <c r="D1165">
        <v>2043</v>
      </c>
      <c r="E1165">
        <v>2047.5</v>
      </c>
      <c r="F1165">
        <v>2042.5</v>
      </c>
      <c r="G1165">
        <v>2046.5</v>
      </c>
      <c r="H1165">
        <v>20300</v>
      </c>
    </row>
    <row r="1166" spans="2:8">
      <c r="B1166" t="s">
        <v>463</v>
      </c>
      <c r="C1166" t="s">
        <v>333</v>
      </c>
      <c r="D1166">
        <v>2047</v>
      </c>
      <c r="E1166">
        <v>2049.5</v>
      </c>
      <c r="F1166">
        <v>2047</v>
      </c>
      <c r="G1166">
        <v>2048</v>
      </c>
      <c r="H1166">
        <v>3300</v>
      </c>
    </row>
    <row r="1167" spans="2:8">
      <c r="B1167" t="s">
        <v>463</v>
      </c>
      <c r="C1167" t="s">
        <v>334</v>
      </c>
      <c r="D1167">
        <v>2048</v>
      </c>
      <c r="E1167">
        <v>2049</v>
      </c>
      <c r="F1167">
        <v>2048</v>
      </c>
      <c r="G1167">
        <v>2048</v>
      </c>
      <c r="H1167">
        <v>2700</v>
      </c>
    </row>
    <row r="1168" spans="2:8">
      <c r="B1168" t="s">
        <v>463</v>
      </c>
      <c r="C1168" t="s">
        <v>335</v>
      </c>
      <c r="D1168">
        <v>2048</v>
      </c>
      <c r="E1168">
        <v>2053.5</v>
      </c>
      <c r="F1168">
        <v>2048</v>
      </c>
      <c r="G1168">
        <v>2052</v>
      </c>
      <c r="H1168">
        <v>4900</v>
      </c>
    </row>
    <row r="1169" spans="2:8">
      <c r="B1169" t="s">
        <v>463</v>
      </c>
      <c r="C1169" t="s">
        <v>336</v>
      </c>
      <c r="D1169">
        <v>2052</v>
      </c>
      <c r="E1169">
        <v>2052.5</v>
      </c>
      <c r="F1169">
        <v>2049.5</v>
      </c>
      <c r="G1169">
        <v>2049.5</v>
      </c>
      <c r="H1169">
        <v>7000</v>
      </c>
    </row>
    <row r="1170" spans="2:8">
      <c r="B1170" t="s">
        <v>463</v>
      </c>
      <c r="C1170" t="s">
        <v>337</v>
      </c>
      <c r="D1170">
        <v>2049</v>
      </c>
      <c r="E1170">
        <v>2049</v>
      </c>
      <c r="F1170">
        <v>2046</v>
      </c>
      <c r="G1170">
        <v>2046</v>
      </c>
      <c r="H1170">
        <v>6300</v>
      </c>
    </row>
    <row r="1171" spans="2:8">
      <c r="B1171" t="s">
        <v>463</v>
      </c>
      <c r="C1171" t="s">
        <v>338</v>
      </c>
      <c r="D1171">
        <v>2046.5</v>
      </c>
      <c r="E1171">
        <v>2048</v>
      </c>
      <c r="F1171">
        <v>2046.5</v>
      </c>
      <c r="G1171">
        <v>2047.5</v>
      </c>
      <c r="H1171">
        <v>1000</v>
      </c>
    </row>
    <row r="1172" spans="2:8">
      <c r="B1172" t="s">
        <v>463</v>
      </c>
      <c r="C1172" t="s">
        <v>339</v>
      </c>
      <c r="D1172">
        <v>2047.5</v>
      </c>
      <c r="E1172">
        <v>2048</v>
      </c>
      <c r="F1172">
        <v>2047.5</v>
      </c>
      <c r="G1172">
        <v>2047.5</v>
      </c>
      <c r="H1172">
        <v>700</v>
      </c>
    </row>
    <row r="1173" spans="2:8">
      <c r="B1173" t="s">
        <v>463</v>
      </c>
      <c r="C1173" t="s">
        <v>340</v>
      </c>
      <c r="D1173">
        <v>2048.5</v>
      </c>
      <c r="E1173">
        <v>2051</v>
      </c>
      <c r="F1173">
        <v>2048</v>
      </c>
      <c r="G1173">
        <v>2050</v>
      </c>
      <c r="H1173">
        <v>4400</v>
      </c>
    </row>
    <row r="1174" spans="2:8">
      <c r="B1174" t="s">
        <v>463</v>
      </c>
      <c r="C1174" t="s">
        <v>341</v>
      </c>
      <c r="D1174">
        <v>2050.5</v>
      </c>
      <c r="E1174">
        <v>2053.5</v>
      </c>
      <c r="F1174">
        <v>2050.5</v>
      </c>
      <c r="G1174">
        <v>2052</v>
      </c>
      <c r="H1174">
        <v>4000</v>
      </c>
    </row>
    <row r="1175" spans="2:8">
      <c r="B1175" t="s">
        <v>463</v>
      </c>
      <c r="C1175" t="s">
        <v>342</v>
      </c>
      <c r="D1175">
        <v>2053</v>
      </c>
      <c r="E1175">
        <v>2053</v>
      </c>
      <c r="F1175">
        <v>2049.5</v>
      </c>
      <c r="G1175">
        <v>2049.5</v>
      </c>
      <c r="H1175">
        <v>2900</v>
      </c>
    </row>
    <row r="1176" spans="2:8">
      <c r="B1176" t="s">
        <v>463</v>
      </c>
      <c r="C1176" t="s">
        <v>343</v>
      </c>
      <c r="D1176">
        <v>2050.5</v>
      </c>
      <c r="E1176">
        <v>2050.5</v>
      </c>
      <c r="F1176">
        <v>2048</v>
      </c>
      <c r="G1176">
        <v>2049</v>
      </c>
      <c r="H1176">
        <v>5300</v>
      </c>
    </row>
    <row r="1177" spans="2:8">
      <c r="B1177" t="s">
        <v>463</v>
      </c>
      <c r="C1177" t="s">
        <v>344</v>
      </c>
      <c r="D1177">
        <v>2049</v>
      </c>
      <c r="E1177">
        <v>2049</v>
      </c>
      <c r="F1177">
        <v>2047</v>
      </c>
      <c r="G1177">
        <v>2047.5</v>
      </c>
      <c r="H1177">
        <v>2700</v>
      </c>
    </row>
    <row r="1178" spans="2:8">
      <c r="B1178" t="s">
        <v>463</v>
      </c>
      <c r="C1178" t="s">
        <v>345</v>
      </c>
      <c r="D1178">
        <v>2047</v>
      </c>
      <c r="E1178">
        <v>2047.5</v>
      </c>
      <c r="F1178">
        <v>2045</v>
      </c>
      <c r="G1178">
        <v>2045</v>
      </c>
      <c r="H1178">
        <v>2700</v>
      </c>
    </row>
    <row r="1179" spans="2:8">
      <c r="B1179" t="s">
        <v>463</v>
      </c>
      <c r="C1179" t="s">
        <v>346</v>
      </c>
      <c r="D1179">
        <v>2044</v>
      </c>
      <c r="E1179">
        <v>2045</v>
      </c>
      <c r="F1179">
        <v>2043</v>
      </c>
      <c r="G1179">
        <v>2043.5</v>
      </c>
      <c r="H1179">
        <v>3100</v>
      </c>
    </row>
    <row r="1180" spans="2:8">
      <c r="B1180" t="s">
        <v>463</v>
      </c>
      <c r="C1180" t="s">
        <v>347</v>
      </c>
      <c r="D1180">
        <v>2043.5</v>
      </c>
      <c r="E1180">
        <v>2043.5</v>
      </c>
      <c r="F1180">
        <v>2036.5</v>
      </c>
      <c r="G1180">
        <v>2039</v>
      </c>
      <c r="H1180">
        <v>10800</v>
      </c>
    </row>
    <row r="1181" spans="2:8">
      <c r="B1181" t="s">
        <v>463</v>
      </c>
      <c r="C1181" t="s">
        <v>348</v>
      </c>
      <c r="D1181">
        <v>2039.5</v>
      </c>
      <c r="E1181">
        <v>2043.5</v>
      </c>
      <c r="F1181">
        <v>2039.5</v>
      </c>
      <c r="G1181">
        <v>2043</v>
      </c>
      <c r="H1181">
        <v>3900</v>
      </c>
    </row>
    <row r="1182" spans="2:8">
      <c r="B1182" t="s">
        <v>463</v>
      </c>
      <c r="C1182" t="s">
        <v>349</v>
      </c>
      <c r="D1182">
        <v>2042.5</v>
      </c>
      <c r="E1182">
        <v>2043</v>
      </c>
      <c r="F1182">
        <v>2041.5</v>
      </c>
      <c r="G1182">
        <v>2041.5</v>
      </c>
      <c r="H1182">
        <v>1000</v>
      </c>
    </row>
    <row r="1183" spans="2:8">
      <c r="B1183" t="s">
        <v>463</v>
      </c>
      <c r="C1183" t="s">
        <v>350</v>
      </c>
      <c r="D1183">
        <v>2041</v>
      </c>
      <c r="E1183">
        <v>2041.5</v>
      </c>
      <c r="F1183">
        <v>2041</v>
      </c>
      <c r="G1183">
        <v>2041.5</v>
      </c>
      <c r="H1183">
        <v>600</v>
      </c>
    </row>
    <row r="1184" spans="2:8">
      <c r="B1184" t="s">
        <v>463</v>
      </c>
      <c r="C1184" t="s">
        <v>351</v>
      </c>
      <c r="D1184">
        <v>2041</v>
      </c>
      <c r="E1184">
        <v>2041</v>
      </c>
      <c r="F1184">
        <v>2040</v>
      </c>
      <c r="G1184">
        <v>2041</v>
      </c>
      <c r="H1184">
        <v>3200</v>
      </c>
    </row>
    <row r="1185" spans="2:8">
      <c r="B1185" t="s">
        <v>463</v>
      </c>
      <c r="C1185" t="s">
        <v>352</v>
      </c>
      <c r="D1185">
        <v>2041</v>
      </c>
      <c r="E1185">
        <v>2041.5</v>
      </c>
      <c r="F1185">
        <v>2040</v>
      </c>
      <c r="G1185">
        <v>2041.5</v>
      </c>
      <c r="H1185">
        <v>1500</v>
      </c>
    </row>
    <row r="1186" spans="2:8">
      <c r="B1186" t="s">
        <v>463</v>
      </c>
      <c r="C1186" t="s">
        <v>353</v>
      </c>
      <c r="D1186">
        <v>2041.5</v>
      </c>
      <c r="E1186">
        <v>2041.5</v>
      </c>
      <c r="F1186">
        <v>2039</v>
      </c>
      <c r="G1186">
        <v>2040</v>
      </c>
      <c r="H1186">
        <v>3300</v>
      </c>
    </row>
    <row r="1187" spans="2:8">
      <c r="B1187" t="s">
        <v>463</v>
      </c>
      <c r="C1187" t="s">
        <v>354</v>
      </c>
      <c r="D1187">
        <v>2041</v>
      </c>
      <c r="E1187">
        <v>2041</v>
      </c>
      <c r="F1187">
        <v>2039</v>
      </c>
      <c r="G1187">
        <v>2039</v>
      </c>
      <c r="H1187">
        <v>2200</v>
      </c>
    </row>
    <row r="1188" spans="2:8">
      <c r="B1188" t="s">
        <v>463</v>
      </c>
      <c r="C1188" t="s">
        <v>355</v>
      </c>
      <c r="D1188">
        <v>2039.5</v>
      </c>
      <c r="E1188">
        <v>2040</v>
      </c>
      <c r="F1188">
        <v>2039</v>
      </c>
      <c r="G1188">
        <v>2039</v>
      </c>
      <c r="H1188">
        <v>700</v>
      </c>
    </row>
    <row r="1189" spans="2:8">
      <c r="B1189" t="s">
        <v>463</v>
      </c>
      <c r="C1189" t="s">
        <v>356</v>
      </c>
      <c r="D1189">
        <v>2039</v>
      </c>
      <c r="E1189">
        <v>2039</v>
      </c>
      <c r="F1189">
        <v>2039</v>
      </c>
      <c r="G1189">
        <v>2039</v>
      </c>
      <c r="H1189">
        <v>400</v>
      </c>
    </row>
    <row r="1190" spans="2:8">
      <c r="B1190" t="s">
        <v>463</v>
      </c>
      <c r="C1190" t="s">
        <v>357</v>
      </c>
      <c r="D1190">
        <v>2039.5</v>
      </c>
      <c r="E1190">
        <v>2039.5</v>
      </c>
      <c r="F1190">
        <v>2038.5</v>
      </c>
      <c r="G1190">
        <v>2038.5</v>
      </c>
      <c r="H1190">
        <v>2500</v>
      </c>
    </row>
    <row r="1191" spans="2:8">
      <c r="B1191" t="s">
        <v>463</v>
      </c>
      <c r="C1191" t="s">
        <v>358</v>
      </c>
      <c r="D1191">
        <v>2038</v>
      </c>
      <c r="E1191">
        <v>2039</v>
      </c>
      <c r="F1191">
        <v>2037.5</v>
      </c>
      <c r="G1191">
        <v>2039</v>
      </c>
      <c r="H1191">
        <v>2000</v>
      </c>
    </row>
    <row r="1192" spans="2:8">
      <c r="B1192" t="s">
        <v>463</v>
      </c>
      <c r="C1192" t="s">
        <v>359</v>
      </c>
      <c r="D1192">
        <v>2039.5</v>
      </c>
      <c r="E1192">
        <v>2039.5</v>
      </c>
      <c r="F1192">
        <v>2037</v>
      </c>
      <c r="G1192">
        <v>2037</v>
      </c>
      <c r="H1192">
        <v>4700</v>
      </c>
    </row>
    <row r="1193" spans="2:8">
      <c r="B1193" t="s">
        <v>463</v>
      </c>
      <c r="C1193" t="s">
        <v>360</v>
      </c>
      <c r="D1193">
        <v>2036.5</v>
      </c>
      <c r="E1193">
        <v>2037</v>
      </c>
      <c r="F1193">
        <v>2036</v>
      </c>
      <c r="G1193">
        <v>2036.5</v>
      </c>
      <c r="H1193">
        <v>2200</v>
      </c>
    </row>
    <row r="1194" spans="2:8">
      <c r="B1194" t="s">
        <v>463</v>
      </c>
      <c r="C1194" t="s">
        <v>361</v>
      </c>
      <c r="D1194">
        <v>2036.5</v>
      </c>
      <c r="E1194">
        <v>2036.5</v>
      </c>
      <c r="F1194">
        <v>2035.5</v>
      </c>
      <c r="G1194">
        <v>2036</v>
      </c>
      <c r="H1194">
        <v>1100</v>
      </c>
    </row>
    <row r="1195" spans="2:8">
      <c r="B1195" t="s">
        <v>463</v>
      </c>
      <c r="C1195" t="s">
        <v>362</v>
      </c>
      <c r="D1195">
        <v>2036</v>
      </c>
      <c r="E1195">
        <v>2036</v>
      </c>
      <c r="F1195">
        <v>2032.5</v>
      </c>
      <c r="G1195">
        <v>2033.5</v>
      </c>
      <c r="H1195">
        <v>6100</v>
      </c>
    </row>
    <row r="1196" spans="2:8">
      <c r="B1196" t="s">
        <v>463</v>
      </c>
      <c r="C1196" t="s">
        <v>363</v>
      </c>
      <c r="D1196">
        <v>2033</v>
      </c>
      <c r="E1196">
        <v>2033</v>
      </c>
      <c r="F1196">
        <v>2032.5</v>
      </c>
      <c r="G1196">
        <v>2033</v>
      </c>
      <c r="H1196">
        <v>700</v>
      </c>
    </row>
    <row r="1197" spans="2:8">
      <c r="B1197" t="s">
        <v>463</v>
      </c>
      <c r="C1197" t="s">
        <v>364</v>
      </c>
      <c r="D1197">
        <v>2032.5</v>
      </c>
      <c r="E1197">
        <v>2032.5</v>
      </c>
      <c r="F1197">
        <v>2031</v>
      </c>
      <c r="G1197">
        <v>2031.5</v>
      </c>
      <c r="H1197">
        <v>1700</v>
      </c>
    </row>
    <row r="1198" spans="2:8">
      <c r="B1198" t="s">
        <v>463</v>
      </c>
      <c r="C1198" t="s">
        <v>365</v>
      </c>
      <c r="D1198">
        <v>2032</v>
      </c>
      <c r="E1198">
        <v>2034.5</v>
      </c>
      <c r="F1198">
        <v>2032</v>
      </c>
      <c r="G1198">
        <v>2032</v>
      </c>
      <c r="H1198">
        <v>4800</v>
      </c>
    </row>
    <row r="1199" spans="2:8">
      <c r="B1199" t="s">
        <v>463</v>
      </c>
      <c r="C1199" t="s">
        <v>366</v>
      </c>
      <c r="D1199">
        <v>2032.5</v>
      </c>
      <c r="E1199">
        <v>2033.5</v>
      </c>
      <c r="F1199">
        <v>2032</v>
      </c>
      <c r="G1199">
        <v>2033</v>
      </c>
      <c r="H1199">
        <v>1600</v>
      </c>
    </row>
    <row r="1200" spans="2:8">
      <c r="B1200" t="s">
        <v>463</v>
      </c>
      <c r="C1200" t="s">
        <v>367</v>
      </c>
      <c r="D1200">
        <v>2033.5</v>
      </c>
      <c r="E1200">
        <v>2033.5</v>
      </c>
      <c r="F1200">
        <v>2031.5</v>
      </c>
      <c r="G1200">
        <v>2032.5</v>
      </c>
      <c r="H1200">
        <v>2600</v>
      </c>
    </row>
    <row r="1201" spans="2:8">
      <c r="B1201" t="s">
        <v>463</v>
      </c>
      <c r="C1201" t="s">
        <v>368</v>
      </c>
      <c r="D1201">
        <v>2032.5</v>
      </c>
      <c r="E1201">
        <v>2032.5</v>
      </c>
      <c r="F1201">
        <v>2031.5</v>
      </c>
      <c r="G1201">
        <v>2031.5</v>
      </c>
      <c r="H1201">
        <v>1900</v>
      </c>
    </row>
    <row r="1202" spans="2:8">
      <c r="B1202" t="s">
        <v>463</v>
      </c>
      <c r="C1202" t="s">
        <v>369</v>
      </c>
      <c r="D1202">
        <v>2031.5</v>
      </c>
      <c r="E1202">
        <v>2033</v>
      </c>
      <c r="F1202">
        <v>2031.5</v>
      </c>
      <c r="G1202">
        <v>2032</v>
      </c>
      <c r="H1202">
        <v>1300</v>
      </c>
    </row>
    <row r="1203" spans="2:8">
      <c r="B1203" t="s">
        <v>463</v>
      </c>
      <c r="C1203" t="s">
        <v>370</v>
      </c>
      <c r="D1203">
        <v>2032.5</v>
      </c>
      <c r="E1203">
        <v>2035.5</v>
      </c>
      <c r="F1203">
        <v>2032.5</v>
      </c>
      <c r="G1203">
        <v>2035.5</v>
      </c>
      <c r="H1203">
        <v>3300</v>
      </c>
    </row>
    <row r="1204" spans="2:8">
      <c r="B1204" t="s">
        <v>463</v>
      </c>
      <c r="C1204" t="s">
        <v>371</v>
      </c>
      <c r="D1204">
        <v>2033.5</v>
      </c>
      <c r="E1204">
        <v>2035.5</v>
      </c>
      <c r="F1204">
        <v>2033.5</v>
      </c>
      <c r="G1204">
        <v>2035.5</v>
      </c>
      <c r="H1204">
        <v>2500</v>
      </c>
    </row>
    <row r="1205" spans="2:8">
      <c r="B1205" t="s">
        <v>463</v>
      </c>
      <c r="C1205" t="s">
        <v>372</v>
      </c>
      <c r="D1205">
        <v>2035</v>
      </c>
      <c r="E1205">
        <v>2037.5</v>
      </c>
      <c r="F1205">
        <v>2034.5</v>
      </c>
      <c r="G1205">
        <v>2035</v>
      </c>
      <c r="H1205">
        <v>6800</v>
      </c>
    </row>
    <row r="1206" spans="2:8">
      <c r="B1206" t="s">
        <v>463</v>
      </c>
      <c r="C1206" t="s">
        <v>373</v>
      </c>
      <c r="D1206">
        <v>2035</v>
      </c>
      <c r="E1206">
        <v>2035.5</v>
      </c>
      <c r="F1206">
        <v>2032</v>
      </c>
      <c r="G1206">
        <v>2032</v>
      </c>
      <c r="H1206">
        <v>3000</v>
      </c>
    </row>
    <row r="1207" spans="2:8">
      <c r="B1207" t="s">
        <v>463</v>
      </c>
      <c r="C1207" t="s">
        <v>374</v>
      </c>
      <c r="D1207">
        <v>2032.5</v>
      </c>
      <c r="E1207">
        <v>2032.5</v>
      </c>
      <c r="F1207">
        <v>2030.5</v>
      </c>
      <c r="G1207">
        <v>2030.5</v>
      </c>
      <c r="H1207">
        <v>2400</v>
      </c>
    </row>
    <row r="1208" spans="2:8">
      <c r="B1208" t="s">
        <v>463</v>
      </c>
      <c r="C1208" t="s">
        <v>375</v>
      </c>
      <c r="D1208">
        <v>2032</v>
      </c>
      <c r="E1208">
        <v>2032</v>
      </c>
      <c r="F1208">
        <v>2029</v>
      </c>
      <c r="G1208">
        <v>2031.5</v>
      </c>
      <c r="H1208">
        <v>10000</v>
      </c>
    </row>
    <row r="1209" spans="2:8">
      <c r="B1209" t="s">
        <v>463</v>
      </c>
      <c r="C1209" t="s">
        <v>376</v>
      </c>
      <c r="D1209">
        <v>2031</v>
      </c>
      <c r="E1209">
        <v>2031</v>
      </c>
      <c r="F1209">
        <v>2030</v>
      </c>
      <c r="G1209">
        <v>2031</v>
      </c>
      <c r="H1209">
        <v>1900</v>
      </c>
    </row>
    <row r="1210" spans="2:8">
      <c r="B1210" t="s">
        <v>463</v>
      </c>
      <c r="C1210" t="s">
        <v>377</v>
      </c>
      <c r="D1210">
        <v>2030.5</v>
      </c>
      <c r="E1210">
        <v>2031</v>
      </c>
      <c r="F1210">
        <v>2029.5</v>
      </c>
      <c r="G1210">
        <v>2029.5</v>
      </c>
      <c r="H1210">
        <v>1600</v>
      </c>
    </row>
    <row r="1211" spans="2:8">
      <c r="B1211" t="s">
        <v>463</v>
      </c>
      <c r="C1211" t="s">
        <v>378</v>
      </c>
      <c r="D1211">
        <v>2029.5</v>
      </c>
      <c r="E1211">
        <v>2030</v>
      </c>
      <c r="F1211">
        <v>2028.5</v>
      </c>
      <c r="G1211">
        <v>2030</v>
      </c>
      <c r="H1211">
        <v>3000</v>
      </c>
    </row>
    <row r="1212" spans="2:8">
      <c r="B1212" t="s">
        <v>463</v>
      </c>
      <c r="C1212" t="s">
        <v>379</v>
      </c>
      <c r="D1212">
        <v>2030</v>
      </c>
      <c r="E1212">
        <v>2031</v>
      </c>
      <c r="F1212">
        <v>2029.5</v>
      </c>
      <c r="G1212">
        <v>2029.5</v>
      </c>
      <c r="H1212">
        <v>1600</v>
      </c>
    </row>
    <row r="1213" spans="2:8">
      <c r="B1213" t="s">
        <v>463</v>
      </c>
      <c r="C1213" t="s">
        <v>380</v>
      </c>
      <c r="D1213">
        <v>2029.5</v>
      </c>
      <c r="E1213">
        <v>2031</v>
      </c>
      <c r="F1213">
        <v>2029.5</v>
      </c>
      <c r="G1213">
        <v>2031</v>
      </c>
      <c r="H1213">
        <v>2500</v>
      </c>
    </row>
    <row r="1214" spans="2:8">
      <c r="B1214" t="s">
        <v>463</v>
      </c>
      <c r="C1214" t="s">
        <v>381</v>
      </c>
      <c r="D1214">
        <v>2030.5</v>
      </c>
      <c r="E1214">
        <v>2032.5</v>
      </c>
      <c r="F1214">
        <v>2030.5</v>
      </c>
      <c r="G1214">
        <v>2032</v>
      </c>
      <c r="H1214">
        <v>3000</v>
      </c>
    </row>
    <row r="1215" spans="2:8">
      <c r="B1215" t="s">
        <v>463</v>
      </c>
      <c r="C1215" t="s">
        <v>382</v>
      </c>
      <c r="D1215">
        <v>2031</v>
      </c>
      <c r="E1215">
        <v>2034</v>
      </c>
      <c r="F1215">
        <v>2031</v>
      </c>
      <c r="G1215">
        <v>2033</v>
      </c>
      <c r="H1215">
        <v>4700</v>
      </c>
    </row>
    <row r="1216" spans="2:8">
      <c r="B1216" t="s">
        <v>463</v>
      </c>
      <c r="C1216" t="s">
        <v>383</v>
      </c>
      <c r="D1216">
        <v>2033</v>
      </c>
      <c r="E1216">
        <v>2033</v>
      </c>
      <c r="F1216">
        <v>2032</v>
      </c>
      <c r="G1216">
        <v>2032</v>
      </c>
      <c r="H1216">
        <v>1100</v>
      </c>
    </row>
    <row r="1217" spans="2:8">
      <c r="B1217" t="s">
        <v>463</v>
      </c>
      <c r="C1217" t="s">
        <v>384</v>
      </c>
      <c r="D1217">
        <v>2032</v>
      </c>
      <c r="E1217">
        <v>2032</v>
      </c>
      <c r="F1217">
        <v>2031</v>
      </c>
      <c r="G1217">
        <v>2031.5</v>
      </c>
      <c r="H1217">
        <v>1000</v>
      </c>
    </row>
    <row r="1218" spans="2:8">
      <c r="B1218" t="s">
        <v>463</v>
      </c>
      <c r="C1218" t="s">
        <v>385</v>
      </c>
      <c r="D1218">
        <v>2032</v>
      </c>
      <c r="E1218">
        <v>2032</v>
      </c>
      <c r="F1218">
        <v>2031</v>
      </c>
      <c r="G1218">
        <v>2031</v>
      </c>
      <c r="H1218">
        <v>800</v>
      </c>
    </row>
    <row r="1219" spans="2:8">
      <c r="B1219" t="s">
        <v>463</v>
      </c>
      <c r="C1219" t="s">
        <v>386</v>
      </c>
      <c r="D1219">
        <v>2032</v>
      </c>
      <c r="E1219">
        <v>2032.5</v>
      </c>
      <c r="F1219">
        <v>2032</v>
      </c>
      <c r="G1219">
        <v>2032.5</v>
      </c>
      <c r="H1219">
        <v>400</v>
      </c>
    </row>
    <row r="1220" spans="2:8">
      <c r="B1220" t="s">
        <v>463</v>
      </c>
      <c r="C1220" t="s">
        <v>387</v>
      </c>
      <c r="D1220">
        <v>2033</v>
      </c>
      <c r="E1220">
        <v>2033.5</v>
      </c>
      <c r="F1220">
        <v>2032.5</v>
      </c>
      <c r="G1220">
        <v>2032.5</v>
      </c>
      <c r="H1220">
        <v>2300</v>
      </c>
    </row>
    <row r="1221" spans="2:8">
      <c r="B1221" t="s">
        <v>463</v>
      </c>
      <c r="C1221" t="s">
        <v>388</v>
      </c>
      <c r="D1221">
        <v>2032</v>
      </c>
      <c r="E1221">
        <v>2033</v>
      </c>
      <c r="F1221">
        <v>2032</v>
      </c>
      <c r="G1221">
        <v>2033</v>
      </c>
      <c r="H1221">
        <v>500</v>
      </c>
    </row>
    <row r="1222" spans="2:8">
      <c r="B1222" t="s">
        <v>463</v>
      </c>
      <c r="C1222" t="s">
        <v>389</v>
      </c>
      <c r="D1222">
        <v>2033.5</v>
      </c>
      <c r="E1222">
        <v>2033.5</v>
      </c>
      <c r="F1222">
        <v>2033.5</v>
      </c>
      <c r="G1222">
        <v>2033.5</v>
      </c>
      <c r="H1222">
        <v>200</v>
      </c>
    </row>
    <row r="1223" spans="2:8">
      <c r="B1223" t="s">
        <v>463</v>
      </c>
      <c r="C1223" t="s">
        <v>390</v>
      </c>
      <c r="D1223">
        <v>2033.5</v>
      </c>
      <c r="E1223">
        <v>2033.5</v>
      </c>
      <c r="F1223">
        <v>2032.5</v>
      </c>
      <c r="G1223">
        <v>2033.5</v>
      </c>
      <c r="H1223">
        <v>3600</v>
      </c>
    </row>
    <row r="1224" spans="2:8">
      <c r="B1224" t="s">
        <v>463</v>
      </c>
      <c r="C1224" t="s">
        <v>391</v>
      </c>
      <c r="D1224">
        <v>2033</v>
      </c>
      <c r="E1224">
        <v>2033.5</v>
      </c>
      <c r="F1224">
        <v>2033</v>
      </c>
      <c r="G1224">
        <v>2033</v>
      </c>
      <c r="H1224">
        <v>1000</v>
      </c>
    </row>
    <row r="1225" spans="2:8">
      <c r="B1225" t="s">
        <v>463</v>
      </c>
      <c r="C1225" t="s">
        <v>392</v>
      </c>
      <c r="D1225">
        <v>2033.5</v>
      </c>
      <c r="E1225">
        <v>2035</v>
      </c>
      <c r="F1225">
        <v>2033.5</v>
      </c>
      <c r="G1225">
        <v>2033.5</v>
      </c>
      <c r="H1225">
        <v>1000</v>
      </c>
    </row>
    <row r="1226" spans="2:8">
      <c r="B1226" t="s">
        <v>463</v>
      </c>
      <c r="C1226" t="s">
        <v>393</v>
      </c>
      <c r="D1226">
        <v>2033.5</v>
      </c>
      <c r="E1226">
        <v>2033.5</v>
      </c>
      <c r="F1226">
        <v>2033.5</v>
      </c>
      <c r="G1226">
        <v>2033.5</v>
      </c>
      <c r="H1226">
        <v>200</v>
      </c>
    </row>
    <row r="1227" spans="2:8">
      <c r="B1227" t="s">
        <v>463</v>
      </c>
      <c r="C1227" t="s">
        <v>394</v>
      </c>
      <c r="D1227">
        <v>2034</v>
      </c>
      <c r="E1227">
        <v>2034</v>
      </c>
      <c r="F1227">
        <v>2032.5</v>
      </c>
      <c r="G1227">
        <v>2032.5</v>
      </c>
      <c r="H1227">
        <v>1600</v>
      </c>
    </row>
    <row r="1228" spans="2:8">
      <c r="B1228" t="s">
        <v>463</v>
      </c>
      <c r="C1228" t="s">
        <v>395</v>
      </c>
      <c r="D1228">
        <v>2033</v>
      </c>
      <c r="E1228">
        <v>2033.5</v>
      </c>
      <c r="F1228">
        <v>2033</v>
      </c>
      <c r="G1228">
        <v>2033</v>
      </c>
      <c r="H1228">
        <v>500</v>
      </c>
    </row>
    <row r="1229" spans="2:8">
      <c r="B1229" t="s">
        <v>463</v>
      </c>
      <c r="C1229" t="s">
        <v>396</v>
      </c>
      <c r="D1229">
        <v>2033.5</v>
      </c>
      <c r="E1229">
        <v>2038.5</v>
      </c>
      <c r="F1229">
        <v>2033.5</v>
      </c>
      <c r="G1229">
        <v>2038</v>
      </c>
      <c r="H1229">
        <v>7200</v>
      </c>
    </row>
    <row r="1230" spans="2:8">
      <c r="B1230" t="s">
        <v>463</v>
      </c>
      <c r="C1230" t="s">
        <v>397</v>
      </c>
      <c r="D1230">
        <v>2038.5</v>
      </c>
      <c r="E1230">
        <v>2040</v>
      </c>
      <c r="F1230">
        <v>2038.5</v>
      </c>
      <c r="G1230">
        <v>2038.5</v>
      </c>
      <c r="H1230">
        <v>7800</v>
      </c>
    </row>
    <row r="1231" spans="2:8">
      <c r="B1231" t="s">
        <v>463</v>
      </c>
      <c r="C1231" t="s">
        <v>398</v>
      </c>
      <c r="D1231">
        <v>2039</v>
      </c>
      <c r="E1231">
        <v>2039</v>
      </c>
      <c r="F1231">
        <v>2038</v>
      </c>
      <c r="G1231">
        <v>2038</v>
      </c>
      <c r="H1231">
        <v>400</v>
      </c>
    </row>
    <row r="1232" spans="2:8">
      <c r="B1232" t="s">
        <v>463</v>
      </c>
      <c r="C1232" t="s">
        <v>399</v>
      </c>
      <c r="D1232">
        <v>2038.5</v>
      </c>
      <c r="E1232">
        <v>2043.5</v>
      </c>
      <c r="F1232">
        <v>2037.5</v>
      </c>
      <c r="G1232">
        <v>2043</v>
      </c>
      <c r="H1232">
        <v>5300</v>
      </c>
    </row>
    <row r="1233" spans="2:8">
      <c r="B1233" t="s">
        <v>463</v>
      </c>
      <c r="C1233" t="s">
        <v>400</v>
      </c>
      <c r="D1233">
        <v>2042.5</v>
      </c>
      <c r="E1233">
        <v>2045</v>
      </c>
      <c r="F1233">
        <v>2042.5</v>
      </c>
      <c r="G1233">
        <v>2045</v>
      </c>
      <c r="H1233">
        <v>2500</v>
      </c>
    </row>
    <row r="1234" spans="2:8">
      <c r="B1234" t="s">
        <v>463</v>
      </c>
      <c r="C1234" t="s">
        <v>401</v>
      </c>
      <c r="D1234">
        <v>2044</v>
      </c>
      <c r="E1234">
        <v>2045</v>
      </c>
      <c r="F1234">
        <v>2044</v>
      </c>
      <c r="G1234">
        <v>2044.5</v>
      </c>
      <c r="H1234">
        <v>1700</v>
      </c>
    </row>
    <row r="1235" spans="2:8">
      <c r="B1235" t="s">
        <v>463</v>
      </c>
      <c r="C1235" t="s">
        <v>402</v>
      </c>
      <c r="D1235">
        <v>2045</v>
      </c>
      <c r="E1235">
        <v>2046</v>
      </c>
      <c r="F1235">
        <v>2045</v>
      </c>
      <c r="G1235">
        <v>2045.5</v>
      </c>
      <c r="H1235">
        <v>1900</v>
      </c>
    </row>
    <row r="1236" spans="2:8">
      <c r="B1236" t="s">
        <v>463</v>
      </c>
      <c r="C1236" t="s">
        <v>403</v>
      </c>
      <c r="D1236">
        <v>2045.5</v>
      </c>
      <c r="E1236">
        <v>2046</v>
      </c>
      <c r="F1236">
        <v>2045</v>
      </c>
      <c r="G1236">
        <v>2046</v>
      </c>
      <c r="H1236">
        <v>500</v>
      </c>
    </row>
    <row r="1237" spans="2:8">
      <c r="B1237" t="s">
        <v>463</v>
      </c>
      <c r="C1237" t="s">
        <v>404</v>
      </c>
      <c r="D1237">
        <v>2046</v>
      </c>
      <c r="E1237">
        <v>2048.5</v>
      </c>
      <c r="F1237">
        <v>2046</v>
      </c>
      <c r="G1237">
        <v>2048.5</v>
      </c>
      <c r="H1237">
        <v>2300</v>
      </c>
    </row>
    <row r="1238" spans="2:8">
      <c r="B1238" t="s">
        <v>463</v>
      </c>
      <c r="C1238" t="s">
        <v>405</v>
      </c>
      <c r="D1238">
        <v>2049</v>
      </c>
      <c r="E1238">
        <v>2049</v>
      </c>
      <c r="F1238">
        <v>2047.5</v>
      </c>
      <c r="G1238">
        <v>2048.5</v>
      </c>
      <c r="H1238">
        <v>3100</v>
      </c>
    </row>
    <row r="1239" spans="2:8">
      <c r="B1239" t="s">
        <v>463</v>
      </c>
      <c r="C1239" t="s">
        <v>406</v>
      </c>
      <c r="D1239">
        <v>2048</v>
      </c>
      <c r="E1239">
        <v>2049</v>
      </c>
      <c r="F1239">
        <v>2047.5</v>
      </c>
      <c r="G1239">
        <v>2049</v>
      </c>
      <c r="H1239">
        <v>2000</v>
      </c>
    </row>
    <row r="1240" spans="2:8">
      <c r="B1240" t="s">
        <v>463</v>
      </c>
      <c r="C1240" t="s">
        <v>407</v>
      </c>
      <c r="D1240">
        <v>2049.5</v>
      </c>
      <c r="E1240">
        <v>2049.5</v>
      </c>
      <c r="F1240">
        <v>2048</v>
      </c>
      <c r="G1240">
        <v>2048.5</v>
      </c>
      <c r="H1240">
        <v>2200</v>
      </c>
    </row>
    <row r="1241" spans="2:8">
      <c r="B1241" t="s">
        <v>463</v>
      </c>
      <c r="C1241" t="s">
        <v>408</v>
      </c>
      <c r="D1241">
        <v>2048</v>
      </c>
      <c r="E1241">
        <v>2048.5</v>
      </c>
      <c r="F1241">
        <v>2045</v>
      </c>
      <c r="G1241">
        <v>2046.5</v>
      </c>
      <c r="H1241">
        <v>9300</v>
      </c>
    </row>
    <row r="1242" spans="2:8">
      <c r="B1242" t="s">
        <v>463</v>
      </c>
      <c r="C1242" t="s">
        <v>409</v>
      </c>
      <c r="D1242">
        <v>2047</v>
      </c>
      <c r="E1242">
        <v>2049</v>
      </c>
      <c r="F1242">
        <v>2047</v>
      </c>
      <c r="G1242">
        <v>2047.5</v>
      </c>
      <c r="H1242">
        <v>900</v>
      </c>
    </row>
    <row r="1243" spans="2:8">
      <c r="B1243" t="s">
        <v>463</v>
      </c>
      <c r="C1243" t="s">
        <v>410</v>
      </c>
      <c r="D1243">
        <v>2048</v>
      </c>
      <c r="E1243">
        <v>2049</v>
      </c>
      <c r="F1243">
        <v>2048</v>
      </c>
      <c r="G1243">
        <v>2049</v>
      </c>
      <c r="H1243">
        <v>1200</v>
      </c>
    </row>
    <row r="1244" spans="2:8">
      <c r="B1244" t="s">
        <v>463</v>
      </c>
      <c r="C1244" t="s">
        <v>411</v>
      </c>
      <c r="D1244">
        <v>2049</v>
      </c>
      <c r="E1244">
        <v>2049.5</v>
      </c>
      <c r="F1244">
        <v>2049</v>
      </c>
      <c r="G1244">
        <v>2049</v>
      </c>
      <c r="H1244">
        <v>3400</v>
      </c>
    </row>
    <row r="1245" spans="2:8">
      <c r="B1245" t="s">
        <v>463</v>
      </c>
      <c r="C1245" t="s">
        <v>412</v>
      </c>
      <c r="D1245">
        <v>2049</v>
      </c>
      <c r="E1245">
        <v>2049.5</v>
      </c>
      <c r="F1245">
        <v>2048</v>
      </c>
      <c r="G1245">
        <v>2048</v>
      </c>
      <c r="H1245">
        <v>2800</v>
      </c>
    </row>
    <row r="1246" spans="2:8">
      <c r="B1246" t="s">
        <v>463</v>
      </c>
      <c r="C1246" t="s">
        <v>413</v>
      </c>
      <c r="D1246">
        <v>2049</v>
      </c>
      <c r="E1246">
        <v>2051.5</v>
      </c>
      <c r="F1246">
        <v>2048.5</v>
      </c>
      <c r="G1246">
        <v>2051</v>
      </c>
      <c r="H1246">
        <v>9400</v>
      </c>
    </row>
    <row r="1247" spans="2:8">
      <c r="B1247" t="s">
        <v>463</v>
      </c>
      <c r="C1247" t="s">
        <v>414</v>
      </c>
      <c r="D1247">
        <v>2051</v>
      </c>
      <c r="E1247">
        <v>2051</v>
      </c>
      <c r="F1247">
        <v>2049.5</v>
      </c>
      <c r="G1247">
        <v>2050.5</v>
      </c>
      <c r="H1247">
        <v>2600</v>
      </c>
    </row>
    <row r="1248" spans="2:8">
      <c r="B1248" t="s">
        <v>463</v>
      </c>
      <c r="C1248" t="s">
        <v>415</v>
      </c>
      <c r="D1248">
        <v>2050.5</v>
      </c>
      <c r="E1248">
        <v>2050.5</v>
      </c>
      <c r="F1248">
        <v>2045.5</v>
      </c>
      <c r="G1248">
        <v>2047.5</v>
      </c>
      <c r="H1248">
        <v>8200</v>
      </c>
    </row>
    <row r="1249" spans="2:8">
      <c r="B1249" t="s">
        <v>463</v>
      </c>
      <c r="C1249" t="s">
        <v>416</v>
      </c>
      <c r="D1249">
        <v>2048.5</v>
      </c>
      <c r="E1249">
        <v>2051</v>
      </c>
      <c r="F1249">
        <v>2048.5</v>
      </c>
      <c r="G1249">
        <v>2051</v>
      </c>
      <c r="H1249">
        <v>2700</v>
      </c>
    </row>
    <row r="1250" spans="2:8">
      <c r="B1250" t="s">
        <v>463</v>
      </c>
      <c r="C1250" t="s">
        <v>417</v>
      </c>
      <c r="D1250">
        <v>2051.5</v>
      </c>
      <c r="E1250">
        <v>2053</v>
      </c>
      <c r="F1250">
        <v>2050.5</v>
      </c>
      <c r="G1250">
        <v>2050.5</v>
      </c>
      <c r="H1250">
        <v>18100</v>
      </c>
    </row>
    <row r="1251" spans="2:8">
      <c r="B1251" t="s">
        <v>463</v>
      </c>
      <c r="C1251" t="s">
        <v>418</v>
      </c>
      <c r="D1251">
        <v>2050</v>
      </c>
      <c r="E1251">
        <v>2050</v>
      </c>
      <c r="F1251">
        <v>2049</v>
      </c>
      <c r="G1251">
        <v>2049</v>
      </c>
      <c r="H1251">
        <v>1700</v>
      </c>
    </row>
    <row r="1252" spans="2:8">
      <c r="B1252" t="s">
        <v>463</v>
      </c>
      <c r="C1252" t="s">
        <v>419</v>
      </c>
      <c r="D1252">
        <v>2049</v>
      </c>
      <c r="E1252">
        <v>2049</v>
      </c>
      <c r="F1252">
        <v>2048</v>
      </c>
      <c r="G1252">
        <v>2048</v>
      </c>
      <c r="H1252">
        <v>1900</v>
      </c>
    </row>
    <row r="1253" spans="2:8">
      <c r="B1253" t="s">
        <v>463</v>
      </c>
      <c r="C1253" t="s">
        <v>420</v>
      </c>
      <c r="D1253">
        <v>2048</v>
      </c>
      <c r="E1253">
        <v>2048</v>
      </c>
      <c r="F1253">
        <v>2046</v>
      </c>
      <c r="G1253">
        <v>2046</v>
      </c>
      <c r="H1253">
        <v>2100</v>
      </c>
    </row>
    <row r="1254" spans="2:8">
      <c r="B1254" t="s">
        <v>463</v>
      </c>
      <c r="C1254" t="s">
        <v>421</v>
      </c>
      <c r="D1254">
        <v>2047.5</v>
      </c>
      <c r="E1254">
        <v>2049</v>
      </c>
      <c r="F1254">
        <v>2047.5</v>
      </c>
      <c r="G1254">
        <v>2049</v>
      </c>
      <c r="H1254">
        <v>1200</v>
      </c>
    </row>
    <row r="1255" spans="2:8">
      <c r="B1255" t="s">
        <v>463</v>
      </c>
      <c r="C1255" t="s">
        <v>422</v>
      </c>
      <c r="D1255">
        <v>2048.5</v>
      </c>
      <c r="E1255">
        <v>2048.5</v>
      </c>
      <c r="F1255">
        <v>2046.5</v>
      </c>
      <c r="G1255">
        <v>2046.5</v>
      </c>
      <c r="H1255">
        <v>4600</v>
      </c>
    </row>
    <row r="1256" spans="2:8">
      <c r="B1256" t="s">
        <v>463</v>
      </c>
      <c r="C1256" t="s">
        <v>423</v>
      </c>
      <c r="D1256">
        <v>2046.5</v>
      </c>
      <c r="E1256">
        <v>2049</v>
      </c>
      <c r="F1256">
        <v>2046.5</v>
      </c>
      <c r="G1256">
        <v>2049</v>
      </c>
      <c r="H1256">
        <v>2700</v>
      </c>
    </row>
    <row r="1257" spans="2:8">
      <c r="B1257" t="s">
        <v>463</v>
      </c>
      <c r="C1257" t="s">
        <v>424</v>
      </c>
      <c r="D1257">
        <v>2049.5</v>
      </c>
      <c r="E1257">
        <v>2050</v>
      </c>
      <c r="F1257">
        <v>2049.5</v>
      </c>
      <c r="G1257">
        <v>2050</v>
      </c>
      <c r="H1257">
        <v>1300</v>
      </c>
    </row>
    <row r="1258" spans="2:8">
      <c r="B1258" t="s">
        <v>463</v>
      </c>
      <c r="C1258" t="s">
        <v>425</v>
      </c>
      <c r="D1258">
        <v>2050.5</v>
      </c>
      <c r="E1258">
        <v>2051.5</v>
      </c>
      <c r="F1258">
        <v>2050</v>
      </c>
      <c r="G1258">
        <v>2051</v>
      </c>
      <c r="H1258">
        <v>4500</v>
      </c>
    </row>
    <row r="1259" spans="2:8">
      <c r="B1259" t="s">
        <v>463</v>
      </c>
      <c r="C1259" t="s">
        <v>426</v>
      </c>
      <c r="D1259">
        <v>2050.5</v>
      </c>
      <c r="E1259">
        <v>2051</v>
      </c>
      <c r="F1259">
        <v>2049.5</v>
      </c>
      <c r="G1259">
        <v>2051</v>
      </c>
      <c r="H1259">
        <v>2100</v>
      </c>
    </row>
    <row r="1260" spans="2:8">
      <c r="B1260" t="s">
        <v>463</v>
      </c>
      <c r="C1260" t="s">
        <v>427</v>
      </c>
      <c r="D1260">
        <v>2051.5</v>
      </c>
      <c r="E1260">
        <v>2051.5</v>
      </c>
      <c r="F1260">
        <v>2049.5</v>
      </c>
      <c r="G1260">
        <v>2050</v>
      </c>
      <c r="H1260">
        <v>2000</v>
      </c>
    </row>
    <row r="1261" spans="2:8">
      <c r="B1261" t="s">
        <v>463</v>
      </c>
      <c r="C1261" t="s">
        <v>428</v>
      </c>
      <c r="D1261">
        <v>2050</v>
      </c>
      <c r="E1261">
        <v>2050.5</v>
      </c>
      <c r="F1261">
        <v>2049</v>
      </c>
      <c r="G1261">
        <v>2049.5</v>
      </c>
      <c r="H1261">
        <v>3100</v>
      </c>
    </row>
    <row r="1262" spans="2:8">
      <c r="B1262" t="s">
        <v>463</v>
      </c>
      <c r="C1262" t="s">
        <v>429</v>
      </c>
      <c r="D1262">
        <v>2049</v>
      </c>
      <c r="E1262">
        <v>2049</v>
      </c>
      <c r="F1262">
        <v>2048.5</v>
      </c>
      <c r="G1262">
        <v>2048.5</v>
      </c>
      <c r="H1262">
        <v>1800</v>
      </c>
    </row>
    <row r="1263" spans="2:8">
      <c r="B1263" t="s">
        <v>463</v>
      </c>
      <c r="C1263" t="s">
        <v>430</v>
      </c>
      <c r="D1263">
        <v>2049</v>
      </c>
      <c r="E1263">
        <v>2050</v>
      </c>
      <c r="F1263">
        <v>2049</v>
      </c>
      <c r="G1263">
        <v>2050</v>
      </c>
      <c r="H1263">
        <v>2800</v>
      </c>
    </row>
    <row r="1264" spans="2:8">
      <c r="B1264" t="s">
        <v>463</v>
      </c>
      <c r="C1264" t="s">
        <v>431</v>
      </c>
      <c r="D1264">
        <v>2050</v>
      </c>
      <c r="E1264">
        <v>2050.5</v>
      </c>
      <c r="F1264">
        <v>2049.5</v>
      </c>
      <c r="G1264">
        <v>2050.5</v>
      </c>
      <c r="H1264">
        <v>2600</v>
      </c>
    </row>
    <row r="1265" spans="2:8">
      <c r="B1265" t="s">
        <v>463</v>
      </c>
      <c r="C1265" t="s">
        <v>9</v>
      </c>
      <c r="D1265">
        <v>2050.5</v>
      </c>
      <c r="E1265">
        <v>2050.5</v>
      </c>
      <c r="F1265">
        <v>2050</v>
      </c>
      <c r="G1265">
        <v>2050.5</v>
      </c>
      <c r="H1265">
        <v>1100</v>
      </c>
    </row>
    <row r="1266" spans="2:8">
      <c r="B1266" t="s">
        <v>463</v>
      </c>
      <c r="C1266" t="s">
        <v>10</v>
      </c>
      <c r="D1266">
        <v>2050</v>
      </c>
      <c r="E1266">
        <v>2051.5</v>
      </c>
      <c r="F1266">
        <v>2049.5</v>
      </c>
      <c r="G1266">
        <v>2051.5</v>
      </c>
      <c r="H1266">
        <v>2400</v>
      </c>
    </row>
    <row r="1267" spans="2:8">
      <c r="B1267" t="s">
        <v>463</v>
      </c>
      <c r="C1267" t="s">
        <v>11</v>
      </c>
      <c r="D1267">
        <v>2051.5</v>
      </c>
      <c r="E1267">
        <v>2051.5</v>
      </c>
      <c r="F1267">
        <v>2050</v>
      </c>
      <c r="G1267">
        <v>2050.5</v>
      </c>
      <c r="H1267">
        <v>3400</v>
      </c>
    </row>
    <row r="1268" spans="2:8">
      <c r="B1268" t="s">
        <v>463</v>
      </c>
      <c r="C1268" t="s">
        <v>12</v>
      </c>
      <c r="D1268">
        <v>2050.5</v>
      </c>
      <c r="E1268">
        <v>2051</v>
      </c>
      <c r="F1268">
        <v>2050.5</v>
      </c>
      <c r="G1268">
        <v>2050.5</v>
      </c>
      <c r="H1268">
        <v>1300</v>
      </c>
    </row>
    <row r="1269" spans="2:8">
      <c r="B1269" t="s">
        <v>463</v>
      </c>
      <c r="C1269" t="s">
        <v>13</v>
      </c>
      <c r="D1269">
        <v>2050.5</v>
      </c>
      <c r="E1269">
        <v>2052</v>
      </c>
      <c r="F1269">
        <v>2050.5</v>
      </c>
      <c r="G1269">
        <v>2051.5</v>
      </c>
      <c r="H1269">
        <v>2100</v>
      </c>
    </row>
    <row r="1270" spans="2:8">
      <c r="B1270" t="s">
        <v>463</v>
      </c>
      <c r="C1270" t="s">
        <v>14</v>
      </c>
      <c r="D1270">
        <v>2052</v>
      </c>
      <c r="E1270">
        <v>2052.5</v>
      </c>
      <c r="F1270">
        <v>2051</v>
      </c>
      <c r="G1270">
        <v>2052.5</v>
      </c>
      <c r="H1270">
        <v>1900</v>
      </c>
    </row>
    <row r="1271" spans="2:8">
      <c r="B1271" t="s">
        <v>463</v>
      </c>
      <c r="C1271" t="s">
        <v>15</v>
      </c>
      <c r="D1271">
        <v>2052</v>
      </c>
      <c r="E1271">
        <v>2053.5</v>
      </c>
      <c r="F1271">
        <v>2052</v>
      </c>
      <c r="G1271">
        <v>2053</v>
      </c>
      <c r="H1271">
        <v>2800</v>
      </c>
    </row>
    <row r="1272" spans="2:8">
      <c r="B1272" t="s">
        <v>463</v>
      </c>
      <c r="C1272" t="s">
        <v>16</v>
      </c>
      <c r="D1272">
        <v>2053</v>
      </c>
      <c r="E1272">
        <v>2054</v>
      </c>
      <c r="F1272">
        <v>2053</v>
      </c>
      <c r="G1272">
        <v>2054</v>
      </c>
      <c r="H1272">
        <v>4800</v>
      </c>
    </row>
    <row r="1273" spans="2:8">
      <c r="B1273" t="s">
        <v>463</v>
      </c>
      <c r="C1273" t="s">
        <v>17</v>
      </c>
      <c r="D1273">
        <v>2053.5</v>
      </c>
      <c r="E1273">
        <v>2053.5</v>
      </c>
      <c r="F1273">
        <v>2052.5</v>
      </c>
      <c r="G1273">
        <v>2052.5</v>
      </c>
      <c r="H1273">
        <v>3000</v>
      </c>
    </row>
    <row r="1274" spans="2:8">
      <c r="B1274" t="s">
        <v>463</v>
      </c>
      <c r="C1274" t="s">
        <v>18</v>
      </c>
      <c r="D1274">
        <v>2052</v>
      </c>
      <c r="E1274">
        <v>2056</v>
      </c>
      <c r="F1274">
        <v>2052</v>
      </c>
      <c r="G1274">
        <v>2055</v>
      </c>
      <c r="H1274">
        <v>22000</v>
      </c>
    </row>
    <row r="1275" spans="2:8">
      <c r="B1275" t="s">
        <v>463</v>
      </c>
      <c r="C1275" t="s">
        <v>19</v>
      </c>
      <c r="D1275">
        <v>2054.5</v>
      </c>
      <c r="E1275">
        <v>2054.5</v>
      </c>
      <c r="F1275">
        <v>2053</v>
      </c>
      <c r="G1275">
        <v>2053.5</v>
      </c>
      <c r="H1275">
        <v>4300</v>
      </c>
    </row>
    <row r="1276" spans="2:8">
      <c r="B1276" t="s">
        <v>463</v>
      </c>
      <c r="C1276" t="s">
        <v>20</v>
      </c>
      <c r="D1276">
        <v>2053</v>
      </c>
      <c r="E1276">
        <v>2054</v>
      </c>
      <c r="F1276">
        <v>2053</v>
      </c>
      <c r="G1276">
        <v>2053.5</v>
      </c>
      <c r="H1276">
        <v>1200</v>
      </c>
    </row>
    <row r="1277" spans="2:8">
      <c r="B1277" t="s">
        <v>463</v>
      </c>
      <c r="C1277" t="s">
        <v>21</v>
      </c>
      <c r="D1277">
        <v>2054</v>
      </c>
      <c r="E1277">
        <v>2054</v>
      </c>
      <c r="F1277">
        <v>2053</v>
      </c>
      <c r="G1277">
        <v>2053</v>
      </c>
      <c r="H1277">
        <v>2100</v>
      </c>
    </row>
    <row r="1278" spans="2:8">
      <c r="B1278" t="s">
        <v>463</v>
      </c>
      <c r="C1278" t="s">
        <v>22</v>
      </c>
      <c r="D1278">
        <v>2053</v>
      </c>
      <c r="E1278">
        <v>2053</v>
      </c>
      <c r="F1278">
        <v>2051</v>
      </c>
      <c r="G1278">
        <v>2051</v>
      </c>
      <c r="H1278">
        <v>3700</v>
      </c>
    </row>
    <row r="1279" spans="2:8">
      <c r="B1279" t="s">
        <v>463</v>
      </c>
      <c r="C1279" t="s">
        <v>23</v>
      </c>
      <c r="D1279">
        <v>2051</v>
      </c>
      <c r="E1279">
        <v>2052</v>
      </c>
      <c r="F1279">
        <v>2051</v>
      </c>
      <c r="G1279">
        <v>2051.5</v>
      </c>
      <c r="H1279">
        <v>1800</v>
      </c>
    </row>
    <row r="1280" spans="2:8">
      <c r="B1280" t="s">
        <v>463</v>
      </c>
      <c r="C1280" t="s">
        <v>24</v>
      </c>
      <c r="D1280">
        <v>2052</v>
      </c>
      <c r="E1280">
        <v>2052.5</v>
      </c>
      <c r="F1280">
        <v>2052</v>
      </c>
      <c r="G1280">
        <v>2052</v>
      </c>
      <c r="H1280">
        <v>800</v>
      </c>
    </row>
    <row r="1281" spans="2:8">
      <c r="B1281" t="s">
        <v>463</v>
      </c>
      <c r="C1281" t="s">
        <v>25</v>
      </c>
      <c r="D1281">
        <v>2052.5</v>
      </c>
      <c r="E1281">
        <v>2053.5</v>
      </c>
      <c r="F1281">
        <v>2052</v>
      </c>
      <c r="G1281">
        <v>2052.5</v>
      </c>
      <c r="H1281">
        <v>2700</v>
      </c>
    </row>
    <row r="1282" spans="2:8">
      <c r="B1282" t="s">
        <v>463</v>
      </c>
      <c r="C1282" t="s">
        <v>26</v>
      </c>
      <c r="D1282">
        <v>2052</v>
      </c>
      <c r="E1282">
        <v>2052</v>
      </c>
      <c r="F1282">
        <v>2051.5</v>
      </c>
      <c r="G1282">
        <v>2051.5</v>
      </c>
      <c r="H1282">
        <v>3000</v>
      </c>
    </row>
    <row r="1283" spans="2:8">
      <c r="B1283" t="s">
        <v>463</v>
      </c>
      <c r="C1283" t="s">
        <v>27</v>
      </c>
      <c r="D1283">
        <v>2051</v>
      </c>
      <c r="E1283">
        <v>2051.5</v>
      </c>
      <c r="F1283">
        <v>2050.5</v>
      </c>
      <c r="G1283">
        <v>2050.5</v>
      </c>
      <c r="H1283">
        <v>2600</v>
      </c>
    </row>
    <row r="1284" spans="2:8">
      <c r="B1284" t="s">
        <v>463</v>
      </c>
      <c r="C1284" t="s">
        <v>28</v>
      </c>
      <c r="D1284">
        <v>2050.5</v>
      </c>
      <c r="E1284">
        <v>2051</v>
      </c>
      <c r="F1284">
        <v>2050</v>
      </c>
      <c r="G1284">
        <v>2050</v>
      </c>
      <c r="H1284">
        <v>2500</v>
      </c>
    </row>
    <row r="1285" spans="2:8">
      <c r="B1285" t="s">
        <v>463</v>
      </c>
      <c r="C1285" t="s">
        <v>29</v>
      </c>
      <c r="D1285">
        <v>2050</v>
      </c>
      <c r="E1285">
        <v>2050</v>
      </c>
      <c r="F1285">
        <v>2049.5</v>
      </c>
      <c r="G1285">
        <v>2050</v>
      </c>
      <c r="H1285">
        <v>1400</v>
      </c>
    </row>
    <row r="1286" spans="2:8">
      <c r="B1286" t="s">
        <v>463</v>
      </c>
      <c r="C1286" t="s">
        <v>30</v>
      </c>
      <c r="D1286">
        <v>2049.5</v>
      </c>
      <c r="E1286">
        <v>2050</v>
      </c>
      <c r="F1286">
        <v>2049.5</v>
      </c>
      <c r="G1286">
        <v>2050</v>
      </c>
      <c r="H1286">
        <v>300</v>
      </c>
    </row>
    <row r="1287" spans="2:8">
      <c r="B1287" t="s">
        <v>463</v>
      </c>
      <c r="C1287" t="s">
        <v>31</v>
      </c>
      <c r="D1287">
        <v>2050</v>
      </c>
      <c r="E1287">
        <v>2050</v>
      </c>
      <c r="F1287">
        <v>2048</v>
      </c>
      <c r="G1287">
        <v>2048</v>
      </c>
      <c r="H1287">
        <v>5700</v>
      </c>
    </row>
    <row r="1288" spans="2:8">
      <c r="B1288" t="s">
        <v>463</v>
      </c>
      <c r="C1288" t="s">
        <v>32</v>
      </c>
      <c r="D1288">
        <v>2048</v>
      </c>
      <c r="E1288">
        <v>2048</v>
      </c>
      <c r="F1288">
        <v>2046.5</v>
      </c>
      <c r="G1288">
        <v>2048</v>
      </c>
      <c r="H1288">
        <v>2300</v>
      </c>
    </row>
    <row r="1289" spans="2:8">
      <c r="B1289" t="s">
        <v>463</v>
      </c>
      <c r="C1289" t="s">
        <v>33</v>
      </c>
      <c r="D1289">
        <v>2047.5</v>
      </c>
      <c r="E1289">
        <v>2047.5</v>
      </c>
      <c r="F1289">
        <v>2045</v>
      </c>
      <c r="G1289">
        <v>2047</v>
      </c>
      <c r="H1289">
        <v>10400</v>
      </c>
    </row>
    <row r="1290" spans="2:8">
      <c r="B1290" t="s">
        <v>463</v>
      </c>
      <c r="C1290" t="s">
        <v>34</v>
      </c>
      <c r="D1290">
        <v>2046.5</v>
      </c>
      <c r="E1290">
        <v>2047.5</v>
      </c>
      <c r="F1290">
        <v>2045</v>
      </c>
      <c r="G1290">
        <v>2046</v>
      </c>
      <c r="H1290">
        <v>4800</v>
      </c>
    </row>
    <row r="1291" spans="2:8">
      <c r="B1291" t="s">
        <v>463</v>
      </c>
      <c r="C1291" t="s">
        <v>35</v>
      </c>
      <c r="D1291">
        <v>2047</v>
      </c>
      <c r="E1291">
        <v>2048</v>
      </c>
      <c r="F1291">
        <v>2047</v>
      </c>
      <c r="G1291">
        <v>2047</v>
      </c>
      <c r="H1291">
        <v>1300</v>
      </c>
    </row>
    <row r="1292" spans="2:8">
      <c r="B1292" t="s">
        <v>463</v>
      </c>
      <c r="C1292" t="s">
        <v>36</v>
      </c>
      <c r="D1292">
        <v>2047</v>
      </c>
      <c r="E1292">
        <v>2047.5</v>
      </c>
      <c r="F1292">
        <v>2047</v>
      </c>
      <c r="G1292">
        <v>2047.5</v>
      </c>
      <c r="H1292">
        <v>600</v>
      </c>
    </row>
    <row r="1293" spans="2:8">
      <c r="B1293" t="s">
        <v>463</v>
      </c>
      <c r="C1293" t="s">
        <v>37</v>
      </c>
      <c r="D1293">
        <v>2048</v>
      </c>
      <c r="E1293">
        <v>2050</v>
      </c>
      <c r="F1293">
        <v>2048</v>
      </c>
      <c r="G1293">
        <v>2048</v>
      </c>
      <c r="H1293">
        <v>5000</v>
      </c>
    </row>
    <row r="1294" spans="2:8">
      <c r="B1294" t="s">
        <v>463</v>
      </c>
      <c r="C1294" t="s">
        <v>38</v>
      </c>
      <c r="D1294">
        <v>2048</v>
      </c>
      <c r="E1294">
        <v>2048.5</v>
      </c>
      <c r="F1294">
        <v>2047.5</v>
      </c>
      <c r="G1294">
        <v>2047.5</v>
      </c>
      <c r="H1294">
        <v>2600</v>
      </c>
    </row>
    <row r="1295" spans="2:8">
      <c r="B1295" t="s">
        <v>463</v>
      </c>
      <c r="C1295" t="s">
        <v>39</v>
      </c>
      <c r="D1295">
        <v>2048</v>
      </c>
      <c r="E1295">
        <v>2049</v>
      </c>
      <c r="F1295">
        <v>2047.5</v>
      </c>
      <c r="G1295">
        <v>2049</v>
      </c>
      <c r="H1295">
        <v>1200</v>
      </c>
    </row>
    <row r="1296" spans="2:8">
      <c r="B1296" t="s">
        <v>463</v>
      </c>
      <c r="C1296" t="s">
        <v>40</v>
      </c>
      <c r="D1296">
        <v>2050</v>
      </c>
      <c r="E1296">
        <v>2050</v>
      </c>
      <c r="F1296">
        <v>2048.5</v>
      </c>
      <c r="G1296">
        <v>2049.5</v>
      </c>
      <c r="H1296">
        <v>4000</v>
      </c>
    </row>
    <row r="1297" spans="2:8">
      <c r="B1297" t="s">
        <v>463</v>
      </c>
      <c r="C1297" t="s">
        <v>41</v>
      </c>
      <c r="D1297">
        <v>2050</v>
      </c>
      <c r="E1297">
        <v>2051</v>
      </c>
      <c r="F1297">
        <v>2050</v>
      </c>
      <c r="G1297">
        <v>2051</v>
      </c>
      <c r="H1297">
        <v>2400</v>
      </c>
    </row>
    <row r="1298" spans="2:8">
      <c r="B1298" t="s">
        <v>463</v>
      </c>
      <c r="C1298" t="s">
        <v>42</v>
      </c>
      <c r="D1298">
        <v>2050.5</v>
      </c>
      <c r="E1298">
        <v>2050.5</v>
      </c>
      <c r="F1298">
        <v>2050</v>
      </c>
      <c r="G1298">
        <v>2050</v>
      </c>
      <c r="H1298">
        <v>3700</v>
      </c>
    </row>
    <row r="1299" spans="2:8">
      <c r="B1299" t="s">
        <v>463</v>
      </c>
      <c r="C1299" t="s">
        <v>43</v>
      </c>
      <c r="D1299">
        <v>2050.5</v>
      </c>
      <c r="E1299">
        <v>2052</v>
      </c>
      <c r="F1299">
        <v>2050.5</v>
      </c>
      <c r="G1299">
        <v>2051.5</v>
      </c>
      <c r="H1299">
        <v>2900</v>
      </c>
    </row>
    <row r="1300" spans="2:8">
      <c r="B1300" t="s">
        <v>463</v>
      </c>
      <c r="C1300" t="s">
        <v>44</v>
      </c>
      <c r="D1300">
        <v>2051.5</v>
      </c>
      <c r="E1300">
        <v>2052</v>
      </c>
      <c r="F1300">
        <v>2051</v>
      </c>
      <c r="G1300">
        <v>2052</v>
      </c>
      <c r="H1300">
        <v>3900</v>
      </c>
    </row>
    <row r="1301" spans="2:8">
      <c r="B1301" t="s">
        <v>463</v>
      </c>
      <c r="C1301" t="s">
        <v>45</v>
      </c>
      <c r="D1301">
        <v>2052</v>
      </c>
      <c r="E1301">
        <v>2053.5</v>
      </c>
      <c r="F1301">
        <v>2052</v>
      </c>
      <c r="G1301">
        <v>2053.5</v>
      </c>
      <c r="H1301">
        <v>4300</v>
      </c>
    </row>
    <row r="1302" spans="2:8">
      <c r="B1302" t="s">
        <v>463</v>
      </c>
      <c r="C1302" t="s">
        <v>46</v>
      </c>
      <c r="D1302">
        <v>2053</v>
      </c>
      <c r="E1302">
        <v>2053.5</v>
      </c>
      <c r="F1302">
        <v>2052</v>
      </c>
      <c r="G1302">
        <v>2053</v>
      </c>
      <c r="H1302">
        <v>3500</v>
      </c>
    </row>
    <row r="1303" spans="2:8">
      <c r="B1303" t="s">
        <v>463</v>
      </c>
      <c r="C1303" t="s">
        <v>47</v>
      </c>
      <c r="D1303">
        <v>2053.5</v>
      </c>
      <c r="E1303">
        <v>2053.5</v>
      </c>
      <c r="F1303">
        <v>2053</v>
      </c>
      <c r="G1303">
        <v>2053</v>
      </c>
      <c r="H1303">
        <v>500</v>
      </c>
    </row>
    <row r="1304" spans="2:8">
      <c r="B1304" t="s">
        <v>463</v>
      </c>
      <c r="C1304" t="s">
        <v>48</v>
      </c>
      <c r="D1304">
        <v>2053</v>
      </c>
      <c r="E1304">
        <v>2053</v>
      </c>
      <c r="F1304">
        <v>2052</v>
      </c>
      <c r="G1304">
        <v>2052.5</v>
      </c>
      <c r="H1304">
        <v>6200</v>
      </c>
    </row>
    <row r="1305" spans="2:8">
      <c r="B1305" t="s">
        <v>463</v>
      </c>
      <c r="C1305" t="s">
        <v>49</v>
      </c>
      <c r="D1305">
        <v>2053</v>
      </c>
      <c r="E1305">
        <v>2053.5</v>
      </c>
      <c r="F1305">
        <v>2052.5</v>
      </c>
      <c r="G1305">
        <v>2052.5</v>
      </c>
      <c r="H1305">
        <v>5800</v>
      </c>
    </row>
    <row r="1306" spans="2:8">
      <c r="B1306" t="s">
        <v>463</v>
      </c>
      <c r="C1306" t="s">
        <v>50</v>
      </c>
      <c r="D1306">
        <v>2052.5</v>
      </c>
      <c r="E1306">
        <v>2056.5</v>
      </c>
      <c r="F1306">
        <v>2052</v>
      </c>
      <c r="G1306">
        <v>2056.5</v>
      </c>
      <c r="H1306">
        <v>17700</v>
      </c>
    </row>
    <row r="1307" spans="2:8">
      <c r="B1307" t="s">
        <v>463</v>
      </c>
      <c r="C1307" t="s">
        <v>51</v>
      </c>
      <c r="D1307">
        <v>2056.5</v>
      </c>
      <c r="E1307">
        <v>2057.5</v>
      </c>
      <c r="F1307">
        <v>2056.5</v>
      </c>
      <c r="G1307">
        <v>2057</v>
      </c>
      <c r="H1307">
        <v>6000</v>
      </c>
    </row>
    <row r="1308" spans="2:8">
      <c r="B1308" t="s">
        <v>463</v>
      </c>
      <c r="C1308" t="s">
        <v>52</v>
      </c>
      <c r="D1308">
        <v>2056</v>
      </c>
      <c r="E1308">
        <v>2057</v>
      </c>
      <c r="F1308">
        <v>2056</v>
      </c>
      <c r="G1308">
        <v>2056.5</v>
      </c>
      <c r="H1308">
        <v>2500</v>
      </c>
    </row>
    <row r="1309" spans="2:8">
      <c r="B1309" t="s">
        <v>463</v>
      </c>
      <c r="C1309" t="s">
        <v>53</v>
      </c>
      <c r="D1309">
        <v>2057</v>
      </c>
      <c r="E1309">
        <v>2057</v>
      </c>
      <c r="F1309">
        <v>2056.5</v>
      </c>
      <c r="G1309">
        <v>2056.5</v>
      </c>
      <c r="H1309">
        <v>4400</v>
      </c>
    </row>
    <row r="1310" spans="2:8">
      <c r="B1310" t="s">
        <v>463</v>
      </c>
      <c r="C1310" t="s">
        <v>54</v>
      </c>
      <c r="D1310">
        <v>2057</v>
      </c>
      <c r="E1310">
        <v>2057.5</v>
      </c>
      <c r="F1310">
        <v>2056.5</v>
      </c>
      <c r="G1310">
        <v>2056.5</v>
      </c>
      <c r="H1310">
        <v>6800</v>
      </c>
    </row>
    <row r="1311" spans="2:8">
      <c r="B1311" t="s">
        <v>463</v>
      </c>
      <c r="C1311" t="s">
        <v>55</v>
      </c>
      <c r="D1311">
        <v>2056.5</v>
      </c>
      <c r="E1311">
        <v>2056.5</v>
      </c>
      <c r="F1311">
        <v>2056</v>
      </c>
      <c r="G1311">
        <v>2056</v>
      </c>
      <c r="H1311">
        <v>3400</v>
      </c>
    </row>
    <row r="1312" spans="2:8">
      <c r="B1312" t="s">
        <v>463</v>
      </c>
      <c r="C1312" t="s">
        <v>56</v>
      </c>
      <c r="D1312">
        <v>2056.5</v>
      </c>
      <c r="E1312">
        <v>2056.5</v>
      </c>
      <c r="F1312">
        <v>2053.5</v>
      </c>
      <c r="G1312">
        <v>2056</v>
      </c>
      <c r="H1312">
        <v>7400</v>
      </c>
    </row>
    <row r="1313" spans="2:8">
      <c r="B1313" t="s">
        <v>463</v>
      </c>
      <c r="C1313" t="s">
        <v>57</v>
      </c>
      <c r="D1313">
        <v>2056</v>
      </c>
      <c r="E1313">
        <v>2057.5</v>
      </c>
      <c r="F1313">
        <v>2056</v>
      </c>
      <c r="G1313">
        <v>2057.5</v>
      </c>
      <c r="H1313">
        <v>12800</v>
      </c>
    </row>
    <row r="1314" spans="2:8">
      <c r="B1314" t="s">
        <v>463</v>
      </c>
      <c r="C1314" t="s">
        <v>58</v>
      </c>
      <c r="D1314">
        <v>2057.5</v>
      </c>
      <c r="E1314">
        <v>2059.5</v>
      </c>
      <c r="F1314">
        <v>2057.5</v>
      </c>
      <c r="G1314">
        <v>2058.5</v>
      </c>
      <c r="H1314">
        <v>15100</v>
      </c>
    </row>
    <row r="1315" spans="2:8">
      <c r="B1315" t="s">
        <v>463</v>
      </c>
      <c r="C1315" t="s">
        <v>59</v>
      </c>
      <c r="D1315">
        <v>2058.5</v>
      </c>
      <c r="E1315">
        <v>2058.5</v>
      </c>
      <c r="F1315">
        <v>2057.5</v>
      </c>
      <c r="G1315">
        <v>2057.5</v>
      </c>
      <c r="H1315">
        <v>3000</v>
      </c>
    </row>
    <row r="1316" spans="2:8">
      <c r="B1316" t="s">
        <v>463</v>
      </c>
      <c r="C1316" t="s">
        <v>60</v>
      </c>
      <c r="D1316">
        <v>2057.5</v>
      </c>
      <c r="E1316">
        <v>2060</v>
      </c>
      <c r="F1316">
        <v>2056</v>
      </c>
      <c r="G1316">
        <v>2057.5</v>
      </c>
      <c r="H1316">
        <v>17700</v>
      </c>
    </row>
    <row r="1317" spans="2:8">
      <c r="B1317" t="s">
        <v>463</v>
      </c>
      <c r="C1317" t="s">
        <v>61</v>
      </c>
      <c r="D1317">
        <v>2057.5</v>
      </c>
      <c r="E1317">
        <v>2058</v>
      </c>
      <c r="F1317">
        <v>2052</v>
      </c>
      <c r="G1317">
        <v>2054.5</v>
      </c>
      <c r="H1317">
        <v>17300</v>
      </c>
    </row>
    <row r="1318" spans="2:8">
      <c r="B1318" t="s">
        <v>463</v>
      </c>
      <c r="C1318" t="s">
        <v>62</v>
      </c>
      <c r="D1318">
        <v>2055.5</v>
      </c>
      <c r="E1318">
        <v>2056.5</v>
      </c>
      <c r="F1318">
        <v>2055</v>
      </c>
      <c r="G1318">
        <v>2055.5</v>
      </c>
      <c r="H1318">
        <v>4200</v>
      </c>
    </row>
    <row r="1319" spans="2:8">
      <c r="B1319" t="s">
        <v>463</v>
      </c>
      <c r="C1319" t="s">
        <v>63</v>
      </c>
      <c r="D1319">
        <v>2056</v>
      </c>
      <c r="E1319">
        <v>2057.5</v>
      </c>
      <c r="F1319">
        <v>2054.5</v>
      </c>
      <c r="G1319">
        <v>2057</v>
      </c>
      <c r="H1319">
        <v>4700</v>
      </c>
    </row>
    <row r="1320" spans="2:8">
      <c r="B1320" t="s">
        <v>463</v>
      </c>
      <c r="C1320" t="s">
        <v>64</v>
      </c>
      <c r="D1320">
        <v>2057</v>
      </c>
      <c r="E1320">
        <v>2057.5</v>
      </c>
      <c r="F1320">
        <v>2056.5</v>
      </c>
      <c r="G1320">
        <v>2056.5</v>
      </c>
      <c r="H1320">
        <v>6300</v>
      </c>
    </row>
    <row r="1321" spans="2:8">
      <c r="B1321" t="s">
        <v>463</v>
      </c>
      <c r="C1321" t="s">
        <v>65</v>
      </c>
      <c r="D1321">
        <v>2057</v>
      </c>
      <c r="E1321">
        <v>2058</v>
      </c>
      <c r="F1321">
        <v>2057</v>
      </c>
      <c r="G1321">
        <v>2058</v>
      </c>
      <c r="H1321">
        <v>6900</v>
      </c>
    </row>
    <row r="1322" spans="2:8">
      <c r="B1322" t="s">
        <v>463</v>
      </c>
      <c r="C1322" t="s">
        <v>66</v>
      </c>
      <c r="D1322">
        <v>2058</v>
      </c>
      <c r="E1322">
        <v>2058</v>
      </c>
      <c r="F1322">
        <v>2055</v>
      </c>
      <c r="G1322">
        <v>2055</v>
      </c>
      <c r="H1322">
        <v>7100</v>
      </c>
    </row>
    <row r="1323" spans="2:8">
      <c r="B1323" t="s">
        <v>463</v>
      </c>
      <c r="C1323" t="s">
        <v>164</v>
      </c>
      <c r="D1323">
        <v>2055.5</v>
      </c>
      <c r="E1323">
        <v>2057</v>
      </c>
      <c r="F1323">
        <v>2055</v>
      </c>
      <c r="G1323">
        <v>2056.5</v>
      </c>
      <c r="H1323">
        <v>5800</v>
      </c>
    </row>
    <row r="1324" spans="2:8">
      <c r="B1324" t="s">
        <v>463</v>
      </c>
      <c r="C1324" t="s">
        <v>165</v>
      </c>
      <c r="D1324">
        <v>2057</v>
      </c>
      <c r="E1324">
        <v>2057.5</v>
      </c>
      <c r="F1324">
        <v>2055</v>
      </c>
      <c r="G1324">
        <v>2055</v>
      </c>
      <c r="H1324">
        <v>6700</v>
      </c>
    </row>
    <row r="1325" spans="2:8">
      <c r="B1325" t="s">
        <v>463</v>
      </c>
      <c r="C1325" t="s">
        <v>67</v>
      </c>
      <c r="D1325" t="s">
        <v>8</v>
      </c>
      <c r="E1325" t="s">
        <v>8</v>
      </c>
      <c r="F1325" t="s">
        <v>8</v>
      </c>
      <c r="G1325" t="s">
        <v>8</v>
      </c>
      <c r="H1325">
        <v>0</v>
      </c>
    </row>
    <row r="1326" spans="2:8">
      <c r="B1326" t="s">
        <v>463</v>
      </c>
      <c r="C1326" t="s">
        <v>68</v>
      </c>
      <c r="D1326" t="s">
        <v>8</v>
      </c>
      <c r="E1326" t="s">
        <v>8</v>
      </c>
      <c r="F1326" t="s">
        <v>8</v>
      </c>
      <c r="G1326" t="s">
        <v>8</v>
      </c>
      <c r="H1326">
        <v>0</v>
      </c>
    </row>
    <row r="1327" spans="2:8">
      <c r="B1327" t="s">
        <v>463</v>
      </c>
      <c r="C1327" t="s">
        <v>69</v>
      </c>
      <c r="D1327" t="s">
        <v>8</v>
      </c>
      <c r="E1327" t="s">
        <v>8</v>
      </c>
      <c r="F1327" t="s">
        <v>8</v>
      </c>
      <c r="G1327" t="s">
        <v>8</v>
      </c>
      <c r="H1327">
        <v>0</v>
      </c>
    </row>
    <row r="1328" spans="2:8">
      <c r="B1328" t="s">
        <v>463</v>
      </c>
      <c r="C1328" t="s">
        <v>70</v>
      </c>
      <c r="D1328" t="s">
        <v>8</v>
      </c>
      <c r="E1328" t="s">
        <v>8</v>
      </c>
      <c r="F1328" t="s">
        <v>8</v>
      </c>
      <c r="G1328" t="s">
        <v>8</v>
      </c>
      <c r="H1328">
        <v>0</v>
      </c>
    </row>
    <row r="1329" spans="2:8">
      <c r="B1329" t="s">
        <v>463</v>
      </c>
      <c r="C1329" t="s">
        <v>71</v>
      </c>
      <c r="D1329" t="s">
        <v>8</v>
      </c>
      <c r="E1329" t="s">
        <v>8</v>
      </c>
      <c r="F1329" t="s">
        <v>8</v>
      </c>
      <c r="G1329" t="s">
        <v>8</v>
      </c>
      <c r="H1329">
        <v>0</v>
      </c>
    </row>
    <row r="1330" spans="2:8">
      <c r="B1330" t="s">
        <v>463</v>
      </c>
      <c r="C1330" t="s">
        <v>72</v>
      </c>
      <c r="D1330">
        <v>2064</v>
      </c>
      <c r="E1330">
        <v>2064</v>
      </c>
      <c r="F1330">
        <v>2064</v>
      </c>
      <c r="G1330">
        <v>2064</v>
      </c>
      <c r="H1330">
        <v>246800</v>
      </c>
    </row>
    <row r="1331" spans="2:8">
      <c r="B1331" t="s">
        <v>587</v>
      </c>
      <c r="C1331" t="s">
        <v>166</v>
      </c>
      <c r="D1331" t="s">
        <v>8</v>
      </c>
      <c r="E1331" t="s">
        <v>8</v>
      </c>
      <c r="F1331" t="s">
        <v>8</v>
      </c>
      <c r="G1331" t="s">
        <v>8</v>
      </c>
      <c r="H1331">
        <v>0</v>
      </c>
    </row>
    <row r="1332" spans="2:8">
      <c r="B1332" t="s">
        <v>587</v>
      </c>
      <c r="C1332" t="s">
        <v>167</v>
      </c>
      <c r="D1332" t="s">
        <v>8</v>
      </c>
      <c r="E1332" t="s">
        <v>8</v>
      </c>
      <c r="F1332" t="s">
        <v>8</v>
      </c>
      <c r="G1332" t="s">
        <v>8</v>
      </c>
      <c r="H1332">
        <v>0</v>
      </c>
    </row>
    <row r="1333" spans="2:8">
      <c r="B1333" t="s">
        <v>587</v>
      </c>
      <c r="C1333" t="s">
        <v>168</v>
      </c>
      <c r="D1333" t="s">
        <v>8</v>
      </c>
      <c r="E1333" t="s">
        <v>8</v>
      </c>
      <c r="F1333" t="s">
        <v>8</v>
      </c>
      <c r="G1333" t="s">
        <v>8</v>
      </c>
      <c r="H1333">
        <v>0</v>
      </c>
    </row>
    <row r="1334" spans="2:8">
      <c r="B1334" t="s">
        <v>587</v>
      </c>
      <c r="C1334" t="s">
        <v>169</v>
      </c>
      <c r="D1334" t="s">
        <v>8</v>
      </c>
      <c r="E1334" t="s">
        <v>8</v>
      </c>
      <c r="F1334" t="s">
        <v>8</v>
      </c>
      <c r="G1334" t="s">
        <v>8</v>
      </c>
      <c r="H1334">
        <v>0</v>
      </c>
    </row>
    <row r="1335" spans="2:8">
      <c r="B1335" t="s">
        <v>587</v>
      </c>
      <c r="C1335" t="s">
        <v>170</v>
      </c>
      <c r="D1335" t="s">
        <v>8</v>
      </c>
      <c r="E1335" t="s">
        <v>8</v>
      </c>
      <c r="F1335" t="s">
        <v>8</v>
      </c>
      <c r="G1335" t="s">
        <v>8</v>
      </c>
      <c r="H1335">
        <v>0</v>
      </c>
    </row>
    <row r="1336" spans="2:8">
      <c r="B1336" t="s">
        <v>587</v>
      </c>
      <c r="C1336" t="s">
        <v>171</v>
      </c>
      <c r="D1336" t="s">
        <v>8</v>
      </c>
      <c r="E1336" t="s">
        <v>8</v>
      </c>
      <c r="F1336" t="s">
        <v>8</v>
      </c>
      <c r="G1336" t="s">
        <v>8</v>
      </c>
      <c r="H1336">
        <v>0</v>
      </c>
    </row>
    <row r="1337" spans="2:8">
      <c r="B1337" t="s">
        <v>587</v>
      </c>
      <c r="C1337" t="s">
        <v>172</v>
      </c>
      <c r="D1337">
        <v>1937</v>
      </c>
      <c r="E1337">
        <v>1973</v>
      </c>
      <c r="F1337">
        <v>1928</v>
      </c>
      <c r="G1337">
        <v>1970</v>
      </c>
      <c r="H1337">
        <v>226400</v>
      </c>
    </row>
    <row r="1338" spans="2:8">
      <c r="B1338" t="s">
        <v>587</v>
      </c>
      <c r="C1338" t="s">
        <v>173</v>
      </c>
      <c r="D1338">
        <v>1969</v>
      </c>
      <c r="E1338">
        <v>1971.5</v>
      </c>
      <c r="F1338">
        <v>1943.5</v>
      </c>
      <c r="G1338">
        <v>1949.5</v>
      </c>
      <c r="H1338">
        <v>44800</v>
      </c>
    </row>
    <row r="1339" spans="2:8">
      <c r="B1339" t="s">
        <v>587</v>
      </c>
      <c r="C1339" t="s">
        <v>174</v>
      </c>
      <c r="D1339">
        <v>1949</v>
      </c>
      <c r="E1339">
        <v>1956.5</v>
      </c>
      <c r="F1339">
        <v>1931</v>
      </c>
      <c r="G1339">
        <v>1933</v>
      </c>
      <c r="H1339">
        <v>41000</v>
      </c>
    </row>
    <row r="1340" spans="2:8">
      <c r="B1340" t="s">
        <v>587</v>
      </c>
      <c r="C1340" t="s">
        <v>175</v>
      </c>
      <c r="D1340">
        <v>1933</v>
      </c>
      <c r="E1340">
        <v>1933</v>
      </c>
      <c r="F1340">
        <v>1910</v>
      </c>
      <c r="G1340">
        <v>1916</v>
      </c>
      <c r="H1340">
        <v>56500</v>
      </c>
    </row>
    <row r="1341" spans="2:8">
      <c r="B1341" t="s">
        <v>587</v>
      </c>
      <c r="C1341" t="s">
        <v>176</v>
      </c>
      <c r="D1341">
        <v>1914</v>
      </c>
      <c r="E1341">
        <v>1918</v>
      </c>
      <c r="F1341">
        <v>1908</v>
      </c>
      <c r="G1341">
        <v>1914.5</v>
      </c>
      <c r="H1341">
        <v>39700</v>
      </c>
    </row>
    <row r="1342" spans="2:8">
      <c r="B1342" t="s">
        <v>587</v>
      </c>
      <c r="C1342" t="s">
        <v>177</v>
      </c>
      <c r="D1342">
        <v>1914.5</v>
      </c>
      <c r="E1342">
        <v>1920.5</v>
      </c>
      <c r="F1342">
        <v>1911.5</v>
      </c>
      <c r="G1342">
        <v>1915</v>
      </c>
      <c r="H1342">
        <v>25600</v>
      </c>
    </row>
    <row r="1343" spans="2:8">
      <c r="B1343" t="s">
        <v>587</v>
      </c>
      <c r="C1343" t="s">
        <v>178</v>
      </c>
      <c r="D1343">
        <v>1913.5</v>
      </c>
      <c r="E1343">
        <v>1913.5</v>
      </c>
      <c r="F1343">
        <v>1904</v>
      </c>
      <c r="G1343">
        <v>1909</v>
      </c>
      <c r="H1343">
        <v>50600</v>
      </c>
    </row>
    <row r="1344" spans="2:8">
      <c r="B1344" t="s">
        <v>587</v>
      </c>
      <c r="C1344" t="s">
        <v>179</v>
      </c>
      <c r="D1344">
        <v>1907.5</v>
      </c>
      <c r="E1344">
        <v>1913.5</v>
      </c>
      <c r="F1344">
        <v>1906.5</v>
      </c>
      <c r="G1344">
        <v>1910</v>
      </c>
      <c r="H1344">
        <v>20000</v>
      </c>
    </row>
    <row r="1345" spans="2:8">
      <c r="B1345" t="s">
        <v>587</v>
      </c>
      <c r="C1345" t="s">
        <v>180</v>
      </c>
      <c r="D1345">
        <v>1909.5</v>
      </c>
      <c r="E1345">
        <v>1913</v>
      </c>
      <c r="F1345">
        <v>1904.5</v>
      </c>
      <c r="G1345">
        <v>1909.5</v>
      </c>
      <c r="H1345">
        <v>23800</v>
      </c>
    </row>
    <row r="1346" spans="2:8">
      <c r="B1346" t="s">
        <v>587</v>
      </c>
      <c r="C1346" t="s">
        <v>181</v>
      </c>
      <c r="D1346">
        <v>1908.5</v>
      </c>
      <c r="E1346">
        <v>1908.5</v>
      </c>
      <c r="F1346">
        <v>1896.5</v>
      </c>
      <c r="G1346">
        <v>1902</v>
      </c>
      <c r="H1346">
        <v>41500</v>
      </c>
    </row>
    <row r="1347" spans="2:8">
      <c r="B1347" t="s">
        <v>587</v>
      </c>
      <c r="C1347" t="s">
        <v>182</v>
      </c>
      <c r="D1347">
        <v>1901.5</v>
      </c>
      <c r="E1347">
        <v>1901.5</v>
      </c>
      <c r="F1347">
        <v>1896.5</v>
      </c>
      <c r="G1347">
        <v>1898</v>
      </c>
      <c r="H1347">
        <v>22200</v>
      </c>
    </row>
    <row r="1348" spans="2:8">
      <c r="B1348" t="s">
        <v>587</v>
      </c>
      <c r="C1348" t="s">
        <v>183</v>
      </c>
      <c r="D1348">
        <v>1897</v>
      </c>
      <c r="E1348">
        <v>1909.5</v>
      </c>
      <c r="F1348">
        <v>1896.5</v>
      </c>
      <c r="G1348">
        <v>1905.5</v>
      </c>
      <c r="H1348">
        <v>21900</v>
      </c>
    </row>
    <row r="1349" spans="2:8">
      <c r="B1349" t="s">
        <v>587</v>
      </c>
      <c r="C1349" t="s">
        <v>184</v>
      </c>
      <c r="D1349">
        <v>1905.5</v>
      </c>
      <c r="E1349">
        <v>1910.5</v>
      </c>
      <c r="F1349">
        <v>1902.5</v>
      </c>
      <c r="G1349">
        <v>1904.5</v>
      </c>
      <c r="H1349">
        <v>14400</v>
      </c>
    </row>
    <row r="1350" spans="2:8">
      <c r="B1350" t="s">
        <v>587</v>
      </c>
      <c r="C1350" t="s">
        <v>185</v>
      </c>
      <c r="D1350">
        <v>1904.5</v>
      </c>
      <c r="E1350">
        <v>1905</v>
      </c>
      <c r="F1350">
        <v>1900</v>
      </c>
      <c r="G1350">
        <v>1901.5</v>
      </c>
      <c r="H1350">
        <v>13500</v>
      </c>
    </row>
    <row r="1351" spans="2:8">
      <c r="B1351" t="s">
        <v>587</v>
      </c>
      <c r="C1351" t="s">
        <v>186</v>
      </c>
      <c r="D1351">
        <v>1901</v>
      </c>
      <c r="E1351">
        <v>1902</v>
      </c>
      <c r="F1351">
        <v>1891.5</v>
      </c>
      <c r="G1351">
        <v>1893</v>
      </c>
      <c r="H1351">
        <v>40500</v>
      </c>
    </row>
    <row r="1352" spans="2:8">
      <c r="B1352" t="s">
        <v>587</v>
      </c>
      <c r="C1352" t="s">
        <v>187</v>
      </c>
      <c r="D1352">
        <v>1893.5</v>
      </c>
      <c r="E1352">
        <v>1899.5</v>
      </c>
      <c r="F1352">
        <v>1893.5</v>
      </c>
      <c r="G1352">
        <v>1898.5</v>
      </c>
      <c r="H1352">
        <v>8800</v>
      </c>
    </row>
    <row r="1353" spans="2:8">
      <c r="B1353" t="s">
        <v>587</v>
      </c>
      <c r="C1353" t="s">
        <v>188</v>
      </c>
      <c r="D1353">
        <v>1898.5</v>
      </c>
      <c r="E1353">
        <v>1898.5</v>
      </c>
      <c r="F1353">
        <v>1888.5</v>
      </c>
      <c r="G1353">
        <v>1890</v>
      </c>
      <c r="H1353">
        <v>33500</v>
      </c>
    </row>
    <row r="1354" spans="2:8">
      <c r="B1354" t="s">
        <v>587</v>
      </c>
      <c r="C1354" t="s">
        <v>189</v>
      </c>
      <c r="D1354">
        <v>1889.5</v>
      </c>
      <c r="E1354">
        <v>1889.5</v>
      </c>
      <c r="F1354">
        <v>1884</v>
      </c>
      <c r="G1354">
        <v>1885</v>
      </c>
      <c r="H1354">
        <v>20400</v>
      </c>
    </row>
    <row r="1355" spans="2:8">
      <c r="B1355" t="s">
        <v>587</v>
      </c>
      <c r="C1355" t="s">
        <v>190</v>
      </c>
      <c r="D1355">
        <v>1885.5</v>
      </c>
      <c r="E1355">
        <v>1887</v>
      </c>
      <c r="F1355">
        <v>1881.5</v>
      </c>
      <c r="G1355">
        <v>1886</v>
      </c>
      <c r="H1355">
        <v>14200</v>
      </c>
    </row>
    <row r="1356" spans="2:8">
      <c r="B1356" t="s">
        <v>587</v>
      </c>
      <c r="C1356" t="s">
        <v>191</v>
      </c>
      <c r="D1356">
        <v>1885.5</v>
      </c>
      <c r="E1356">
        <v>1886</v>
      </c>
      <c r="F1356">
        <v>1882</v>
      </c>
      <c r="G1356">
        <v>1883.5</v>
      </c>
      <c r="H1356">
        <v>7800</v>
      </c>
    </row>
    <row r="1357" spans="2:8">
      <c r="B1357" t="s">
        <v>587</v>
      </c>
      <c r="C1357" t="s">
        <v>192</v>
      </c>
      <c r="D1357">
        <v>1883</v>
      </c>
      <c r="E1357">
        <v>1883</v>
      </c>
      <c r="F1357">
        <v>1875</v>
      </c>
      <c r="G1357">
        <v>1875</v>
      </c>
      <c r="H1357">
        <v>40100</v>
      </c>
    </row>
    <row r="1358" spans="2:8">
      <c r="B1358" t="s">
        <v>587</v>
      </c>
      <c r="C1358" t="s">
        <v>193</v>
      </c>
      <c r="D1358">
        <v>1875</v>
      </c>
      <c r="E1358">
        <v>1880.5</v>
      </c>
      <c r="F1358">
        <v>1870</v>
      </c>
      <c r="G1358">
        <v>1879</v>
      </c>
      <c r="H1358">
        <v>23200</v>
      </c>
    </row>
    <row r="1359" spans="2:8">
      <c r="B1359" t="s">
        <v>587</v>
      </c>
      <c r="C1359" t="s">
        <v>194</v>
      </c>
      <c r="D1359">
        <v>1880</v>
      </c>
      <c r="E1359">
        <v>1886.5</v>
      </c>
      <c r="F1359">
        <v>1877</v>
      </c>
      <c r="G1359">
        <v>1879.5</v>
      </c>
      <c r="H1359">
        <v>26400</v>
      </c>
    </row>
    <row r="1360" spans="2:8">
      <c r="B1360" t="s">
        <v>587</v>
      </c>
      <c r="C1360" t="s">
        <v>195</v>
      </c>
      <c r="D1360">
        <v>1880</v>
      </c>
      <c r="E1360">
        <v>1884.5</v>
      </c>
      <c r="F1360">
        <v>1878</v>
      </c>
      <c r="G1360">
        <v>1880</v>
      </c>
      <c r="H1360">
        <v>11400</v>
      </c>
    </row>
    <row r="1361" spans="2:8">
      <c r="B1361" t="s">
        <v>587</v>
      </c>
      <c r="C1361" t="s">
        <v>196</v>
      </c>
      <c r="D1361">
        <v>1879.5</v>
      </c>
      <c r="E1361">
        <v>1886.5</v>
      </c>
      <c r="F1361">
        <v>1878.5</v>
      </c>
      <c r="G1361">
        <v>1886</v>
      </c>
      <c r="H1361">
        <v>11600</v>
      </c>
    </row>
    <row r="1362" spans="2:8">
      <c r="B1362" t="s">
        <v>587</v>
      </c>
      <c r="C1362" t="s">
        <v>197</v>
      </c>
      <c r="D1362">
        <v>1886</v>
      </c>
      <c r="E1362">
        <v>1892</v>
      </c>
      <c r="F1362">
        <v>1884.5</v>
      </c>
      <c r="G1362">
        <v>1890.5</v>
      </c>
      <c r="H1362">
        <v>13900</v>
      </c>
    </row>
    <row r="1363" spans="2:8">
      <c r="B1363" t="s">
        <v>587</v>
      </c>
      <c r="C1363" t="s">
        <v>198</v>
      </c>
      <c r="D1363">
        <v>1890</v>
      </c>
      <c r="E1363">
        <v>1896.5</v>
      </c>
      <c r="F1363">
        <v>1890</v>
      </c>
      <c r="G1363">
        <v>1895</v>
      </c>
      <c r="H1363">
        <v>17300</v>
      </c>
    </row>
    <row r="1364" spans="2:8">
      <c r="B1364" t="s">
        <v>587</v>
      </c>
      <c r="C1364" t="s">
        <v>199</v>
      </c>
      <c r="D1364">
        <v>1895.5</v>
      </c>
      <c r="E1364">
        <v>1896</v>
      </c>
      <c r="F1364">
        <v>1890.5</v>
      </c>
      <c r="G1364">
        <v>1893</v>
      </c>
      <c r="H1364">
        <v>17800</v>
      </c>
    </row>
    <row r="1365" spans="2:8">
      <c r="B1365" t="s">
        <v>587</v>
      </c>
      <c r="C1365" t="s">
        <v>200</v>
      </c>
      <c r="D1365">
        <v>1893.5</v>
      </c>
      <c r="E1365">
        <v>1902</v>
      </c>
      <c r="F1365">
        <v>1893.5</v>
      </c>
      <c r="G1365">
        <v>1897.5</v>
      </c>
      <c r="H1365">
        <v>17000</v>
      </c>
    </row>
    <row r="1366" spans="2:8">
      <c r="B1366" t="s">
        <v>587</v>
      </c>
      <c r="C1366" t="s">
        <v>201</v>
      </c>
      <c r="D1366">
        <v>1898</v>
      </c>
      <c r="E1366">
        <v>1905</v>
      </c>
      <c r="F1366">
        <v>1898</v>
      </c>
      <c r="G1366">
        <v>1905</v>
      </c>
      <c r="H1366">
        <v>21600</v>
      </c>
    </row>
    <row r="1367" spans="2:8">
      <c r="B1367" t="s">
        <v>587</v>
      </c>
      <c r="C1367" t="s">
        <v>202</v>
      </c>
      <c r="D1367">
        <v>1905</v>
      </c>
      <c r="E1367">
        <v>1906</v>
      </c>
      <c r="F1367">
        <v>1903</v>
      </c>
      <c r="G1367">
        <v>1903.5</v>
      </c>
      <c r="H1367">
        <v>8200</v>
      </c>
    </row>
    <row r="1368" spans="2:8">
      <c r="B1368" t="s">
        <v>587</v>
      </c>
      <c r="C1368" t="s">
        <v>203</v>
      </c>
      <c r="D1368">
        <v>1905.5</v>
      </c>
      <c r="E1368">
        <v>1910.5</v>
      </c>
      <c r="F1368">
        <v>1900</v>
      </c>
      <c r="G1368">
        <v>1910.5</v>
      </c>
      <c r="H1368">
        <v>20300</v>
      </c>
    </row>
    <row r="1369" spans="2:8">
      <c r="B1369" t="s">
        <v>587</v>
      </c>
      <c r="C1369" t="s">
        <v>204</v>
      </c>
      <c r="D1369">
        <v>1910.5</v>
      </c>
      <c r="E1369">
        <v>1913.5</v>
      </c>
      <c r="F1369">
        <v>1910</v>
      </c>
      <c r="G1369">
        <v>1911.5</v>
      </c>
      <c r="H1369">
        <v>8800</v>
      </c>
    </row>
    <row r="1370" spans="2:8">
      <c r="B1370" t="s">
        <v>587</v>
      </c>
      <c r="C1370" t="s">
        <v>205</v>
      </c>
      <c r="D1370">
        <v>1910.5</v>
      </c>
      <c r="E1370">
        <v>1912</v>
      </c>
      <c r="F1370">
        <v>1906</v>
      </c>
      <c r="G1370">
        <v>1910.5</v>
      </c>
      <c r="H1370">
        <v>11100</v>
      </c>
    </row>
    <row r="1371" spans="2:8">
      <c r="B1371" t="s">
        <v>587</v>
      </c>
      <c r="C1371" t="s">
        <v>206</v>
      </c>
      <c r="D1371">
        <v>1910.5</v>
      </c>
      <c r="E1371">
        <v>1911.5</v>
      </c>
      <c r="F1371">
        <v>1905.5</v>
      </c>
      <c r="G1371">
        <v>1908.5</v>
      </c>
      <c r="H1371">
        <v>12300</v>
      </c>
    </row>
    <row r="1372" spans="2:8">
      <c r="B1372" t="s">
        <v>587</v>
      </c>
      <c r="C1372" t="s">
        <v>207</v>
      </c>
      <c r="D1372">
        <v>1908.5</v>
      </c>
      <c r="E1372">
        <v>1911</v>
      </c>
      <c r="F1372">
        <v>1906.5</v>
      </c>
      <c r="G1372">
        <v>1907</v>
      </c>
      <c r="H1372">
        <v>7200</v>
      </c>
    </row>
    <row r="1373" spans="2:8">
      <c r="B1373" t="s">
        <v>587</v>
      </c>
      <c r="C1373" t="s">
        <v>208</v>
      </c>
      <c r="D1373">
        <v>1907.5</v>
      </c>
      <c r="E1373">
        <v>1908.5</v>
      </c>
      <c r="F1373">
        <v>1903.5</v>
      </c>
      <c r="G1373">
        <v>1906</v>
      </c>
      <c r="H1373">
        <v>13500</v>
      </c>
    </row>
    <row r="1374" spans="2:8">
      <c r="B1374" t="s">
        <v>587</v>
      </c>
      <c r="C1374" t="s">
        <v>209</v>
      </c>
      <c r="D1374">
        <v>1906.5</v>
      </c>
      <c r="E1374">
        <v>1910</v>
      </c>
      <c r="F1374">
        <v>1904.5</v>
      </c>
      <c r="G1374">
        <v>1907</v>
      </c>
      <c r="H1374">
        <v>9200</v>
      </c>
    </row>
    <row r="1375" spans="2:8">
      <c r="B1375" t="s">
        <v>587</v>
      </c>
      <c r="C1375" t="s">
        <v>210</v>
      </c>
      <c r="D1375">
        <v>1906</v>
      </c>
      <c r="E1375">
        <v>1906</v>
      </c>
      <c r="F1375">
        <v>1901.5</v>
      </c>
      <c r="G1375">
        <v>1901.5</v>
      </c>
      <c r="H1375">
        <v>6200</v>
      </c>
    </row>
    <row r="1376" spans="2:8">
      <c r="B1376" t="s">
        <v>587</v>
      </c>
      <c r="C1376" t="s">
        <v>211</v>
      </c>
      <c r="D1376">
        <v>1901.5</v>
      </c>
      <c r="E1376">
        <v>1901.5</v>
      </c>
      <c r="F1376">
        <v>1898.5</v>
      </c>
      <c r="G1376">
        <v>1898.5</v>
      </c>
      <c r="H1376">
        <v>12900</v>
      </c>
    </row>
    <row r="1377" spans="2:8">
      <c r="B1377" t="s">
        <v>587</v>
      </c>
      <c r="C1377" t="s">
        <v>212</v>
      </c>
      <c r="D1377">
        <v>1898</v>
      </c>
      <c r="E1377">
        <v>1898</v>
      </c>
      <c r="F1377">
        <v>1893</v>
      </c>
      <c r="G1377">
        <v>1894</v>
      </c>
      <c r="H1377">
        <v>17700</v>
      </c>
    </row>
    <row r="1378" spans="2:8">
      <c r="B1378" t="s">
        <v>587</v>
      </c>
      <c r="C1378" t="s">
        <v>213</v>
      </c>
      <c r="D1378">
        <v>1893.5</v>
      </c>
      <c r="E1378">
        <v>1893.5</v>
      </c>
      <c r="F1378">
        <v>1888.5</v>
      </c>
      <c r="G1378">
        <v>1891</v>
      </c>
      <c r="H1378">
        <v>22400</v>
      </c>
    </row>
    <row r="1379" spans="2:8">
      <c r="B1379" t="s">
        <v>587</v>
      </c>
      <c r="C1379" t="s">
        <v>214</v>
      </c>
      <c r="D1379">
        <v>1891</v>
      </c>
      <c r="E1379">
        <v>1894.5</v>
      </c>
      <c r="F1379">
        <v>1890.5</v>
      </c>
      <c r="G1379">
        <v>1893.5</v>
      </c>
      <c r="H1379">
        <v>7600</v>
      </c>
    </row>
    <row r="1380" spans="2:8">
      <c r="B1380" t="s">
        <v>587</v>
      </c>
      <c r="C1380" t="s">
        <v>215</v>
      </c>
      <c r="D1380">
        <v>1892.5</v>
      </c>
      <c r="E1380">
        <v>1893</v>
      </c>
      <c r="F1380">
        <v>1888.5</v>
      </c>
      <c r="G1380">
        <v>1891</v>
      </c>
      <c r="H1380">
        <v>16900</v>
      </c>
    </row>
    <row r="1381" spans="2:8">
      <c r="B1381" t="s">
        <v>587</v>
      </c>
      <c r="C1381" t="s">
        <v>216</v>
      </c>
      <c r="D1381">
        <v>1891.5</v>
      </c>
      <c r="E1381">
        <v>1905.5</v>
      </c>
      <c r="F1381">
        <v>1890</v>
      </c>
      <c r="G1381">
        <v>1904.5</v>
      </c>
      <c r="H1381">
        <v>20000</v>
      </c>
    </row>
    <row r="1382" spans="2:8">
      <c r="B1382" t="s">
        <v>587</v>
      </c>
      <c r="C1382" t="s">
        <v>217</v>
      </c>
      <c r="D1382">
        <v>1905</v>
      </c>
      <c r="E1382">
        <v>1907</v>
      </c>
      <c r="F1382">
        <v>1901.5</v>
      </c>
      <c r="G1382">
        <v>1905.5</v>
      </c>
      <c r="H1382">
        <v>10600</v>
      </c>
    </row>
    <row r="1383" spans="2:8">
      <c r="B1383" t="s">
        <v>587</v>
      </c>
      <c r="C1383" t="s">
        <v>218</v>
      </c>
      <c r="D1383">
        <v>1904.5</v>
      </c>
      <c r="E1383">
        <v>1904.5</v>
      </c>
      <c r="F1383">
        <v>1900</v>
      </c>
      <c r="G1383">
        <v>1900.5</v>
      </c>
      <c r="H1383">
        <v>6100</v>
      </c>
    </row>
    <row r="1384" spans="2:8">
      <c r="B1384" t="s">
        <v>587</v>
      </c>
      <c r="C1384" t="s">
        <v>219</v>
      </c>
      <c r="D1384">
        <v>1901</v>
      </c>
      <c r="E1384">
        <v>1902.5</v>
      </c>
      <c r="F1384">
        <v>1900</v>
      </c>
      <c r="G1384">
        <v>1901.5</v>
      </c>
      <c r="H1384">
        <v>1700</v>
      </c>
    </row>
    <row r="1385" spans="2:8">
      <c r="B1385" t="s">
        <v>587</v>
      </c>
      <c r="C1385" t="s">
        <v>220</v>
      </c>
      <c r="D1385">
        <v>1901</v>
      </c>
      <c r="E1385">
        <v>1908</v>
      </c>
      <c r="F1385">
        <v>1901</v>
      </c>
      <c r="G1385">
        <v>1908</v>
      </c>
      <c r="H1385">
        <v>9200</v>
      </c>
    </row>
    <row r="1386" spans="2:8">
      <c r="B1386" t="s">
        <v>587</v>
      </c>
      <c r="C1386" t="s">
        <v>221</v>
      </c>
      <c r="D1386">
        <v>1908</v>
      </c>
      <c r="E1386">
        <v>1910</v>
      </c>
      <c r="F1386">
        <v>1906.5</v>
      </c>
      <c r="G1386">
        <v>1908.5</v>
      </c>
      <c r="H1386">
        <v>6700</v>
      </c>
    </row>
    <row r="1387" spans="2:8">
      <c r="B1387" t="s">
        <v>587</v>
      </c>
      <c r="C1387" t="s">
        <v>222</v>
      </c>
      <c r="D1387">
        <v>1907.5</v>
      </c>
      <c r="E1387">
        <v>1916.5</v>
      </c>
      <c r="F1387">
        <v>1907.5</v>
      </c>
      <c r="G1387">
        <v>1916.5</v>
      </c>
      <c r="H1387">
        <v>20500</v>
      </c>
    </row>
    <row r="1388" spans="2:8">
      <c r="B1388" t="s">
        <v>587</v>
      </c>
      <c r="C1388" t="s">
        <v>223</v>
      </c>
      <c r="D1388">
        <v>1916</v>
      </c>
      <c r="E1388">
        <v>1916.5</v>
      </c>
      <c r="F1388">
        <v>1913.5</v>
      </c>
      <c r="G1388">
        <v>1913.5</v>
      </c>
      <c r="H1388">
        <v>6900</v>
      </c>
    </row>
    <row r="1389" spans="2:8">
      <c r="B1389" t="s">
        <v>587</v>
      </c>
      <c r="C1389" t="s">
        <v>224</v>
      </c>
      <c r="D1389">
        <v>1913</v>
      </c>
      <c r="E1389">
        <v>1916.5</v>
      </c>
      <c r="F1389">
        <v>1913</v>
      </c>
      <c r="G1389">
        <v>1914.5</v>
      </c>
      <c r="H1389">
        <v>5300</v>
      </c>
    </row>
    <row r="1390" spans="2:8">
      <c r="B1390" t="s">
        <v>587</v>
      </c>
      <c r="C1390" t="s">
        <v>225</v>
      </c>
      <c r="D1390">
        <v>1915</v>
      </c>
      <c r="E1390">
        <v>1916.5</v>
      </c>
      <c r="F1390">
        <v>1912.5</v>
      </c>
      <c r="G1390">
        <v>1914</v>
      </c>
      <c r="H1390">
        <v>16800</v>
      </c>
    </row>
    <row r="1391" spans="2:8">
      <c r="B1391" t="s">
        <v>587</v>
      </c>
      <c r="C1391" t="s">
        <v>226</v>
      </c>
      <c r="D1391">
        <v>1914</v>
      </c>
      <c r="E1391">
        <v>1916.5</v>
      </c>
      <c r="F1391">
        <v>1913</v>
      </c>
      <c r="G1391">
        <v>1913</v>
      </c>
      <c r="H1391">
        <v>7000</v>
      </c>
    </row>
    <row r="1392" spans="2:8">
      <c r="B1392" t="s">
        <v>587</v>
      </c>
      <c r="C1392" t="s">
        <v>227</v>
      </c>
      <c r="D1392">
        <v>1913</v>
      </c>
      <c r="E1392">
        <v>1915.5</v>
      </c>
      <c r="F1392">
        <v>1912</v>
      </c>
      <c r="G1392">
        <v>1913</v>
      </c>
      <c r="H1392">
        <v>4500</v>
      </c>
    </row>
    <row r="1393" spans="2:8">
      <c r="B1393" t="s">
        <v>587</v>
      </c>
      <c r="C1393" t="s">
        <v>228</v>
      </c>
      <c r="D1393">
        <v>1913.5</v>
      </c>
      <c r="E1393">
        <v>1914</v>
      </c>
      <c r="F1393">
        <v>1909.5</v>
      </c>
      <c r="G1393">
        <v>1910</v>
      </c>
      <c r="H1393">
        <v>11400</v>
      </c>
    </row>
    <row r="1394" spans="2:8">
      <c r="B1394" t="s">
        <v>587</v>
      </c>
      <c r="C1394" t="s">
        <v>229</v>
      </c>
      <c r="D1394">
        <v>1909</v>
      </c>
      <c r="E1394">
        <v>1913.5</v>
      </c>
      <c r="F1394">
        <v>1908</v>
      </c>
      <c r="G1394">
        <v>1913</v>
      </c>
      <c r="H1394">
        <v>7100</v>
      </c>
    </row>
    <row r="1395" spans="2:8">
      <c r="B1395" t="s">
        <v>587</v>
      </c>
      <c r="C1395" t="s">
        <v>230</v>
      </c>
      <c r="D1395">
        <v>1912.5</v>
      </c>
      <c r="E1395">
        <v>1912.5</v>
      </c>
      <c r="F1395">
        <v>1905.5</v>
      </c>
      <c r="G1395">
        <v>1908</v>
      </c>
      <c r="H1395">
        <v>10800</v>
      </c>
    </row>
    <row r="1396" spans="2:8">
      <c r="B1396" t="s">
        <v>587</v>
      </c>
      <c r="C1396" t="s">
        <v>231</v>
      </c>
      <c r="D1396">
        <v>1907.5</v>
      </c>
      <c r="E1396">
        <v>1907.5</v>
      </c>
      <c r="F1396">
        <v>1901.5</v>
      </c>
      <c r="G1396">
        <v>1904.5</v>
      </c>
      <c r="H1396">
        <v>7000</v>
      </c>
    </row>
    <row r="1397" spans="2:8">
      <c r="B1397" t="s">
        <v>587</v>
      </c>
      <c r="C1397" t="s">
        <v>232</v>
      </c>
      <c r="D1397">
        <v>1904</v>
      </c>
      <c r="E1397">
        <v>1906.5</v>
      </c>
      <c r="F1397">
        <v>1901</v>
      </c>
      <c r="G1397">
        <v>1906.5</v>
      </c>
      <c r="H1397">
        <v>8300</v>
      </c>
    </row>
    <row r="1398" spans="2:8">
      <c r="B1398" t="s">
        <v>587</v>
      </c>
      <c r="C1398" t="s">
        <v>233</v>
      </c>
      <c r="D1398">
        <v>1905.5</v>
      </c>
      <c r="E1398">
        <v>1905.5</v>
      </c>
      <c r="F1398">
        <v>1904.5</v>
      </c>
      <c r="G1398">
        <v>1905.5</v>
      </c>
      <c r="H1398">
        <v>2600</v>
      </c>
    </row>
    <row r="1399" spans="2:8">
      <c r="B1399" t="s">
        <v>587</v>
      </c>
      <c r="C1399" t="s">
        <v>234</v>
      </c>
      <c r="D1399">
        <v>1906</v>
      </c>
      <c r="E1399">
        <v>1907.5</v>
      </c>
      <c r="F1399">
        <v>1906</v>
      </c>
      <c r="G1399">
        <v>1906</v>
      </c>
      <c r="H1399">
        <v>3400</v>
      </c>
    </row>
    <row r="1400" spans="2:8">
      <c r="B1400" t="s">
        <v>587</v>
      </c>
      <c r="C1400" t="s">
        <v>235</v>
      </c>
      <c r="D1400">
        <v>1906</v>
      </c>
      <c r="E1400">
        <v>1908</v>
      </c>
      <c r="F1400">
        <v>1905.5</v>
      </c>
      <c r="G1400">
        <v>1908</v>
      </c>
      <c r="H1400">
        <v>4600</v>
      </c>
    </row>
    <row r="1401" spans="2:8">
      <c r="B1401" t="s">
        <v>587</v>
      </c>
      <c r="C1401" t="s">
        <v>236</v>
      </c>
      <c r="D1401">
        <v>1907.5</v>
      </c>
      <c r="E1401">
        <v>1908</v>
      </c>
      <c r="F1401">
        <v>1905</v>
      </c>
      <c r="G1401">
        <v>1905</v>
      </c>
      <c r="H1401">
        <v>10900</v>
      </c>
    </row>
    <row r="1402" spans="2:8">
      <c r="B1402" t="s">
        <v>587</v>
      </c>
      <c r="C1402" t="s">
        <v>237</v>
      </c>
      <c r="D1402">
        <v>1905.5</v>
      </c>
      <c r="E1402">
        <v>1907</v>
      </c>
      <c r="F1402">
        <v>1904</v>
      </c>
      <c r="G1402">
        <v>1905.5</v>
      </c>
      <c r="H1402">
        <v>2400</v>
      </c>
    </row>
    <row r="1403" spans="2:8">
      <c r="B1403" t="s">
        <v>587</v>
      </c>
      <c r="C1403" t="s">
        <v>238</v>
      </c>
      <c r="D1403">
        <v>1905.5</v>
      </c>
      <c r="E1403">
        <v>1907</v>
      </c>
      <c r="F1403">
        <v>1904</v>
      </c>
      <c r="G1403">
        <v>1904.5</v>
      </c>
      <c r="H1403">
        <v>5200</v>
      </c>
    </row>
    <row r="1404" spans="2:8">
      <c r="B1404" t="s">
        <v>587</v>
      </c>
      <c r="C1404" t="s">
        <v>239</v>
      </c>
      <c r="D1404">
        <v>1905</v>
      </c>
      <c r="E1404">
        <v>1906.5</v>
      </c>
      <c r="F1404">
        <v>1903.5</v>
      </c>
      <c r="G1404">
        <v>1906.5</v>
      </c>
      <c r="H1404">
        <v>4700</v>
      </c>
    </row>
    <row r="1405" spans="2:8">
      <c r="B1405" t="s">
        <v>587</v>
      </c>
      <c r="C1405" t="s">
        <v>240</v>
      </c>
      <c r="D1405">
        <v>1907</v>
      </c>
      <c r="E1405">
        <v>1912</v>
      </c>
      <c r="F1405">
        <v>1906.5</v>
      </c>
      <c r="G1405">
        <v>1911.5</v>
      </c>
      <c r="H1405">
        <v>6100</v>
      </c>
    </row>
    <row r="1406" spans="2:8">
      <c r="B1406" t="s">
        <v>587</v>
      </c>
      <c r="C1406" t="s">
        <v>241</v>
      </c>
      <c r="D1406">
        <v>1912.5</v>
      </c>
      <c r="E1406">
        <v>1916</v>
      </c>
      <c r="F1406">
        <v>1910</v>
      </c>
      <c r="G1406">
        <v>1916</v>
      </c>
      <c r="H1406">
        <v>13000</v>
      </c>
    </row>
    <row r="1407" spans="2:8">
      <c r="B1407" t="s">
        <v>587</v>
      </c>
      <c r="C1407" t="s">
        <v>242</v>
      </c>
      <c r="D1407">
        <v>1915</v>
      </c>
      <c r="E1407">
        <v>1917.5</v>
      </c>
      <c r="F1407">
        <v>1912</v>
      </c>
      <c r="G1407">
        <v>1913.5</v>
      </c>
      <c r="H1407">
        <v>12700</v>
      </c>
    </row>
    <row r="1408" spans="2:8">
      <c r="B1408" t="s">
        <v>587</v>
      </c>
      <c r="C1408" t="s">
        <v>243</v>
      </c>
      <c r="D1408">
        <v>1913.5</v>
      </c>
      <c r="E1408">
        <v>1915.5</v>
      </c>
      <c r="F1408">
        <v>1911.5</v>
      </c>
      <c r="G1408">
        <v>1914.5</v>
      </c>
      <c r="H1408">
        <v>8400</v>
      </c>
    </row>
    <row r="1409" spans="2:8">
      <c r="B1409" t="s">
        <v>587</v>
      </c>
      <c r="C1409" t="s">
        <v>244</v>
      </c>
      <c r="D1409">
        <v>1915</v>
      </c>
      <c r="E1409">
        <v>1915</v>
      </c>
      <c r="F1409">
        <v>1911</v>
      </c>
      <c r="G1409">
        <v>1911.5</v>
      </c>
      <c r="H1409">
        <v>4200</v>
      </c>
    </row>
    <row r="1410" spans="2:8">
      <c r="B1410" t="s">
        <v>587</v>
      </c>
      <c r="C1410" t="s">
        <v>245</v>
      </c>
      <c r="D1410">
        <v>1912.5</v>
      </c>
      <c r="E1410">
        <v>1913.5</v>
      </c>
      <c r="F1410">
        <v>1908</v>
      </c>
      <c r="G1410">
        <v>1908</v>
      </c>
      <c r="H1410">
        <v>7100</v>
      </c>
    </row>
    <row r="1411" spans="2:8">
      <c r="B1411" t="s">
        <v>587</v>
      </c>
      <c r="C1411" t="s">
        <v>246</v>
      </c>
      <c r="D1411">
        <v>1908</v>
      </c>
      <c r="E1411">
        <v>1910.5</v>
      </c>
      <c r="F1411">
        <v>1907.5</v>
      </c>
      <c r="G1411">
        <v>1909</v>
      </c>
      <c r="H1411">
        <v>4100</v>
      </c>
    </row>
    <row r="1412" spans="2:8">
      <c r="B1412" t="s">
        <v>587</v>
      </c>
      <c r="C1412" t="s">
        <v>247</v>
      </c>
      <c r="D1412">
        <v>1909.5</v>
      </c>
      <c r="E1412">
        <v>1914</v>
      </c>
      <c r="F1412">
        <v>1909.5</v>
      </c>
      <c r="G1412">
        <v>1914</v>
      </c>
      <c r="H1412">
        <v>3900</v>
      </c>
    </row>
    <row r="1413" spans="2:8">
      <c r="B1413" t="s">
        <v>587</v>
      </c>
      <c r="C1413" t="s">
        <v>248</v>
      </c>
      <c r="D1413">
        <v>1913</v>
      </c>
      <c r="E1413">
        <v>1913</v>
      </c>
      <c r="F1413">
        <v>1909.5</v>
      </c>
      <c r="G1413">
        <v>1909.5</v>
      </c>
      <c r="H1413">
        <v>4500</v>
      </c>
    </row>
    <row r="1414" spans="2:8">
      <c r="B1414" t="s">
        <v>587</v>
      </c>
      <c r="C1414" t="s">
        <v>249</v>
      </c>
      <c r="D1414">
        <v>1910.5</v>
      </c>
      <c r="E1414">
        <v>1913.5</v>
      </c>
      <c r="F1414">
        <v>1910.5</v>
      </c>
      <c r="G1414">
        <v>1911.5</v>
      </c>
      <c r="H1414">
        <v>6100</v>
      </c>
    </row>
    <row r="1415" spans="2:8">
      <c r="B1415" t="s">
        <v>587</v>
      </c>
      <c r="C1415" t="s">
        <v>250</v>
      </c>
      <c r="D1415">
        <v>1911.5</v>
      </c>
      <c r="E1415">
        <v>1913</v>
      </c>
      <c r="F1415">
        <v>1910</v>
      </c>
      <c r="G1415">
        <v>1912</v>
      </c>
      <c r="H1415">
        <v>5900</v>
      </c>
    </row>
    <row r="1416" spans="2:8">
      <c r="B1416" t="s">
        <v>587</v>
      </c>
      <c r="C1416" t="s">
        <v>251</v>
      </c>
      <c r="D1416">
        <v>1911.5</v>
      </c>
      <c r="E1416">
        <v>1914</v>
      </c>
      <c r="F1416">
        <v>1909</v>
      </c>
      <c r="G1416">
        <v>1913.5</v>
      </c>
      <c r="H1416">
        <v>4100</v>
      </c>
    </row>
    <row r="1417" spans="2:8">
      <c r="B1417" t="s">
        <v>587</v>
      </c>
      <c r="C1417" t="s">
        <v>252</v>
      </c>
      <c r="D1417">
        <v>1914</v>
      </c>
      <c r="E1417">
        <v>1914</v>
      </c>
      <c r="F1417">
        <v>1910</v>
      </c>
      <c r="G1417">
        <v>1910.5</v>
      </c>
      <c r="H1417">
        <v>4900</v>
      </c>
    </row>
    <row r="1418" spans="2:8">
      <c r="B1418" t="s">
        <v>587</v>
      </c>
      <c r="C1418" t="s">
        <v>253</v>
      </c>
      <c r="D1418">
        <v>1910.5</v>
      </c>
      <c r="E1418">
        <v>1917.5</v>
      </c>
      <c r="F1418">
        <v>1909.5</v>
      </c>
      <c r="G1418">
        <v>1916.5</v>
      </c>
      <c r="H1418">
        <v>7300</v>
      </c>
    </row>
    <row r="1419" spans="2:8">
      <c r="B1419" t="s">
        <v>587</v>
      </c>
      <c r="C1419" t="s">
        <v>254</v>
      </c>
      <c r="D1419">
        <v>1917.5</v>
      </c>
      <c r="E1419">
        <v>1918</v>
      </c>
      <c r="F1419">
        <v>1915.5</v>
      </c>
      <c r="G1419">
        <v>1915.5</v>
      </c>
      <c r="H1419">
        <v>7400</v>
      </c>
    </row>
    <row r="1420" spans="2:8">
      <c r="B1420" t="s">
        <v>587</v>
      </c>
      <c r="C1420" t="s">
        <v>255</v>
      </c>
      <c r="D1420">
        <v>1916.5</v>
      </c>
      <c r="E1420">
        <v>1922</v>
      </c>
      <c r="F1420">
        <v>1916.5</v>
      </c>
      <c r="G1420">
        <v>1921</v>
      </c>
      <c r="H1420">
        <v>13700</v>
      </c>
    </row>
    <row r="1421" spans="2:8">
      <c r="B1421" t="s">
        <v>587</v>
      </c>
      <c r="C1421" t="s">
        <v>256</v>
      </c>
      <c r="D1421">
        <v>1921.5</v>
      </c>
      <c r="E1421">
        <v>1924</v>
      </c>
      <c r="F1421">
        <v>1920.5</v>
      </c>
      <c r="G1421">
        <v>1920.5</v>
      </c>
      <c r="H1421">
        <v>6400</v>
      </c>
    </row>
    <row r="1422" spans="2:8">
      <c r="B1422" t="s">
        <v>587</v>
      </c>
      <c r="C1422" t="s">
        <v>257</v>
      </c>
      <c r="D1422">
        <v>1920.5</v>
      </c>
      <c r="E1422">
        <v>1923</v>
      </c>
      <c r="F1422">
        <v>1920</v>
      </c>
      <c r="G1422">
        <v>1922.5</v>
      </c>
      <c r="H1422">
        <v>4900</v>
      </c>
    </row>
    <row r="1423" spans="2:8">
      <c r="B1423" t="s">
        <v>587</v>
      </c>
      <c r="C1423" t="s">
        <v>258</v>
      </c>
      <c r="D1423">
        <v>1923.5</v>
      </c>
      <c r="E1423">
        <v>1927.5</v>
      </c>
      <c r="F1423">
        <v>1923.5</v>
      </c>
      <c r="G1423">
        <v>1925</v>
      </c>
      <c r="H1423">
        <v>7700</v>
      </c>
    </row>
    <row r="1424" spans="2:8">
      <c r="B1424" t="s">
        <v>587</v>
      </c>
      <c r="C1424" t="s">
        <v>259</v>
      </c>
      <c r="D1424">
        <v>1926</v>
      </c>
      <c r="E1424">
        <v>1927.5</v>
      </c>
      <c r="F1424">
        <v>1924.5</v>
      </c>
      <c r="G1424">
        <v>1926</v>
      </c>
      <c r="H1424">
        <v>8900</v>
      </c>
    </row>
    <row r="1425" spans="2:8">
      <c r="B1425" t="s">
        <v>587</v>
      </c>
      <c r="C1425" t="s">
        <v>260</v>
      </c>
      <c r="D1425">
        <v>1926.5</v>
      </c>
      <c r="E1425">
        <v>1927.5</v>
      </c>
      <c r="F1425">
        <v>1923.5</v>
      </c>
      <c r="G1425">
        <v>1925.5</v>
      </c>
      <c r="H1425">
        <v>8500</v>
      </c>
    </row>
    <row r="1426" spans="2:8">
      <c r="B1426" t="s">
        <v>587</v>
      </c>
      <c r="C1426" t="s">
        <v>261</v>
      </c>
      <c r="D1426">
        <v>1924.5</v>
      </c>
      <c r="E1426">
        <v>1925.5</v>
      </c>
      <c r="F1426">
        <v>1921</v>
      </c>
      <c r="G1426">
        <v>1921</v>
      </c>
      <c r="H1426">
        <v>6600</v>
      </c>
    </row>
    <row r="1427" spans="2:8">
      <c r="B1427" t="s">
        <v>587</v>
      </c>
      <c r="C1427" t="s">
        <v>262</v>
      </c>
      <c r="D1427">
        <v>1922</v>
      </c>
      <c r="E1427">
        <v>1926</v>
      </c>
      <c r="F1427">
        <v>1919.5</v>
      </c>
      <c r="G1427">
        <v>1920.5</v>
      </c>
      <c r="H1427">
        <v>11600</v>
      </c>
    </row>
    <row r="1428" spans="2:8">
      <c r="B1428" t="s">
        <v>587</v>
      </c>
      <c r="C1428" t="s">
        <v>263</v>
      </c>
      <c r="D1428">
        <v>1920</v>
      </c>
      <c r="E1428">
        <v>1921</v>
      </c>
      <c r="F1428">
        <v>1919</v>
      </c>
      <c r="G1428">
        <v>1919.5</v>
      </c>
      <c r="H1428">
        <v>4700</v>
      </c>
    </row>
    <row r="1429" spans="2:8">
      <c r="B1429" t="s">
        <v>587</v>
      </c>
      <c r="C1429" t="s">
        <v>264</v>
      </c>
      <c r="D1429">
        <v>1919.5</v>
      </c>
      <c r="E1429">
        <v>1919.5</v>
      </c>
      <c r="F1429">
        <v>1914.5</v>
      </c>
      <c r="G1429">
        <v>1914.5</v>
      </c>
      <c r="H1429">
        <v>6100</v>
      </c>
    </row>
    <row r="1430" spans="2:8">
      <c r="B1430" t="s">
        <v>587</v>
      </c>
      <c r="C1430" t="s">
        <v>265</v>
      </c>
      <c r="D1430">
        <v>1914.5</v>
      </c>
      <c r="E1430">
        <v>1917</v>
      </c>
      <c r="F1430">
        <v>1914.5</v>
      </c>
      <c r="G1430">
        <v>1916.5</v>
      </c>
      <c r="H1430">
        <v>5600</v>
      </c>
    </row>
    <row r="1431" spans="2:8">
      <c r="B1431" t="s">
        <v>587</v>
      </c>
      <c r="C1431" t="s">
        <v>266</v>
      </c>
      <c r="D1431">
        <v>1917</v>
      </c>
      <c r="E1431">
        <v>1917.5</v>
      </c>
      <c r="F1431">
        <v>1916</v>
      </c>
      <c r="G1431">
        <v>1916</v>
      </c>
      <c r="H1431">
        <v>3100</v>
      </c>
    </row>
    <row r="1432" spans="2:8">
      <c r="B1432" t="s">
        <v>587</v>
      </c>
      <c r="C1432" t="s">
        <v>267</v>
      </c>
      <c r="D1432">
        <v>1916.5</v>
      </c>
      <c r="E1432">
        <v>1918.5</v>
      </c>
      <c r="F1432">
        <v>1916</v>
      </c>
      <c r="G1432">
        <v>1918.5</v>
      </c>
      <c r="H1432">
        <v>3500</v>
      </c>
    </row>
    <row r="1433" spans="2:8">
      <c r="B1433" t="s">
        <v>587</v>
      </c>
      <c r="C1433" t="s">
        <v>268</v>
      </c>
      <c r="D1433">
        <v>1919</v>
      </c>
      <c r="E1433">
        <v>1922</v>
      </c>
      <c r="F1433">
        <v>1919</v>
      </c>
      <c r="G1433">
        <v>1920</v>
      </c>
      <c r="H1433">
        <v>5700</v>
      </c>
    </row>
    <row r="1434" spans="2:8">
      <c r="B1434" t="s">
        <v>587</v>
      </c>
      <c r="C1434" t="s">
        <v>269</v>
      </c>
      <c r="D1434">
        <v>1919.5</v>
      </c>
      <c r="E1434">
        <v>1924.5</v>
      </c>
      <c r="F1434">
        <v>1919.5</v>
      </c>
      <c r="G1434">
        <v>1924.5</v>
      </c>
      <c r="H1434">
        <v>3700</v>
      </c>
    </row>
    <row r="1435" spans="2:8">
      <c r="B1435" t="s">
        <v>587</v>
      </c>
      <c r="C1435" t="s">
        <v>270</v>
      </c>
      <c r="D1435">
        <v>1925</v>
      </c>
      <c r="E1435">
        <v>1926.5</v>
      </c>
      <c r="F1435">
        <v>1923.5</v>
      </c>
      <c r="G1435">
        <v>1923.5</v>
      </c>
      <c r="H1435">
        <v>2500</v>
      </c>
    </row>
    <row r="1436" spans="2:8">
      <c r="B1436" t="s">
        <v>587</v>
      </c>
      <c r="C1436" t="s">
        <v>271</v>
      </c>
      <c r="D1436">
        <v>1923.5</v>
      </c>
      <c r="E1436">
        <v>1931.5</v>
      </c>
      <c r="F1436">
        <v>1921</v>
      </c>
      <c r="G1436">
        <v>1930</v>
      </c>
      <c r="H1436">
        <v>18000</v>
      </c>
    </row>
    <row r="1437" spans="2:8">
      <c r="B1437" t="s">
        <v>587</v>
      </c>
      <c r="C1437" t="s">
        <v>272</v>
      </c>
      <c r="D1437">
        <v>1930</v>
      </c>
      <c r="E1437">
        <v>1936</v>
      </c>
      <c r="F1437">
        <v>1930</v>
      </c>
      <c r="G1437">
        <v>1936</v>
      </c>
      <c r="H1437">
        <v>13100</v>
      </c>
    </row>
    <row r="1438" spans="2:8">
      <c r="B1438" t="s">
        <v>587</v>
      </c>
      <c r="C1438" t="s">
        <v>273</v>
      </c>
      <c r="D1438">
        <v>1935.5</v>
      </c>
      <c r="E1438">
        <v>1937.5</v>
      </c>
      <c r="F1438">
        <v>1933.5</v>
      </c>
      <c r="G1438">
        <v>1936</v>
      </c>
      <c r="H1438">
        <v>8600</v>
      </c>
    </row>
    <row r="1439" spans="2:8">
      <c r="B1439" t="s">
        <v>587</v>
      </c>
      <c r="C1439" t="s">
        <v>274</v>
      </c>
      <c r="D1439">
        <v>1935</v>
      </c>
      <c r="E1439">
        <v>1941</v>
      </c>
      <c r="F1439">
        <v>1935</v>
      </c>
      <c r="G1439">
        <v>1940</v>
      </c>
      <c r="H1439">
        <v>9300</v>
      </c>
    </row>
    <row r="1440" spans="2:8">
      <c r="B1440" t="s">
        <v>587</v>
      </c>
      <c r="C1440" t="s">
        <v>275</v>
      </c>
      <c r="D1440">
        <v>1941</v>
      </c>
      <c r="E1440">
        <v>1943.5</v>
      </c>
      <c r="F1440">
        <v>1939</v>
      </c>
      <c r="G1440">
        <v>1942</v>
      </c>
      <c r="H1440">
        <v>8800</v>
      </c>
    </row>
    <row r="1441" spans="2:8">
      <c r="B1441" t="s">
        <v>587</v>
      </c>
      <c r="C1441" t="s">
        <v>276</v>
      </c>
      <c r="D1441">
        <v>1942.5</v>
      </c>
      <c r="E1441">
        <v>1944.5</v>
      </c>
      <c r="F1441">
        <v>1937</v>
      </c>
      <c r="G1441">
        <v>1937</v>
      </c>
      <c r="H1441">
        <v>10100</v>
      </c>
    </row>
    <row r="1442" spans="2:8">
      <c r="B1442" t="s">
        <v>587</v>
      </c>
      <c r="C1442" t="s">
        <v>277</v>
      </c>
      <c r="D1442">
        <v>1937</v>
      </c>
      <c r="E1442">
        <v>1940</v>
      </c>
      <c r="F1442">
        <v>1935</v>
      </c>
      <c r="G1442">
        <v>1940</v>
      </c>
      <c r="H1442">
        <v>7900</v>
      </c>
    </row>
    <row r="1443" spans="2:8">
      <c r="B1443" t="s">
        <v>587</v>
      </c>
      <c r="C1443" t="s">
        <v>278</v>
      </c>
      <c r="D1443">
        <v>1940.5</v>
      </c>
      <c r="E1443">
        <v>1941</v>
      </c>
      <c r="F1443">
        <v>1939</v>
      </c>
      <c r="G1443">
        <v>1940</v>
      </c>
      <c r="H1443">
        <v>3900</v>
      </c>
    </row>
    <row r="1444" spans="2:8">
      <c r="B1444" t="s">
        <v>587</v>
      </c>
      <c r="C1444" t="s">
        <v>279</v>
      </c>
      <c r="D1444">
        <v>1939</v>
      </c>
      <c r="E1444">
        <v>1944</v>
      </c>
      <c r="F1444">
        <v>1939</v>
      </c>
      <c r="G1444">
        <v>1941.5</v>
      </c>
      <c r="H1444">
        <v>7400</v>
      </c>
    </row>
    <row r="1445" spans="2:8">
      <c r="B1445" t="s">
        <v>587</v>
      </c>
      <c r="C1445" t="s">
        <v>280</v>
      </c>
      <c r="D1445">
        <v>1941</v>
      </c>
      <c r="E1445">
        <v>1942.5</v>
      </c>
      <c r="F1445">
        <v>1937</v>
      </c>
      <c r="G1445">
        <v>1937</v>
      </c>
      <c r="H1445">
        <v>7700</v>
      </c>
    </row>
    <row r="1446" spans="2:8">
      <c r="B1446" t="s">
        <v>587</v>
      </c>
      <c r="C1446" t="s">
        <v>281</v>
      </c>
      <c r="D1446">
        <v>1937.5</v>
      </c>
      <c r="E1446">
        <v>1941.5</v>
      </c>
      <c r="F1446">
        <v>1937</v>
      </c>
      <c r="G1446">
        <v>1939.5</v>
      </c>
      <c r="H1446">
        <v>6600</v>
      </c>
    </row>
    <row r="1447" spans="2:8">
      <c r="B1447" t="s">
        <v>587</v>
      </c>
      <c r="C1447" t="s">
        <v>282</v>
      </c>
      <c r="D1447">
        <v>1938.5</v>
      </c>
      <c r="E1447">
        <v>1942.5</v>
      </c>
      <c r="F1447">
        <v>1938.5</v>
      </c>
      <c r="G1447">
        <v>1942.5</v>
      </c>
      <c r="H1447">
        <v>4000</v>
      </c>
    </row>
    <row r="1448" spans="2:8">
      <c r="B1448" t="s">
        <v>587</v>
      </c>
      <c r="C1448" t="s">
        <v>283</v>
      </c>
      <c r="D1448">
        <v>1942.5</v>
      </c>
      <c r="E1448">
        <v>1943</v>
      </c>
      <c r="F1448">
        <v>1939.5</v>
      </c>
      <c r="G1448">
        <v>1940.5</v>
      </c>
      <c r="H1448">
        <v>5300</v>
      </c>
    </row>
    <row r="1449" spans="2:8">
      <c r="B1449" t="s">
        <v>587</v>
      </c>
      <c r="C1449" t="s">
        <v>284</v>
      </c>
      <c r="D1449">
        <v>1941</v>
      </c>
      <c r="E1449">
        <v>1941.5</v>
      </c>
      <c r="F1449">
        <v>1939.5</v>
      </c>
      <c r="G1449">
        <v>1941</v>
      </c>
      <c r="H1449">
        <v>5000</v>
      </c>
    </row>
    <row r="1450" spans="2:8">
      <c r="B1450" t="s">
        <v>587</v>
      </c>
      <c r="C1450" t="s">
        <v>285</v>
      </c>
      <c r="D1450">
        <v>1941</v>
      </c>
      <c r="E1450">
        <v>1941</v>
      </c>
      <c r="F1450">
        <v>1937</v>
      </c>
      <c r="G1450">
        <v>1938.5</v>
      </c>
      <c r="H1450">
        <v>4900</v>
      </c>
    </row>
    <row r="1451" spans="2:8">
      <c r="B1451" t="s">
        <v>587</v>
      </c>
      <c r="C1451" t="s">
        <v>286</v>
      </c>
      <c r="D1451">
        <v>1938</v>
      </c>
      <c r="E1451">
        <v>1941</v>
      </c>
      <c r="F1451">
        <v>1936</v>
      </c>
      <c r="G1451">
        <v>1941</v>
      </c>
      <c r="H1451">
        <v>9000</v>
      </c>
    </row>
    <row r="1452" spans="2:8">
      <c r="B1452" t="s">
        <v>587</v>
      </c>
      <c r="C1452" t="s">
        <v>287</v>
      </c>
      <c r="D1452">
        <v>1941.5</v>
      </c>
      <c r="E1452">
        <v>1942</v>
      </c>
      <c r="F1452">
        <v>1938.5</v>
      </c>
      <c r="G1452">
        <v>1939</v>
      </c>
      <c r="H1452">
        <v>7400</v>
      </c>
    </row>
    <row r="1453" spans="2:8">
      <c r="B1453" t="s">
        <v>587</v>
      </c>
      <c r="C1453" t="s">
        <v>288</v>
      </c>
      <c r="D1453">
        <v>1939</v>
      </c>
      <c r="E1453">
        <v>1939</v>
      </c>
      <c r="F1453">
        <v>1938</v>
      </c>
      <c r="G1453">
        <v>1938.5</v>
      </c>
      <c r="H1453">
        <v>1100</v>
      </c>
    </row>
    <row r="1454" spans="2:8">
      <c r="B1454" t="s">
        <v>587</v>
      </c>
      <c r="C1454" t="s">
        <v>289</v>
      </c>
      <c r="D1454">
        <v>1939.5</v>
      </c>
      <c r="E1454">
        <v>1943</v>
      </c>
      <c r="F1454">
        <v>1939</v>
      </c>
      <c r="G1454">
        <v>1942</v>
      </c>
      <c r="H1454">
        <v>5000</v>
      </c>
    </row>
    <row r="1455" spans="2:8">
      <c r="B1455" t="s">
        <v>587</v>
      </c>
      <c r="C1455" t="s">
        <v>290</v>
      </c>
      <c r="D1455">
        <v>1942.5</v>
      </c>
      <c r="E1455">
        <v>1943</v>
      </c>
      <c r="F1455">
        <v>1939.5</v>
      </c>
      <c r="G1455">
        <v>1940</v>
      </c>
      <c r="H1455">
        <v>3800</v>
      </c>
    </row>
    <row r="1456" spans="2:8">
      <c r="B1456" t="s">
        <v>587</v>
      </c>
      <c r="C1456" t="s">
        <v>291</v>
      </c>
      <c r="D1456">
        <v>1940</v>
      </c>
      <c r="E1456">
        <v>1946</v>
      </c>
      <c r="F1456">
        <v>1940</v>
      </c>
      <c r="G1456">
        <v>1946</v>
      </c>
      <c r="H1456">
        <v>6700</v>
      </c>
    </row>
    <row r="1457" spans="2:8">
      <c r="B1457" t="s">
        <v>587</v>
      </c>
      <c r="C1457" t="s">
        <v>292</v>
      </c>
      <c r="D1457">
        <v>1945.5</v>
      </c>
      <c r="E1457">
        <v>1947.5</v>
      </c>
      <c r="F1457">
        <v>1944</v>
      </c>
      <c r="G1457">
        <v>1947.5</v>
      </c>
      <c r="H1457">
        <v>8200</v>
      </c>
    </row>
    <row r="1458" spans="2:8">
      <c r="B1458" t="s">
        <v>587</v>
      </c>
      <c r="C1458" t="s">
        <v>293</v>
      </c>
      <c r="D1458">
        <v>1947</v>
      </c>
      <c r="E1458">
        <v>1948</v>
      </c>
      <c r="F1458">
        <v>1945</v>
      </c>
      <c r="G1458">
        <v>1947</v>
      </c>
      <c r="H1458">
        <v>5400</v>
      </c>
    </row>
    <row r="1459" spans="2:8">
      <c r="B1459" t="s">
        <v>587</v>
      </c>
      <c r="C1459" t="s">
        <v>294</v>
      </c>
      <c r="D1459">
        <v>1946.5</v>
      </c>
      <c r="E1459">
        <v>1946.5</v>
      </c>
      <c r="F1459">
        <v>1945</v>
      </c>
      <c r="G1459">
        <v>1945.5</v>
      </c>
      <c r="H1459">
        <v>2000</v>
      </c>
    </row>
    <row r="1460" spans="2:8">
      <c r="B1460" t="s">
        <v>587</v>
      </c>
      <c r="C1460" t="s">
        <v>295</v>
      </c>
      <c r="D1460">
        <v>1945.5</v>
      </c>
      <c r="E1460">
        <v>1949</v>
      </c>
      <c r="F1460">
        <v>1945</v>
      </c>
      <c r="G1460">
        <v>1948</v>
      </c>
      <c r="H1460">
        <v>9000</v>
      </c>
    </row>
    <row r="1461" spans="2:8">
      <c r="B1461" t="s">
        <v>587</v>
      </c>
      <c r="C1461" t="s">
        <v>296</v>
      </c>
      <c r="D1461">
        <v>1949</v>
      </c>
      <c r="E1461">
        <v>1949.5</v>
      </c>
      <c r="F1461">
        <v>1946.5</v>
      </c>
      <c r="G1461">
        <v>1949.5</v>
      </c>
      <c r="H1461">
        <v>5100</v>
      </c>
    </row>
    <row r="1462" spans="2:8">
      <c r="B1462" t="s">
        <v>587</v>
      </c>
      <c r="C1462" t="s">
        <v>297</v>
      </c>
      <c r="D1462">
        <v>1949.5</v>
      </c>
      <c r="E1462">
        <v>1953</v>
      </c>
      <c r="F1462">
        <v>1946</v>
      </c>
      <c r="G1462">
        <v>1949.5</v>
      </c>
      <c r="H1462">
        <v>14200</v>
      </c>
    </row>
    <row r="1463" spans="2:8">
      <c r="B1463" t="s">
        <v>587</v>
      </c>
      <c r="C1463" t="s">
        <v>298</v>
      </c>
      <c r="D1463">
        <v>1949</v>
      </c>
      <c r="E1463">
        <v>1954</v>
      </c>
      <c r="F1463">
        <v>1949</v>
      </c>
      <c r="G1463">
        <v>1951.5</v>
      </c>
      <c r="H1463">
        <v>9900</v>
      </c>
    </row>
    <row r="1464" spans="2:8">
      <c r="B1464" t="s">
        <v>587</v>
      </c>
      <c r="C1464" t="s">
        <v>299</v>
      </c>
      <c r="D1464">
        <v>1950.5</v>
      </c>
      <c r="E1464">
        <v>1951.5</v>
      </c>
      <c r="F1464">
        <v>1949.5</v>
      </c>
      <c r="G1464">
        <v>1950</v>
      </c>
      <c r="H1464">
        <v>3100</v>
      </c>
    </row>
    <row r="1465" spans="2:8">
      <c r="B1465" t="s">
        <v>587</v>
      </c>
      <c r="C1465" t="s">
        <v>300</v>
      </c>
      <c r="D1465">
        <v>1950</v>
      </c>
      <c r="E1465">
        <v>1954</v>
      </c>
      <c r="F1465">
        <v>1950</v>
      </c>
      <c r="G1465">
        <v>1954</v>
      </c>
      <c r="H1465">
        <v>3000</v>
      </c>
    </row>
    <row r="1466" spans="2:8">
      <c r="B1466" t="s">
        <v>587</v>
      </c>
      <c r="C1466" t="s">
        <v>301</v>
      </c>
      <c r="D1466">
        <v>1954</v>
      </c>
      <c r="E1466">
        <v>1958.5</v>
      </c>
      <c r="F1466">
        <v>1954</v>
      </c>
      <c r="G1466">
        <v>1956</v>
      </c>
      <c r="H1466">
        <v>15400</v>
      </c>
    </row>
    <row r="1467" spans="2:8">
      <c r="B1467" t="s">
        <v>587</v>
      </c>
      <c r="C1467" t="s">
        <v>302</v>
      </c>
      <c r="D1467">
        <v>1956</v>
      </c>
      <c r="E1467">
        <v>1958</v>
      </c>
      <c r="F1467">
        <v>1956</v>
      </c>
      <c r="G1467">
        <v>1956.5</v>
      </c>
      <c r="H1467">
        <v>3300</v>
      </c>
    </row>
    <row r="1468" spans="2:8">
      <c r="B1468" t="s">
        <v>587</v>
      </c>
      <c r="C1468" t="s">
        <v>303</v>
      </c>
      <c r="D1468">
        <v>1956</v>
      </c>
      <c r="E1468">
        <v>1956.5</v>
      </c>
      <c r="F1468">
        <v>1954</v>
      </c>
      <c r="G1468">
        <v>1954</v>
      </c>
      <c r="H1468">
        <v>7300</v>
      </c>
    </row>
    <row r="1469" spans="2:8">
      <c r="B1469" t="s">
        <v>587</v>
      </c>
      <c r="C1469" t="s">
        <v>304</v>
      </c>
      <c r="D1469">
        <v>1953.5</v>
      </c>
      <c r="E1469">
        <v>1955.5</v>
      </c>
      <c r="F1469">
        <v>1952</v>
      </c>
      <c r="G1469">
        <v>1955.5</v>
      </c>
      <c r="H1469">
        <v>3700</v>
      </c>
    </row>
    <row r="1470" spans="2:8">
      <c r="B1470" t="s">
        <v>587</v>
      </c>
      <c r="C1470" t="s">
        <v>305</v>
      </c>
      <c r="D1470">
        <v>1955</v>
      </c>
      <c r="E1470">
        <v>1955.5</v>
      </c>
      <c r="F1470">
        <v>1954.5</v>
      </c>
      <c r="G1470">
        <v>1955.5</v>
      </c>
      <c r="H1470">
        <v>4100</v>
      </c>
    </row>
    <row r="1471" spans="2:8">
      <c r="B1471" t="s">
        <v>587</v>
      </c>
      <c r="C1471" t="s">
        <v>306</v>
      </c>
      <c r="D1471">
        <v>1954.5</v>
      </c>
      <c r="E1471">
        <v>1955.5</v>
      </c>
      <c r="F1471">
        <v>1954</v>
      </c>
      <c r="G1471">
        <v>1954.5</v>
      </c>
      <c r="H1471">
        <v>2600</v>
      </c>
    </row>
    <row r="1472" spans="2:8">
      <c r="B1472" t="s">
        <v>587</v>
      </c>
      <c r="C1472" t="s">
        <v>307</v>
      </c>
      <c r="D1472">
        <v>1955</v>
      </c>
      <c r="E1472">
        <v>1955</v>
      </c>
      <c r="F1472">
        <v>1952</v>
      </c>
      <c r="G1472">
        <v>1952</v>
      </c>
      <c r="H1472">
        <v>2500</v>
      </c>
    </row>
    <row r="1473" spans="2:8">
      <c r="B1473" t="s">
        <v>587</v>
      </c>
      <c r="C1473" t="s">
        <v>308</v>
      </c>
      <c r="D1473">
        <v>1952.5</v>
      </c>
      <c r="E1473">
        <v>1956.5</v>
      </c>
      <c r="F1473">
        <v>1952.5</v>
      </c>
      <c r="G1473">
        <v>1956.5</v>
      </c>
      <c r="H1473">
        <v>4700</v>
      </c>
    </row>
    <row r="1474" spans="2:8">
      <c r="B1474" t="s">
        <v>587</v>
      </c>
      <c r="C1474" t="s">
        <v>309</v>
      </c>
      <c r="D1474">
        <v>1956</v>
      </c>
      <c r="E1474">
        <v>1956.5</v>
      </c>
      <c r="F1474">
        <v>1955</v>
      </c>
      <c r="G1474">
        <v>1956.5</v>
      </c>
      <c r="H1474">
        <v>3400</v>
      </c>
    </row>
    <row r="1475" spans="2:8">
      <c r="B1475" t="s">
        <v>587</v>
      </c>
      <c r="C1475" t="s">
        <v>310</v>
      </c>
      <c r="D1475">
        <v>1956</v>
      </c>
      <c r="E1475">
        <v>1956.5</v>
      </c>
      <c r="F1475">
        <v>1956</v>
      </c>
      <c r="G1475">
        <v>1956</v>
      </c>
      <c r="H1475">
        <v>1100</v>
      </c>
    </row>
    <row r="1476" spans="2:8">
      <c r="B1476" t="s">
        <v>587</v>
      </c>
      <c r="C1476" t="s">
        <v>311</v>
      </c>
      <c r="D1476">
        <v>1955.5</v>
      </c>
      <c r="E1476">
        <v>1957.5</v>
      </c>
      <c r="F1476">
        <v>1954</v>
      </c>
      <c r="G1476">
        <v>1957.5</v>
      </c>
      <c r="H1476">
        <v>6200</v>
      </c>
    </row>
    <row r="1477" spans="2:8">
      <c r="B1477" t="s">
        <v>587</v>
      </c>
      <c r="C1477" t="s">
        <v>312</v>
      </c>
      <c r="D1477">
        <v>1958</v>
      </c>
      <c r="E1477">
        <v>1959</v>
      </c>
      <c r="F1477">
        <v>1955.5</v>
      </c>
      <c r="G1477">
        <v>1955.5</v>
      </c>
      <c r="H1477">
        <v>3200</v>
      </c>
    </row>
    <row r="1478" spans="2:8">
      <c r="B1478" t="s">
        <v>587</v>
      </c>
      <c r="C1478" t="s">
        <v>313</v>
      </c>
      <c r="D1478">
        <v>1956.5</v>
      </c>
      <c r="E1478">
        <v>1957.5</v>
      </c>
      <c r="F1478">
        <v>1956</v>
      </c>
      <c r="G1478">
        <v>1956</v>
      </c>
      <c r="H1478">
        <v>2400</v>
      </c>
    </row>
    <row r="1479" spans="2:8">
      <c r="B1479" t="s">
        <v>587</v>
      </c>
      <c r="C1479" t="s">
        <v>314</v>
      </c>
      <c r="D1479">
        <v>1957.5</v>
      </c>
      <c r="E1479">
        <v>1959</v>
      </c>
      <c r="F1479">
        <v>1957.5</v>
      </c>
      <c r="G1479">
        <v>1958.5</v>
      </c>
      <c r="H1479">
        <v>4100</v>
      </c>
    </row>
    <row r="1480" spans="2:8">
      <c r="B1480" t="s">
        <v>587</v>
      </c>
      <c r="C1480" t="s">
        <v>315</v>
      </c>
      <c r="D1480">
        <v>1958.5</v>
      </c>
      <c r="E1480">
        <v>1959</v>
      </c>
      <c r="F1480">
        <v>1957.5</v>
      </c>
      <c r="G1480">
        <v>1959</v>
      </c>
      <c r="H1480">
        <v>1700</v>
      </c>
    </row>
    <row r="1481" spans="2:8">
      <c r="B1481" t="s">
        <v>587</v>
      </c>
      <c r="C1481" t="s">
        <v>316</v>
      </c>
      <c r="D1481">
        <v>1959</v>
      </c>
      <c r="E1481">
        <v>1959</v>
      </c>
      <c r="F1481">
        <v>1959</v>
      </c>
      <c r="G1481">
        <v>1959</v>
      </c>
      <c r="H1481">
        <v>2300</v>
      </c>
    </row>
    <row r="1482" spans="2:8">
      <c r="B1482" t="s">
        <v>587</v>
      </c>
      <c r="C1482" t="s">
        <v>317</v>
      </c>
      <c r="D1482">
        <v>1963</v>
      </c>
      <c r="E1482">
        <v>1963.5</v>
      </c>
      <c r="F1482">
        <v>1944</v>
      </c>
      <c r="G1482">
        <v>1951.5</v>
      </c>
      <c r="H1482">
        <v>46600</v>
      </c>
    </row>
    <row r="1483" spans="2:8">
      <c r="B1483" t="s">
        <v>587</v>
      </c>
      <c r="C1483" t="s">
        <v>318</v>
      </c>
      <c r="D1483">
        <v>1952</v>
      </c>
      <c r="E1483">
        <v>1958</v>
      </c>
      <c r="F1483">
        <v>1952</v>
      </c>
      <c r="G1483">
        <v>1954.5</v>
      </c>
      <c r="H1483">
        <v>10500</v>
      </c>
    </row>
    <row r="1484" spans="2:8">
      <c r="B1484" t="s">
        <v>587</v>
      </c>
      <c r="C1484" t="s">
        <v>319</v>
      </c>
      <c r="D1484">
        <v>1955</v>
      </c>
      <c r="E1484">
        <v>1957</v>
      </c>
      <c r="F1484">
        <v>1953</v>
      </c>
      <c r="G1484">
        <v>1956</v>
      </c>
      <c r="H1484">
        <v>7900</v>
      </c>
    </row>
    <row r="1485" spans="2:8">
      <c r="B1485" t="s">
        <v>587</v>
      </c>
      <c r="C1485" t="s">
        <v>320</v>
      </c>
      <c r="D1485">
        <v>1956</v>
      </c>
      <c r="E1485">
        <v>1959</v>
      </c>
      <c r="F1485">
        <v>1954.5</v>
      </c>
      <c r="G1485">
        <v>1955</v>
      </c>
      <c r="H1485">
        <v>10300</v>
      </c>
    </row>
    <row r="1486" spans="2:8">
      <c r="B1486" t="s">
        <v>587</v>
      </c>
      <c r="C1486" t="s">
        <v>321</v>
      </c>
      <c r="D1486">
        <v>1956</v>
      </c>
      <c r="E1486">
        <v>1957</v>
      </c>
      <c r="F1486">
        <v>1948</v>
      </c>
      <c r="G1486">
        <v>1952</v>
      </c>
      <c r="H1486">
        <v>14300</v>
      </c>
    </row>
    <row r="1487" spans="2:8">
      <c r="B1487" t="s">
        <v>587</v>
      </c>
      <c r="C1487" t="s">
        <v>322</v>
      </c>
      <c r="D1487">
        <v>1951</v>
      </c>
      <c r="E1487">
        <v>1951</v>
      </c>
      <c r="F1487">
        <v>1945</v>
      </c>
      <c r="G1487">
        <v>1948.5</v>
      </c>
      <c r="H1487">
        <v>7900</v>
      </c>
    </row>
    <row r="1488" spans="2:8">
      <c r="B1488" t="s">
        <v>587</v>
      </c>
      <c r="C1488" t="s">
        <v>323</v>
      </c>
      <c r="D1488">
        <v>1948</v>
      </c>
      <c r="E1488">
        <v>1951.5</v>
      </c>
      <c r="F1488">
        <v>1945</v>
      </c>
      <c r="G1488">
        <v>1945.5</v>
      </c>
      <c r="H1488">
        <v>13400</v>
      </c>
    </row>
    <row r="1489" spans="2:8">
      <c r="B1489" t="s">
        <v>587</v>
      </c>
      <c r="C1489" t="s">
        <v>324</v>
      </c>
      <c r="D1489">
        <v>1945.5</v>
      </c>
      <c r="E1489">
        <v>1945.5</v>
      </c>
      <c r="F1489">
        <v>1943</v>
      </c>
      <c r="G1489">
        <v>1945</v>
      </c>
      <c r="H1489">
        <v>4300</v>
      </c>
    </row>
    <row r="1490" spans="2:8">
      <c r="B1490" t="s">
        <v>587</v>
      </c>
      <c r="C1490" t="s">
        <v>325</v>
      </c>
      <c r="D1490">
        <v>1945</v>
      </c>
      <c r="E1490">
        <v>1947</v>
      </c>
      <c r="F1490">
        <v>1945</v>
      </c>
      <c r="G1490">
        <v>1945</v>
      </c>
      <c r="H1490">
        <v>3600</v>
      </c>
    </row>
    <row r="1491" spans="2:8">
      <c r="B1491" t="s">
        <v>587</v>
      </c>
      <c r="C1491" t="s">
        <v>326</v>
      </c>
      <c r="D1491">
        <v>1945</v>
      </c>
      <c r="E1491">
        <v>1949</v>
      </c>
      <c r="F1491">
        <v>1944</v>
      </c>
      <c r="G1491">
        <v>1949</v>
      </c>
      <c r="H1491">
        <v>9700</v>
      </c>
    </row>
    <row r="1492" spans="2:8">
      <c r="B1492" t="s">
        <v>587</v>
      </c>
      <c r="C1492" t="s">
        <v>327</v>
      </c>
      <c r="D1492">
        <v>1948.5</v>
      </c>
      <c r="E1492">
        <v>1950</v>
      </c>
      <c r="F1492">
        <v>1947.5</v>
      </c>
      <c r="G1492">
        <v>1949.5</v>
      </c>
      <c r="H1492">
        <v>3700</v>
      </c>
    </row>
    <row r="1493" spans="2:8">
      <c r="B1493" t="s">
        <v>587</v>
      </c>
      <c r="C1493" t="s">
        <v>328</v>
      </c>
      <c r="D1493">
        <v>1948.5</v>
      </c>
      <c r="E1493">
        <v>1950</v>
      </c>
      <c r="F1493">
        <v>1948</v>
      </c>
      <c r="G1493">
        <v>1949.5</v>
      </c>
      <c r="H1493">
        <v>3800</v>
      </c>
    </row>
    <row r="1494" spans="2:8">
      <c r="B1494" t="s">
        <v>587</v>
      </c>
      <c r="C1494" t="s">
        <v>329</v>
      </c>
      <c r="D1494">
        <v>1950</v>
      </c>
      <c r="E1494">
        <v>1951</v>
      </c>
      <c r="F1494">
        <v>1949</v>
      </c>
      <c r="G1494">
        <v>1949</v>
      </c>
      <c r="H1494">
        <v>2300</v>
      </c>
    </row>
    <row r="1495" spans="2:8">
      <c r="B1495" t="s">
        <v>587</v>
      </c>
      <c r="C1495" t="s">
        <v>330</v>
      </c>
      <c r="D1495">
        <v>1949</v>
      </c>
      <c r="E1495">
        <v>1951</v>
      </c>
      <c r="F1495">
        <v>1949</v>
      </c>
      <c r="G1495">
        <v>1950.5</v>
      </c>
      <c r="H1495">
        <v>3500</v>
      </c>
    </row>
    <row r="1496" spans="2:8">
      <c r="B1496" t="s">
        <v>587</v>
      </c>
      <c r="C1496" t="s">
        <v>331</v>
      </c>
      <c r="D1496">
        <v>1951.5</v>
      </c>
      <c r="E1496">
        <v>1952</v>
      </c>
      <c r="F1496">
        <v>1950</v>
      </c>
      <c r="G1496">
        <v>1952</v>
      </c>
      <c r="H1496">
        <v>2200</v>
      </c>
    </row>
    <row r="1497" spans="2:8">
      <c r="B1497" t="s">
        <v>587</v>
      </c>
      <c r="C1497" t="s">
        <v>332</v>
      </c>
      <c r="D1497">
        <v>1953</v>
      </c>
      <c r="E1497">
        <v>1957</v>
      </c>
      <c r="F1497">
        <v>1952.5</v>
      </c>
      <c r="G1497">
        <v>1956</v>
      </c>
      <c r="H1497">
        <v>3300</v>
      </c>
    </row>
    <row r="1498" spans="2:8">
      <c r="B1498" t="s">
        <v>587</v>
      </c>
      <c r="C1498" t="s">
        <v>333</v>
      </c>
      <c r="D1498">
        <v>1957</v>
      </c>
      <c r="E1498">
        <v>1960</v>
      </c>
      <c r="F1498">
        <v>1957</v>
      </c>
      <c r="G1498">
        <v>1959.5</v>
      </c>
      <c r="H1498">
        <v>4300</v>
      </c>
    </row>
    <row r="1499" spans="2:8">
      <c r="B1499" t="s">
        <v>587</v>
      </c>
      <c r="C1499" t="s">
        <v>334</v>
      </c>
      <c r="D1499">
        <v>1959</v>
      </c>
      <c r="E1499">
        <v>1960</v>
      </c>
      <c r="F1499">
        <v>1958.5</v>
      </c>
      <c r="G1499">
        <v>1959.5</v>
      </c>
      <c r="H1499">
        <v>2400</v>
      </c>
    </row>
    <row r="1500" spans="2:8">
      <c r="B1500" t="s">
        <v>587</v>
      </c>
      <c r="C1500" t="s">
        <v>335</v>
      </c>
      <c r="D1500">
        <v>1958.5</v>
      </c>
      <c r="E1500">
        <v>1959</v>
      </c>
      <c r="F1500">
        <v>1956</v>
      </c>
      <c r="G1500">
        <v>1957</v>
      </c>
      <c r="H1500">
        <v>12500</v>
      </c>
    </row>
    <row r="1501" spans="2:8">
      <c r="B1501" t="s">
        <v>587</v>
      </c>
      <c r="C1501" t="s">
        <v>336</v>
      </c>
      <c r="D1501">
        <v>1956.5</v>
      </c>
      <c r="E1501">
        <v>1956.5</v>
      </c>
      <c r="F1501">
        <v>1954</v>
      </c>
      <c r="G1501">
        <v>1954.5</v>
      </c>
      <c r="H1501">
        <v>3100</v>
      </c>
    </row>
    <row r="1502" spans="2:8">
      <c r="B1502" t="s">
        <v>587</v>
      </c>
      <c r="C1502" t="s">
        <v>337</v>
      </c>
      <c r="D1502">
        <v>1955</v>
      </c>
      <c r="E1502">
        <v>1955</v>
      </c>
      <c r="F1502">
        <v>1951</v>
      </c>
      <c r="G1502">
        <v>1954</v>
      </c>
      <c r="H1502">
        <v>8000</v>
      </c>
    </row>
    <row r="1503" spans="2:8">
      <c r="B1503" t="s">
        <v>587</v>
      </c>
      <c r="C1503" t="s">
        <v>338</v>
      </c>
      <c r="D1503">
        <v>1954</v>
      </c>
      <c r="E1503">
        <v>1954</v>
      </c>
      <c r="F1503">
        <v>1951</v>
      </c>
      <c r="G1503">
        <v>1952</v>
      </c>
      <c r="H1503">
        <v>3700</v>
      </c>
    </row>
    <row r="1504" spans="2:8">
      <c r="B1504" t="s">
        <v>587</v>
      </c>
      <c r="C1504" t="s">
        <v>339</v>
      </c>
      <c r="D1504">
        <v>1952</v>
      </c>
      <c r="E1504">
        <v>1953</v>
      </c>
      <c r="F1504">
        <v>1951</v>
      </c>
      <c r="G1504">
        <v>1951.5</v>
      </c>
      <c r="H1504">
        <v>3600</v>
      </c>
    </row>
    <row r="1505" spans="2:8">
      <c r="B1505" t="s">
        <v>587</v>
      </c>
      <c r="C1505" t="s">
        <v>340</v>
      </c>
      <c r="D1505">
        <v>1951.5</v>
      </c>
      <c r="E1505">
        <v>1951.5</v>
      </c>
      <c r="F1505">
        <v>1950</v>
      </c>
      <c r="G1505">
        <v>1950</v>
      </c>
      <c r="H1505">
        <v>1600</v>
      </c>
    </row>
    <row r="1506" spans="2:8">
      <c r="B1506" t="s">
        <v>587</v>
      </c>
      <c r="C1506" t="s">
        <v>341</v>
      </c>
      <c r="D1506">
        <v>1950.5</v>
      </c>
      <c r="E1506">
        <v>1951</v>
      </c>
      <c r="F1506">
        <v>1949.5</v>
      </c>
      <c r="G1506">
        <v>1951</v>
      </c>
      <c r="H1506">
        <v>4900</v>
      </c>
    </row>
    <row r="1507" spans="2:8">
      <c r="B1507" t="s">
        <v>587</v>
      </c>
      <c r="C1507" t="s">
        <v>342</v>
      </c>
      <c r="D1507">
        <v>1951</v>
      </c>
      <c r="E1507">
        <v>1954</v>
      </c>
      <c r="F1507">
        <v>1951</v>
      </c>
      <c r="G1507">
        <v>1954</v>
      </c>
      <c r="H1507">
        <v>3900</v>
      </c>
    </row>
    <row r="1508" spans="2:8">
      <c r="B1508" t="s">
        <v>587</v>
      </c>
      <c r="C1508" t="s">
        <v>343</v>
      </c>
      <c r="D1508">
        <v>1954</v>
      </c>
      <c r="E1508">
        <v>1954.5</v>
      </c>
      <c r="F1508">
        <v>1952.5</v>
      </c>
      <c r="G1508">
        <v>1952.5</v>
      </c>
      <c r="H1508">
        <v>2700</v>
      </c>
    </row>
    <row r="1509" spans="2:8">
      <c r="B1509" t="s">
        <v>587</v>
      </c>
      <c r="C1509" t="s">
        <v>344</v>
      </c>
      <c r="D1509">
        <v>1952</v>
      </c>
      <c r="E1509">
        <v>1953</v>
      </c>
      <c r="F1509">
        <v>1952</v>
      </c>
      <c r="G1509">
        <v>1952</v>
      </c>
      <c r="H1509">
        <v>2900</v>
      </c>
    </row>
    <row r="1510" spans="2:8">
      <c r="B1510" t="s">
        <v>587</v>
      </c>
      <c r="C1510" t="s">
        <v>345</v>
      </c>
      <c r="D1510">
        <v>1952</v>
      </c>
      <c r="E1510">
        <v>1952</v>
      </c>
      <c r="F1510">
        <v>1941.5</v>
      </c>
      <c r="G1510">
        <v>1943</v>
      </c>
      <c r="H1510">
        <v>23800</v>
      </c>
    </row>
    <row r="1511" spans="2:8">
      <c r="B1511" t="s">
        <v>587</v>
      </c>
      <c r="C1511" t="s">
        <v>346</v>
      </c>
      <c r="D1511">
        <v>1942</v>
      </c>
      <c r="E1511">
        <v>1942</v>
      </c>
      <c r="F1511">
        <v>1938</v>
      </c>
      <c r="G1511">
        <v>1940</v>
      </c>
      <c r="H1511">
        <v>12600</v>
      </c>
    </row>
    <row r="1512" spans="2:8">
      <c r="B1512" t="s">
        <v>587</v>
      </c>
      <c r="C1512" t="s">
        <v>347</v>
      </c>
      <c r="D1512">
        <v>1940</v>
      </c>
      <c r="E1512">
        <v>1941</v>
      </c>
      <c r="F1512">
        <v>1938.5</v>
      </c>
      <c r="G1512">
        <v>1939</v>
      </c>
      <c r="H1512">
        <v>4200</v>
      </c>
    </row>
    <row r="1513" spans="2:8">
      <c r="B1513" t="s">
        <v>587</v>
      </c>
      <c r="C1513" t="s">
        <v>348</v>
      </c>
      <c r="D1513">
        <v>1940</v>
      </c>
      <c r="E1513">
        <v>1941.5</v>
      </c>
      <c r="F1513">
        <v>1939.5</v>
      </c>
      <c r="G1513">
        <v>1940.5</v>
      </c>
      <c r="H1513">
        <v>2700</v>
      </c>
    </row>
    <row r="1514" spans="2:8">
      <c r="B1514" t="s">
        <v>587</v>
      </c>
      <c r="C1514" t="s">
        <v>349</v>
      </c>
      <c r="D1514">
        <v>1941</v>
      </c>
      <c r="E1514">
        <v>1941</v>
      </c>
      <c r="F1514">
        <v>1939.5</v>
      </c>
      <c r="G1514">
        <v>1939.5</v>
      </c>
      <c r="H1514">
        <v>2400</v>
      </c>
    </row>
    <row r="1515" spans="2:8">
      <c r="B1515" t="s">
        <v>587</v>
      </c>
      <c r="C1515" t="s">
        <v>350</v>
      </c>
      <c r="D1515">
        <v>1941</v>
      </c>
      <c r="E1515">
        <v>1943.5</v>
      </c>
      <c r="F1515">
        <v>1940.5</v>
      </c>
      <c r="G1515">
        <v>1941</v>
      </c>
      <c r="H1515">
        <v>4800</v>
      </c>
    </row>
    <row r="1516" spans="2:8">
      <c r="B1516" t="s">
        <v>587</v>
      </c>
      <c r="C1516" t="s">
        <v>351</v>
      </c>
      <c r="D1516">
        <v>1940.5</v>
      </c>
      <c r="E1516">
        <v>1940.5</v>
      </c>
      <c r="F1516">
        <v>1940</v>
      </c>
      <c r="G1516">
        <v>1940.5</v>
      </c>
      <c r="H1516">
        <v>1100</v>
      </c>
    </row>
    <row r="1517" spans="2:8">
      <c r="B1517" t="s">
        <v>587</v>
      </c>
      <c r="C1517" t="s">
        <v>352</v>
      </c>
      <c r="D1517">
        <v>1940.5</v>
      </c>
      <c r="E1517">
        <v>1941</v>
      </c>
      <c r="F1517">
        <v>1936</v>
      </c>
      <c r="G1517">
        <v>1938.5</v>
      </c>
      <c r="H1517">
        <v>10200</v>
      </c>
    </row>
    <row r="1518" spans="2:8">
      <c r="B1518" t="s">
        <v>587</v>
      </c>
      <c r="C1518" t="s">
        <v>353</v>
      </c>
      <c r="D1518">
        <v>1939.5</v>
      </c>
      <c r="E1518">
        <v>1943.5</v>
      </c>
      <c r="F1518">
        <v>1939.5</v>
      </c>
      <c r="G1518">
        <v>1943</v>
      </c>
      <c r="H1518">
        <v>5600</v>
      </c>
    </row>
    <row r="1519" spans="2:8">
      <c r="B1519" t="s">
        <v>587</v>
      </c>
      <c r="C1519" t="s">
        <v>354</v>
      </c>
      <c r="D1519">
        <v>1944</v>
      </c>
      <c r="E1519">
        <v>1945</v>
      </c>
      <c r="F1519">
        <v>1943</v>
      </c>
      <c r="G1519">
        <v>1943</v>
      </c>
      <c r="H1519">
        <v>5400</v>
      </c>
    </row>
    <row r="1520" spans="2:8">
      <c r="B1520" t="s">
        <v>587</v>
      </c>
      <c r="C1520" t="s">
        <v>355</v>
      </c>
      <c r="D1520">
        <v>1943</v>
      </c>
      <c r="E1520">
        <v>1944.5</v>
      </c>
      <c r="F1520">
        <v>1943</v>
      </c>
      <c r="G1520">
        <v>1943.5</v>
      </c>
      <c r="H1520">
        <v>2200</v>
      </c>
    </row>
    <row r="1521" spans="2:8">
      <c r="B1521" t="s">
        <v>587</v>
      </c>
      <c r="C1521" t="s">
        <v>356</v>
      </c>
      <c r="D1521">
        <v>1943</v>
      </c>
      <c r="E1521">
        <v>1943</v>
      </c>
      <c r="F1521">
        <v>1941</v>
      </c>
      <c r="G1521">
        <v>1943</v>
      </c>
      <c r="H1521">
        <v>4200</v>
      </c>
    </row>
    <row r="1522" spans="2:8">
      <c r="B1522" t="s">
        <v>587</v>
      </c>
      <c r="C1522" t="s">
        <v>357</v>
      </c>
      <c r="D1522">
        <v>1942.5</v>
      </c>
      <c r="E1522">
        <v>1942.5</v>
      </c>
      <c r="F1522">
        <v>1942</v>
      </c>
      <c r="G1522">
        <v>1942</v>
      </c>
      <c r="H1522">
        <v>2100</v>
      </c>
    </row>
    <row r="1523" spans="2:8">
      <c r="B1523" t="s">
        <v>587</v>
      </c>
      <c r="C1523" t="s">
        <v>358</v>
      </c>
      <c r="D1523">
        <v>1943</v>
      </c>
      <c r="E1523">
        <v>1945.5</v>
      </c>
      <c r="F1523">
        <v>1943</v>
      </c>
      <c r="G1523">
        <v>1945</v>
      </c>
      <c r="H1523">
        <v>3000</v>
      </c>
    </row>
    <row r="1524" spans="2:8">
      <c r="B1524" t="s">
        <v>587</v>
      </c>
      <c r="C1524" t="s">
        <v>359</v>
      </c>
      <c r="D1524">
        <v>1946</v>
      </c>
      <c r="E1524">
        <v>1951</v>
      </c>
      <c r="F1524">
        <v>1946</v>
      </c>
      <c r="G1524">
        <v>1948.5</v>
      </c>
      <c r="H1524">
        <v>7000</v>
      </c>
    </row>
    <row r="1525" spans="2:8">
      <c r="B1525" t="s">
        <v>587</v>
      </c>
      <c r="C1525" t="s">
        <v>360</v>
      </c>
      <c r="D1525">
        <v>1951</v>
      </c>
      <c r="E1525">
        <v>1953</v>
      </c>
      <c r="F1525">
        <v>1950.5</v>
      </c>
      <c r="G1525">
        <v>1950.5</v>
      </c>
      <c r="H1525">
        <v>3400</v>
      </c>
    </row>
    <row r="1526" spans="2:8">
      <c r="B1526" t="s">
        <v>587</v>
      </c>
      <c r="C1526" t="s">
        <v>361</v>
      </c>
      <c r="D1526">
        <v>1950</v>
      </c>
      <c r="E1526">
        <v>1950.5</v>
      </c>
      <c r="F1526">
        <v>1949.5</v>
      </c>
      <c r="G1526">
        <v>1950</v>
      </c>
      <c r="H1526">
        <v>1900</v>
      </c>
    </row>
    <row r="1527" spans="2:8">
      <c r="B1527" t="s">
        <v>587</v>
      </c>
      <c r="C1527" t="s">
        <v>362</v>
      </c>
      <c r="D1527">
        <v>1949.5</v>
      </c>
      <c r="E1527">
        <v>1949.5</v>
      </c>
      <c r="F1527">
        <v>1947.5</v>
      </c>
      <c r="G1527">
        <v>1948.5</v>
      </c>
      <c r="H1527">
        <v>1700</v>
      </c>
    </row>
    <row r="1528" spans="2:8">
      <c r="B1528" t="s">
        <v>587</v>
      </c>
      <c r="C1528" t="s">
        <v>363</v>
      </c>
      <c r="D1528">
        <v>1949.5</v>
      </c>
      <c r="E1528">
        <v>1949.5</v>
      </c>
      <c r="F1528">
        <v>1948</v>
      </c>
      <c r="G1528">
        <v>1948</v>
      </c>
      <c r="H1528">
        <v>1100</v>
      </c>
    </row>
    <row r="1529" spans="2:8">
      <c r="B1529" t="s">
        <v>587</v>
      </c>
      <c r="C1529" t="s">
        <v>364</v>
      </c>
      <c r="D1529">
        <v>1948</v>
      </c>
      <c r="E1529">
        <v>1951.5</v>
      </c>
      <c r="F1529">
        <v>1948</v>
      </c>
      <c r="G1529">
        <v>1950.5</v>
      </c>
      <c r="H1529">
        <v>3000</v>
      </c>
    </row>
    <row r="1530" spans="2:8">
      <c r="B1530" t="s">
        <v>587</v>
      </c>
      <c r="C1530" t="s">
        <v>365</v>
      </c>
      <c r="D1530">
        <v>1951</v>
      </c>
      <c r="E1530">
        <v>1951</v>
      </c>
      <c r="F1530">
        <v>1950</v>
      </c>
      <c r="G1530">
        <v>1950</v>
      </c>
      <c r="H1530">
        <v>1200</v>
      </c>
    </row>
    <row r="1531" spans="2:8">
      <c r="B1531" t="s">
        <v>587</v>
      </c>
      <c r="C1531" t="s">
        <v>366</v>
      </c>
      <c r="D1531">
        <v>1950</v>
      </c>
      <c r="E1531">
        <v>1952.5</v>
      </c>
      <c r="F1531">
        <v>1950</v>
      </c>
      <c r="G1531">
        <v>1952</v>
      </c>
      <c r="H1531">
        <v>4300</v>
      </c>
    </row>
    <row r="1532" spans="2:8">
      <c r="B1532" t="s">
        <v>587</v>
      </c>
      <c r="C1532" t="s">
        <v>367</v>
      </c>
      <c r="D1532">
        <v>1950.5</v>
      </c>
      <c r="E1532">
        <v>1951</v>
      </c>
      <c r="F1532">
        <v>1949.5</v>
      </c>
      <c r="G1532">
        <v>1950.5</v>
      </c>
      <c r="H1532">
        <v>2400</v>
      </c>
    </row>
    <row r="1533" spans="2:8">
      <c r="B1533" t="s">
        <v>587</v>
      </c>
      <c r="C1533" t="s">
        <v>368</v>
      </c>
      <c r="D1533">
        <v>1950.5</v>
      </c>
      <c r="E1533">
        <v>1951.5</v>
      </c>
      <c r="F1533">
        <v>1949.5</v>
      </c>
      <c r="G1533">
        <v>1951.5</v>
      </c>
      <c r="H1533">
        <v>3200</v>
      </c>
    </row>
    <row r="1534" spans="2:8">
      <c r="B1534" t="s">
        <v>587</v>
      </c>
      <c r="C1534" t="s">
        <v>369</v>
      </c>
      <c r="D1534">
        <v>1950</v>
      </c>
      <c r="E1534">
        <v>1951.5</v>
      </c>
      <c r="F1534">
        <v>1950</v>
      </c>
      <c r="G1534">
        <v>1951.5</v>
      </c>
      <c r="H1534">
        <v>1300</v>
      </c>
    </row>
    <row r="1535" spans="2:8">
      <c r="B1535" t="s">
        <v>587</v>
      </c>
      <c r="C1535" t="s">
        <v>370</v>
      </c>
      <c r="D1535">
        <v>1952</v>
      </c>
      <c r="E1535">
        <v>1952</v>
      </c>
      <c r="F1535">
        <v>1951</v>
      </c>
      <c r="G1535">
        <v>1951</v>
      </c>
      <c r="H1535">
        <v>800</v>
      </c>
    </row>
    <row r="1536" spans="2:8">
      <c r="B1536" t="s">
        <v>587</v>
      </c>
      <c r="C1536" t="s">
        <v>371</v>
      </c>
      <c r="D1536">
        <v>1951</v>
      </c>
      <c r="E1536">
        <v>1951</v>
      </c>
      <c r="F1536">
        <v>1950.5</v>
      </c>
      <c r="G1536">
        <v>1950.5</v>
      </c>
      <c r="H1536">
        <v>1000</v>
      </c>
    </row>
    <row r="1537" spans="2:8">
      <c r="B1537" t="s">
        <v>587</v>
      </c>
      <c r="C1537" t="s">
        <v>372</v>
      </c>
      <c r="D1537">
        <v>1951</v>
      </c>
      <c r="E1537">
        <v>1951</v>
      </c>
      <c r="F1537">
        <v>1950</v>
      </c>
      <c r="G1537">
        <v>1950</v>
      </c>
      <c r="H1537">
        <v>900</v>
      </c>
    </row>
    <row r="1538" spans="2:8">
      <c r="B1538" t="s">
        <v>587</v>
      </c>
      <c r="C1538" t="s">
        <v>373</v>
      </c>
      <c r="D1538">
        <v>1949.5</v>
      </c>
      <c r="E1538">
        <v>1951.5</v>
      </c>
      <c r="F1538">
        <v>1949.5</v>
      </c>
      <c r="G1538">
        <v>1951.5</v>
      </c>
      <c r="H1538">
        <v>3000</v>
      </c>
    </row>
    <row r="1539" spans="2:8">
      <c r="B1539" t="s">
        <v>587</v>
      </c>
      <c r="C1539" t="s">
        <v>374</v>
      </c>
      <c r="D1539">
        <v>1951.5</v>
      </c>
      <c r="E1539">
        <v>1952.5</v>
      </c>
      <c r="F1539">
        <v>1951</v>
      </c>
      <c r="G1539">
        <v>1952.5</v>
      </c>
      <c r="H1539">
        <v>4200</v>
      </c>
    </row>
    <row r="1540" spans="2:8">
      <c r="B1540" t="s">
        <v>587</v>
      </c>
      <c r="C1540" t="s">
        <v>375</v>
      </c>
      <c r="D1540">
        <v>1952.5</v>
      </c>
      <c r="E1540">
        <v>1954</v>
      </c>
      <c r="F1540">
        <v>1952.5</v>
      </c>
      <c r="G1540">
        <v>1953</v>
      </c>
      <c r="H1540">
        <v>4200</v>
      </c>
    </row>
    <row r="1541" spans="2:8">
      <c r="B1541" t="s">
        <v>587</v>
      </c>
      <c r="C1541" t="s">
        <v>376</v>
      </c>
      <c r="D1541">
        <v>1953.5</v>
      </c>
      <c r="E1541">
        <v>1955.5</v>
      </c>
      <c r="F1541">
        <v>1953.5</v>
      </c>
      <c r="G1541">
        <v>1955</v>
      </c>
      <c r="H1541">
        <v>7400</v>
      </c>
    </row>
    <row r="1542" spans="2:8">
      <c r="B1542" t="s">
        <v>587</v>
      </c>
      <c r="C1542" t="s">
        <v>377</v>
      </c>
      <c r="D1542">
        <v>1954</v>
      </c>
      <c r="E1542">
        <v>1954.5</v>
      </c>
      <c r="F1542">
        <v>1953</v>
      </c>
      <c r="G1542">
        <v>1954.5</v>
      </c>
      <c r="H1542">
        <v>1200</v>
      </c>
    </row>
    <row r="1543" spans="2:8">
      <c r="B1543" t="s">
        <v>587</v>
      </c>
      <c r="C1543" t="s">
        <v>378</v>
      </c>
      <c r="D1543">
        <v>1954.5</v>
      </c>
      <c r="E1543">
        <v>1956</v>
      </c>
      <c r="F1543">
        <v>1954.5</v>
      </c>
      <c r="G1543">
        <v>1955.5</v>
      </c>
      <c r="H1543">
        <v>3300</v>
      </c>
    </row>
    <row r="1544" spans="2:8">
      <c r="B1544" t="s">
        <v>587</v>
      </c>
      <c r="C1544" t="s">
        <v>379</v>
      </c>
      <c r="D1544">
        <v>1955</v>
      </c>
      <c r="E1544">
        <v>1955</v>
      </c>
      <c r="F1544">
        <v>1953</v>
      </c>
      <c r="G1544">
        <v>1953</v>
      </c>
      <c r="H1544">
        <v>2000</v>
      </c>
    </row>
    <row r="1545" spans="2:8">
      <c r="B1545" t="s">
        <v>587</v>
      </c>
      <c r="C1545" t="s">
        <v>380</v>
      </c>
      <c r="D1545">
        <v>1953</v>
      </c>
      <c r="E1545">
        <v>1955</v>
      </c>
      <c r="F1545">
        <v>1953</v>
      </c>
      <c r="G1545">
        <v>1955</v>
      </c>
      <c r="H1545">
        <v>1500</v>
      </c>
    </row>
    <row r="1546" spans="2:8">
      <c r="B1546" t="s">
        <v>587</v>
      </c>
      <c r="C1546" t="s">
        <v>381</v>
      </c>
      <c r="D1546">
        <v>1954</v>
      </c>
      <c r="E1546">
        <v>1954</v>
      </c>
      <c r="F1546">
        <v>1950.5</v>
      </c>
      <c r="G1546">
        <v>1953</v>
      </c>
      <c r="H1546">
        <v>4200</v>
      </c>
    </row>
    <row r="1547" spans="2:8">
      <c r="B1547" t="s">
        <v>587</v>
      </c>
      <c r="C1547" t="s">
        <v>382</v>
      </c>
      <c r="D1547">
        <v>1953</v>
      </c>
      <c r="E1547">
        <v>1954</v>
      </c>
      <c r="F1547">
        <v>1953</v>
      </c>
      <c r="G1547">
        <v>1954</v>
      </c>
      <c r="H1547">
        <v>1300</v>
      </c>
    </row>
    <row r="1548" spans="2:8">
      <c r="B1548" t="s">
        <v>587</v>
      </c>
      <c r="C1548" t="s">
        <v>383</v>
      </c>
      <c r="D1548">
        <v>1953.5</v>
      </c>
      <c r="E1548">
        <v>1953.5</v>
      </c>
      <c r="F1548">
        <v>1953</v>
      </c>
      <c r="G1548">
        <v>1953.5</v>
      </c>
      <c r="H1548">
        <v>800</v>
      </c>
    </row>
    <row r="1549" spans="2:8">
      <c r="B1549" t="s">
        <v>587</v>
      </c>
      <c r="C1549" t="s">
        <v>384</v>
      </c>
      <c r="D1549">
        <v>1953.5</v>
      </c>
      <c r="E1549">
        <v>1961.5</v>
      </c>
      <c r="F1549">
        <v>1953.5</v>
      </c>
      <c r="G1549">
        <v>1957</v>
      </c>
      <c r="H1549">
        <v>26600</v>
      </c>
    </row>
    <row r="1550" spans="2:8">
      <c r="B1550" t="s">
        <v>587</v>
      </c>
      <c r="C1550" t="s">
        <v>385</v>
      </c>
      <c r="D1550">
        <v>1957</v>
      </c>
      <c r="E1550">
        <v>1957</v>
      </c>
      <c r="F1550">
        <v>1954.5</v>
      </c>
      <c r="G1550">
        <v>1954.5</v>
      </c>
      <c r="H1550">
        <v>1100</v>
      </c>
    </row>
    <row r="1551" spans="2:8">
      <c r="B1551" t="s">
        <v>587</v>
      </c>
      <c r="C1551" t="s">
        <v>386</v>
      </c>
      <c r="D1551">
        <v>1954.5</v>
      </c>
      <c r="E1551">
        <v>1955</v>
      </c>
      <c r="F1551">
        <v>1953</v>
      </c>
      <c r="G1551">
        <v>1953.5</v>
      </c>
      <c r="H1551">
        <v>4600</v>
      </c>
    </row>
    <row r="1552" spans="2:8">
      <c r="B1552" t="s">
        <v>587</v>
      </c>
      <c r="C1552" t="s">
        <v>387</v>
      </c>
      <c r="D1552">
        <v>1953</v>
      </c>
      <c r="E1552">
        <v>1954</v>
      </c>
      <c r="F1552">
        <v>1952.5</v>
      </c>
      <c r="G1552">
        <v>1953</v>
      </c>
      <c r="H1552">
        <v>800</v>
      </c>
    </row>
    <row r="1553" spans="2:8">
      <c r="B1553" t="s">
        <v>587</v>
      </c>
      <c r="C1553" t="s">
        <v>388</v>
      </c>
      <c r="D1553">
        <v>1953</v>
      </c>
      <c r="E1553">
        <v>1953.5</v>
      </c>
      <c r="F1553">
        <v>1952.5</v>
      </c>
      <c r="G1553">
        <v>1953.5</v>
      </c>
      <c r="H1553">
        <v>300</v>
      </c>
    </row>
    <row r="1554" spans="2:8">
      <c r="B1554" t="s">
        <v>587</v>
      </c>
      <c r="C1554" t="s">
        <v>389</v>
      </c>
      <c r="D1554">
        <v>1953</v>
      </c>
      <c r="E1554">
        <v>1955</v>
      </c>
      <c r="F1554">
        <v>1953</v>
      </c>
      <c r="G1554">
        <v>1955</v>
      </c>
      <c r="H1554">
        <v>1300</v>
      </c>
    </row>
    <row r="1555" spans="2:8">
      <c r="B1555" t="s">
        <v>587</v>
      </c>
      <c r="C1555" t="s">
        <v>390</v>
      </c>
      <c r="D1555">
        <v>1954</v>
      </c>
      <c r="E1555">
        <v>1954</v>
      </c>
      <c r="F1555">
        <v>1952.5</v>
      </c>
      <c r="G1555">
        <v>1952.5</v>
      </c>
      <c r="H1555">
        <v>1200</v>
      </c>
    </row>
    <row r="1556" spans="2:8">
      <c r="B1556" t="s">
        <v>587</v>
      </c>
      <c r="C1556" t="s">
        <v>391</v>
      </c>
      <c r="D1556">
        <v>1952.5</v>
      </c>
      <c r="E1556">
        <v>1955</v>
      </c>
      <c r="F1556">
        <v>1951.5</v>
      </c>
      <c r="G1556">
        <v>1955</v>
      </c>
      <c r="H1556">
        <v>3300</v>
      </c>
    </row>
    <row r="1557" spans="2:8">
      <c r="B1557" t="s">
        <v>587</v>
      </c>
      <c r="C1557" t="s">
        <v>392</v>
      </c>
      <c r="D1557">
        <v>1953.5</v>
      </c>
      <c r="E1557">
        <v>1953.5</v>
      </c>
      <c r="F1557">
        <v>1952.5</v>
      </c>
      <c r="G1557">
        <v>1953.5</v>
      </c>
      <c r="H1557">
        <v>1300</v>
      </c>
    </row>
    <row r="1558" spans="2:8">
      <c r="B1558" t="s">
        <v>587</v>
      </c>
      <c r="C1558" t="s">
        <v>393</v>
      </c>
      <c r="D1558">
        <v>1954</v>
      </c>
      <c r="E1558">
        <v>1955</v>
      </c>
      <c r="F1558">
        <v>1953</v>
      </c>
      <c r="G1558">
        <v>1953</v>
      </c>
      <c r="H1558">
        <v>1700</v>
      </c>
    </row>
    <row r="1559" spans="2:8">
      <c r="B1559" t="s">
        <v>587</v>
      </c>
      <c r="C1559" t="s">
        <v>394</v>
      </c>
      <c r="D1559">
        <v>1953.5</v>
      </c>
      <c r="E1559">
        <v>1953.5</v>
      </c>
      <c r="F1559">
        <v>1952</v>
      </c>
      <c r="G1559">
        <v>1952</v>
      </c>
      <c r="H1559">
        <v>1500</v>
      </c>
    </row>
    <row r="1560" spans="2:8">
      <c r="B1560" t="s">
        <v>587</v>
      </c>
      <c r="C1560" t="s">
        <v>395</v>
      </c>
      <c r="D1560">
        <v>1952</v>
      </c>
      <c r="E1560">
        <v>1953</v>
      </c>
      <c r="F1560">
        <v>1950.5</v>
      </c>
      <c r="G1560">
        <v>1951.5</v>
      </c>
      <c r="H1560">
        <v>2600</v>
      </c>
    </row>
    <row r="1561" spans="2:8">
      <c r="B1561" t="s">
        <v>587</v>
      </c>
      <c r="C1561" t="s">
        <v>396</v>
      </c>
      <c r="D1561">
        <v>1951.5</v>
      </c>
      <c r="E1561">
        <v>1953</v>
      </c>
      <c r="F1561">
        <v>1950.5</v>
      </c>
      <c r="G1561">
        <v>1951.5</v>
      </c>
      <c r="H1561">
        <v>4100</v>
      </c>
    </row>
    <row r="1562" spans="2:8">
      <c r="B1562" t="s">
        <v>587</v>
      </c>
      <c r="C1562" t="s">
        <v>397</v>
      </c>
      <c r="D1562">
        <v>1951.5</v>
      </c>
      <c r="E1562">
        <v>1951.5</v>
      </c>
      <c r="F1562">
        <v>1950</v>
      </c>
      <c r="G1562">
        <v>1950.5</v>
      </c>
      <c r="H1562">
        <v>4400</v>
      </c>
    </row>
    <row r="1563" spans="2:8">
      <c r="B1563" t="s">
        <v>587</v>
      </c>
      <c r="C1563" t="s">
        <v>398</v>
      </c>
      <c r="D1563">
        <v>1950.5</v>
      </c>
      <c r="E1563">
        <v>1950.5</v>
      </c>
      <c r="F1563">
        <v>1948</v>
      </c>
      <c r="G1563">
        <v>1948</v>
      </c>
      <c r="H1563">
        <v>2700</v>
      </c>
    </row>
    <row r="1564" spans="2:8">
      <c r="B1564" t="s">
        <v>587</v>
      </c>
      <c r="C1564" t="s">
        <v>399</v>
      </c>
      <c r="D1564">
        <v>1948</v>
      </c>
      <c r="E1564">
        <v>1950.5</v>
      </c>
      <c r="F1564">
        <v>1948</v>
      </c>
      <c r="G1564">
        <v>1949.5</v>
      </c>
      <c r="H1564">
        <v>2400</v>
      </c>
    </row>
    <row r="1565" spans="2:8">
      <c r="B1565" t="s">
        <v>587</v>
      </c>
      <c r="C1565" t="s">
        <v>400</v>
      </c>
      <c r="D1565">
        <v>1949.5</v>
      </c>
      <c r="E1565">
        <v>1951.5</v>
      </c>
      <c r="F1565">
        <v>1949.5</v>
      </c>
      <c r="G1565">
        <v>1951.5</v>
      </c>
      <c r="H1565">
        <v>1700</v>
      </c>
    </row>
    <row r="1566" spans="2:8">
      <c r="B1566" t="s">
        <v>587</v>
      </c>
      <c r="C1566" t="s">
        <v>401</v>
      </c>
      <c r="D1566">
        <v>1950.5</v>
      </c>
      <c r="E1566">
        <v>1950.5</v>
      </c>
      <c r="F1566">
        <v>1949.5</v>
      </c>
      <c r="G1566">
        <v>1949.5</v>
      </c>
      <c r="H1566">
        <v>3000</v>
      </c>
    </row>
    <row r="1567" spans="2:8">
      <c r="B1567" t="s">
        <v>587</v>
      </c>
      <c r="C1567" t="s">
        <v>402</v>
      </c>
      <c r="D1567">
        <v>1949</v>
      </c>
      <c r="E1567">
        <v>1949.5</v>
      </c>
      <c r="F1567">
        <v>1948</v>
      </c>
      <c r="G1567">
        <v>1949.5</v>
      </c>
      <c r="H1567">
        <v>2100</v>
      </c>
    </row>
    <row r="1568" spans="2:8">
      <c r="B1568" t="s">
        <v>587</v>
      </c>
      <c r="C1568" t="s">
        <v>403</v>
      </c>
      <c r="D1568">
        <v>1949</v>
      </c>
      <c r="E1568">
        <v>1950.5</v>
      </c>
      <c r="F1568">
        <v>1949</v>
      </c>
      <c r="G1568">
        <v>1950.5</v>
      </c>
      <c r="H1568">
        <v>2500</v>
      </c>
    </row>
    <row r="1569" spans="2:8">
      <c r="B1569" t="s">
        <v>587</v>
      </c>
      <c r="C1569" t="s">
        <v>404</v>
      </c>
      <c r="D1569">
        <v>1950.5</v>
      </c>
      <c r="E1569">
        <v>1950.5</v>
      </c>
      <c r="F1569">
        <v>1946.5</v>
      </c>
      <c r="G1569">
        <v>1946.5</v>
      </c>
      <c r="H1569">
        <v>5300</v>
      </c>
    </row>
    <row r="1570" spans="2:8">
      <c r="B1570" t="s">
        <v>587</v>
      </c>
      <c r="C1570" t="s">
        <v>405</v>
      </c>
      <c r="D1570">
        <v>1946.5</v>
      </c>
      <c r="E1570">
        <v>1947</v>
      </c>
      <c r="F1570">
        <v>1946</v>
      </c>
      <c r="G1570">
        <v>1946.5</v>
      </c>
      <c r="H1570">
        <v>900</v>
      </c>
    </row>
    <row r="1571" spans="2:8">
      <c r="B1571" t="s">
        <v>587</v>
      </c>
      <c r="C1571" t="s">
        <v>406</v>
      </c>
      <c r="D1571">
        <v>1947</v>
      </c>
      <c r="E1571">
        <v>1947.5</v>
      </c>
      <c r="F1571">
        <v>1946.5</v>
      </c>
      <c r="G1571">
        <v>1946.5</v>
      </c>
      <c r="H1571">
        <v>2100</v>
      </c>
    </row>
    <row r="1572" spans="2:8">
      <c r="B1572" t="s">
        <v>587</v>
      </c>
      <c r="C1572" t="s">
        <v>407</v>
      </c>
      <c r="D1572">
        <v>1946.5</v>
      </c>
      <c r="E1572">
        <v>1948</v>
      </c>
      <c r="F1572">
        <v>1946</v>
      </c>
      <c r="G1572">
        <v>1948</v>
      </c>
      <c r="H1572">
        <v>1600</v>
      </c>
    </row>
    <row r="1573" spans="2:8">
      <c r="B1573" t="s">
        <v>587</v>
      </c>
      <c r="C1573" t="s">
        <v>408</v>
      </c>
      <c r="D1573">
        <v>1948.5</v>
      </c>
      <c r="E1573">
        <v>1949.5</v>
      </c>
      <c r="F1573">
        <v>1948.5</v>
      </c>
      <c r="G1573">
        <v>1949.5</v>
      </c>
      <c r="H1573">
        <v>800</v>
      </c>
    </row>
    <row r="1574" spans="2:8">
      <c r="B1574" t="s">
        <v>587</v>
      </c>
      <c r="C1574" t="s">
        <v>409</v>
      </c>
      <c r="D1574">
        <v>1949.5</v>
      </c>
      <c r="E1574">
        <v>1950</v>
      </c>
      <c r="F1574">
        <v>1949.5</v>
      </c>
      <c r="G1574">
        <v>1950</v>
      </c>
      <c r="H1574">
        <v>700</v>
      </c>
    </row>
    <row r="1575" spans="2:8">
      <c r="B1575" t="s">
        <v>587</v>
      </c>
      <c r="C1575" t="s">
        <v>410</v>
      </c>
      <c r="D1575">
        <v>1950</v>
      </c>
      <c r="E1575">
        <v>1951</v>
      </c>
      <c r="F1575">
        <v>1949</v>
      </c>
      <c r="G1575">
        <v>1950</v>
      </c>
      <c r="H1575">
        <v>3900</v>
      </c>
    </row>
    <row r="1576" spans="2:8">
      <c r="B1576" t="s">
        <v>587</v>
      </c>
      <c r="C1576" t="s">
        <v>411</v>
      </c>
      <c r="D1576">
        <v>1949.5</v>
      </c>
      <c r="E1576">
        <v>1951</v>
      </c>
      <c r="F1576">
        <v>1949</v>
      </c>
      <c r="G1576">
        <v>1950.5</v>
      </c>
      <c r="H1576">
        <v>1000</v>
      </c>
    </row>
    <row r="1577" spans="2:8">
      <c r="B1577" t="s">
        <v>587</v>
      </c>
      <c r="C1577" t="s">
        <v>412</v>
      </c>
      <c r="D1577">
        <v>1950</v>
      </c>
      <c r="E1577">
        <v>1950</v>
      </c>
      <c r="F1577">
        <v>1948.5</v>
      </c>
      <c r="G1577">
        <v>1949</v>
      </c>
      <c r="H1577">
        <v>1700</v>
      </c>
    </row>
    <row r="1578" spans="2:8">
      <c r="B1578" t="s">
        <v>587</v>
      </c>
      <c r="C1578" t="s">
        <v>413</v>
      </c>
      <c r="D1578">
        <v>1949</v>
      </c>
      <c r="E1578">
        <v>1951.5</v>
      </c>
      <c r="F1578">
        <v>1946</v>
      </c>
      <c r="G1578">
        <v>1951.5</v>
      </c>
      <c r="H1578">
        <v>7500</v>
      </c>
    </row>
    <row r="1579" spans="2:8">
      <c r="B1579" t="s">
        <v>587</v>
      </c>
      <c r="C1579" t="s">
        <v>414</v>
      </c>
      <c r="D1579">
        <v>1952</v>
      </c>
      <c r="E1579">
        <v>1952</v>
      </c>
      <c r="F1579">
        <v>1950.5</v>
      </c>
      <c r="G1579">
        <v>1950.5</v>
      </c>
      <c r="H1579">
        <v>6000</v>
      </c>
    </row>
    <row r="1580" spans="2:8">
      <c r="B1580" t="s">
        <v>587</v>
      </c>
      <c r="C1580" t="s">
        <v>415</v>
      </c>
      <c r="D1580">
        <v>1951</v>
      </c>
      <c r="E1580">
        <v>1951.5</v>
      </c>
      <c r="F1580">
        <v>1950</v>
      </c>
      <c r="G1580">
        <v>1951</v>
      </c>
      <c r="H1580">
        <v>5800</v>
      </c>
    </row>
    <row r="1581" spans="2:8">
      <c r="B1581" t="s">
        <v>587</v>
      </c>
      <c r="C1581" t="s">
        <v>416</v>
      </c>
      <c r="D1581">
        <v>1951</v>
      </c>
      <c r="E1581">
        <v>1953.5</v>
      </c>
      <c r="F1581">
        <v>1950</v>
      </c>
      <c r="G1581">
        <v>1953.5</v>
      </c>
      <c r="H1581">
        <v>9400</v>
      </c>
    </row>
    <row r="1582" spans="2:8">
      <c r="B1582" t="s">
        <v>587</v>
      </c>
      <c r="C1582" t="s">
        <v>417</v>
      </c>
      <c r="D1582">
        <v>1953.5</v>
      </c>
      <c r="E1582">
        <v>1954</v>
      </c>
      <c r="F1582">
        <v>1953.5</v>
      </c>
      <c r="G1582">
        <v>1953.5</v>
      </c>
      <c r="H1582">
        <v>900</v>
      </c>
    </row>
    <row r="1583" spans="2:8">
      <c r="B1583" t="s">
        <v>587</v>
      </c>
      <c r="C1583" t="s">
        <v>418</v>
      </c>
      <c r="D1583">
        <v>1953.5</v>
      </c>
      <c r="E1583">
        <v>1953.5</v>
      </c>
      <c r="F1583">
        <v>1950</v>
      </c>
      <c r="G1583">
        <v>1951</v>
      </c>
      <c r="H1583">
        <v>2900</v>
      </c>
    </row>
    <row r="1584" spans="2:8">
      <c r="B1584" t="s">
        <v>587</v>
      </c>
      <c r="C1584" t="s">
        <v>419</v>
      </c>
      <c r="D1584">
        <v>1950.5</v>
      </c>
      <c r="E1584">
        <v>1950.5</v>
      </c>
      <c r="F1584">
        <v>1950</v>
      </c>
      <c r="G1584">
        <v>1950</v>
      </c>
      <c r="H1584">
        <v>1000</v>
      </c>
    </row>
    <row r="1585" spans="2:8">
      <c r="B1585" t="s">
        <v>587</v>
      </c>
      <c r="C1585" t="s">
        <v>420</v>
      </c>
      <c r="D1585">
        <v>1949.5</v>
      </c>
      <c r="E1585">
        <v>1950.5</v>
      </c>
      <c r="F1585">
        <v>1949.5</v>
      </c>
      <c r="G1585">
        <v>1950.5</v>
      </c>
      <c r="H1585">
        <v>900</v>
      </c>
    </row>
    <row r="1586" spans="2:8">
      <c r="B1586" t="s">
        <v>587</v>
      </c>
      <c r="C1586" t="s">
        <v>421</v>
      </c>
      <c r="D1586">
        <v>1950</v>
      </c>
      <c r="E1586">
        <v>1950.5</v>
      </c>
      <c r="F1586">
        <v>1949</v>
      </c>
      <c r="G1586">
        <v>1949</v>
      </c>
      <c r="H1586">
        <v>1600</v>
      </c>
    </row>
    <row r="1587" spans="2:8">
      <c r="B1587" t="s">
        <v>587</v>
      </c>
      <c r="C1587" t="s">
        <v>422</v>
      </c>
      <c r="D1587">
        <v>1948.5</v>
      </c>
      <c r="E1587">
        <v>1948.5</v>
      </c>
      <c r="F1587">
        <v>1946</v>
      </c>
      <c r="G1587">
        <v>1946</v>
      </c>
      <c r="H1587">
        <v>2300</v>
      </c>
    </row>
    <row r="1588" spans="2:8">
      <c r="B1588" t="s">
        <v>587</v>
      </c>
      <c r="C1588" t="s">
        <v>423</v>
      </c>
      <c r="D1588">
        <v>1946</v>
      </c>
      <c r="E1588">
        <v>1948</v>
      </c>
      <c r="F1588">
        <v>1945.5</v>
      </c>
      <c r="G1588">
        <v>1947</v>
      </c>
      <c r="H1588">
        <v>2900</v>
      </c>
    </row>
    <row r="1589" spans="2:8">
      <c r="B1589" t="s">
        <v>587</v>
      </c>
      <c r="C1589" t="s">
        <v>424</v>
      </c>
      <c r="D1589">
        <v>1947</v>
      </c>
      <c r="E1589">
        <v>1947</v>
      </c>
      <c r="F1589">
        <v>1946.5</v>
      </c>
      <c r="G1589">
        <v>1946.5</v>
      </c>
      <c r="H1589">
        <v>800</v>
      </c>
    </row>
    <row r="1590" spans="2:8">
      <c r="B1590" t="s">
        <v>587</v>
      </c>
      <c r="C1590" t="s">
        <v>425</v>
      </c>
      <c r="D1590">
        <v>1946.5</v>
      </c>
      <c r="E1590">
        <v>1946.5</v>
      </c>
      <c r="F1590">
        <v>1945</v>
      </c>
      <c r="G1590">
        <v>1945.5</v>
      </c>
      <c r="H1590">
        <v>1900</v>
      </c>
    </row>
    <row r="1591" spans="2:8">
      <c r="B1591" t="s">
        <v>587</v>
      </c>
      <c r="C1591" t="s">
        <v>426</v>
      </c>
      <c r="D1591">
        <v>1945</v>
      </c>
      <c r="E1591">
        <v>1945</v>
      </c>
      <c r="F1591">
        <v>1942</v>
      </c>
      <c r="G1591">
        <v>1944</v>
      </c>
      <c r="H1591">
        <v>7500</v>
      </c>
    </row>
    <row r="1592" spans="2:8">
      <c r="B1592" t="s">
        <v>587</v>
      </c>
      <c r="C1592" t="s">
        <v>427</v>
      </c>
      <c r="D1592">
        <v>1944</v>
      </c>
      <c r="E1592">
        <v>1944</v>
      </c>
      <c r="F1592">
        <v>1941.5</v>
      </c>
      <c r="G1592">
        <v>1941.5</v>
      </c>
      <c r="H1592">
        <v>3700</v>
      </c>
    </row>
    <row r="1593" spans="2:8">
      <c r="B1593" t="s">
        <v>587</v>
      </c>
      <c r="C1593" t="s">
        <v>428</v>
      </c>
      <c r="D1593">
        <v>1941</v>
      </c>
      <c r="E1593">
        <v>1944</v>
      </c>
      <c r="F1593">
        <v>1941</v>
      </c>
      <c r="G1593">
        <v>1944</v>
      </c>
      <c r="H1593">
        <v>4100</v>
      </c>
    </row>
    <row r="1594" spans="2:8">
      <c r="B1594" t="s">
        <v>587</v>
      </c>
      <c r="C1594" t="s">
        <v>429</v>
      </c>
      <c r="D1594">
        <v>1944</v>
      </c>
      <c r="E1594">
        <v>1945</v>
      </c>
      <c r="F1594">
        <v>1944</v>
      </c>
      <c r="G1594">
        <v>1944</v>
      </c>
      <c r="H1594">
        <v>1300</v>
      </c>
    </row>
    <row r="1595" spans="2:8">
      <c r="B1595" t="s">
        <v>587</v>
      </c>
      <c r="C1595" t="s">
        <v>430</v>
      </c>
      <c r="D1595">
        <v>1944</v>
      </c>
      <c r="E1595">
        <v>1944.5</v>
      </c>
      <c r="F1595">
        <v>1943.5</v>
      </c>
      <c r="G1595">
        <v>1943.5</v>
      </c>
      <c r="H1595">
        <v>3100</v>
      </c>
    </row>
    <row r="1596" spans="2:8">
      <c r="B1596" t="s">
        <v>587</v>
      </c>
      <c r="C1596" t="s">
        <v>431</v>
      </c>
      <c r="D1596">
        <v>1943.5</v>
      </c>
      <c r="E1596">
        <v>1945.5</v>
      </c>
      <c r="F1596">
        <v>1943.5</v>
      </c>
      <c r="G1596">
        <v>1944.5</v>
      </c>
      <c r="H1596">
        <v>2100</v>
      </c>
    </row>
    <row r="1597" spans="2:8">
      <c r="B1597" t="s">
        <v>587</v>
      </c>
      <c r="C1597" t="s">
        <v>9</v>
      </c>
      <c r="D1597">
        <v>1944.5</v>
      </c>
      <c r="E1597">
        <v>1945</v>
      </c>
      <c r="F1597">
        <v>1943.5</v>
      </c>
      <c r="G1597">
        <v>1945</v>
      </c>
      <c r="H1597">
        <v>2400</v>
      </c>
    </row>
    <row r="1598" spans="2:8">
      <c r="B1598" t="s">
        <v>587</v>
      </c>
      <c r="C1598" t="s">
        <v>10</v>
      </c>
      <c r="D1598">
        <v>1944</v>
      </c>
      <c r="E1598">
        <v>1945.5</v>
      </c>
      <c r="F1598">
        <v>1944</v>
      </c>
      <c r="G1598">
        <v>1945.5</v>
      </c>
      <c r="H1598">
        <v>1100</v>
      </c>
    </row>
    <row r="1599" spans="2:8">
      <c r="B1599" t="s">
        <v>587</v>
      </c>
      <c r="C1599" t="s">
        <v>11</v>
      </c>
      <c r="D1599">
        <v>1946</v>
      </c>
      <c r="E1599">
        <v>1948</v>
      </c>
      <c r="F1599">
        <v>1946</v>
      </c>
      <c r="G1599">
        <v>1948</v>
      </c>
      <c r="H1599">
        <v>4300</v>
      </c>
    </row>
    <row r="1600" spans="2:8">
      <c r="B1600" t="s">
        <v>587</v>
      </c>
      <c r="C1600" t="s">
        <v>12</v>
      </c>
      <c r="D1600">
        <v>1948</v>
      </c>
      <c r="E1600">
        <v>1948.5</v>
      </c>
      <c r="F1600">
        <v>1947.5</v>
      </c>
      <c r="G1600">
        <v>1947.5</v>
      </c>
      <c r="H1600">
        <v>2100</v>
      </c>
    </row>
    <row r="1601" spans="2:8">
      <c r="B1601" t="s">
        <v>587</v>
      </c>
      <c r="C1601" t="s">
        <v>13</v>
      </c>
      <c r="D1601">
        <v>1947</v>
      </c>
      <c r="E1601">
        <v>1948</v>
      </c>
      <c r="F1601">
        <v>1947</v>
      </c>
      <c r="G1601">
        <v>1947.5</v>
      </c>
      <c r="H1601">
        <v>900</v>
      </c>
    </row>
    <row r="1602" spans="2:8">
      <c r="B1602" t="s">
        <v>587</v>
      </c>
      <c r="C1602" t="s">
        <v>14</v>
      </c>
      <c r="D1602">
        <v>1947.5</v>
      </c>
      <c r="E1602">
        <v>1948.5</v>
      </c>
      <c r="F1602">
        <v>1947</v>
      </c>
      <c r="G1602">
        <v>1948.5</v>
      </c>
      <c r="H1602">
        <v>2500</v>
      </c>
    </row>
    <row r="1603" spans="2:8">
      <c r="B1603" t="s">
        <v>587</v>
      </c>
      <c r="C1603" t="s">
        <v>15</v>
      </c>
      <c r="D1603">
        <v>1948</v>
      </c>
      <c r="E1603">
        <v>1948</v>
      </c>
      <c r="F1603">
        <v>1946.5</v>
      </c>
      <c r="G1603">
        <v>1948</v>
      </c>
      <c r="H1603">
        <v>3600</v>
      </c>
    </row>
    <row r="1604" spans="2:8">
      <c r="B1604" t="s">
        <v>587</v>
      </c>
      <c r="C1604" t="s">
        <v>16</v>
      </c>
      <c r="D1604">
        <v>1947</v>
      </c>
      <c r="E1604">
        <v>1949.5</v>
      </c>
      <c r="F1604">
        <v>1946</v>
      </c>
      <c r="G1604">
        <v>1949.5</v>
      </c>
      <c r="H1604">
        <v>4600</v>
      </c>
    </row>
    <row r="1605" spans="2:8">
      <c r="B1605" t="s">
        <v>587</v>
      </c>
      <c r="C1605" t="s">
        <v>17</v>
      </c>
      <c r="D1605">
        <v>1948.5</v>
      </c>
      <c r="E1605">
        <v>1949.5</v>
      </c>
      <c r="F1605">
        <v>1948</v>
      </c>
      <c r="G1605">
        <v>1948.5</v>
      </c>
      <c r="H1605">
        <v>1600</v>
      </c>
    </row>
    <row r="1606" spans="2:8">
      <c r="B1606" t="s">
        <v>587</v>
      </c>
      <c r="C1606" t="s">
        <v>18</v>
      </c>
      <c r="D1606">
        <v>1948.5</v>
      </c>
      <c r="E1606">
        <v>1949</v>
      </c>
      <c r="F1606">
        <v>1947.5</v>
      </c>
      <c r="G1606">
        <v>1948.5</v>
      </c>
      <c r="H1606">
        <v>1700</v>
      </c>
    </row>
    <row r="1607" spans="2:8">
      <c r="B1607" t="s">
        <v>587</v>
      </c>
      <c r="C1607" t="s">
        <v>19</v>
      </c>
      <c r="D1607">
        <v>1949</v>
      </c>
      <c r="E1607">
        <v>1949</v>
      </c>
      <c r="F1607">
        <v>1947.5</v>
      </c>
      <c r="G1607">
        <v>1948</v>
      </c>
      <c r="H1607">
        <v>1800</v>
      </c>
    </row>
    <row r="1608" spans="2:8">
      <c r="B1608" t="s">
        <v>587</v>
      </c>
      <c r="C1608" t="s">
        <v>20</v>
      </c>
      <c r="D1608">
        <v>1948</v>
      </c>
      <c r="E1608">
        <v>1948</v>
      </c>
      <c r="F1608">
        <v>1946.5</v>
      </c>
      <c r="G1608">
        <v>1946.5</v>
      </c>
      <c r="H1608">
        <v>2300</v>
      </c>
    </row>
    <row r="1609" spans="2:8">
      <c r="B1609" t="s">
        <v>587</v>
      </c>
      <c r="C1609" t="s">
        <v>21</v>
      </c>
      <c r="D1609">
        <v>1947</v>
      </c>
      <c r="E1609">
        <v>1951</v>
      </c>
      <c r="F1609">
        <v>1947</v>
      </c>
      <c r="G1609">
        <v>1951</v>
      </c>
      <c r="H1609">
        <v>6600</v>
      </c>
    </row>
    <row r="1610" spans="2:8">
      <c r="B1610" t="s">
        <v>587</v>
      </c>
      <c r="C1610" t="s">
        <v>22</v>
      </c>
      <c r="D1610">
        <v>1951</v>
      </c>
      <c r="E1610">
        <v>1951</v>
      </c>
      <c r="F1610">
        <v>1948.5</v>
      </c>
      <c r="G1610">
        <v>1948.5</v>
      </c>
      <c r="H1610">
        <v>2100</v>
      </c>
    </row>
    <row r="1611" spans="2:8">
      <c r="B1611" t="s">
        <v>587</v>
      </c>
      <c r="C1611" t="s">
        <v>23</v>
      </c>
      <c r="D1611">
        <v>1948.5</v>
      </c>
      <c r="E1611">
        <v>1950</v>
      </c>
      <c r="F1611">
        <v>1948</v>
      </c>
      <c r="G1611">
        <v>1949</v>
      </c>
      <c r="H1611">
        <v>2000</v>
      </c>
    </row>
    <row r="1612" spans="2:8">
      <c r="B1612" t="s">
        <v>587</v>
      </c>
      <c r="C1612" t="s">
        <v>24</v>
      </c>
      <c r="D1612">
        <v>1948.5</v>
      </c>
      <c r="E1612">
        <v>1949.5</v>
      </c>
      <c r="F1612">
        <v>1948.5</v>
      </c>
      <c r="G1612">
        <v>1949.5</v>
      </c>
      <c r="H1612">
        <v>1600</v>
      </c>
    </row>
    <row r="1613" spans="2:8">
      <c r="B1613" t="s">
        <v>587</v>
      </c>
      <c r="C1613" t="s">
        <v>25</v>
      </c>
      <c r="D1613">
        <v>1949.5</v>
      </c>
      <c r="E1613">
        <v>1949.5</v>
      </c>
      <c r="F1613">
        <v>1946.5</v>
      </c>
      <c r="G1613">
        <v>1946.5</v>
      </c>
      <c r="H1613">
        <v>3100</v>
      </c>
    </row>
    <row r="1614" spans="2:8">
      <c r="B1614" t="s">
        <v>587</v>
      </c>
      <c r="C1614" t="s">
        <v>26</v>
      </c>
      <c r="D1614">
        <v>1947</v>
      </c>
      <c r="E1614">
        <v>1947.5</v>
      </c>
      <c r="F1614">
        <v>1945</v>
      </c>
      <c r="G1614">
        <v>1945</v>
      </c>
      <c r="H1614">
        <v>5300</v>
      </c>
    </row>
    <row r="1615" spans="2:8">
      <c r="B1615" t="s">
        <v>587</v>
      </c>
      <c r="C1615" t="s">
        <v>27</v>
      </c>
      <c r="D1615">
        <v>1944.5</v>
      </c>
      <c r="E1615">
        <v>1948</v>
      </c>
      <c r="F1615">
        <v>1944.5</v>
      </c>
      <c r="G1615">
        <v>1946.5</v>
      </c>
      <c r="H1615">
        <v>2100</v>
      </c>
    </row>
    <row r="1616" spans="2:8">
      <c r="B1616" t="s">
        <v>587</v>
      </c>
      <c r="C1616" t="s">
        <v>28</v>
      </c>
      <c r="D1616">
        <v>1946</v>
      </c>
      <c r="E1616">
        <v>1946</v>
      </c>
      <c r="F1616">
        <v>1944.5</v>
      </c>
      <c r="G1616">
        <v>1946</v>
      </c>
      <c r="H1616">
        <v>1900</v>
      </c>
    </row>
    <row r="1617" spans="2:8">
      <c r="B1617" t="s">
        <v>587</v>
      </c>
      <c r="C1617" t="s">
        <v>29</v>
      </c>
      <c r="D1617">
        <v>1945.5</v>
      </c>
      <c r="E1617">
        <v>1946</v>
      </c>
      <c r="F1617">
        <v>1945</v>
      </c>
      <c r="G1617">
        <v>1945</v>
      </c>
      <c r="H1617">
        <v>1600</v>
      </c>
    </row>
    <row r="1618" spans="2:8">
      <c r="B1618" t="s">
        <v>587</v>
      </c>
      <c r="C1618" t="s">
        <v>30</v>
      </c>
      <c r="D1618">
        <v>1944.5</v>
      </c>
      <c r="E1618">
        <v>1945.5</v>
      </c>
      <c r="F1618">
        <v>1944.5</v>
      </c>
      <c r="G1618">
        <v>1945</v>
      </c>
      <c r="H1618">
        <v>1800</v>
      </c>
    </row>
    <row r="1619" spans="2:8">
      <c r="B1619" t="s">
        <v>587</v>
      </c>
      <c r="C1619" t="s">
        <v>31</v>
      </c>
      <c r="D1619">
        <v>1945</v>
      </c>
      <c r="E1619">
        <v>1946.5</v>
      </c>
      <c r="F1619">
        <v>1944.5</v>
      </c>
      <c r="G1619">
        <v>1946</v>
      </c>
      <c r="H1619">
        <v>2400</v>
      </c>
    </row>
    <row r="1620" spans="2:8">
      <c r="B1620" t="s">
        <v>587</v>
      </c>
      <c r="C1620" t="s">
        <v>32</v>
      </c>
      <c r="D1620">
        <v>1946.5</v>
      </c>
      <c r="E1620">
        <v>1948</v>
      </c>
      <c r="F1620">
        <v>1945.5</v>
      </c>
      <c r="G1620">
        <v>1948</v>
      </c>
      <c r="H1620">
        <v>1400</v>
      </c>
    </row>
    <row r="1621" spans="2:8">
      <c r="B1621" t="s">
        <v>587</v>
      </c>
      <c r="C1621" t="s">
        <v>33</v>
      </c>
      <c r="D1621">
        <v>1947</v>
      </c>
      <c r="E1621">
        <v>1947</v>
      </c>
      <c r="F1621">
        <v>1945</v>
      </c>
      <c r="G1621">
        <v>1946</v>
      </c>
      <c r="H1621">
        <v>2500</v>
      </c>
    </row>
    <row r="1622" spans="2:8">
      <c r="B1622" t="s">
        <v>587</v>
      </c>
      <c r="C1622" t="s">
        <v>34</v>
      </c>
      <c r="D1622">
        <v>1945</v>
      </c>
      <c r="E1622">
        <v>1946</v>
      </c>
      <c r="F1622">
        <v>1944</v>
      </c>
      <c r="G1622">
        <v>1945.5</v>
      </c>
      <c r="H1622">
        <v>2700</v>
      </c>
    </row>
    <row r="1623" spans="2:8">
      <c r="B1623" t="s">
        <v>587</v>
      </c>
      <c r="C1623" t="s">
        <v>35</v>
      </c>
      <c r="D1623">
        <v>1945.5</v>
      </c>
      <c r="E1623">
        <v>1947</v>
      </c>
      <c r="F1623">
        <v>1945</v>
      </c>
      <c r="G1623">
        <v>1946.5</v>
      </c>
      <c r="H1623">
        <v>1600</v>
      </c>
    </row>
    <row r="1624" spans="2:8">
      <c r="B1624" t="s">
        <v>587</v>
      </c>
      <c r="C1624" t="s">
        <v>36</v>
      </c>
      <c r="D1624">
        <v>1947</v>
      </c>
      <c r="E1624">
        <v>1947.5</v>
      </c>
      <c r="F1624">
        <v>1946.5</v>
      </c>
      <c r="G1624">
        <v>1947.5</v>
      </c>
      <c r="H1624">
        <v>1200</v>
      </c>
    </row>
    <row r="1625" spans="2:8">
      <c r="B1625" t="s">
        <v>587</v>
      </c>
      <c r="C1625" t="s">
        <v>37</v>
      </c>
      <c r="D1625">
        <v>1947</v>
      </c>
      <c r="E1625">
        <v>1948.5</v>
      </c>
      <c r="F1625">
        <v>1947</v>
      </c>
      <c r="G1625">
        <v>1948</v>
      </c>
      <c r="H1625">
        <v>2600</v>
      </c>
    </row>
    <row r="1626" spans="2:8">
      <c r="B1626" t="s">
        <v>587</v>
      </c>
      <c r="C1626" t="s">
        <v>38</v>
      </c>
      <c r="D1626">
        <v>1948.5</v>
      </c>
      <c r="E1626">
        <v>1948.5</v>
      </c>
      <c r="F1626">
        <v>1948</v>
      </c>
      <c r="G1626">
        <v>1948.5</v>
      </c>
      <c r="H1626">
        <v>2700</v>
      </c>
    </row>
    <row r="1627" spans="2:8">
      <c r="B1627" t="s">
        <v>587</v>
      </c>
      <c r="C1627" t="s">
        <v>39</v>
      </c>
      <c r="D1627">
        <v>1948</v>
      </c>
      <c r="E1627">
        <v>1949</v>
      </c>
      <c r="F1627">
        <v>1948</v>
      </c>
      <c r="G1627">
        <v>1948.5</v>
      </c>
      <c r="H1627">
        <v>1400</v>
      </c>
    </row>
    <row r="1628" spans="2:8">
      <c r="B1628" t="s">
        <v>587</v>
      </c>
      <c r="C1628" t="s">
        <v>40</v>
      </c>
      <c r="D1628">
        <v>1948</v>
      </c>
      <c r="E1628">
        <v>1949.5</v>
      </c>
      <c r="F1628">
        <v>1948</v>
      </c>
      <c r="G1628">
        <v>1949</v>
      </c>
      <c r="H1628">
        <v>2800</v>
      </c>
    </row>
    <row r="1629" spans="2:8">
      <c r="B1629" t="s">
        <v>587</v>
      </c>
      <c r="C1629" t="s">
        <v>41</v>
      </c>
      <c r="D1629">
        <v>1949</v>
      </c>
      <c r="E1629">
        <v>1949</v>
      </c>
      <c r="F1629">
        <v>1948</v>
      </c>
      <c r="G1629">
        <v>1949</v>
      </c>
      <c r="H1629">
        <v>1100</v>
      </c>
    </row>
    <row r="1630" spans="2:8">
      <c r="B1630" t="s">
        <v>587</v>
      </c>
      <c r="C1630" t="s">
        <v>42</v>
      </c>
      <c r="D1630">
        <v>1949</v>
      </c>
      <c r="E1630">
        <v>1949.5</v>
      </c>
      <c r="F1630">
        <v>1948.5</v>
      </c>
      <c r="G1630">
        <v>1949</v>
      </c>
      <c r="H1630">
        <v>2400</v>
      </c>
    </row>
    <row r="1631" spans="2:8">
      <c r="B1631" t="s">
        <v>587</v>
      </c>
      <c r="C1631" t="s">
        <v>43</v>
      </c>
      <c r="D1631">
        <v>1948.5</v>
      </c>
      <c r="E1631">
        <v>1949</v>
      </c>
      <c r="F1631">
        <v>1947.5</v>
      </c>
      <c r="G1631">
        <v>1949</v>
      </c>
      <c r="H1631">
        <v>3600</v>
      </c>
    </row>
    <row r="1632" spans="2:8">
      <c r="B1632" t="s">
        <v>587</v>
      </c>
      <c r="C1632" t="s">
        <v>44</v>
      </c>
      <c r="D1632">
        <v>1949.5</v>
      </c>
      <c r="E1632">
        <v>1951.5</v>
      </c>
      <c r="F1632">
        <v>1949.5</v>
      </c>
      <c r="G1632">
        <v>1949.5</v>
      </c>
      <c r="H1632">
        <v>7600</v>
      </c>
    </row>
    <row r="1633" spans="2:8">
      <c r="B1633" t="s">
        <v>587</v>
      </c>
      <c r="C1633" t="s">
        <v>45</v>
      </c>
      <c r="D1633">
        <v>1948.5</v>
      </c>
      <c r="E1633">
        <v>1952.5</v>
      </c>
      <c r="F1633">
        <v>1948.5</v>
      </c>
      <c r="G1633">
        <v>1952.5</v>
      </c>
      <c r="H1633">
        <v>5900</v>
      </c>
    </row>
    <row r="1634" spans="2:8">
      <c r="B1634" t="s">
        <v>587</v>
      </c>
      <c r="C1634" t="s">
        <v>46</v>
      </c>
      <c r="D1634">
        <v>1952</v>
      </c>
      <c r="E1634">
        <v>1952.5</v>
      </c>
      <c r="F1634">
        <v>1950.5</v>
      </c>
      <c r="G1634">
        <v>1950.5</v>
      </c>
      <c r="H1634">
        <v>1300</v>
      </c>
    </row>
    <row r="1635" spans="2:8">
      <c r="B1635" t="s">
        <v>587</v>
      </c>
      <c r="C1635" t="s">
        <v>47</v>
      </c>
      <c r="D1635">
        <v>1950.5</v>
      </c>
      <c r="E1635">
        <v>1952.5</v>
      </c>
      <c r="F1635">
        <v>1950.5</v>
      </c>
      <c r="G1635">
        <v>1952.5</v>
      </c>
      <c r="H1635">
        <v>1000</v>
      </c>
    </row>
    <row r="1636" spans="2:8">
      <c r="B1636" t="s">
        <v>587</v>
      </c>
      <c r="C1636" t="s">
        <v>48</v>
      </c>
      <c r="D1636">
        <v>1952</v>
      </c>
      <c r="E1636">
        <v>1954</v>
      </c>
      <c r="F1636">
        <v>1951.5</v>
      </c>
      <c r="G1636">
        <v>1953.5</v>
      </c>
      <c r="H1636">
        <v>4300</v>
      </c>
    </row>
    <row r="1637" spans="2:8">
      <c r="B1637" t="s">
        <v>587</v>
      </c>
      <c r="C1637" t="s">
        <v>49</v>
      </c>
      <c r="D1637">
        <v>1954</v>
      </c>
      <c r="E1637">
        <v>1954</v>
      </c>
      <c r="F1637">
        <v>1953</v>
      </c>
      <c r="G1637">
        <v>1953.5</v>
      </c>
      <c r="H1637">
        <v>4200</v>
      </c>
    </row>
    <row r="1638" spans="2:8">
      <c r="B1638" t="s">
        <v>587</v>
      </c>
      <c r="C1638" t="s">
        <v>50</v>
      </c>
      <c r="D1638">
        <v>1954.5</v>
      </c>
      <c r="E1638">
        <v>1955</v>
      </c>
      <c r="F1638">
        <v>1953</v>
      </c>
      <c r="G1638">
        <v>1954.5</v>
      </c>
      <c r="H1638">
        <v>3500</v>
      </c>
    </row>
    <row r="1639" spans="2:8">
      <c r="B1639" t="s">
        <v>587</v>
      </c>
      <c r="C1639" t="s">
        <v>51</v>
      </c>
      <c r="D1639">
        <v>1954</v>
      </c>
      <c r="E1639">
        <v>1955</v>
      </c>
      <c r="F1639">
        <v>1954</v>
      </c>
      <c r="G1639">
        <v>1955</v>
      </c>
      <c r="H1639">
        <v>1800</v>
      </c>
    </row>
    <row r="1640" spans="2:8">
      <c r="B1640" t="s">
        <v>587</v>
      </c>
      <c r="C1640" t="s">
        <v>52</v>
      </c>
      <c r="D1640">
        <v>1955</v>
      </c>
      <c r="E1640">
        <v>1957</v>
      </c>
      <c r="F1640">
        <v>1954.5</v>
      </c>
      <c r="G1640">
        <v>1954.5</v>
      </c>
      <c r="H1640">
        <v>5200</v>
      </c>
    </row>
    <row r="1641" spans="2:8">
      <c r="B1641" t="s">
        <v>587</v>
      </c>
      <c r="C1641" t="s">
        <v>53</v>
      </c>
      <c r="D1641">
        <v>1955</v>
      </c>
      <c r="E1641">
        <v>1956</v>
      </c>
      <c r="F1641">
        <v>1954.5</v>
      </c>
      <c r="G1641">
        <v>1955.5</v>
      </c>
      <c r="H1641">
        <v>1600</v>
      </c>
    </row>
    <row r="1642" spans="2:8">
      <c r="B1642" t="s">
        <v>587</v>
      </c>
      <c r="C1642" t="s">
        <v>54</v>
      </c>
      <c r="D1642">
        <v>1956.5</v>
      </c>
      <c r="E1642">
        <v>1956.5</v>
      </c>
      <c r="F1642">
        <v>1954.5</v>
      </c>
      <c r="G1642">
        <v>1955.5</v>
      </c>
      <c r="H1642">
        <v>3100</v>
      </c>
    </row>
    <row r="1643" spans="2:8">
      <c r="B1643" t="s">
        <v>587</v>
      </c>
      <c r="C1643" t="s">
        <v>55</v>
      </c>
      <c r="D1643">
        <v>1955.5</v>
      </c>
      <c r="E1643">
        <v>1956</v>
      </c>
      <c r="F1643">
        <v>1955</v>
      </c>
      <c r="G1643">
        <v>1955</v>
      </c>
      <c r="H1643">
        <v>2500</v>
      </c>
    </row>
    <row r="1644" spans="2:8">
      <c r="B1644" t="s">
        <v>587</v>
      </c>
      <c r="C1644" t="s">
        <v>56</v>
      </c>
      <c r="D1644">
        <v>1954.5</v>
      </c>
      <c r="E1644">
        <v>1955.5</v>
      </c>
      <c r="F1644">
        <v>1954</v>
      </c>
      <c r="G1644">
        <v>1954.5</v>
      </c>
      <c r="H1644">
        <v>2000</v>
      </c>
    </row>
    <row r="1645" spans="2:8">
      <c r="B1645" t="s">
        <v>587</v>
      </c>
      <c r="C1645" t="s">
        <v>57</v>
      </c>
      <c r="D1645">
        <v>1955.5</v>
      </c>
      <c r="E1645">
        <v>1956.5</v>
      </c>
      <c r="F1645">
        <v>1954.5</v>
      </c>
      <c r="G1645">
        <v>1956.5</v>
      </c>
      <c r="H1645">
        <v>2600</v>
      </c>
    </row>
    <row r="1646" spans="2:8">
      <c r="B1646" t="s">
        <v>587</v>
      </c>
      <c r="C1646" t="s">
        <v>58</v>
      </c>
      <c r="D1646">
        <v>1956</v>
      </c>
      <c r="E1646">
        <v>1956.5</v>
      </c>
      <c r="F1646">
        <v>1955</v>
      </c>
      <c r="G1646">
        <v>1955.5</v>
      </c>
      <c r="H1646">
        <v>1900</v>
      </c>
    </row>
    <row r="1647" spans="2:8">
      <c r="B1647" t="s">
        <v>587</v>
      </c>
      <c r="C1647" t="s">
        <v>59</v>
      </c>
      <c r="D1647">
        <v>1955</v>
      </c>
      <c r="E1647">
        <v>1955</v>
      </c>
      <c r="F1647">
        <v>1951.5</v>
      </c>
      <c r="G1647">
        <v>1952</v>
      </c>
      <c r="H1647">
        <v>8400</v>
      </c>
    </row>
    <row r="1648" spans="2:8">
      <c r="B1648" t="s">
        <v>587</v>
      </c>
      <c r="C1648" t="s">
        <v>60</v>
      </c>
      <c r="D1648">
        <v>1952</v>
      </c>
      <c r="E1648">
        <v>1952.5</v>
      </c>
      <c r="F1648">
        <v>1951</v>
      </c>
      <c r="G1648">
        <v>1952</v>
      </c>
      <c r="H1648">
        <v>4400</v>
      </c>
    </row>
    <row r="1649" spans="1:8">
      <c r="B1649" t="s">
        <v>587</v>
      </c>
      <c r="C1649" t="s">
        <v>61</v>
      </c>
      <c r="D1649">
        <v>1951.5</v>
      </c>
      <c r="E1649">
        <v>1952</v>
      </c>
      <c r="F1649">
        <v>1950</v>
      </c>
      <c r="G1649">
        <v>1951.5</v>
      </c>
      <c r="H1649">
        <v>3900</v>
      </c>
    </row>
    <row r="1650" spans="1:8">
      <c r="B1650" t="s">
        <v>587</v>
      </c>
      <c r="C1650" t="s">
        <v>62</v>
      </c>
      <c r="D1650">
        <v>1952</v>
      </c>
      <c r="E1650">
        <v>1952</v>
      </c>
      <c r="F1650">
        <v>1949.5</v>
      </c>
      <c r="G1650">
        <v>1950.5</v>
      </c>
      <c r="H1650">
        <v>5000</v>
      </c>
    </row>
    <row r="1651" spans="1:8">
      <c r="B1651" t="s">
        <v>587</v>
      </c>
      <c r="C1651" t="s">
        <v>63</v>
      </c>
      <c r="D1651">
        <v>1950.5</v>
      </c>
      <c r="E1651">
        <v>1953.5</v>
      </c>
      <c r="F1651">
        <v>1949.5</v>
      </c>
      <c r="G1651">
        <v>1953</v>
      </c>
      <c r="H1651">
        <v>8600</v>
      </c>
    </row>
    <row r="1652" spans="1:8">
      <c r="B1652" t="s">
        <v>587</v>
      </c>
      <c r="C1652" t="s">
        <v>64</v>
      </c>
      <c r="D1652">
        <v>1952.5</v>
      </c>
      <c r="E1652">
        <v>1952.5</v>
      </c>
      <c r="F1652">
        <v>1951</v>
      </c>
      <c r="G1652">
        <v>1951.5</v>
      </c>
      <c r="H1652">
        <v>4200</v>
      </c>
    </row>
    <row r="1653" spans="1:8">
      <c r="B1653" t="s">
        <v>587</v>
      </c>
      <c r="C1653" t="s">
        <v>65</v>
      </c>
      <c r="D1653">
        <v>1952</v>
      </c>
      <c r="E1653">
        <v>1953</v>
      </c>
      <c r="F1653">
        <v>1950.5</v>
      </c>
      <c r="G1653">
        <v>1953</v>
      </c>
      <c r="H1653">
        <v>12900</v>
      </c>
    </row>
    <row r="1654" spans="1:8">
      <c r="B1654" t="s">
        <v>587</v>
      </c>
      <c r="C1654" t="s">
        <v>66</v>
      </c>
      <c r="D1654">
        <v>1953</v>
      </c>
      <c r="E1654">
        <v>1953.5</v>
      </c>
      <c r="F1654">
        <v>1952</v>
      </c>
      <c r="G1654">
        <v>1953</v>
      </c>
      <c r="H1654">
        <v>6200</v>
      </c>
    </row>
    <row r="1655" spans="1:8">
      <c r="B1655" t="s">
        <v>587</v>
      </c>
      <c r="C1655" t="s">
        <v>164</v>
      </c>
      <c r="D1655">
        <v>1953</v>
      </c>
      <c r="E1655">
        <v>1954.5</v>
      </c>
      <c r="F1655">
        <v>1952.5</v>
      </c>
      <c r="G1655">
        <v>1954</v>
      </c>
      <c r="H1655">
        <v>4300</v>
      </c>
    </row>
    <row r="1656" spans="1:8">
      <c r="B1656" t="s">
        <v>587</v>
      </c>
      <c r="C1656" t="s">
        <v>165</v>
      </c>
      <c r="D1656">
        <v>1954.5</v>
      </c>
      <c r="E1656">
        <v>1955.5</v>
      </c>
      <c r="F1656">
        <v>1953</v>
      </c>
      <c r="G1656">
        <v>1955.5</v>
      </c>
      <c r="H1656">
        <v>8600</v>
      </c>
    </row>
    <row r="1657" spans="1:8">
      <c r="B1657" t="s">
        <v>587</v>
      </c>
      <c r="C1657" t="s">
        <v>67</v>
      </c>
      <c r="D1657" t="s">
        <v>8</v>
      </c>
      <c r="E1657" t="s">
        <v>8</v>
      </c>
      <c r="F1657" t="s">
        <v>8</v>
      </c>
      <c r="G1657" t="s">
        <v>8</v>
      </c>
      <c r="H1657">
        <v>0</v>
      </c>
    </row>
    <row r="1658" spans="1:8">
      <c r="B1658" t="s">
        <v>587</v>
      </c>
      <c r="C1658" t="s">
        <v>68</v>
      </c>
      <c r="D1658" t="s">
        <v>8</v>
      </c>
      <c r="E1658" t="s">
        <v>8</v>
      </c>
      <c r="F1658" t="s">
        <v>8</v>
      </c>
      <c r="G1658" t="s">
        <v>8</v>
      </c>
      <c r="H1658">
        <v>0</v>
      </c>
    </row>
    <row r="1659" spans="1:8">
      <c r="B1659" t="s">
        <v>587</v>
      </c>
      <c r="C1659" t="s">
        <v>69</v>
      </c>
      <c r="D1659" t="s">
        <v>8</v>
      </c>
      <c r="E1659" t="s">
        <v>8</v>
      </c>
      <c r="F1659" t="s">
        <v>8</v>
      </c>
      <c r="G1659" t="s">
        <v>8</v>
      </c>
      <c r="H1659">
        <v>0</v>
      </c>
    </row>
    <row r="1660" spans="1:8">
      <c r="B1660" t="s">
        <v>587</v>
      </c>
      <c r="C1660" t="s">
        <v>70</v>
      </c>
      <c r="D1660" t="s">
        <v>8</v>
      </c>
      <c r="E1660" t="s">
        <v>8</v>
      </c>
      <c r="F1660" t="s">
        <v>8</v>
      </c>
      <c r="G1660" t="s">
        <v>8</v>
      </c>
      <c r="H1660">
        <v>0</v>
      </c>
    </row>
    <row r="1661" spans="1:8">
      <c r="B1661" t="s">
        <v>587</v>
      </c>
      <c r="C1661" t="s">
        <v>71</v>
      </c>
      <c r="D1661" t="s">
        <v>8</v>
      </c>
      <c r="E1661" t="s">
        <v>8</v>
      </c>
      <c r="F1661" t="s">
        <v>8</v>
      </c>
      <c r="G1661" t="s">
        <v>8</v>
      </c>
      <c r="H1661">
        <v>0</v>
      </c>
    </row>
    <row r="1662" spans="1:8">
      <c r="B1662" t="s">
        <v>587</v>
      </c>
      <c r="C1662" t="s">
        <v>72</v>
      </c>
      <c r="D1662">
        <v>1957.5</v>
      </c>
      <c r="E1662">
        <v>1957.5</v>
      </c>
      <c r="F1662">
        <v>1957.5</v>
      </c>
      <c r="G1662">
        <v>1957.5</v>
      </c>
      <c r="H1662">
        <v>202500</v>
      </c>
    </row>
    <row r="1663" spans="1:8">
      <c r="A1663" s="1" t="s">
        <v>588</v>
      </c>
      <c r="B1663" s="1" t="s">
        <v>588</v>
      </c>
      <c r="C1663" s="1" t="s">
        <v>588</v>
      </c>
      <c r="D1663" s="1" t="s">
        <v>588</v>
      </c>
      <c r="E1663" s="1" t="s">
        <v>588</v>
      </c>
      <c r="F1663" s="1" t="s">
        <v>588</v>
      </c>
      <c r="G1663" s="1" t="s">
        <v>588</v>
      </c>
      <c r="H1663" s="1" t="s">
        <v>588</v>
      </c>
    </row>
    <row r="1664" spans="1:8">
      <c r="A1664" s="1"/>
      <c r="B1664" s="1" t="s">
        <v>586</v>
      </c>
      <c r="C1664" s="1" t="s">
        <v>444</v>
      </c>
      <c r="D1664" s="1">
        <v>1933</v>
      </c>
      <c r="E1664" s="1">
        <v>1933</v>
      </c>
      <c r="F1664" s="1">
        <v>1910</v>
      </c>
      <c r="G1664" s="1">
        <v>1916</v>
      </c>
      <c r="H1664" s="1">
        <v>56500</v>
      </c>
    </row>
    <row r="1665" spans="1:8">
      <c r="A1665" s="1"/>
      <c r="B1665" s="1" t="s">
        <v>586</v>
      </c>
      <c r="C1665" s="1" t="s">
        <v>445</v>
      </c>
      <c r="D1665" s="1">
        <v>1914</v>
      </c>
      <c r="E1665" s="1">
        <v>1918</v>
      </c>
      <c r="F1665" s="1">
        <v>1908</v>
      </c>
      <c r="G1665" s="1">
        <v>1914.5</v>
      </c>
      <c r="H1665" s="1">
        <v>39700</v>
      </c>
    </row>
    <row r="1666" spans="1:8">
      <c r="A1666" s="1"/>
      <c r="B1666" s="1" t="s">
        <v>586</v>
      </c>
      <c r="C1666" s="1" t="s">
        <v>446</v>
      </c>
      <c r="D1666" s="1">
        <v>1914.5</v>
      </c>
      <c r="E1666" s="1">
        <v>1920.5</v>
      </c>
      <c r="F1666" s="1">
        <v>1911.5</v>
      </c>
      <c r="G1666" s="1">
        <v>1915</v>
      </c>
      <c r="H1666" s="1">
        <v>25600</v>
      </c>
    </row>
    <row r="1667" spans="1:8">
      <c r="A1667" s="1"/>
      <c r="B1667" s="1" t="s">
        <v>586</v>
      </c>
      <c r="C1667" s="1" t="s">
        <v>447</v>
      </c>
      <c r="D1667" s="1">
        <v>1913.5</v>
      </c>
      <c r="E1667" s="1">
        <v>1913.5</v>
      </c>
      <c r="F1667" s="1">
        <v>1904</v>
      </c>
      <c r="G1667" s="1">
        <v>1909</v>
      </c>
      <c r="H1667" s="1">
        <v>50600</v>
      </c>
    </row>
    <row r="1668" spans="1:8">
      <c r="A1668" s="1"/>
      <c r="B1668" s="1" t="s">
        <v>586</v>
      </c>
      <c r="C1668" s="1" t="s">
        <v>448</v>
      </c>
      <c r="D1668" s="1">
        <v>1907.5</v>
      </c>
      <c r="E1668" s="1">
        <v>1913.5</v>
      </c>
      <c r="F1668" s="1">
        <v>1906.5</v>
      </c>
      <c r="G1668" s="1">
        <v>1910</v>
      </c>
      <c r="H1668" s="1">
        <v>20000</v>
      </c>
    </row>
    <row r="1669" spans="1:8">
      <c r="A1669" s="1"/>
      <c r="B1669" s="1" t="s">
        <v>586</v>
      </c>
      <c r="C1669" s="1" t="s">
        <v>449</v>
      </c>
      <c r="D1669" s="1">
        <v>1909.5</v>
      </c>
      <c r="E1669" s="1">
        <v>1913</v>
      </c>
      <c r="F1669" s="1">
        <v>1904.5</v>
      </c>
      <c r="G1669" s="1">
        <v>1909.5</v>
      </c>
      <c r="H1669" s="1">
        <v>23800</v>
      </c>
    </row>
    <row r="1670" spans="1:8">
      <c r="A1670" s="1"/>
      <c r="B1670" s="1" t="s">
        <v>586</v>
      </c>
      <c r="C1670" s="1" t="s">
        <v>450</v>
      </c>
      <c r="D1670" s="1">
        <v>1908.5</v>
      </c>
      <c r="E1670" s="1">
        <v>1908.5</v>
      </c>
      <c r="F1670" s="1">
        <v>1896.5</v>
      </c>
      <c r="G1670" s="1">
        <v>1902</v>
      </c>
      <c r="H1670" s="1">
        <v>41500</v>
      </c>
    </row>
    <row r="1671" spans="1:8">
      <c r="A1671" s="1"/>
      <c r="B1671" s="1" t="s">
        <v>586</v>
      </c>
      <c r="C1671" s="1" t="s">
        <v>451</v>
      </c>
      <c r="D1671" s="1">
        <v>1901.5</v>
      </c>
      <c r="E1671" s="1">
        <v>1901.5</v>
      </c>
      <c r="F1671" s="1">
        <v>1896.5</v>
      </c>
      <c r="G1671" s="1">
        <v>1898</v>
      </c>
      <c r="H1671" s="1">
        <v>22200</v>
      </c>
    </row>
    <row r="1672" spans="1:8">
      <c r="A1672" s="1"/>
      <c r="B1672" s="1" t="s">
        <v>586</v>
      </c>
      <c r="C1672" s="1" t="s">
        <v>452</v>
      </c>
      <c r="D1672" s="1">
        <v>1897</v>
      </c>
      <c r="E1672" s="1">
        <v>1909.5</v>
      </c>
      <c r="F1672" s="1">
        <v>1896.5</v>
      </c>
      <c r="G1672" s="1">
        <v>1905.5</v>
      </c>
      <c r="H1672" s="1">
        <v>21900</v>
      </c>
    </row>
    <row r="1673" spans="1:8">
      <c r="A1673" s="1"/>
      <c r="B1673" s="1" t="s">
        <v>586</v>
      </c>
      <c r="C1673" s="1" t="s">
        <v>453</v>
      </c>
      <c r="D1673" s="1">
        <v>1905.5</v>
      </c>
      <c r="E1673" s="1">
        <v>1910.5</v>
      </c>
      <c r="F1673" s="1">
        <v>1902.5</v>
      </c>
      <c r="G1673" s="1">
        <v>1904.5</v>
      </c>
      <c r="H1673" s="1">
        <v>14400</v>
      </c>
    </row>
    <row r="1674" spans="1:8">
      <c r="A1674" s="1"/>
      <c r="B1674" s="1" t="s">
        <v>586</v>
      </c>
      <c r="C1674" s="1" t="s">
        <v>454</v>
      </c>
      <c r="D1674" s="1">
        <v>1904.5</v>
      </c>
      <c r="E1674" s="1">
        <v>1905</v>
      </c>
      <c r="F1674" s="1">
        <v>1900</v>
      </c>
      <c r="G1674" s="1">
        <v>1901.5</v>
      </c>
      <c r="H1674" s="1">
        <v>13500</v>
      </c>
    </row>
    <row r="1675" spans="1:8">
      <c r="A1675" s="1"/>
      <c r="B1675" s="1" t="s">
        <v>586</v>
      </c>
      <c r="C1675" s="1" t="s">
        <v>455</v>
      </c>
      <c r="D1675" s="1">
        <v>1901</v>
      </c>
      <c r="E1675" s="1">
        <v>1902</v>
      </c>
      <c r="F1675" s="1">
        <v>1891.5</v>
      </c>
      <c r="G1675" s="1">
        <v>1893</v>
      </c>
      <c r="H1675" s="1">
        <v>40500</v>
      </c>
    </row>
    <row r="1676" spans="1:8">
      <c r="A1676" s="1"/>
      <c r="B1676" s="1" t="s">
        <v>586</v>
      </c>
      <c r="C1676" s="1" t="s">
        <v>456</v>
      </c>
      <c r="D1676" s="1">
        <v>1893.5</v>
      </c>
      <c r="E1676" s="1">
        <v>1899.5</v>
      </c>
      <c r="F1676" s="1">
        <v>1893.5</v>
      </c>
      <c r="G1676" s="1">
        <v>1898.5</v>
      </c>
      <c r="H1676" s="1">
        <v>8800</v>
      </c>
    </row>
    <row r="1677" spans="1:8">
      <c r="A1677" s="1"/>
      <c r="B1677" s="1" t="s">
        <v>586</v>
      </c>
      <c r="C1677" s="1" t="s">
        <v>457</v>
      </c>
      <c r="D1677" s="1">
        <v>1898.5</v>
      </c>
      <c r="E1677" s="1">
        <v>1898.5</v>
      </c>
      <c r="F1677" s="1">
        <v>1888.5</v>
      </c>
      <c r="G1677" s="1">
        <v>1890</v>
      </c>
      <c r="H1677" s="1">
        <v>33500</v>
      </c>
    </row>
    <row r="1678" spans="1:8">
      <c r="A1678" s="1"/>
      <c r="B1678" s="1" t="s">
        <v>586</v>
      </c>
      <c r="C1678" s="1" t="s">
        <v>458</v>
      </c>
      <c r="D1678" s="1">
        <v>1889.5</v>
      </c>
      <c r="E1678" s="1">
        <v>1889.5</v>
      </c>
      <c r="F1678" s="1">
        <v>1884</v>
      </c>
      <c r="G1678" s="1">
        <v>1885</v>
      </c>
      <c r="H1678" s="1">
        <v>20400</v>
      </c>
    </row>
    <row r="1679" spans="1:8">
      <c r="A1679" s="1"/>
      <c r="B1679" s="1" t="s">
        <v>586</v>
      </c>
      <c r="C1679" s="1" t="s">
        <v>459</v>
      </c>
      <c r="D1679" s="1">
        <v>1885.5</v>
      </c>
      <c r="E1679" s="1">
        <v>1887</v>
      </c>
      <c r="F1679" s="1">
        <v>1881.5</v>
      </c>
      <c r="G1679" s="1">
        <v>1886</v>
      </c>
      <c r="H1679" s="1">
        <v>14200</v>
      </c>
    </row>
    <row r="1680" spans="1:8">
      <c r="A1680" s="1"/>
      <c r="B1680" s="1" t="s">
        <v>586</v>
      </c>
      <c r="C1680" s="1" t="s">
        <v>460</v>
      </c>
      <c r="D1680" s="1">
        <v>1885.5</v>
      </c>
      <c r="E1680" s="1">
        <v>1886</v>
      </c>
      <c r="F1680" s="1">
        <v>1882</v>
      </c>
      <c r="G1680" s="1">
        <v>1883.5</v>
      </c>
      <c r="H1680" s="1">
        <v>7800</v>
      </c>
    </row>
    <row r="1681" spans="1:8">
      <c r="A1681" s="1"/>
      <c r="B1681" s="1" t="s">
        <v>586</v>
      </c>
      <c r="C1681" s="1" t="s">
        <v>461</v>
      </c>
      <c r="D1681" s="1">
        <v>1883</v>
      </c>
      <c r="E1681" s="1">
        <v>1883</v>
      </c>
      <c r="F1681" s="1">
        <v>1875</v>
      </c>
      <c r="G1681" s="1">
        <v>1875</v>
      </c>
      <c r="H1681" s="1">
        <v>40100</v>
      </c>
    </row>
    <row r="1682" spans="1:8">
      <c r="A1682" s="1"/>
      <c r="B1682" s="1" t="s">
        <v>586</v>
      </c>
      <c r="C1682" s="1" t="s">
        <v>462</v>
      </c>
      <c r="D1682" s="1">
        <v>1875</v>
      </c>
      <c r="E1682" s="1">
        <v>1880.5</v>
      </c>
      <c r="F1682" s="1">
        <v>1870</v>
      </c>
      <c r="G1682" s="1">
        <v>1879</v>
      </c>
      <c r="H1682" s="1">
        <v>23200</v>
      </c>
    </row>
    <row r="1683" spans="1:8">
      <c r="A1683" s="1"/>
      <c r="B1683" s="1" t="s">
        <v>586</v>
      </c>
      <c r="C1683" s="1" t="s">
        <v>464</v>
      </c>
      <c r="D1683" s="1">
        <v>1880</v>
      </c>
      <c r="E1683" s="1">
        <v>1886.5</v>
      </c>
      <c r="F1683" s="1">
        <v>1877</v>
      </c>
      <c r="G1683" s="1">
        <v>1879.5</v>
      </c>
      <c r="H1683" s="1">
        <v>26400</v>
      </c>
    </row>
    <row r="1684" spans="1:8">
      <c r="A1684" s="1"/>
      <c r="B1684" s="1" t="s">
        <v>586</v>
      </c>
      <c r="C1684" s="1" t="s">
        <v>465</v>
      </c>
      <c r="D1684" s="1">
        <v>1880</v>
      </c>
      <c r="E1684" s="1">
        <v>1884.5</v>
      </c>
      <c r="F1684" s="1">
        <v>1878</v>
      </c>
      <c r="G1684" s="1">
        <v>1880</v>
      </c>
      <c r="H1684" s="1">
        <v>11400</v>
      </c>
    </row>
    <row r="1685" spans="1:8">
      <c r="A1685" s="1"/>
      <c r="B1685" s="1" t="s">
        <v>586</v>
      </c>
      <c r="C1685" s="1" t="s">
        <v>466</v>
      </c>
      <c r="D1685" s="1">
        <v>1879.5</v>
      </c>
      <c r="E1685" s="1">
        <v>1886.5</v>
      </c>
      <c r="F1685" s="1">
        <v>1878.5</v>
      </c>
      <c r="G1685" s="1">
        <v>1886</v>
      </c>
      <c r="H1685" s="1">
        <v>11600</v>
      </c>
    </row>
    <row r="1686" spans="1:8">
      <c r="A1686" s="1"/>
      <c r="B1686" s="1" t="s">
        <v>586</v>
      </c>
      <c r="C1686" s="1" t="s">
        <v>467</v>
      </c>
      <c r="D1686" s="1">
        <v>1886</v>
      </c>
      <c r="E1686" s="1">
        <v>1892</v>
      </c>
      <c r="F1686" s="1">
        <v>1884.5</v>
      </c>
      <c r="G1686" s="1">
        <v>1890.5</v>
      </c>
      <c r="H1686" s="1">
        <v>13900</v>
      </c>
    </row>
    <row r="1687" spans="1:8">
      <c r="A1687" s="1"/>
      <c r="B1687" s="1" t="s">
        <v>586</v>
      </c>
      <c r="C1687" s="1" t="s">
        <v>468</v>
      </c>
      <c r="D1687" s="1">
        <v>1890</v>
      </c>
      <c r="E1687" s="1">
        <v>1896.5</v>
      </c>
      <c r="F1687" s="1">
        <v>1890</v>
      </c>
      <c r="G1687" s="1">
        <v>1895</v>
      </c>
      <c r="H1687" s="1">
        <v>17300</v>
      </c>
    </row>
    <row r="1688" spans="1:8">
      <c r="A1688" s="1"/>
      <c r="B1688" s="1" t="s">
        <v>586</v>
      </c>
      <c r="C1688" s="1" t="s">
        <v>469</v>
      </c>
      <c r="D1688" s="1">
        <v>1895.5</v>
      </c>
      <c r="E1688" s="1">
        <v>1896</v>
      </c>
      <c r="F1688" s="1">
        <v>1890.5</v>
      </c>
      <c r="G1688" s="1">
        <v>1893</v>
      </c>
      <c r="H1688" s="1">
        <v>17800</v>
      </c>
    </row>
    <row r="1689" spans="1:8">
      <c r="A1689" s="1"/>
      <c r="B1689" s="1" t="s">
        <v>586</v>
      </c>
      <c r="C1689" s="1" t="s">
        <v>470</v>
      </c>
      <c r="D1689" s="1">
        <v>1893.5</v>
      </c>
      <c r="E1689" s="1">
        <v>1902</v>
      </c>
      <c r="F1689" s="1">
        <v>1893.5</v>
      </c>
      <c r="G1689" s="1">
        <v>1897.5</v>
      </c>
      <c r="H1689" s="1">
        <v>17000</v>
      </c>
    </row>
    <row r="1690" spans="1:8">
      <c r="A1690" s="1"/>
      <c r="B1690" s="1" t="s">
        <v>586</v>
      </c>
      <c r="C1690" s="1" t="s">
        <v>471</v>
      </c>
      <c r="D1690" s="1">
        <v>1898</v>
      </c>
      <c r="E1690" s="1">
        <v>1905</v>
      </c>
      <c r="F1690" s="1">
        <v>1898</v>
      </c>
      <c r="G1690" s="1">
        <v>1905</v>
      </c>
      <c r="H1690" s="1">
        <v>21600</v>
      </c>
    </row>
    <row r="1691" spans="1:8">
      <c r="A1691" s="1"/>
      <c r="B1691" s="1" t="s">
        <v>586</v>
      </c>
      <c r="C1691" s="1" t="s">
        <v>472</v>
      </c>
      <c r="D1691" s="1">
        <v>1905</v>
      </c>
      <c r="E1691" s="1">
        <v>1906</v>
      </c>
      <c r="F1691" s="1">
        <v>1903</v>
      </c>
      <c r="G1691" s="1">
        <v>1903.5</v>
      </c>
      <c r="H1691" s="1">
        <v>8200</v>
      </c>
    </row>
    <row r="1692" spans="1:8">
      <c r="A1692" s="1"/>
      <c r="B1692" s="1" t="s">
        <v>586</v>
      </c>
      <c r="C1692" s="1" t="s">
        <v>473</v>
      </c>
      <c r="D1692" s="1">
        <v>1905.5</v>
      </c>
      <c r="E1692" s="1">
        <v>1910.5</v>
      </c>
      <c r="F1692" s="1">
        <v>1900</v>
      </c>
      <c r="G1692" s="1">
        <v>1910.5</v>
      </c>
      <c r="H1692" s="1">
        <v>20300</v>
      </c>
    </row>
    <row r="1693" spans="1:8">
      <c r="A1693" s="1"/>
      <c r="B1693" s="1" t="s">
        <v>586</v>
      </c>
      <c r="C1693" s="1" t="s">
        <v>474</v>
      </c>
      <c r="D1693" s="1">
        <v>1910.5</v>
      </c>
      <c r="E1693" s="1">
        <v>1913.5</v>
      </c>
      <c r="F1693" s="1">
        <v>1910</v>
      </c>
      <c r="G1693" s="1">
        <v>1911.5</v>
      </c>
      <c r="H1693" s="1">
        <v>8800</v>
      </c>
    </row>
    <row r="1694" spans="1:8">
      <c r="A1694" s="1"/>
      <c r="B1694" s="1" t="s">
        <v>586</v>
      </c>
      <c r="C1694" s="1" t="s">
        <v>475</v>
      </c>
      <c r="D1694" s="1">
        <v>1910.5</v>
      </c>
      <c r="E1694" s="1">
        <v>1912</v>
      </c>
      <c r="F1694" s="1">
        <v>1906</v>
      </c>
      <c r="G1694" s="1">
        <v>1910.5</v>
      </c>
      <c r="H1694" s="1">
        <v>11100</v>
      </c>
    </row>
    <row r="1695" spans="1:8">
      <c r="A1695" s="1"/>
      <c r="B1695" s="1" t="s">
        <v>586</v>
      </c>
      <c r="C1695" s="1" t="s">
        <v>476</v>
      </c>
      <c r="D1695" s="1">
        <v>1910.5</v>
      </c>
      <c r="E1695" s="1">
        <v>1911.5</v>
      </c>
      <c r="F1695" s="1">
        <v>1905.5</v>
      </c>
      <c r="G1695" s="1">
        <v>1908.5</v>
      </c>
      <c r="H1695" s="1">
        <v>12300</v>
      </c>
    </row>
    <row r="1696" spans="1:8">
      <c r="A1696" s="1"/>
      <c r="B1696" s="1" t="s">
        <v>586</v>
      </c>
      <c r="C1696" s="1" t="s">
        <v>477</v>
      </c>
      <c r="D1696" s="1">
        <v>1908.5</v>
      </c>
      <c r="E1696" s="1">
        <v>1911</v>
      </c>
      <c r="F1696" s="1">
        <v>1906.5</v>
      </c>
      <c r="G1696" s="1">
        <v>1907</v>
      </c>
      <c r="H1696" s="1">
        <v>7200</v>
      </c>
    </row>
    <row r="1697" spans="1:8">
      <c r="A1697" s="1"/>
      <c r="B1697" s="1" t="s">
        <v>586</v>
      </c>
      <c r="C1697" s="1" t="s">
        <v>478</v>
      </c>
      <c r="D1697" s="1">
        <v>1907.5</v>
      </c>
      <c r="E1697" s="1">
        <v>1908.5</v>
      </c>
      <c r="F1697" s="1">
        <v>1903.5</v>
      </c>
      <c r="G1697" s="1">
        <v>1906</v>
      </c>
      <c r="H1697" s="1">
        <v>13500</v>
      </c>
    </row>
    <row r="1698" spans="1:8">
      <c r="A1698" s="1"/>
      <c r="B1698" s="1" t="s">
        <v>586</v>
      </c>
      <c r="C1698" s="1" t="s">
        <v>479</v>
      </c>
      <c r="D1698" s="1">
        <v>1906.5</v>
      </c>
      <c r="E1698" s="1">
        <v>1910</v>
      </c>
      <c r="F1698" s="1">
        <v>1904.5</v>
      </c>
      <c r="G1698" s="1">
        <v>1907</v>
      </c>
      <c r="H1698" s="1">
        <v>9200</v>
      </c>
    </row>
    <row r="1699" spans="1:8">
      <c r="A1699" s="1"/>
      <c r="B1699" s="1" t="s">
        <v>586</v>
      </c>
      <c r="C1699" s="1" t="s">
        <v>480</v>
      </c>
      <c r="D1699" s="1">
        <v>1906</v>
      </c>
      <c r="E1699" s="1">
        <v>1906</v>
      </c>
      <c r="F1699" s="1">
        <v>1901.5</v>
      </c>
      <c r="G1699" s="1">
        <v>1901.5</v>
      </c>
      <c r="H1699" s="1">
        <v>6200</v>
      </c>
    </row>
    <row r="1700" spans="1:8">
      <c r="A1700" s="1"/>
      <c r="B1700" s="1" t="s">
        <v>586</v>
      </c>
      <c r="C1700" s="1" t="s">
        <v>481</v>
      </c>
      <c r="D1700" s="1">
        <v>1901.5</v>
      </c>
      <c r="E1700" s="1">
        <v>1901.5</v>
      </c>
      <c r="F1700" s="1">
        <v>1898.5</v>
      </c>
      <c r="G1700" s="1">
        <v>1898.5</v>
      </c>
      <c r="H1700" s="1">
        <v>12900</v>
      </c>
    </row>
    <row r="1701" spans="1:8">
      <c r="A1701" s="1"/>
      <c r="B1701" s="1" t="s">
        <v>586</v>
      </c>
      <c r="C1701" s="1" t="s">
        <v>482</v>
      </c>
      <c r="D1701" s="1">
        <v>1898</v>
      </c>
      <c r="E1701" s="1">
        <v>1898</v>
      </c>
      <c r="F1701" s="1">
        <v>1893</v>
      </c>
      <c r="G1701" s="1">
        <v>1894</v>
      </c>
      <c r="H1701" s="1">
        <v>17700</v>
      </c>
    </row>
    <row r="1702" spans="1:8">
      <c r="A1702" s="1"/>
      <c r="B1702" s="1" t="s">
        <v>586</v>
      </c>
      <c r="C1702" s="1" t="s">
        <v>483</v>
      </c>
      <c r="D1702" s="1">
        <v>1893.5</v>
      </c>
      <c r="E1702" s="1">
        <v>1893.5</v>
      </c>
      <c r="F1702" s="1">
        <v>1888.5</v>
      </c>
      <c r="G1702" s="1">
        <v>1891</v>
      </c>
      <c r="H1702" s="1">
        <v>22400</v>
      </c>
    </row>
    <row r="1703" spans="1:8">
      <c r="A1703" s="1"/>
      <c r="B1703" s="1" t="s">
        <v>586</v>
      </c>
      <c r="C1703" s="1" t="s">
        <v>484</v>
      </c>
      <c r="D1703" s="1">
        <v>1891</v>
      </c>
      <c r="E1703" s="1">
        <v>1894.5</v>
      </c>
      <c r="F1703" s="1">
        <v>1890.5</v>
      </c>
      <c r="G1703" s="1">
        <v>1893.5</v>
      </c>
      <c r="H1703" s="1">
        <v>7600</v>
      </c>
    </row>
    <row r="1704" spans="1:8">
      <c r="A1704" s="1"/>
      <c r="B1704" s="1" t="s">
        <v>586</v>
      </c>
      <c r="C1704" s="1" t="s">
        <v>485</v>
      </c>
      <c r="D1704" s="1">
        <v>1892.5</v>
      </c>
      <c r="E1704" s="1">
        <v>1893</v>
      </c>
      <c r="F1704" s="1">
        <v>1888.5</v>
      </c>
      <c r="G1704" s="1">
        <v>1891</v>
      </c>
      <c r="H1704" s="1">
        <v>16900</v>
      </c>
    </row>
    <row r="1705" spans="1:8">
      <c r="A1705" s="1"/>
      <c r="B1705" s="1" t="s">
        <v>586</v>
      </c>
      <c r="C1705" s="1" t="s">
        <v>486</v>
      </c>
      <c r="D1705" s="1">
        <v>1891.5</v>
      </c>
      <c r="E1705" s="1">
        <v>1905.5</v>
      </c>
      <c r="F1705" s="1">
        <v>1890</v>
      </c>
      <c r="G1705" s="1">
        <v>1904.5</v>
      </c>
      <c r="H1705" s="1">
        <v>20000</v>
      </c>
    </row>
    <row r="1706" spans="1:8">
      <c r="A1706" s="1"/>
      <c r="B1706" s="1" t="s">
        <v>586</v>
      </c>
      <c r="C1706" s="1" t="s">
        <v>487</v>
      </c>
      <c r="D1706" s="1">
        <v>1905</v>
      </c>
      <c r="E1706" s="1">
        <v>1907</v>
      </c>
      <c r="F1706" s="1">
        <v>1901.5</v>
      </c>
      <c r="G1706" s="1">
        <v>1905.5</v>
      </c>
      <c r="H1706" s="1">
        <v>10600</v>
      </c>
    </row>
    <row r="1707" spans="1:8">
      <c r="A1707" s="1"/>
      <c r="B1707" s="1" t="s">
        <v>586</v>
      </c>
      <c r="C1707" s="1" t="s">
        <v>488</v>
      </c>
      <c r="D1707" s="1">
        <v>1904.5</v>
      </c>
      <c r="E1707" s="1">
        <v>1904.5</v>
      </c>
      <c r="F1707" s="1">
        <v>1900</v>
      </c>
      <c r="G1707" s="1">
        <v>1900.5</v>
      </c>
      <c r="H1707" s="1">
        <v>6100</v>
      </c>
    </row>
    <row r="1708" spans="1:8">
      <c r="A1708" s="1"/>
      <c r="B1708" s="1" t="s">
        <v>586</v>
      </c>
      <c r="C1708" s="1" t="s">
        <v>489</v>
      </c>
      <c r="D1708" s="1">
        <v>1901</v>
      </c>
      <c r="E1708" s="1">
        <v>1902.5</v>
      </c>
      <c r="F1708" s="1">
        <v>1900</v>
      </c>
      <c r="G1708" s="1">
        <v>1901.5</v>
      </c>
      <c r="H1708" s="1">
        <v>1700</v>
      </c>
    </row>
    <row r="1709" spans="1:8">
      <c r="A1709" s="1"/>
      <c r="B1709" s="1" t="s">
        <v>586</v>
      </c>
      <c r="C1709" s="1" t="s">
        <v>490</v>
      </c>
      <c r="D1709" s="1">
        <v>1901</v>
      </c>
      <c r="E1709" s="1">
        <v>1908</v>
      </c>
      <c r="F1709" s="1">
        <v>1901</v>
      </c>
      <c r="G1709" s="1">
        <v>1908</v>
      </c>
      <c r="H1709" s="1">
        <v>9200</v>
      </c>
    </row>
    <row r="1710" spans="1:8">
      <c r="A1710" s="1"/>
      <c r="B1710" s="1" t="s">
        <v>586</v>
      </c>
      <c r="C1710" s="1" t="s">
        <v>491</v>
      </c>
      <c r="D1710" s="1">
        <v>1908</v>
      </c>
      <c r="E1710" s="1">
        <v>1910</v>
      </c>
      <c r="F1710" s="1">
        <v>1906.5</v>
      </c>
      <c r="G1710" s="1">
        <v>1908.5</v>
      </c>
      <c r="H1710" s="1">
        <v>6700</v>
      </c>
    </row>
    <row r="1711" spans="1:8">
      <c r="A1711" s="1"/>
      <c r="B1711" s="1" t="s">
        <v>586</v>
      </c>
      <c r="C1711" s="1" t="s">
        <v>492</v>
      </c>
      <c r="D1711" s="1">
        <v>1907.5</v>
      </c>
      <c r="E1711" s="1">
        <v>1916.5</v>
      </c>
      <c r="F1711" s="1">
        <v>1907.5</v>
      </c>
      <c r="G1711" s="1">
        <v>1916.5</v>
      </c>
      <c r="H1711" s="1">
        <v>20500</v>
      </c>
    </row>
    <row r="1712" spans="1:8">
      <c r="A1712" s="1"/>
      <c r="B1712" s="1" t="s">
        <v>586</v>
      </c>
      <c r="C1712" s="1" t="s">
        <v>493</v>
      </c>
      <c r="D1712" s="1">
        <v>1916</v>
      </c>
      <c r="E1712" s="1">
        <v>1916.5</v>
      </c>
      <c r="F1712" s="1">
        <v>1913.5</v>
      </c>
      <c r="G1712" s="1">
        <v>1913.5</v>
      </c>
      <c r="H1712" s="1">
        <v>6900</v>
      </c>
    </row>
    <row r="1713" spans="1:8">
      <c r="A1713" s="1"/>
      <c r="B1713" s="1" t="s">
        <v>586</v>
      </c>
      <c r="C1713" s="1" t="s">
        <v>494</v>
      </c>
      <c r="D1713" s="1">
        <v>1913</v>
      </c>
      <c r="E1713" s="1">
        <v>1916.5</v>
      </c>
      <c r="F1713" s="1">
        <v>1913</v>
      </c>
      <c r="G1713" s="1">
        <v>1914.5</v>
      </c>
      <c r="H1713" s="1">
        <v>5300</v>
      </c>
    </row>
    <row r="1714" spans="1:8">
      <c r="A1714" s="1"/>
      <c r="B1714" s="1" t="s">
        <v>586</v>
      </c>
      <c r="C1714" s="1" t="s">
        <v>495</v>
      </c>
      <c r="D1714" s="1">
        <v>1915</v>
      </c>
      <c r="E1714" s="1">
        <v>1916.5</v>
      </c>
      <c r="F1714" s="1">
        <v>1912.5</v>
      </c>
      <c r="G1714" s="1">
        <v>1914</v>
      </c>
      <c r="H1714" s="1">
        <v>16800</v>
      </c>
    </row>
    <row r="1715" spans="1:8">
      <c r="A1715" s="1"/>
      <c r="B1715" s="1" t="s">
        <v>586</v>
      </c>
      <c r="C1715" s="1" t="s">
        <v>496</v>
      </c>
      <c r="D1715" s="1">
        <v>1914</v>
      </c>
      <c r="E1715" s="1">
        <v>1916.5</v>
      </c>
      <c r="F1715" s="1">
        <v>1913</v>
      </c>
      <c r="G1715" s="1">
        <v>1913</v>
      </c>
      <c r="H1715" s="1">
        <v>7000</v>
      </c>
    </row>
    <row r="1716" spans="1:8">
      <c r="A1716" s="1"/>
      <c r="B1716" s="1" t="s">
        <v>586</v>
      </c>
      <c r="C1716" s="1" t="s">
        <v>497</v>
      </c>
      <c r="D1716" s="1">
        <v>1913</v>
      </c>
      <c r="E1716" s="1">
        <v>1915.5</v>
      </c>
      <c r="F1716" s="1">
        <v>1912</v>
      </c>
      <c r="G1716" s="1">
        <v>1913</v>
      </c>
      <c r="H1716" s="1">
        <v>4500</v>
      </c>
    </row>
    <row r="1717" spans="1:8">
      <c r="A1717" s="1"/>
      <c r="B1717" s="1" t="s">
        <v>586</v>
      </c>
      <c r="C1717" s="1" t="s">
        <v>498</v>
      </c>
      <c r="D1717" s="1">
        <v>1913.5</v>
      </c>
      <c r="E1717" s="1">
        <v>1914</v>
      </c>
      <c r="F1717" s="1">
        <v>1909.5</v>
      </c>
      <c r="G1717" s="1">
        <v>1910</v>
      </c>
      <c r="H1717" s="1">
        <v>11400</v>
      </c>
    </row>
    <row r="1718" spans="1:8">
      <c r="A1718" s="1"/>
      <c r="B1718" s="1" t="s">
        <v>586</v>
      </c>
      <c r="C1718" s="1" t="s">
        <v>499</v>
      </c>
      <c r="D1718" s="1">
        <v>1909</v>
      </c>
      <c r="E1718" s="1">
        <v>1913.5</v>
      </c>
      <c r="F1718" s="1">
        <v>1908</v>
      </c>
      <c r="G1718" s="1">
        <v>1913</v>
      </c>
      <c r="H1718" s="1">
        <v>7100</v>
      </c>
    </row>
    <row r="1719" spans="1:8">
      <c r="A1719" s="1"/>
      <c r="B1719" s="1" t="s">
        <v>586</v>
      </c>
      <c r="C1719" s="1" t="s">
        <v>500</v>
      </c>
      <c r="D1719" s="1">
        <v>1912.5</v>
      </c>
      <c r="E1719" s="1">
        <v>1912.5</v>
      </c>
      <c r="F1719" s="1">
        <v>1905.5</v>
      </c>
      <c r="G1719" s="1">
        <v>1908</v>
      </c>
      <c r="H1719" s="1">
        <v>10800</v>
      </c>
    </row>
    <row r="1720" spans="1:8">
      <c r="A1720" s="1"/>
      <c r="B1720" s="1" t="s">
        <v>586</v>
      </c>
      <c r="C1720" s="1" t="s">
        <v>501</v>
      </c>
      <c r="D1720" s="1">
        <v>1907.5</v>
      </c>
      <c r="E1720" s="1">
        <v>1907.5</v>
      </c>
      <c r="F1720" s="1">
        <v>1901.5</v>
      </c>
      <c r="G1720" s="1">
        <v>1904.5</v>
      </c>
      <c r="H1720" s="1">
        <v>7000</v>
      </c>
    </row>
    <row r="1721" spans="1:8">
      <c r="A1721" s="1"/>
      <c r="B1721" s="1" t="s">
        <v>586</v>
      </c>
      <c r="C1721" s="1" t="s">
        <v>502</v>
      </c>
      <c r="D1721" s="1">
        <v>1904</v>
      </c>
      <c r="E1721" s="1">
        <v>1906.5</v>
      </c>
      <c r="F1721" s="1">
        <v>1901</v>
      </c>
      <c r="G1721" s="1">
        <v>1906.5</v>
      </c>
      <c r="H1721" s="1">
        <v>8300</v>
      </c>
    </row>
    <row r="1722" spans="1:8">
      <c r="A1722" s="1"/>
      <c r="B1722" s="1" t="s">
        <v>586</v>
      </c>
      <c r="C1722" s="1" t="s">
        <v>503</v>
      </c>
      <c r="D1722" s="1">
        <v>1905.5</v>
      </c>
      <c r="E1722" s="1">
        <v>1905.5</v>
      </c>
      <c r="F1722" s="1">
        <v>1904.5</v>
      </c>
      <c r="G1722" s="1">
        <v>1905.5</v>
      </c>
      <c r="H1722" s="1">
        <v>2600</v>
      </c>
    </row>
    <row r="1723" spans="1:8">
      <c r="A1723" s="1"/>
      <c r="B1723" s="1" t="s">
        <v>586</v>
      </c>
      <c r="C1723" s="1" t="s">
        <v>504</v>
      </c>
      <c r="D1723" s="1">
        <v>1906</v>
      </c>
      <c r="E1723" s="1">
        <v>1907.5</v>
      </c>
      <c r="F1723" s="1">
        <v>1906</v>
      </c>
      <c r="G1723" s="1">
        <v>1906</v>
      </c>
      <c r="H1723" s="1">
        <v>3400</v>
      </c>
    </row>
    <row r="1724" spans="1:8">
      <c r="A1724" s="1"/>
      <c r="B1724" s="1" t="s">
        <v>586</v>
      </c>
      <c r="C1724" s="1" t="s">
        <v>505</v>
      </c>
      <c r="D1724" s="1">
        <v>1906</v>
      </c>
      <c r="E1724" s="1">
        <v>1908</v>
      </c>
      <c r="F1724" s="1">
        <v>1905.5</v>
      </c>
      <c r="G1724" s="1">
        <v>1908</v>
      </c>
      <c r="H1724" s="1">
        <v>4600</v>
      </c>
    </row>
    <row r="1725" spans="1:8">
      <c r="A1725" s="1"/>
      <c r="B1725" s="1" t="s">
        <v>586</v>
      </c>
      <c r="C1725" s="1" t="s">
        <v>506</v>
      </c>
      <c r="D1725" s="1">
        <v>1907.5</v>
      </c>
      <c r="E1725" s="1">
        <v>1908</v>
      </c>
      <c r="F1725" s="1">
        <v>1905</v>
      </c>
      <c r="G1725" s="1">
        <v>1905</v>
      </c>
      <c r="H1725" s="1">
        <v>10900</v>
      </c>
    </row>
    <row r="1726" spans="1:8">
      <c r="A1726" s="1"/>
      <c r="B1726" s="1" t="s">
        <v>586</v>
      </c>
      <c r="C1726" s="1" t="s">
        <v>507</v>
      </c>
      <c r="D1726" s="1">
        <v>1905.5</v>
      </c>
      <c r="E1726" s="1">
        <v>1907</v>
      </c>
      <c r="F1726" s="1">
        <v>1904</v>
      </c>
      <c r="G1726" s="1">
        <v>1905.5</v>
      </c>
      <c r="H1726" s="1">
        <v>2400</v>
      </c>
    </row>
    <row r="1727" spans="1:8">
      <c r="A1727" s="1"/>
      <c r="B1727" s="1" t="s">
        <v>586</v>
      </c>
      <c r="C1727" s="1" t="s">
        <v>508</v>
      </c>
      <c r="D1727" s="1">
        <v>1905.5</v>
      </c>
      <c r="E1727" s="1">
        <v>1907</v>
      </c>
      <c r="F1727" s="1">
        <v>1904</v>
      </c>
      <c r="G1727" s="1">
        <v>1904.5</v>
      </c>
      <c r="H1727" s="1">
        <v>5200</v>
      </c>
    </row>
    <row r="1728" spans="1:8">
      <c r="A1728" s="1"/>
      <c r="B1728" s="1" t="s">
        <v>586</v>
      </c>
      <c r="C1728" s="1" t="s">
        <v>509</v>
      </c>
      <c r="D1728" s="1">
        <v>1905</v>
      </c>
      <c r="E1728" s="1">
        <v>1906.5</v>
      </c>
      <c r="F1728" s="1">
        <v>1903.5</v>
      </c>
      <c r="G1728" s="1">
        <v>1906.5</v>
      </c>
      <c r="H1728" s="1">
        <v>4700</v>
      </c>
    </row>
    <row r="1729" spans="1:8">
      <c r="A1729" s="1"/>
      <c r="B1729" s="1" t="s">
        <v>586</v>
      </c>
      <c r="C1729" s="1" t="s">
        <v>510</v>
      </c>
      <c r="D1729" s="1">
        <v>1907</v>
      </c>
      <c r="E1729" s="1">
        <v>1912</v>
      </c>
      <c r="F1729" s="1">
        <v>1906.5</v>
      </c>
      <c r="G1729" s="1">
        <v>1911.5</v>
      </c>
      <c r="H1729" s="1">
        <v>6100</v>
      </c>
    </row>
    <row r="1730" spans="1:8">
      <c r="A1730" s="1"/>
      <c r="B1730" s="1" t="s">
        <v>586</v>
      </c>
      <c r="C1730" s="1" t="s">
        <v>511</v>
      </c>
      <c r="D1730" s="1">
        <v>1912.5</v>
      </c>
      <c r="E1730" s="1">
        <v>1916</v>
      </c>
      <c r="F1730" s="1">
        <v>1910</v>
      </c>
      <c r="G1730" s="1">
        <v>1916</v>
      </c>
      <c r="H1730" s="1">
        <v>13000</v>
      </c>
    </row>
    <row r="1731" spans="1:8">
      <c r="A1731" s="1"/>
      <c r="B1731" s="1" t="s">
        <v>586</v>
      </c>
      <c r="C1731" s="1" t="s">
        <v>512</v>
      </c>
      <c r="D1731" s="1">
        <v>1915</v>
      </c>
      <c r="E1731" s="1">
        <v>1917.5</v>
      </c>
      <c r="F1731" s="1">
        <v>1912</v>
      </c>
      <c r="G1731" s="1">
        <v>1913.5</v>
      </c>
      <c r="H1731" s="1">
        <v>12700</v>
      </c>
    </row>
    <row r="1732" spans="1:8">
      <c r="A1732" s="1"/>
      <c r="B1732" s="1" t="s">
        <v>586</v>
      </c>
      <c r="C1732" s="1" t="s">
        <v>513</v>
      </c>
      <c r="D1732" s="1">
        <v>1913.5</v>
      </c>
      <c r="E1732" s="1">
        <v>1915.5</v>
      </c>
      <c r="F1732" s="1">
        <v>1911.5</v>
      </c>
      <c r="G1732" s="1">
        <v>1914.5</v>
      </c>
      <c r="H1732" s="1">
        <v>8400</v>
      </c>
    </row>
    <row r="1733" spans="1:8">
      <c r="A1733" s="1"/>
      <c r="B1733" s="1" t="s">
        <v>586</v>
      </c>
      <c r="C1733" s="1" t="s">
        <v>514</v>
      </c>
      <c r="D1733" s="1">
        <v>1915</v>
      </c>
      <c r="E1733" s="1">
        <v>1915</v>
      </c>
      <c r="F1733" s="1">
        <v>1911</v>
      </c>
      <c r="G1733" s="1">
        <v>1911.5</v>
      </c>
      <c r="H1733" s="1">
        <v>4200</v>
      </c>
    </row>
    <row r="1734" spans="1:8">
      <c r="A1734" s="1"/>
      <c r="B1734" s="1" t="s">
        <v>586</v>
      </c>
      <c r="C1734" s="1" t="s">
        <v>515</v>
      </c>
      <c r="D1734" s="1">
        <v>1912.5</v>
      </c>
      <c r="E1734" s="1">
        <v>1913.5</v>
      </c>
      <c r="F1734" s="1">
        <v>1908</v>
      </c>
      <c r="G1734" s="1">
        <v>1908</v>
      </c>
      <c r="H1734" s="1">
        <v>7100</v>
      </c>
    </row>
    <row r="1735" spans="1:8">
      <c r="A1735" s="1"/>
      <c r="B1735" s="1" t="s">
        <v>586</v>
      </c>
      <c r="C1735" s="1" t="s">
        <v>516</v>
      </c>
      <c r="D1735" s="1">
        <v>1908</v>
      </c>
      <c r="E1735" s="1">
        <v>1910.5</v>
      </c>
      <c r="F1735" s="1">
        <v>1907.5</v>
      </c>
      <c r="G1735" s="1">
        <v>1909</v>
      </c>
      <c r="H1735" s="1">
        <v>4100</v>
      </c>
    </row>
    <row r="1736" spans="1:8">
      <c r="A1736" s="1"/>
      <c r="B1736" s="1" t="s">
        <v>586</v>
      </c>
      <c r="C1736" s="1" t="s">
        <v>517</v>
      </c>
      <c r="D1736" s="1">
        <v>1909.5</v>
      </c>
      <c r="E1736" s="1">
        <v>1914</v>
      </c>
      <c r="F1736" s="1">
        <v>1909.5</v>
      </c>
      <c r="G1736" s="1">
        <v>1914</v>
      </c>
      <c r="H1736" s="1">
        <v>3900</v>
      </c>
    </row>
    <row r="1737" spans="1:8">
      <c r="A1737" s="1"/>
      <c r="B1737" s="1" t="s">
        <v>586</v>
      </c>
      <c r="C1737" s="1" t="s">
        <v>518</v>
      </c>
      <c r="D1737" s="1">
        <v>1913</v>
      </c>
      <c r="E1737" s="1">
        <v>1913</v>
      </c>
      <c r="F1737" s="1">
        <v>1909.5</v>
      </c>
      <c r="G1737" s="1">
        <v>1909.5</v>
      </c>
      <c r="H1737" s="1">
        <v>4500</v>
      </c>
    </row>
    <row r="1738" spans="1:8">
      <c r="A1738" s="1"/>
      <c r="B1738" s="1" t="s">
        <v>586</v>
      </c>
      <c r="C1738" s="1" t="s">
        <v>519</v>
      </c>
      <c r="D1738" s="1">
        <v>1910.5</v>
      </c>
      <c r="E1738" s="1">
        <v>1913.5</v>
      </c>
      <c r="F1738" s="1">
        <v>1910.5</v>
      </c>
      <c r="G1738" s="1">
        <v>1911.5</v>
      </c>
      <c r="H1738" s="1">
        <v>6100</v>
      </c>
    </row>
    <row r="1739" spans="1:8">
      <c r="A1739" s="1"/>
      <c r="B1739" s="1" t="s">
        <v>586</v>
      </c>
      <c r="C1739" s="1" t="s">
        <v>520</v>
      </c>
      <c r="D1739" s="1">
        <v>1911.5</v>
      </c>
      <c r="E1739" s="1">
        <v>1913</v>
      </c>
      <c r="F1739" s="1">
        <v>1910</v>
      </c>
      <c r="G1739" s="1">
        <v>1912</v>
      </c>
      <c r="H1739" s="1">
        <v>5900</v>
      </c>
    </row>
    <row r="1740" spans="1:8">
      <c r="A1740" s="1"/>
      <c r="B1740" s="1" t="s">
        <v>586</v>
      </c>
      <c r="C1740" s="1" t="s">
        <v>521</v>
      </c>
      <c r="D1740" s="1">
        <v>1911.5</v>
      </c>
      <c r="E1740" s="1">
        <v>1914</v>
      </c>
      <c r="F1740" s="1">
        <v>1909</v>
      </c>
      <c r="G1740" s="1">
        <v>1913.5</v>
      </c>
      <c r="H1740" s="1">
        <v>4100</v>
      </c>
    </row>
    <row r="1741" spans="1:8">
      <c r="A1741" s="1"/>
      <c r="B1741" s="1" t="s">
        <v>586</v>
      </c>
      <c r="C1741" s="1" t="s">
        <v>522</v>
      </c>
      <c r="D1741" s="1">
        <v>1914</v>
      </c>
      <c r="E1741" s="1">
        <v>1914</v>
      </c>
      <c r="F1741" s="1">
        <v>1910</v>
      </c>
      <c r="G1741" s="1">
        <v>1910.5</v>
      </c>
      <c r="H1741" s="1">
        <v>4900</v>
      </c>
    </row>
    <row r="1742" spans="1:8">
      <c r="A1742" s="1"/>
      <c r="B1742" s="1" t="s">
        <v>586</v>
      </c>
      <c r="C1742" s="1" t="s">
        <v>523</v>
      </c>
      <c r="D1742" s="1">
        <v>1910.5</v>
      </c>
      <c r="E1742" s="1">
        <v>1917.5</v>
      </c>
      <c r="F1742" s="1">
        <v>1909.5</v>
      </c>
      <c r="G1742" s="1">
        <v>1916.5</v>
      </c>
      <c r="H1742" s="1">
        <v>7300</v>
      </c>
    </row>
    <row r="1743" spans="1:8">
      <c r="A1743" s="1"/>
      <c r="B1743" s="1" t="s">
        <v>586</v>
      </c>
      <c r="C1743" s="1" t="s">
        <v>524</v>
      </c>
      <c r="D1743" s="1">
        <v>1917.5</v>
      </c>
      <c r="E1743" s="1">
        <v>1918</v>
      </c>
      <c r="F1743" s="1">
        <v>1915.5</v>
      </c>
      <c r="G1743" s="1">
        <v>1915.5</v>
      </c>
      <c r="H1743" s="1">
        <v>7400</v>
      </c>
    </row>
    <row r="1744" spans="1:8">
      <c r="A1744" s="1"/>
      <c r="B1744" s="1" t="s">
        <v>586</v>
      </c>
      <c r="C1744" s="1" t="s">
        <v>525</v>
      </c>
      <c r="D1744" s="1">
        <v>1916.5</v>
      </c>
      <c r="E1744" s="1">
        <v>1922</v>
      </c>
      <c r="F1744" s="1">
        <v>1916.5</v>
      </c>
      <c r="G1744" s="1">
        <v>1921</v>
      </c>
      <c r="H1744" s="1">
        <v>13700</v>
      </c>
    </row>
    <row r="1745" spans="1:8">
      <c r="A1745" s="1"/>
      <c r="B1745" s="1" t="s">
        <v>586</v>
      </c>
      <c r="C1745" s="1" t="s">
        <v>526</v>
      </c>
      <c r="D1745" s="1">
        <v>1921.5</v>
      </c>
      <c r="E1745" s="1">
        <v>1924</v>
      </c>
      <c r="F1745" s="1">
        <v>1920.5</v>
      </c>
      <c r="G1745" s="1">
        <v>1920.5</v>
      </c>
      <c r="H1745" s="1">
        <v>6400</v>
      </c>
    </row>
    <row r="1746" spans="1:8">
      <c r="A1746" s="1"/>
      <c r="B1746" s="1" t="s">
        <v>586</v>
      </c>
      <c r="C1746" s="1" t="s">
        <v>527</v>
      </c>
      <c r="D1746" s="1">
        <v>1920.5</v>
      </c>
      <c r="E1746" s="1">
        <v>1923</v>
      </c>
      <c r="F1746" s="1">
        <v>1920</v>
      </c>
      <c r="G1746" s="1">
        <v>1922.5</v>
      </c>
      <c r="H1746" s="1">
        <v>4900</v>
      </c>
    </row>
    <row r="1747" spans="1:8">
      <c r="A1747" s="1"/>
      <c r="B1747" s="1" t="s">
        <v>586</v>
      </c>
      <c r="C1747" s="1" t="s">
        <v>528</v>
      </c>
      <c r="D1747" s="1">
        <v>1923.5</v>
      </c>
      <c r="E1747" s="1">
        <v>1927.5</v>
      </c>
      <c r="F1747" s="1">
        <v>1923.5</v>
      </c>
      <c r="G1747" s="1">
        <v>1925</v>
      </c>
      <c r="H1747" s="1">
        <v>7700</v>
      </c>
    </row>
    <row r="1748" spans="1:8">
      <c r="A1748" s="1"/>
      <c r="B1748" s="1" t="s">
        <v>586</v>
      </c>
      <c r="C1748" s="1" t="s">
        <v>529</v>
      </c>
      <c r="D1748" s="1">
        <v>1926</v>
      </c>
      <c r="E1748" s="1">
        <v>1927.5</v>
      </c>
      <c r="F1748" s="1">
        <v>1924.5</v>
      </c>
      <c r="G1748" s="1">
        <v>1926</v>
      </c>
      <c r="H1748" s="1">
        <v>8900</v>
      </c>
    </row>
    <row r="1749" spans="1:8">
      <c r="A1749" s="1"/>
      <c r="B1749" s="1" t="s">
        <v>586</v>
      </c>
      <c r="C1749" s="1" t="s">
        <v>530</v>
      </c>
      <c r="D1749" s="1">
        <v>1926.5</v>
      </c>
      <c r="E1749" s="1">
        <v>1927.5</v>
      </c>
      <c r="F1749" s="1">
        <v>1923.5</v>
      </c>
      <c r="G1749" s="1">
        <v>1925.5</v>
      </c>
      <c r="H1749" s="1">
        <v>8500</v>
      </c>
    </row>
    <row r="1750" spans="1:8">
      <c r="A1750" s="1"/>
      <c r="B1750" s="1" t="s">
        <v>586</v>
      </c>
      <c r="C1750" s="1" t="s">
        <v>531</v>
      </c>
      <c r="D1750" s="1">
        <v>1924.5</v>
      </c>
      <c r="E1750" s="1">
        <v>1925.5</v>
      </c>
      <c r="F1750" s="1">
        <v>1921</v>
      </c>
      <c r="G1750" s="1">
        <v>1921</v>
      </c>
      <c r="H1750" s="1">
        <v>6600</v>
      </c>
    </row>
    <row r="1751" spans="1:8">
      <c r="A1751" s="1"/>
      <c r="B1751" s="1" t="s">
        <v>586</v>
      </c>
      <c r="C1751" s="1" t="s">
        <v>532</v>
      </c>
      <c r="D1751" s="1">
        <v>1922</v>
      </c>
      <c r="E1751" s="1">
        <v>1926</v>
      </c>
      <c r="F1751" s="1">
        <v>1919.5</v>
      </c>
      <c r="G1751" s="1">
        <v>1920.5</v>
      </c>
      <c r="H1751" s="1">
        <v>11600</v>
      </c>
    </row>
    <row r="1752" spans="1:8">
      <c r="A1752" s="1"/>
      <c r="B1752" s="1" t="s">
        <v>586</v>
      </c>
      <c r="C1752" s="1" t="s">
        <v>533</v>
      </c>
      <c r="D1752" s="1">
        <v>1920</v>
      </c>
      <c r="E1752" s="1">
        <v>1921</v>
      </c>
      <c r="F1752" s="1">
        <v>1919</v>
      </c>
      <c r="G1752" s="1">
        <v>1919.5</v>
      </c>
      <c r="H1752" s="1">
        <v>4700</v>
      </c>
    </row>
    <row r="1753" spans="1:8">
      <c r="A1753" s="1"/>
      <c r="B1753" s="1" t="s">
        <v>586</v>
      </c>
      <c r="C1753" s="1" t="s">
        <v>534</v>
      </c>
      <c r="D1753" s="1">
        <v>1919.5</v>
      </c>
      <c r="E1753" s="1">
        <v>1919.5</v>
      </c>
      <c r="F1753" s="1">
        <v>1914.5</v>
      </c>
      <c r="G1753" s="1">
        <v>1914.5</v>
      </c>
      <c r="H1753" s="1">
        <v>6100</v>
      </c>
    </row>
    <row r="1754" spans="1:8">
      <c r="A1754" s="1"/>
      <c r="B1754" s="1" t="s">
        <v>586</v>
      </c>
      <c r="C1754" s="1" t="s">
        <v>535</v>
      </c>
      <c r="D1754" s="1">
        <v>1914.5</v>
      </c>
      <c r="E1754" s="1">
        <v>1917</v>
      </c>
      <c r="F1754" s="1">
        <v>1914.5</v>
      </c>
      <c r="G1754" s="1">
        <v>1916.5</v>
      </c>
      <c r="H1754" s="1">
        <v>5600</v>
      </c>
    </row>
    <row r="1755" spans="1:8">
      <c r="A1755" s="1"/>
      <c r="B1755" s="1" t="s">
        <v>586</v>
      </c>
      <c r="C1755" s="1" t="s">
        <v>536</v>
      </c>
      <c r="D1755" s="1">
        <v>1917</v>
      </c>
      <c r="E1755" s="1">
        <v>1917.5</v>
      </c>
      <c r="F1755" s="1">
        <v>1916</v>
      </c>
      <c r="G1755" s="1">
        <v>1916</v>
      </c>
      <c r="H1755" s="1">
        <v>3100</v>
      </c>
    </row>
    <row r="1756" spans="1:8">
      <c r="A1756" s="1"/>
      <c r="B1756" s="1" t="s">
        <v>586</v>
      </c>
      <c r="C1756" s="1" t="s">
        <v>537</v>
      </c>
      <c r="D1756" s="1">
        <v>1916.5</v>
      </c>
      <c r="E1756" s="1">
        <v>1918.5</v>
      </c>
      <c r="F1756" s="1">
        <v>1916</v>
      </c>
      <c r="G1756" s="1">
        <v>1918.5</v>
      </c>
      <c r="H1756" s="1">
        <v>3500</v>
      </c>
    </row>
    <row r="1757" spans="1:8">
      <c r="A1757" s="1"/>
      <c r="B1757" s="1" t="s">
        <v>586</v>
      </c>
      <c r="C1757" s="1" t="s">
        <v>538</v>
      </c>
      <c r="D1757" s="1">
        <v>1919</v>
      </c>
      <c r="E1757" s="1">
        <v>1922</v>
      </c>
      <c r="F1757" s="1">
        <v>1919</v>
      </c>
      <c r="G1757" s="1">
        <v>1920</v>
      </c>
      <c r="H1757" s="1">
        <v>5700</v>
      </c>
    </row>
    <row r="1758" spans="1:8">
      <c r="A1758" s="1"/>
      <c r="B1758" s="1" t="s">
        <v>586</v>
      </c>
      <c r="C1758" s="1" t="s">
        <v>539</v>
      </c>
      <c r="D1758" s="1">
        <v>1919.5</v>
      </c>
      <c r="E1758" s="1">
        <v>1924.5</v>
      </c>
      <c r="F1758" s="1">
        <v>1919.5</v>
      </c>
      <c r="G1758" s="1">
        <v>1924.5</v>
      </c>
      <c r="H1758" s="1">
        <v>3700</v>
      </c>
    </row>
    <row r="1759" spans="1:8">
      <c r="A1759" s="1"/>
      <c r="B1759" s="1" t="s">
        <v>586</v>
      </c>
      <c r="C1759" s="1" t="s">
        <v>540</v>
      </c>
      <c r="D1759" s="1">
        <v>1925</v>
      </c>
      <c r="E1759" s="1">
        <v>1926.5</v>
      </c>
      <c r="F1759" s="1">
        <v>1923.5</v>
      </c>
      <c r="G1759" s="1">
        <v>1923.5</v>
      </c>
      <c r="H1759" s="1">
        <v>2500</v>
      </c>
    </row>
    <row r="1760" spans="1:8">
      <c r="A1760" s="1"/>
      <c r="B1760" s="1" t="s">
        <v>586</v>
      </c>
      <c r="C1760" s="1" t="s">
        <v>541</v>
      </c>
      <c r="D1760" s="1">
        <v>1923.5</v>
      </c>
      <c r="E1760" s="1">
        <v>1931.5</v>
      </c>
      <c r="F1760" s="1">
        <v>1921</v>
      </c>
      <c r="G1760" s="1">
        <v>1930</v>
      </c>
      <c r="H1760" s="1">
        <v>18000</v>
      </c>
    </row>
    <row r="1761" spans="1:8">
      <c r="A1761" s="1"/>
      <c r="B1761" s="1" t="s">
        <v>586</v>
      </c>
      <c r="C1761" s="1" t="s">
        <v>542</v>
      </c>
      <c r="D1761" s="1">
        <v>1930</v>
      </c>
      <c r="E1761" s="1">
        <v>1936</v>
      </c>
      <c r="F1761" s="1">
        <v>1930</v>
      </c>
      <c r="G1761" s="1">
        <v>1936</v>
      </c>
      <c r="H1761" s="1">
        <v>13100</v>
      </c>
    </row>
    <row r="1762" spans="1:8">
      <c r="A1762" s="1"/>
      <c r="B1762" s="1" t="s">
        <v>586</v>
      </c>
      <c r="C1762" s="1" t="s">
        <v>543</v>
      </c>
      <c r="D1762" s="1">
        <v>1935.5</v>
      </c>
      <c r="E1762" s="1">
        <v>1937.5</v>
      </c>
      <c r="F1762" s="1">
        <v>1933.5</v>
      </c>
      <c r="G1762" s="1">
        <v>1936</v>
      </c>
      <c r="H1762" s="1">
        <v>8600</v>
      </c>
    </row>
    <row r="1763" spans="1:8">
      <c r="A1763" s="1"/>
      <c r="B1763" s="1" t="s">
        <v>586</v>
      </c>
      <c r="C1763" s="1" t="s">
        <v>544</v>
      </c>
      <c r="D1763" s="1">
        <v>1935</v>
      </c>
      <c r="E1763" s="1">
        <v>1941</v>
      </c>
      <c r="F1763" s="1">
        <v>1935</v>
      </c>
      <c r="G1763" s="1">
        <v>1940</v>
      </c>
      <c r="H1763" s="1">
        <v>9300</v>
      </c>
    </row>
    <row r="1764" spans="1:8">
      <c r="A1764" s="1"/>
      <c r="B1764" s="1" t="s">
        <v>586</v>
      </c>
      <c r="C1764" s="1" t="s">
        <v>545</v>
      </c>
      <c r="D1764" s="1">
        <v>1941</v>
      </c>
      <c r="E1764" s="1">
        <v>1943.5</v>
      </c>
      <c r="F1764" s="1">
        <v>1939</v>
      </c>
      <c r="G1764" s="1">
        <v>1942</v>
      </c>
      <c r="H1764" s="1">
        <v>8800</v>
      </c>
    </row>
    <row r="1765" spans="1:8">
      <c r="A1765" s="1"/>
      <c r="B1765" s="1" t="s">
        <v>586</v>
      </c>
      <c r="C1765" s="1" t="s">
        <v>546</v>
      </c>
      <c r="D1765" s="1">
        <v>1942.5</v>
      </c>
      <c r="E1765" s="1">
        <v>1944.5</v>
      </c>
      <c r="F1765" s="1">
        <v>1937</v>
      </c>
      <c r="G1765" s="1">
        <v>1937</v>
      </c>
      <c r="H1765" s="1">
        <v>10100</v>
      </c>
    </row>
    <row r="1766" spans="1:8">
      <c r="A1766" s="1"/>
      <c r="B1766" s="1" t="s">
        <v>586</v>
      </c>
      <c r="C1766" s="1" t="s">
        <v>547</v>
      </c>
      <c r="D1766" s="1">
        <v>1937</v>
      </c>
      <c r="E1766" s="1">
        <v>1940</v>
      </c>
      <c r="F1766" s="1">
        <v>1935</v>
      </c>
      <c r="G1766" s="1">
        <v>1940</v>
      </c>
      <c r="H1766" s="1">
        <v>7900</v>
      </c>
    </row>
    <row r="1767" spans="1:8">
      <c r="A1767" s="1"/>
      <c r="B1767" s="1" t="s">
        <v>586</v>
      </c>
      <c r="C1767" s="1" t="s">
        <v>548</v>
      </c>
      <c r="D1767" s="1">
        <v>1940.5</v>
      </c>
      <c r="E1767" s="1">
        <v>1941</v>
      </c>
      <c r="F1767" s="1">
        <v>1939</v>
      </c>
      <c r="G1767" s="1">
        <v>1940</v>
      </c>
      <c r="H1767" s="1">
        <v>3900</v>
      </c>
    </row>
    <row r="1768" spans="1:8">
      <c r="A1768" s="1"/>
      <c r="B1768" s="1" t="s">
        <v>586</v>
      </c>
      <c r="C1768" s="1" t="s">
        <v>549</v>
      </c>
      <c r="D1768" s="1">
        <v>1939</v>
      </c>
      <c r="E1768" s="1">
        <v>1944</v>
      </c>
      <c r="F1768" s="1">
        <v>1939</v>
      </c>
      <c r="G1768" s="1">
        <v>1941.5</v>
      </c>
      <c r="H1768" s="1">
        <v>7400</v>
      </c>
    </row>
    <row r="1769" spans="1:8">
      <c r="A1769" s="1"/>
      <c r="B1769" s="1" t="s">
        <v>586</v>
      </c>
      <c r="C1769" s="1" t="s">
        <v>550</v>
      </c>
      <c r="D1769" s="1">
        <v>1941</v>
      </c>
      <c r="E1769" s="1">
        <v>1942.5</v>
      </c>
      <c r="F1769" s="1">
        <v>1937</v>
      </c>
      <c r="G1769" s="1">
        <v>1937</v>
      </c>
      <c r="H1769" s="1">
        <v>7700</v>
      </c>
    </row>
    <row r="1770" spans="1:8">
      <c r="A1770" s="1"/>
      <c r="B1770" s="1" t="s">
        <v>586</v>
      </c>
      <c r="C1770" s="1" t="s">
        <v>551</v>
      </c>
      <c r="D1770" s="1">
        <v>1937.5</v>
      </c>
      <c r="E1770" s="1">
        <v>1941.5</v>
      </c>
      <c r="F1770" s="1">
        <v>1937</v>
      </c>
      <c r="G1770" s="1">
        <v>1939.5</v>
      </c>
      <c r="H1770" s="1">
        <v>6600</v>
      </c>
    </row>
    <row r="1771" spans="1:8">
      <c r="A1771" s="1"/>
      <c r="B1771" s="1" t="s">
        <v>586</v>
      </c>
      <c r="C1771" s="1" t="s">
        <v>552</v>
      </c>
      <c r="D1771" s="1">
        <v>1938.5</v>
      </c>
      <c r="E1771" s="1">
        <v>1942.5</v>
      </c>
      <c r="F1771" s="1">
        <v>1938.5</v>
      </c>
      <c r="G1771" s="1">
        <v>1942.5</v>
      </c>
      <c r="H1771" s="1">
        <v>4000</v>
      </c>
    </row>
    <row r="1772" spans="1:8">
      <c r="A1772" s="1"/>
      <c r="B1772" s="1" t="s">
        <v>586</v>
      </c>
      <c r="C1772" s="1" t="s">
        <v>553</v>
      </c>
      <c r="D1772" s="1">
        <v>1942.5</v>
      </c>
      <c r="E1772" s="1">
        <v>1943</v>
      </c>
      <c r="F1772" s="1">
        <v>1939.5</v>
      </c>
      <c r="G1772" s="1">
        <v>1940.5</v>
      </c>
      <c r="H1772" s="1">
        <v>5300</v>
      </c>
    </row>
    <row r="1773" spans="1:8">
      <c r="A1773" s="1"/>
      <c r="B1773" s="1" t="s">
        <v>586</v>
      </c>
      <c r="C1773" s="1" t="s">
        <v>554</v>
      </c>
      <c r="D1773" s="1">
        <v>1941</v>
      </c>
      <c r="E1773" s="1">
        <v>1941.5</v>
      </c>
      <c r="F1773" s="1">
        <v>1939.5</v>
      </c>
      <c r="G1773" s="1">
        <v>1941</v>
      </c>
      <c r="H1773" s="1">
        <v>5000</v>
      </c>
    </row>
    <row r="1774" spans="1:8">
      <c r="A1774" s="1"/>
      <c r="B1774" s="1" t="s">
        <v>586</v>
      </c>
      <c r="C1774" s="1" t="s">
        <v>555</v>
      </c>
      <c r="D1774" s="1">
        <v>1941</v>
      </c>
      <c r="E1774" s="1">
        <v>1941</v>
      </c>
      <c r="F1774" s="1">
        <v>1937</v>
      </c>
      <c r="G1774" s="1">
        <v>1938.5</v>
      </c>
      <c r="H1774" s="1">
        <v>4900</v>
      </c>
    </row>
    <row r="1775" spans="1:8">
      <c r="A1775" s="1"/>
      <c r="B1775" s="1" t="s">
        <v>586</v>
      </c>
      <c r="C1775" s="1" t="s">
        <v>556</v>
      </c>
      <c r="D1775" s="1">
        <v>1938</v>
      </c>
      <c r="E1775" s="1">
        <v>1941</v>
      </c>
      <c r="F1775" s="1">
        <v>1936</v>
      </c>
      <c r="G1775" s="1">
        <v>1941</v>
      </c>
      <c r="H1775" s="1">
        <v>9000</v>
      </c>
    </row>
    <row r="1776" spans="1:8">
      <c r="A1776" s="1"/>
      <c r="B1776" s="1" t="s">
        <v>586</v>
      </c>
      <c r="C1776" s="1" t="s">
        <v>557</v>
      </c>
      <c r="D1776" s="1">
        <v>1941.5</v>
      </c>
      <c r="E1776" s="1">
        <v>1942</v>
      </c>
      <c r="F1776" s="1">
        <v>1938.5</v>
      </c>
      <c r="G1776" s="1">
        <v>1939</v>
      </c>
      <c r="H1776" s="1">
        <v>7400</v>
      </c>
    </row>
    <row r="1777" spans="1:8">
      <c r="A1777" s="1"/>
      <c r="B1777" s="1" t="s">
        <v>586</v>
      </c>
      <c r="C1777" s="1" t="s">
        <v>558</v>
      </c>
      <c r="D1777" s="1">
        <v>1939</v>
      </c>
      <c r="E1777" s="1">
        <v>1939</v>
      </c>
      <c r="F1777" s="1">
        <v>1938</v>
      </c>
      <c r="G1777" s="1">
        <v>1938.5</v>
      </c>
      <c r="H1777" s="1">
        <v>1100</v>
      </c>
    </row>
    <row r="1778" spans="1:8">
      <c r="A1778" s="1"/>
      <c r="B1778" s="1" t="s">
        <v>586</v>
      </c>
      <c r="C1778" s="1" t="s">
        <v>559</v>
      </c>
      <c r="D1778" s="1">
        <v>1939.5</v>
      </c>
      <c r="E1778" s="1">
        <v>1943</v>
      </c>
      <c r="F1778" s="1">
        <v>1939</v>
      </c>
      <c r="G1778" s="1">
        <v>1942</v>
      </c>
      <c r="H1778" s="1">
        <v>5000</v>
      </c>
    </row>
    <row r="1779" spans="1:8">
      <c r="A1779" s="1"/>
      <c r="B1779" s="1" t="s">
        <v>586</v>
      </c>
      <c r="C1779" s="1" t="s">
        <v>560</v>
      </c>
      <c r="D1779" s="1">
        <v>1942.5</v>
      </c>
      <c r="E1779" s="1">
        <v>1943</v>
      </c>
      <c r="F1779" s="1">
        <v>1939.5</v>
      </c>
      <c r="G1779" s="1">
        <v>1940</v>
      </c>
      <c r="H1779" s="1">
        <v>3800</v>
      </c>
    </row>
    <row r="1780" spans="1:8">
      <c r="A1780" s="1"/>
      <c r="B1780" s="1" t="s">
        <v>586</v>
      </c>
      <c r="C1780" s="1" t="s">
        <v>561</v>
      </c>
      <c r="D1780" s="1">
        <v>1940</v>
      </c>
      <c r="E1780" s="1">
        <v>1946</v>
      </c>
      <c r="F1780" s="1">
        <v>1940</v>
      </c>
      <c r="G1780" s="1">
        <v>1946</v>
      </c>
      <c r="H1780" s="1">
        <v>6700</v>
      </c>
    </row>
    <row r="1781" spans="1:8">
      <c r="A1781" s="1"/>
      <c r="B1781" s="1" t="s">
        <v>586</v>
      </c>
      <c r="C1781" s="1" t="s">
        <v>562</v>
      </c>
      <c r="D1781" s="1">
        <v>1945.5</v>
      </c>
      <c r="E1781" s="1">
        <v>1947.5</v>
      </c>
      <c r="F1781" s="1">
        <v>1944</v>
      </c>
      <c r="G1781" s="1">
        <v>1947.5</v>
      </c>
      <c r="H1781" s="1">
        <v>8200</v>
      </c>
    </row>
    <row r="1782" spans="1:8">
      <c r="A1782" s="1"/>
      <c r="B1782" s="1" t="s">
        <v>586</v>
      </c>
      <c r="C1782" s="1" t="s">
        <v>563</v>
      </c>
      <c r="D1782" s="1">
        <v>1947</v>
      </c>
      <c r="E1782" s="1">
        <v>1948</v>
      </c>
      <c r="F1782" s="1">
        <v>1945</v>
      </c>
      <c r="G1782" s="1">
        <v>1947</v>
      </c>
      <c r="H1782" s="1">
        <v>5400</v>
      </c>
    </row>
    <row r="1783" spans="1:8">
      <c r="A1783" s="1"/>
      <c r="B1783" s="1" t="s">
        <v>586</v>
      </c>
      <c r="C1783" s="1" t="s">
        <v>564</v>
      </c>
      <c r="D1783" s="1">
        <v>1946.5</v>
      </c>
      <c r="E1783" s="1">
        <v>1946.5</v>
      </c>
      <c r="F1783" s="1">
        <v>1945</v>
      </c>
      <c r="G1783" s="1">
        <v>1945.5</v>
      </c>
      <c r="H1783" s="1">
        <v>2000</v>
      </c>
    </row>
    <row r="1784" spans="1:8">
      <c r="A1784" s="1"/>
      <c r="B1784" s="1" t="s">
        <v>586</v>
      </c>
      <c r="C1784" s="1" t="s">
        <v>565</v>
      </c>
      <c r="D1784" s="1">
        <v>1945.5</v>
      </c>
      <c r="E1784" s="1">
        <v>1949</v>
      </c>
      <c r="F1784" s="1">
        <v>1945</v>
      </c>
      <c r="G1784" s="1">
        <v>1948</v>
      </c>
      <c r="H1784" s="1">
        <v>9000</v>
      </c>
    </row>
    <row r="1785" spans="1:8">
      <c r="A1785" s="1"/>
      <c r="B1785" s="1" t="s">
        <v>586</v>
      </c>
      <c r="C1785" s="1" t="s">
        <v>566</v>
      </c>
      <c r="D1785" s="1">
        <v>1949</v>
      </c>
      <c r="E1785" s="1">
        <v>1949.5</v>
      </c>
      <c r="F1785" s="1">
        <v>1946.5</v>
      </c>
      <c r="G1785" s="1">
        <v>1949.5</v>
      </c>
      <c r="H1785" s="1">
        <v>5100</v>
      </c>
    </row>
    <row r="1786" spans="1:8">
      <c r="A1786" s="1"/>
      <c r="B1786" s="1" t="s">
        <v>586</v>
      </c>
      <c r="C1786" s="1" t="s">
        <v>567</v>
      </c>
      <c r="D1786" s="1">
        <v>1949.5</v>
      </c>
      <c r="E1786" s="1">
        <v>1953</v>
      </c>
      <c r="F1786" s="1">
        <v>1946</v>
      </c>
      <c r="G1786" s="1">
        <v>1949.5</v>
      </c>
      <c r="H1786" s="1">
        <v>14200</v>
      </c>
    </row>
    <row r="1787" spans="1:8">
      <c r="A1787" s="1"/>
      <c r="B1787" s="1" t="s">
        <v>586</v>
      </c>
      <c r="C1787" s="1" t="s">
        <v>568</v>
      </c>
      <c r="D1787" s="1">
        <v>1949</v>
      </c>
      <c r="E1787" s="1">
        <v>1954</v>
      </c>
      <c r="F1787" s="1">
        <v>1949</v>
      </c>
      <c r="G1787" s="1">
        <v>1951.5</v>
      </c>
      <c r="H1787" s="1">
        <v>9900</v>
      </c>
    </row>
    <row r="1788" spans="1:8">
      <c r="A1788" s="1"/>
      <c r="B1788" s="1" t="s">
        <v>586</v>
      </c>
      <c r="C1788" s="1" t="s">
        <v>569</v>
      </c>
      <c r="D1788" s="1">
        <v>1950.5</v>
      </c>
      <c r="E1788" s="1">
        <v>1951.5</v>
      </c>
      <c r="F1788" s="1">
        <v>1949.5</v>
      </c>
      <c r="G1788" s="1">
        <v>1950</v>
      </c>
      <c r="H1788" s="1">
        <v>3100</v>
      </c>
    </row>
    <row r="1789" spans="1:8">
      <c r="A1789" s="1"/>
      <c r="B1789" s="1" t="s">
        <v>586</v>
      </c>
      <c r="C1789" s="1" t="s">
        <v>570</v>
      </c>
      <c r="D1789" s="1">
        <v>1950</v>
      </c>
      <c r="E1789" s="1">
        <v>1954</v>
      </c>
      <c r="F1789" s="1">
        <v>1950</v>
      </c>
      <c r="G1789" s="1">
        <v>1954</v>
      </c>
      <c r="H1789" s="1">
        <v>3000</v>
      </c>
    </row>
    <row r="1790" spans="1:8">
      <c r="A1790" s="1"/>
      <c r="B1790" s="1" t="s">
        <v>586</v>
      </c>
      <c r="C1790" s="1" t="s">
        <v>571</v>
      </c>
      <c r="D1790" s="1">
        <v>1954</v>
      </c>
      <c r="E1790" s="1">
        <v>1958.5</v>
      </c>
      <c r="F1790" s="1">
        <v>1954</v>
      </c>
      <c r="G1790" s="1">
        <v>1956</v>
      </c>
      <c r="H1790" s="1">
        <v>15400</v>
      </c>
    </row>
    <row r="1791" spans="1:8">
      <c r="A1791" s="1"/>
      <c r="B1791" s="1" t="s">
        <v>586</v>
      </c>
      <c r="C1791" s="1" t="s">
        <v>572</v>
      </c>
      <c r="D1791" s="1">
        <v>1956</v>
      </c>
      <c r="E1791" s="1">
        <v>1958</v>
      </c>
      <c r="F1791" s="1">
        <v>1956</v>
      </c>
      <c r="G1791" s="1">
        <v>1956.5</v>
      </c>
      <c r="H1791" s="1">
        <v>3300</v>
      </c>
    </row>
    <row r="1792" spans="1:8">
      <c r="A1792" s="1"/>
      <c r="B1792" s="1" t="s">
        <v>586</v>
      </c>
      <c r="C1792" s="1" t="s">
        <v>573</v>
      </c>
      <c r="D1792" s="1">
        <v>1956</v>
      </c>
      <c r="E1792" s="1">
        <v>1956.5</v>
      </c>
      <c r="F1792" s="1">
        <v>1954</v>
      </c>
      <c r="G1792" s="1">
        <v>1954</v>
      </c>
      <c r="H1792" s="1">
        <v>7300</v>
      </c>
    </row>
    <row r="1793" spans="1:8">
      <c r="A1793" s="1"/>
      <c r="B1793" s="1" t="s">
        <v>586</v>
      </c>
      <c r="C1793" s="1" t="s">
        <v>574</v>
      </c>
      <c r="D1793" s="1">
        <v>1953.5</v>
      </c>
      <c r="E1793" s="1">
        <v>1955.5</v>
      </c>
      <c r="F1793" s="1">
        <v>1952</v>
      </c>
      <c r="G1793" s="1">
        <v>1955.5</v>
      </c>
      <c r="H1793" s="1">
        <v>3700</v>
      </c>
    </row>
    <row r="1794" spans="1:8">
      <c r="A1794" s="1"/>
      <c r="B1794" s="1" t="s">
        <v>586</v>
      </c>
      <c r="C1794" s="1" t="s">
        <v>575</v>
      </c>
      <c r="D1794" s="1">
        <v>1955</v>
      </c>
      <c r="E1794" s="1">
        <v>1955.5</v>
      </c>
      <c r="F1794" s="1">
        <v>1954.5</v>
      </c>
      <c r="G1794" s="1">
        <v>1955.5</v>
      </c>
      <c r="H1794" s="1">
        <v>4100</v>
      </c>
    </row>
    <row r="1795" spans="1:8">
      <c r="A1795" s="1"/>
      <c r="B1795" s="1" t="s">
        <v>586</v>
      </c>
      <c r="C1795" s="1" t="s">
        <v>576</v>
      </c>
      <c r="D1795" s="1">
        <v>1954.5</v>
      </c>
      <c r="E1795" s="1">
        <v>1955.5</v>
      </c>
      <c r="F1795" s="1">
        <v>1954</v>
      </c>
      <c r="G1795" s="1">
        <v>1954.5</v>
      </c>
      <c r="H1795" s="1">
        <v>2600</v>
      </c>
    </row>
    <row r="1796" spans="1:8">
      <c r="A1796" s="1"/>
      <c r="B1796" s="1" t="s">
        <v>586</v>
      </c>
      <c r="C1796" s="1" t="s">
        <v>577</v>
      </c>
      <c r="D1796" s="1">
        <v>1955</v>
      </c>
      <c r="E1796" s="1">
        <v>1955</v>
      </c>
      <c r="F1796" s="1">
        <v>1952</v>
      </c>
      <c r="G1796" s="1">
        <v>1952</v>
      </c>
      <c r="H1796" s="1">
        <v>2500</v>
      </c>
    </row>
    <row r="1797" spans="1:8">
      <c r="A1797" s="1"/>
      <c r="B1797" s="1" t="s">
        <v>586</v>
      </c>
      <c r="C1797" s="1" t="s">
        <v>578</v>
      </c>
      <c r="D1797" s="1">
        <v>1952.5</v>
      </c>
      <c r="E1797" s="1">
        <v>1956.5</v>
      </c>
      <c r="F1797" s="1">
        <v>1952.5</v>
      </c>
      <c r="G1797" s="1">
        <v>1956.5</v>
      </c>
      <c r="H1797" s="1">
        <v>4700</v>
      </c>
    </row>
    <row r="1798" spans="1:8">
      <c r="A1798" s="1"/>
      <c r="B1798" s="1" t="s">
        <v>586</v>
      </c>
      <c r="C1798" s="1" t="s">
        <v>579</v>
      </c>
      <c r="D1798" s="1">
        <v>1956</v>
      </c>
      <c r="E1798" s="1">
        <v>1956.5</v>
      </c>
      <c r="F1798" s="1">
        <v>1955</v>
      </c>
      <c r="G1798" s="1">
        <v>1956.5</v>
      </c>
      <c r="H1798" s="1">
        <v>3400</v>
      </c>
    </row>
    <row r="1799" spans="1:8">
      <c r="A1799" s="1"/>
      <c r="B1799" s="1" t="s">
        <v>586</v>
      </c>
      <c r="C1799" s="1" t="s">
        <v>580</v>
      </c>
      <c r="D1799" s="1">
        <v>1956</v>
      </c>
      <c r="E1799" s="1">
        <v>1956.5</v>
      </c>
      <c r="F1799" s="1">
        <v>1956</v>
      </c>
      <c r="G1799" s="1">
        <v>1956</v>
      </c>
      <c r="H1799" s="1">
        <v>1100</v>
      </c>
    </row>
    <row r="1800" spans="1:8">
      <c r="A1800" s="1"/>
      <c r="B1800" s="1" t="s">
        <v>586</v>
      </c>
      <c r="C1800" s="1" t="s">
        <v>581</v>
      </c>
      <c r="D1800" s="1">
        <v>1955.5</v>
      </c>
      <c r="E1800" s="1">
        <v>1957.5</v>
      </c>
      <c r="F1800" s="1">
        <v>1954</v>
      </c>
      <c r="G1800" s="1">
        <v>1957.5</v>
      </c>
      <c r="H1800" s="1">
        <v>6200</v>
      </c>
    </row>
    <row r="1801" spans="1:8">
      <c r="A1801" s="1"/>
      <c r="B1801" s="1" t="s">
        <v>586</v>
      </c>
      <c r="C1801" s="1" t="s">
        <v>582</v>
      </c>
      <c r="D1801" s="1">
        <v>1958</v>
      </c>
      <c r="E1801" s="1">
        <v>1959</v>
      </c>
      <c r="F1801" s="1">
        <v>1955.5</v>
      </c>
      <c r="G1801" s="1">
        <v>1955.5</v>
      </c>
      <c r="H1801" s="1">
        <v>3200</v>
      </c>
    </row>
    <row r="1802" spans="1:8">
      <c r="A1802" s="1"/>
      <c r="B1802" s="1" t="s">
        <v>586</v>
      </c>
      <c r="C1802" s="1" t="s">
        <v>583</v>
      </c>
      <c r="D1802" s="1">
        <v>1956.5</v>
      </c>
      <c r="E1802" s="1">
        <v>1957.5</v>
      </c>
      <c r="F1802" s="1">
        <v>1956</v>
      </c>
      <c r="G1802" s="1">
        <v>1956</v>
      </c>
      <c r="H1802" s="1">
        <v>2400</v>
      </c>
    </row>
    <row r="1803" spans="1:8">
      <c r="A1803" s="1"/>
      <c r="B1803" s="1" t="s">
        <v>586</v>
      </c>
      <c r="C1803" s="1" t="s">
        <v>584</v>
      </c>
      <c r="D1803" s="1">
        <v>1957.5</v>
      </c>
      <c r="E1803" s="1">
        <v>1959</v>
      </c>
      <c r="F1803" s="1">
        <v>1957.5</v>
      </c>
      <c r="G1803" s="1">
        <v>1958.5</v>
      </c>
      <c r="H1803" s="1">
        <v>4100</v>
      </c>
    </row>
    <row r="1804" spans="1:8">
      <c r="A1804" s="1"/>
      <c r="B1804" s="1" t="s">
        <v>586</v>
      </c>
      <c r="C1804" s="1" t="s">
        <v>585</v>
      </c>
      <c r="D1804" s="1">
        <v>1958.5</v>
      </c>
      <c r="E1804" s="1">
        <v>1959</v>
      </c>
      <c r="F1804" s="1">
        <v>1957.5</v>
      </c>
      <c r="G1804" s="1">
        <v>1959</v>
      </c>
      <c r="H1804" s="1">
        <v>1700</v>
      </c>
    </row>
    <row r="1805" spans="1:8">
      <c r="A1805" s="1"/>
      <c r="B1805" s="1" t="s">
        <v>587</v>
      </c>
      <c r="C1805" s="1" t="s">
        <v>316</v>
      </c>
      <c r="D1805" s="1">
        <v>1959</v>
      </c>
      <c r="E1805" s="1">
        <v>1959</v>
      </c>
      <c r="F1805" s="1">
        <v>1959</v>
      </c>
      <c r="G1805" s="1">
        <v>1959</v>
      </c>
      <c r="H1805" s="1">
        <v>2300</v>
      </c>
    </row>
    <row r="1806" spans="1:8">
      <c r="A1806" s="1" t="s">
        <v>79</v>
      </c>
      <c r="B1806" s="1" t="s">
        <v>79</v>
      </c>
      <c r="C1806" s="1" t="s">
        <v>79</v>
      </c>
      <c r="D1806" s="1" t="s">
        <v>79</v>
      </c>
      <c r="E1806" s="1" t="s">
        <v>79</v>
      </c>
      <c r="F1806" s="1" t="s">
        <v>79</v>
      </c>
      <c r="G1806" s="1" t="s">
        <v>79</v>
      </c>
      <c r="H1806" s="1" t="s">
        <v>79</v>
      </c>
    </row>
    <row r="2327" spans="1:8">
      <c r="A2327" s="1"/>
      <c r="B2327" s="1"/>
      <c r="C2327" s="1"/>
      <c r="D2327" s="1"/>
      <c r="E2327" s="1"/>
      <c r="F2327" s="1"/>
      <c r="G2327" s="1"/>
      <c r="H2327" s="1"/>
    </row>
    <row r="2328" spans="1:8">
      <c r="A2328" s="1"/>
      <c r="B2328" s="1" t="s">
        <v>143</v>
      </c>
      <c r="C2328" s="1" t="s">
        <v>145</v>
      </c>
      <c r="D2328" s="1">
        <v>1992.5</v>
      </c>
      <c r="E2328" s="1">
        <v>1992.5</v>
      </c>
      <c r="F2328" s="1">
        <v>1990.5</v>
      </c>
      <c r="G2328" s="1">
        <v>1991.5</v>
      </c>
      <c r="H2328" s="1">
        <v>2500</v>
      </c>
    </row>
    <row r="2329" spans="1:8">
      <c r="A2329" s="1"/>
      <c r="B2329" s="1" t="s">
        <v>143</v>
      </c>
      <c r="C2329" s="1" t="s">
        <v>146</v>
      </c>
      <c r="D2329" s="1">
        <v>1992</v>
      </c>
      <c r="E2329" s="1">
        <v>1992.5</v>
      </c>
      <c r="F2329" s="1">
        <v>1992</v>
      </c>
      <c r="G2329" s="1">
        <v>1992</v>
      </c>
      <c r="H2329" s="1">
        <v>600</v>
      </c>
    </row>
    <row r="2330" spans="1:8">
      <c r="A2330" s="1"/>
      <c r="B2330" s="1" t="s">
        <v>143</v>
      </c>
      <c r="C2330" s="1" t="s">
        <v>147</v>
      </c>
      <c r="D2330" s="1">
        <v>1991.5</v>
      </c>
      <c r="E2330" s="1">
        <v>1992</v>
      </c>
      <c r="F2330" s="1">
        <v>1991</v>
      </c>
      <c r="G2330" s="1">
        <v>1991</v>
      </c>
      <c r="H2330" s="1">
        <v>1600</v>
      </c>
    </row>
    <row r="2331" spans="1:8">
      <c r="A2331" s="1"/>
      <c r="B2331" s="1" t="s">
        <v>143</v>
      </c>
      <c r="C2331" s="1" t="s">
        <v>148</v>
      </c>
      <c r="D2331" s="1">
        <v>1991</v>
      </c>
      <c r="E2331" s="1">
        <v>1991</v>
      </c>
      <c r="F2331" s="1">
        <v>1990.5</v>
      </c>
      <c r="G2331" s="1">
        <v>1991</v>
      </c>
      <c r="H2331" s="1">
        <v>2400</v>
      </c>
    </row>
    <row r="2332" spans="1:8">
      <c r="A2332" s="1"/>
      <c r="B2332" s="1" t="s">
        <v>143</v>
      </c>
      <c r="C2332" s="1" t="s">
        <v>149</v>
      </c>
      <c r="D2332" s="1">
        <v>1991.5</v>
      </c>
      <c r="E2332" s="1">
        <v>1991.5</v>
      </c>
      <c r="F2332" s="1">
        <v>1991</v>
      </c>
      <c r="G2332" s="1">
        <v>1991</v>
      </c>
      <c r="H2332" s="1">
        <v>2100</v>
      </c>
    </row>
    <row r="2333" spans="1:8">
      <c r="A2333" s="1"/>
      <c r="B2333" s="1" t="s">
        <v>143</v>
      </c>
      <c r="C2333" s="1" t="s">
        <v>150</v>
      </c>
      <c r="D2333" s="1">
        <v>1990</v>
      </c>
      <c r="E2333" s="1">
        <v>1990.5</v>
      </c>
      <c r="F2333" s="1">
        <v>1990</v>
      </c>
      <c r="G2333" s="1">
        <v>1990.5</v>
      </c>
      <c r="H2333" s="1">
        <v>1800</v>
      </c>
    </row>
    <row r="2334" spans="1:8">
      <c r="A2334" s="1"/>
      <c r="B2334" s="1" t="s">
        <v>143</v>
      </c>
      <c r="C2334" s="1" t="s">
        <v>151</v>
      </c>
      <c r="D2334" s="1">
        <v>1991</v>
      </c>
      <c r="E2334" s="1">
        <v>1992</v>
      </c>
      <c r="F2334" s="1">
        <v>1991</v>
      </c>
      <c r="G2334" s="1">
        <v>1991.5</v>
      </c>
      <c r="H2334" s="1">
        <v>1000</v>
      </c>
    </row>
    <row r="2335" spans="1:8">
      <c r="A2335" s="1"/>
      <c r="B2335" s="1" t="s">
        <v>143</v>
      </c>
      <c r="C2335" s="1" t="s">
        <v>152</v>
      </c>
      <c r="D2335" s="1">
        <v>1992</v>
      </c>
      <c r="E2335" s="1">
        <v>1992.5</v>
      </c>
      <c r="F2335" s="1">
        <v>1992</v>
      </c>
      <c r="G2335" s="1">
        <v>1992.5</v>
      </c>
      <c r="H2335" s="1">
        <v>400</v>
      </c>
    </row>
    <row r="2336" spans="1:8">
      <c r="A2336" s="1"/>
      <c r="B2336" s="1" t="s">
        <v>143</v>
      </c>
      <c r="C2336" s="1" t="s">
        <v>153</v>
      </c>
      <c r="D2336" s="1">
        <v>1992.5</v>
      </c>
      <c r="E2336" s="1">
        <v>1996.5</v>
      </c>
      <c r="F2336" s="1">
        <v>1992.5</v>
      </c>
      <c r="G2336" s="1">
        <v>1996.5</v>
      </c>
      <c r="H2336" s="1">
        <v>2500</v>
      </c>
    </row>
    <row r="2337" spans="1:8">
      <c r="A2337" s="1"/>
      <c r="B2337" s="1" t="s">
        <v>143</v>
      </c>
      <c r="C2337" s="1" t="s">
        <v>154</v>
      </c>
      <c r="D2337" s="1">
        <v>1995.5</v>
      </c>
      <c r="E2337" s="1">
        <v>1996</v>
      </c>
      <c r="F2337" s="1">
        <v>1995</v>
      </c>
      <c r="G2337" s="1">
        <v>1995</v>
      </c>
      <c r="H2337" s="1">
        <v>1600</v>
      </c>
    </row>
    <row r="2338" spans="1:8">
      <c r="A2338" s="1"/>
      <c r="B2338" s="1" t="s">
        <v>143</v>
      </c>
      <c r="C2338" s="1" t="s">
        <v>155</v>
      </c>
      <c r="D2338" s="1">
        <v>1994</v>
      </c>
      <c r="E2338" s="1">
        <v>1994.5</v>
      </c>
      <c r="F2338" s="1">
        <v>1994</v>
      </c>
      <c r="G2338" s="1">
        <v>1994.5</v>
      </c>
      <c r="H2338" s="1">
        <v>300</v>
      </c>
    </row>
    <row r="2339" spans="1:8">
      <c r="A2339" s="1"/>
      <c r="B2339" s="1" t="s">
        <v>143</v>
      </c>
      <c r="C2339" s="1" t="s">
        <v>156</v>
      </c>
      <c r="D2339" s="1">
        <v>1995</v>
      </c>
      <c r="E2339" s="1">
        <v>1995</v>
      </c>
      <c r="F2339" s="1">
        <v>1994</v>
      </c>
      <c r="G2339" s="1">
        <v>1994</v>
      </c>
      <c r="H2339" s="1">
        <v>800</v>
      </c>
    </row>
    <row r="2340" spans="1:8">
      <c r="A2340" s="1"/>
      <c r="B2340" s="1" t="s">
        <v>143</v>
      </c>
      <c r="C2340" s="1" t="s">
        <v>157</v>
      </c>
      <c r="D2340" s="1">
        <v>1993</v>
      </c>
      <c r="E2340" s="1">
        <v>1993</v>
      </c>
      <c r="F2340" s="1">
        <v>1992.5</v>
      </c>
      <c r="G2340" s="1">
        <v>1993</v>
      </c>
      <c r="H2340" s="1">
        <v>900</v>
      </c>
    </row>
    <row r="2341" spans="1:8">
      <c r="A2341" s="1"/>
      <c r="B2341" s="1" t="s">
        <v>143</v>
      </c>
      <c r="C2341" s="1" t="s">
        <v>158</v>
      </c>
      <c r="D2341" s="1">
        <v>1993</v>
      </c>
      <c r="E2341" s="1">
        <v>1993.5</v>
      </c>
      <c r="F2341" s="1">
        <v>1993</v>
      </c>
      <c r="G2341" s="1">
        <v>1993.5</v>
      </c>
      <c r="H2341" s="1">
        <v>400</v>
      </c>
    </row>
    <row r="2342" spans="1:8">
      <c r="A2342" s="1"/>
      <c r="B2342" s="1" t="s">
        <v>143</v>
      </c>
      <c r="C2342" s="1" t="s">
        <v>159</v>
      </c>
      <c r="D2342" s="1">
        <v>1993.5</v>
      </c>
      <c r="E2342" s="1">
        <v>1994.5</v>
      </c>
      <c r="F2342" s="1">
        <v>1993</v>
      </c>
      <c r="G2342" s="1">
        <v>1994.5</v>
      </c>
      <c r="H2342" s="1">
        <v>1800</v>
      </c>
    </row>
    <row r="2343" spans="1:8">
      <c r="A2343" s="1"/>
      <c r="B2343" s="1" t="s">
        <v>143</v>
      </c>
      <c r="C2343" s="1" t="s">
        <v>160</v>
      </c>
      <c r="D2343" s="1">
        <v>1994.5</v>
      </c>
      <c r="E2343" s="1">
        <v>1994.5</v>
      </c>
      <c r="F2343" s="1">
        <v>1993.5</v>
      </c>
      <c r="G2343" s="1">
        <v>1993.5</v>
      </c>
      <c r="H2343" s="1">
        <v>800</v>
      </c>
    </row>
    <row r="2344" spans="1:8">
      <c r="A2344" s="1"/>
      <c r="B2344" s="1" t="s">
        <v>143</v>
      </c>
      <c r="C2344" s="1" t="s">
        <v>161</v>
      </c>
      <c r="D2344" s="1">
        <v>1993.5</v>
      </c>
      <c r="E2344" s="1">
        <v>1993.5</v>
      </c>
      <c r="F2344" s="1">
        <v>1993</v>
      </c>
      <c r="G2344" s="1">
        <v>1993</v>
      </c>
      <c r="H2344" s="1">
        <v>200</v>
      </c>
    </row>
    <row r="2345" spans="1:8">
      <c r="A2345" s="1"/>
      <c r="B2345" s="1" t="s">
        <v>143</v>
      </c>
      <c r="C2345" s="1" t="s">
        <v>162</v>
      </c>
      <c r="D2345" s="1">
        <v>1994</v>
      </c>
      <c r="E2345" s="1">
        <v>1994</v>
      </c>
      <c r="F2345" s="1">
        <v>1994</v>
      </c>
      <c r="G2345" s="1">
        <v>1994</v>
      </c>
      <c r="H2345" s="1">
        <v>900</v>
      </c>
    </row>
    <row r="2346" spans="1:8">
      <c r="A2346" s="1"/>
      <c r="B2346" s="1" t="s">
        <v>143</v>
      </c>
      <c r="C2346" s="1" t="s">
        <v>163</v>
      </c>
      <c r="D2346" s="1">
        <v>1994</v>
      </c>
      <c r="E2346" s="1">
        <v>1994</v>
      </c>
      <c r="F2346" s="1">
        <v>1994</v>
      </c>
      <c r="G2346" s="1">
        <v>1994</v>
      </c>
      <c r="H2346" s="1">
        <v>1200</v>
      </c>
    </row>
    <row r="2347" spans="1:8">
      <c r="A2347" s="1"/>
      <c r="B2347" s="1" t="s">
        <v>144</v>
      </c>
      <c r="C2347" s="1" t="s">
        <v>31</v>
      </c>
      <c r="D2347" s="1">
        <v>1993.5</v>
      </c>
      <c r="E2347" s="1">
        <v>1993.5</v>
      </c>
      <c r="F2347" s="1">
        <v>1993</v>
      </c>
      <c r="G2347" s="1">
        <v>1993</v>
      </c>
      <c r="H2347" s="1">
        <v>1100</v>
      </c>
    </row>
    <row r="2348" spans="1:8">
      <c r="A2348" s="1"/>
      <c r="B2348" s="1" t="s">
        <v>143</v>
      </c>
      <c r="C2348" s="1" t="s">
        <v>82</v>
      </c>
      <c r="D2348" s="1">
        <v>1994</v>
      </c>
      <c r="E2348" s="1">
        <v>1994</v>
      </c>
      <c r="F2348" s="1">
        <v>1993.5</v>
      </c>
      <c r="G2348" s="1">
        <v>1993.5</v>
      </c>
      <c r="H2348" s="1">
        <v>600</v>
      </c>
    </row>
    <row r="2349" spans="1:8">
      <c r="A2349" s="1"/>
      <c r="B2349" s="1" t="s">
        <v>143</v>
      </c>
      <c r="C2349" s="1" t="s">
        <v>83</v>
      </c>
      <c r="D2349" s="1">
        <v>1993.5</v>
      </c>
      <c r="E2349" s="1">
        <v>1995</v>
      </c>
      <c r="F2349" s="1">
        <v>1993.5</v>
      </c>
      <c r="G2349" s="1">
        <v>1993.5</v>
      </c>
      <c r="H2349" s="1">
        <v>5600</v>
      </c>
    </row>
    <row r="2350" spans="1:8">
      <c r="A2350" s="1"/>
      <c r="B2350" s="1" t="s">
        <v>144</v>
      </c>
      <c r="C2350" s="1" t="s">
        <v>34</v>
      </c>
      <c r="D2350" s="1">
        <v>1992</v>
      </c>
      <c r="E2350" s="1">
        <v>1992</v>
      </c>
      <c r="F2350" s="1">
        <v>1992</v>
      </c>
      <c r="G2350" s="1">
        <v>1992</v>
      </c>
      <c r="H2350" s="1">
        <v>100</v>
      </c>
    </row>
    <row r="2351" spans="1:8">
      <c r="A2351" s="1"/>
      <c r="B2351" s="1" t="s">
        <v>143</v>
      </c>
      <c r="C2351" s="1" t="s">
        <v>85</v>
      </c>
      <c r="D2351" s="1">
        <v>1992</v>
      </c>
      <c r="E2351" s="1">
        <v>1992</v>
      </c>
      <c r="F2351" s="1">
        <v>1991.5</v>
      </c>
      <c r="G2351" s="1">
        <v>1991.5</v>
      </c>
      <c r="H2351" s="1">
        <v>600</v>
      </c>
    </row>
    <row r="2352" spans="1:8">
      <c r="A2352" s="1"/>
      <c r="B2352" s="1" t="s">
        <v>143</v>
      </c>
      <c r="C2352" s="1" t="s">
        <v>86</v>
      </c>
      <c r="D2352" s="1">
        <v>1991</v>
      </c>
      <c r="E2352" s="1">
        <v>1992</v>
      </c>
      <c r="F2352" s="1">
        <v>1991</v>
      </c>
      <c r="G2352" s="1">
        <v>1992</v>
      </c>
      <c r="H2352" s="1">
        <v>1100</v>
      </c>
    </row>
    <row r="2353" spans="1:8">
      <c r="A2353" s="1"/>
      <c r="B2353" s="1" t="s">
        <v>143</v>
      </c>
      <c r="C2353" s="1" t="s">
        <v>87</v>
      </c>
      <c r="D2353" s="1">
        <v>1992.5</v>
      </c>
      <c r="E2353" s="1">
        <v>1994.5</v>
      </c>
      <c r="F2353" s="1">
        <v>1992.5</v>
      </c>
      <c r="G2353" s="1">
        <v>1993.5</v>
      </c>
      <c r="H2353" s="1">
        <v>2400</v>
      </c>
    </row>
    <row r="2354" spans="1:8">
      <c r="A2354" s="1"/>
      <c r="B2354" s="1" t="s">
        <v>143</v>
      </c>
      <c r="C2354" s="1" t="s">
        <v>88</v>
      </c>
      <c r="D2354" s="1">
        <v>1994</v>
      </c>
      <c r="E2354" s="1">
        <v>1994</v>
      </c>
      <c r="F2354" s="1">
        <v>1993.5</v>
      </c>
      <c r="G2354" s="1">
        <v>1994</v>
      </c>
      <c r="H2354" s="1">
        <v>900</v>
      </c>
    </row>
    <row r="2355" spans="1:8">
      <c r="A2355" s="1"/>
      <c r="B2355" s="1" t="s">
        <v>143</v>
      </c>
      <c r="C2355" s="1" t="s">
        <v>89</v>
      </c>
      <c r="D2355" s="1">
        <v>1994</v>
      </c>
      <c r="E2355" s="1">
        <v>1994</v>
      </c>
      <c r="F2355" s="1">
        <v>1992</v>
      </c>
      <c r="G2355" s="1">
        <v>1992</v>
      </c>
      <c r="H2355" s="1">
        <v>1800</v>
      </c>
    </row>
    <row r="2356" spans="1:8">
      <c r="A2356" s="1"/>
      <c r="B2356" s="1" t="s">
        <v>144</v>
      </c>
      <c r="C2356" s="1" t="s">
        <v>40</v>
      </c>
      <c r="D2356" s="1" t="s">
        <v>8</v>
      </c>
      <c r="E2356" s="1" t="s">
        <v>8</v>
      </c>
      <c r="F2356" s="1" t="s">
        <v>8</v>
      </c>
      <c r="G2356" s="1" t="s">
        <v>8</v>
      </c>
      <c r="H2356" s="1">
        <v>0</v>
      </c>
    </row>
    <row r="2357" spans="1:8">
      <c r="A2357" s="1"/>
      <c r="B2357" s="1" t="s">
        <v>143</v>
      </c>
      <c r="C2357" s="1" t="s">
        <v>91</v>
      </c>
      <c r="D2357" s="1">
        <v>1992</v>
      </c>
      <c r="E2357" s="1">
        <v>1992.5</v>
      </c>
      <c r="F2357" s="1">
        <v>1992</v>
      </c>
      <c r="G2357" s="1">
        <v>1992.5</v>
      </c>
      <c r="H2357" s="1">
        <v>200</v>
      </c>
    </row>
    <row r="2358" spans="1:8">
      <c r="A2358" s="1"/>
      <c r="B2358" s="1" t="s">
        <v>143</v>
      </c>
      <c r="C2358" s="1" t="s">
        <v>92</v>
      </c>
      <c r="D2358" s="1">
        <v>1992.5</v>
      </c>
      <c r="E2358" s="1">
        <v>1993</v>
      </c>
      <c r="F2358" s="1">
        <v>1992</v>
      </c>
      <c r="G2358" s="1">
        <v>1993</v>
      </c>
      <c r="H2358" s="1">
        <v>1400</v>
      </c>
    </row>
    <row r="2359" spans="1:8">
      <c r="A2359" s="1"/>
      <c r="B2359" s="1" t="s">
        <v>143</v>
      </c>
      <c r="C2359" s="1" t="s">
        <v>93</v>
      </c>
      <c r="D2359" s="1">
        <v>1993.5</v>
      </c>
      <c r="E2359" s="1">
        <v>1996</v>
      </c>
      <c r="F2359" s="1">
        <v>1993.5</v>
      </c>
      <c r="G2359" s="1">
        <v>1996</v>
      </c>
      <c r="H2359" s="1">
        <v>2800</v>
      </c>
    </row>
    <row r="2360" spans="1:8">
      <c r="A2360" s="1"/>
      <c r="B2360" s="1" t="s">
        <v>143</v>
      </c>
      <c r="C2360" s="1" t="s">
        <v>94</v>
      </c>
      <c r="D2360" s="1">
        <v>1996</v>
      </c>
      <c r="E2360" s="1">
        <v>1999</v>
      </c>
      <c r="F2360" s="1">
        <v>1996</v>
      </c>
      <c r="G2360" s="1">
        <v>1998</v>
      </c>
      <c r="H2360" s="1">
        <v>2600</v>
      </c>
    </row>
    <row r="2361" spans="1:8">
      <c r="A2361" s="1"/>
      <c r="B2361" s="1" t="s">
        <v>143</v>
      </c>
      <c r="C2361" s="1" t="s">
        <v>95</v>
      </c>
      <c r="D2361" s="1">
        <v>1998.5</v>
      </c>
      <c r="E2361" s="1">
        <v>2000</v>
      </c>
      <c r="F2361" s="1">
        <v>1998.5</v>
      </c>
      <c r="G2361" s="1">
        <v>2000</v>
      </c>
      <c r="H2361" s="1">
        <v>3600</v>
      </c>
    </row>
    <row r="2362" spans="1:8">
      <c r="A2362" s="1"/>
      <c r="B2362" s="1" t="s">
        <v>143</v>
      </c>
      <c r="C2362" s="1" t="s">
        <v>96</v>
      </c>
      <c r="D2362" s="1">
        <v>1999</v>
      </c>
      <c r="E2362" s="1">
        <v>1999</v>
      </c>
      <c r="F2362" s="1">
        <v>1998</v>
      </c>
      <c r="G2362" s="1">
        <v>1998</v>
      </c>
      <c r="H2362" s="1">
        <v>5800</v>
      </c>
    </row>
    <row r="2363" spans="1:8">
      <c r="A2363" s="1"/>
      <c r="B2363" s="1" t="s">
        <v>143</v>
      </c>
      <c r="C2363" s="1" t="s">
        <v>97</v>
      </c>
      <c r="D2363" s="1">
        <v>1998</v>
      </c>
      <c r="E2363" s="1">
        <v>1998</v>
      </c>
      <c r="F2363" s="1">
        <v>1997.5</v>
      </c>
      <c r="G2363" s="1">
        <v>1997.5</v>
      </c>
      <c r="H2363" s="1">
        <v>400</v>
      </c>
    </row>
    <row r="2364" spans="1:8">
      <c r="A2364" s="1"/>
      <c r="B2364" s="1" t="s">
        <v>143</v>
      </c>
      <c r="C2364" s="1" t="s">
        <v>98</v>
      </c>
      <c r="D2364" s="1">
        <v>1997.5</v>
      </c>
      <c r="E2364" s="1">
        <v>1998</v>
      </c>
      <c r="F2364" s="1">
        <v>1997</v>
      </c>
      <c r="G2364" s="1">
        <v>1997</v>
      </c>
      <c r="H2364" s="1">
        <v>1400</v>
      </c>
    </row>
    <row r="2365" spans="1:8">
      <c r="A2365" s="1"/>
      <c r="B2365" s="1" t="s">
        <v>143</v>
      </c>
      <c r="C2365" s="1" t="s">
        <v>99</v>
      </c>
      <c r="D2365" s="1">
        <v>1997.5</v>
      </c>
      <c r="E2365" s="1">
        <v>1997.5</v>
      </c>
      <c r="F2365" s="1">
        <v>1996.5</v>
      </c>
      <c r="G2365" s="1">
        <v>1996.5</v>
      </c>
      <c r="H2365" s="1">
        <v>900</v>
      </c>
    </row>
    <row r="2366" spans="1:8">
      <c r="A2366" s="1"/>
      <c r="B2366" s="1" t="s">
        <v>143</v>
      </c>
      <c r="C2366" s="1" t="s">
        <v>100</v>
      </c>
      <c r="D2366" s="1">
        <v>1996</v>
      </c>
      <c r="E2366" s="1">
        <v>1996.5</v>
      </c>
      <c r="F2366" s="1">
        <v>1995</v>
      </c>
      <c r="G2366" s="1">
        <v>1995</v>
      </c>
      <c r="H2366" s="1">
        <v>3100</v>
      </c>
    </row>
    <row r="2367" spans="1:8">
      <c r="A2367" s="1"/>
      <c r="B2367" s="1" t="s">
        <v>143</v>
      </c>
      <c r="C2367" s="1" t="s">
        <v>101</v>
      </c>
      <c r="D2367" s="1">
        <v>1995</v>
      </c>
      <c r="E2367" s="1">
        <v>1995.5</v>
      </c>
      <c r="F2367" s="1">
        <v>1995</v>
      </c>
      <c r="G2367" s="1">
        <v>1995.5</v>
      </c>
      <c r="H2367" s="1">
        <v>1400</v>
      </c>
    </row>
    <row r="2368" spans="1:8">
      <c r="A2368" s="1"/>
      <c r="B2368" s="1" t="s">
        <v>143</v>
      </c>
      <c r="C2368" s="1" t="s">
        <v>102</v>
      </c>
      <c r="D2368" s="1">
        <v>1996</v>
      </c>
      <c r="E2368" s="1">
        <v>1997</v>
      </c>
      <c r="F2368" s="1">
        <v>1995</v>
      </c>
      <c r="G2368" s="1">
        <v>1997</v>
      </c>
      <c r="H2368" s="1">
        <v>2300</v>
      </c>
    </row>
    <row r="2369" spans="1:8">
      <c r="A2369" s="1"/>
      <c r="B2369" s="1" t="s">
        <v>143</v>
      </c>
      <c r="C2369" s="1" t="s">
        <v>103</v>
      </c>
      <c r="D2369" s="1">
        <v>1996.5</v>
      </c>
      <c r="E2369" s="1">
        <v>1999.5</v>
      </c>
      <c r="F2369" s="1">
        <v>1996.5</v>
      </c>
      <c r="G2369" s="1">
        <v>1999</v>
      </c>
      <c r="H2369" s="1">
        <v>2300</v>
      </c>
    </row>
    <row r="2370" spans="1:8">
      <c r="A2370" s="1"/>
      <c r="B2370" s="1" t="s">
        <v>144</v>
      </c>
      <c r="C2370" s="1" t="s">
        <v>54</v>
      </c>
      <c r="D2370" s="1">
        <v>1998.5</v>
      </c>
      <c r="E2370" s="1">
        <v>1998.5</v>
      </c>
      <c r="F2370" s="1">
        <v>1998</v>
      </c>
      <c r="G2370" s="1">
        <v>1998</v>
      </c>
      <c r="H2370" s="1">
        <v>1300</v>
      </c>
    </row>
    <row r="2371" spans="1:8">
      <c r="A2371" s="1"/>
      <c r="B2371" s="1" t="s">
        <v>143</v>
      </c>
      <c r="C2371" s="1" t="s">
        <v>105</v>
      </c>
      <c r="D2371" s="1">
        <v>1998.5</v>
      </c>
      <c r="E2371" s="1">
        <v>1998.5</v>
      </c>
      <c r="F2371" s="1">
        <v>1998.5</v>
      </c>
      <c r="G2371" s="1">
        <v>1998.5</v>
      </c>
      <c r="H2371" s="1">
        <v>400</v>
      </c>
    </row>
    <row r="2372" spans="1:8">
      <c r="A2372" s="1"/>
      <c r="B2372" s="1" t="s">
        <v>143</v>
      </c>
      <c r="C2372" s="1" t="s">
        <v>106</v>
      </c>
      <c r="D2372" s="1">
        <v>1999</v>
      </c>
      <c r="E2372" s="1">
        <v>1999</v>
      </c>
      <c r="F2372" s="1">
        <v>1997.5</v>
      </c>
      <c r="G2372" s="1">
        <v>1997.5</v>
      </c>
      <c r="H2372" s="1">
        <v>2000</v>
      </c>
    </row>
    <row r="2373" spans="1:8">
      <c r="A2373" s="1"/>
      <c r="B2373" s="1" t="s">
        <v>143</v>
      </c>
      <c r="C2373" s="1" t="s">
        <v>107</v>
      </c>
      <c r="D2373" s="1">
        <v>1997.5</v>
      </c>
      <c r="E2373" s="1">
        <v>1998</v>
      </c>
      <c r="F2373" s="1">
        <v>1996</v>
      </c>
      <c r="G2373" s="1">
        <v>1996</v>
      </c>
      <c r="H2373" s="1">
        <v>2500</v>
      </c>
    </row>
    <row r="2374" spans="1:8">
      <c r="A2374" s="1"/>
      <c r="B2374" s="1" t="s">
        <v>143</v>
      </c>
      <c r="C2374" s="1" t="s">
        <v>108</v>
      </c>
      <c r="D2374" s="1">
        <v>1996</v>
      </c>
      <c r="E2374" s="1">
        <v>1996</v>
      </c>
      <c r="F2374" s="1">
        <v>1990</v>
      </c>
      <c r="G2374" s="1">
        <v>1994</v>
      </c>
      <c r="H2374" s="1">
        <v>20400</v>
      </c>
    </row>
    <row r="2375" spans="1:8">
      <c r="A2375" s="1"/>
      <c r="B2375" s="1" t="s">
        <v>143</v>
      </c>
      <c r="C2375" s="1" t="s">
        <v>109</v>
      </c>
      <c r="D2375" s="1">
        <v>1994</v>
      </c>
      <c r="E2375" s="1">
        <v>1994</v>
      </c>
      <c r="F2375" s="1">
        <v>1990.5</v>
      </c>
      <c r="G2375" s="1">
        <v>1992.5</v>
      </c>
      <c r="H2375" s="1">
        <v>3800</v>
      </c>
    </row>
    <row r="2376" spans="1:8">
      <c r="A2376" s="1"/>
      <c r="B2376" s="1" t="s">
        <v>143</v>
      </c>
      <c r="C2376" s="1" t="s">
        <v>110</v>
      </c>
      <c r="D2376" s="1">
        <v>1992</v>
      </c>
      <c r="E2376" s="1">
        <v>1992</v>
      </c>
      <c r="F2376" s="1">
        <v>1992</v>
      </c>
      <c r="G2376" s="1">
        <v>1992</v>
      </c>
      <c r="H2376" s="1">
        <v>700</v>
      </c>
    </row>
    <row r="2377" spans="1:8">
      <c r="A2377" s="1"/>
      <c r="B2377" s="1" t="s">
        <v>143</v>
      </c>
      <c r="C2377" s="1" t="s">
        <v>111</v>
      </c>
      <c r="D2377" s="1">
        <v>1991.5</v>
      </c>
      <c r="E2377" s="1">
        <v>1992</v>
      </c>
      <c r="F2377" s="1">
        <v>1991.5</v>
      </c>
      <c r="G2377" s="1">
        <v>1991.5</v>
      </c>
      <c r="H2377" s="1">
        <v>600</v>
      </c>
    </row>
    <row r="2378" spans="1:8">
      <c r="A2378" s="1"/>
      <c r="B2378" s="1" t="s">
        <v>143</v>
      </c>
      <c r="C2378" s="1" t="s">
        <v>112</v>
      </c>
      <c r="D2378" s="1">
        <v>1991</v>
      </c>
      <c r="E2378" s="1">
        <v>1991.5</v>
      </c>
      <c r="F2378" s="1">
        <v>1989.5</v>
      </c>
      <c r="G2378" s="1">
        <v>1991.5</v>
      </c>
      <c r="H2378" s="1">
        <v>3100</v>
      </c>
    </row>
    <row r="2379" spans="1:8">
      <c r="A2379" s="1"/>
      <c r="B2379" s="1" t="s">
        <v>143</v>
      </c>
      <c r="C2379" s="1" t="s">
        <v>113</v>
      </c>
      <c r="D2379" s="1">
        <v>1991</v>
      </c>
      <c r="E2379" s="1">
        <v>1992</v>
      </c>
      <c r="F2379" s="1">
        <v>1990</v>
      </c>
      <c r="G2379" s="1">
        <v>1990</v>
      </c>
      <c r="H2379" s="1">
        <v>2200</v>
      </c>
    </row>
    <row r="2380" spans="1:8">
      <c r="A2380" s="1"/>
      <c r="B2380" s="1" t="s">
        <v>143</v>
      </c>
      <c r="C2380" s="1" t="s">
        <v>114</v>
      </c>
      <c r="D2380" s="1">
        <v>1990.5</v>
      </c>
      <c r="E2380" s="1">
        <v>1991.5</v>
      </c>
      <c r="F2380" s="1">
        <v>1990.5</v>
      </c>
      <c r="G2380" s="1">
        <v>1990.5</v>
      </c>
      <c r="H2380" s="1">
        <v>2200</v>
      </c>
    </row>
    <row r="2381" spans="1:8">
      <c r="A2381" s="1"/>
      <c r="B2381" s="1" t="s">
        <v>143</v>
      </c>
      <c r="C2381" s="1" t="s">
        <v>115</v>
      </c>
      <c r="D2381" s="1">
        <v>1990</v>
      </c>
      <c r="E2381" s="1">
        <v>1990</v>
      </c>
      <c r="F2381" s="1">
        <v>1988.5</v>
      </c>
      <c r="G2381" s="1">
        <v>1989.5</v>
      </c>
      <c r="H2381" s="1">
        <v>4100</v>
      </c>
    </row>
    <row r="2382" spans="1:8">
      <c r="A2382" s="1"/>
      <c r="B2382" s="1" t="s">
        <v>143</v>
      </c>
      <c r="C2382" s="1" t="s">
        <v>116</v>
      </c>
      <c r="D2382" s="1">
        <v>1990</v>
      </c>
      <c r="E2382" s="1">
        <v>1990.5</v>
      </c>
      <c r="F2382" s="1">
        <v>1989</v>
      </c>
      <c r="G2382" s="1">
        <v>1990</v>
      </c>
      <c r="H2382" s="1">
        <v>1700</v>
      </c>
    </row>
    <row r="2383" spans="1:8">
      <c r="A2383" s="1"/>
      <c r="B2383" s="1" t="s">
        <v>143</v>
      </c>
      <c r="C2383" s="1" t="s">
        <v>117</v>
      </c>
      <c r="D2383" s="1">
        <v>1991</v>
      </c>
      <c r="E2383" s="1">
        <v>1991</v>
      </c>
      <c r="F2383" s="1">
        <v>1990</v>
      </c>
      <c r="G2383" s="1">
        <v>1990</v>
      </c>
      <c r="H2383" s="1">
        <v>2400</v>
      </c>
    </row>
    <row r="2384" spans="1:8">
      <c r="A2384" s="1"/>
      <c r="B2384" s="1" t="s">
        <v>143</v>
      </c>
      <c r="C2384" s="1" t="s">
        <v>118</v>
      </c>
      <c r="D2384" s="1">
        <v>1990.5</v>
      </c>
      <c r="E2384" s="1">
        <v>1990.5</v>
      </c>
      <c r="F2384" s="1">
        <v>1985</v>
      </c>
      <c r="G2384" s="1">
        <v>1985.5</v>
      </c>
      <c r="H2384" s="1">
        <v>8400</v>
      </c>
    </row>
    <row r="2385" spans="1:8">
      <c r="A2385" s="1"/>
      <c r="B2385" s="1" t="s">
        <v>144</v>
      </c>
      <c r="C2385" s="1" t="s">
        <v>67</v>
      </c>
      <c r="D2385" s="1" t="s">
        <v>8</v>
      </c>
      <c r="E2385" s="1" t="s">
        <v>8</v>
      </c>
      <c r="F2385" s="1" t="s">
        <v>8</v>
      </c>
      <c r="G2385" s="1" t="s">
        <v>8</v>
      </c>
      <c r="H2385" s="1">
        <v>0</v>
      </c>
    </row>
    <row r="2386" spans="1:8">
      <c r="A2386" s="1"/>
      <c r="B2386" s="1" t="s">
        <v>144</v>
      </c>
      <c r="C2386" s="1" t="s">
        <v>68</v>
      </c>
      <c r="D2386" s="1" t="s">
        <v>8</v>
      </c>
      <c r="E2386" s="1" t="s">
        <v>8</v>
      </c>
      <c r="F2386" s="1" t="s">
        <v>8</v>
      </c>
      <c r="G2386" s="1" t="s">
        <v>8</v>
      </c>
      <c r="H2386" s="1">
        <v>0</v>
      </c>
    </row>
    <row r="2387" spans="1:8">
      <c r="A2387" s="1"/>
      <c r="B2387" s="1" t="s">
        <v>144</v>
      </c>
      <c r="C2387" s="1" t="s">
        <v>69</v>
      </c>
      <c r="D2387" s="1" t="s">
        <v>8</v>
      </c>
      <c r="E2387" s="1" t="s">
        <v>8</v>
      </c>
      <c r="F2387" s="1" t="s">
        <v>8</v>
      </c>
      <c r="G2387" s="1" t="s">
        <v>8</v>
      </c>
      <c r="H2387" s="1">
        <v>0</v>
      </c>
    </row>
    <row r="2388" spans="1:8">
      <c r="A2388" s="1"/>
      <c r="B2388" s="1" t="s">
        <v>144</v>
      </c>
      <c r="C2388" s="1" t="s">
        <v>70</v>
      </c>
      <c r="D2388" s="1" t="s">
        <v>8</v>
      </c>
      <c r="E2388" s="1" t="s">
        <v>8</v>
      </c>
      <c r="F2388" s="1" t="s">
        <v>8</v>
      </c>
      <c r="G2388" s="1" t="s">
        <v>8</v>
      </c>
      <c r="H2388" s="1">
        <v>0</v>
      </c>
    </row>
    <row r="2389" spans="1:8">
      <c r="A2389" s="1"/>
      <c r="B2389" s="1" t="s">
        <v>144</v>
      </c>
      <c r="C2389" s="1" t="s">
        <v>71</v>
      </c>
      <c r="D2389" s="1" t="s">
        <v>8</v>
      </c>
      <c r="E2389" s="1" t="s">
        <v>8</v>
      </c>
      <c r="F2389" s="1" t="s">
        <v>8</v>
      </c>
      <c r="G2389" s="1" t="s">
        <v>8</v>
      </c>
      <c r="H2389" s="1">
        <v>0</v>
      </c>
    </row>
    <row r="2390" spans="1:8">
      <c r="A2390" s="1"/>
      <c r="B2390" s="1" t="s">
        <v>144</v>
      </c>
      <c r="C2390" s="1" t="s">
        <v>72</v>
      </c>
      <c r="D2390" s="1">
        <v>1986.5</v>
      </c>
      <c r="E2390" s="1">
        <v>1986.5</v>
      </c>
      <c r="F2390" s="1">
        <v>1986.5</v>
      </c>
      <c r="G2390" s="1">
        <v>1986.5</v>
      </c>
      <c r="H2390" s="1">
        <v>195300</v>
      </c>
    </row>
    <row r="2391" spans="1:8">
      <c r="A2391" s="1" t="s">
        <v>79</v>
      </c>
      <c r="B2391" s="1" t="s">
        <v>79</v>
      </c>
      <c r="C2391" s="1" t="s">
        <v>79</v>
      </c>
      <c r="D2391" s="1" t="s">
        <v>79</v>
      </c>
      <c r="E2391" s="1" t="s">
        <v>79</v>
      </c>
      <c r="F2391" s="1" t="s">
        <v>79</v>
      </c>
      <c r="G2391" s="1" t="s">
        <v>79</v>
      </c>
      <c r="H2391" s="1" t="s">
        <v>79</v>
      </c>
    </row>
    <row r="2392" spans="1:8">
      <c r="A2392" s="1"/>
      <c r="B2392" s="1" t="s">
        <v>78</v>
      </c>
      <c r="C2392" s="1" t="s">
        <v>107</v>
      </c>
      <c r="D2392" s="1">
        <v>1929.5</v>
      </c>
      <c r="E2392" s="1">
        <v>1930.5</v>
      </c>
      <c r="F2392" s="1">
        <v>1928.5</v>
      </c>
      <c r="G2392" s="1">
        <v>1930</v>
      </c>
      <c r="H2392" s="1">
        <v>6100</v>
      </c>
    </row>
    <row r="2393" spans="1:8">
      <c r="A2393" s="1"/>
      <c r="B2393" s="1" t="s">
        <v>78</v>
      </c>
      <c r="C2393" s="1" t="s">
        <v>108</v>
      </c>
      <c r="D2393" s="1">
        <v>1930.5</v>
      </c>
      <c r="E2393" s="1">
        <v>1931.5</v>
      </c>
      <c r="F2393" s="1">
        <v>1929.5</v>
      </c>
      <c r="G2393" s="1">
        <v>1930.5</v>
      </c>
      <c r="H2393" s="1">
        <v>3900</v>
      </c>
    </row>
    <row r="2394" spans="1:8">
      <c r="A2394" s="1"/>
      <c r="B2394" s="1" t="s">
        <v>78</v>
      </c>
      <c r="C2394" s="1" t="s">
        <v>109</v>
      </c>
      <c r="D2394" s="1">
        <v>1930.5</v>
      </c>
      <c r="E2394" s="1">
        <v>1933</v>
      </c>
      <c r="F2394" s="1">
        <v>1930.5</v>
      </c>
      <c r="G2394" s="1">
        <v>1932.5</v>
      </c>
      <c r="H2394" s="1">
        <v>2400</v>
      </c>
    </row>
    <row r="2395" spans="1:8">
      <c r="A2395" s="1"/>
      <c r="B2395" s="1" t="s">
        <v>78</v>
      </c>
      <c r="C2395" s="1" t="s">
        <v>110</v>
      </c>
      <c r="D2395" s="1">
        <v>1932.5</v>
      </c>
      <c r="E2395" s="1">
        <v>1935</v>
      </c>
      <c r="F2395" s="1">
        <v>1932.5</v>
      </c>
      <c r="G2395" s="1">
        <v>1933.5</v>
      </c>
      <c r="H2395" s="1">
        <v>5000</v>
      </c>
    </row>
    <row r="2396" spans="1:8">
      <c r="A2396" s="1"/>
      <c r="B2396" s="1" t="s">
        <v>78</v>
      </c>
      <c r="C2396" s="1" t="s">
        <v>111</v>
      </c>
      <c r="D2396" s="1">
        <v>1934.5</v>
      </c>
      <c r="E2396" s="1">
        <v>1934.5</v>
      </c>
      <c r="F2396" s="1">
        <v>1931</v>
      </c>
      <c r="G2396" s="1">
        <v>1931.5</v>
      </c>
      <c r="H2396" s="1">
        <v>4600</v>
      </c>
    </row>
    <row r="2397" spans="1:8">
      <c r="A2397" s="1"/>
      <c r="B2397" s="1" t="s">
        <v>78</v>
      </c>
      <c r="C2397" s="1" t="s">
        <v>112</v>
      </c>
      <c r="D2397" s="1">
        <v>1931.5</v>
      </c>
      <c r="E2397" s="1">
        <v>1931.5</v>
      </c>
      <c r="F2397" s="1">
        <v>1930</v>
      </c>
      <c r="G2397" s="1">
        <v>1930.5</v>
      </c>
      <c r="H2397" s="1">
        <v>3800</v>
      </c>
    </row>
    <row r="2398" spans="1:8">
      <c r="A2398" s="1"/>
      <c r="B2398" s="1" t="s">
        <v>78</v>
      </c>
      <c r="C2398" s="1" t="s">
        <v>113</v>
      </c>
      <c r="D2398" s="1">
        <v>1931</v>
      </c>
      <c r="E2398" s="1">
        <v>1933.5</v>
      </c>
      <c r="F2398" s="1">
        <v>1930</v>
      </c>
      <c r="G2398" s="1">
        <v>1933.5</v>
      </c>
      <c r="H2398" s="1">
        <v>4200</v>
      </c>
    </row>
    <row r="2399" spans="1:8">
      <c r="A2399" s="1"/>
      <c r="B2399" s="1" t="s">
        <v>78</v>
      </c>
      <c r="C2399" s="1" t="s">
        <v>114</v>
      </c>
      <c r="D2399" s="1">
        <v>1932</v>
      </c>
      <c r="E2399" s="1">
        <v>1934.5</v>
      </c>
      <c r="F2399" s="1">
        <v>1931.5</v>
      </c>
      <c r="G2399" s="1">
        <v>1934</v>
      </c>
      <c r="H2399" s="1">
        <v>4900</v>
      </c>
    </row>
    <row r="2400" spans="1:8">
      <c r="A2400" s="1"/>
      <c r="B2400" s="1" t="s">
        <v>78</v>
      </c>
      <c r="C2400" s="1" t="s">
        <v>115</v>
      </c>
      <c r="D2400" s="1">
        <v>1934.5</v>
      </c>
      <c r="E2400" s="1">
        <v>1935.5</v>
      </c>
      <c r="F2400" s="1">
        <v>1934</v>
      </c>
      <c r="G2400" s="1">
        <v>1935</v>
      </c>
      <c r="H2400" s="1">
        <v>5600</v>
      </c>
    </row>
    <row r="2401" spans="1:8">
      <c r="A2401" s="1"/>
      <c r="B2401" s="1" t="s">
        <v>78</v>
      </c>
      <c r="C2401" s="1" t="s">
        <v>116</v>
      </c>
      <c r="D2401" s="1">
        <v>1935.5</v>
      </c>
      <c r="E2401" s="1">
        <v>1936.5</v>
      </c>
      <c r="F2401" s="1">
        <v>1935</v>
      </c>
      <c r="G2401" s="1">
        <v>1935</v>
      </c>
      <c r="H2401" s="1">
        <v>9500</v>
      </c>
    </row>
    <row r="2402" spans="1:8">
      <c r="A2402" s="1"/>
      <c r="B2402" s="1" t="s">
        <v>78</v>
      </c>
      <c r="C2402" s="1" t="s">
        <v>117</v>
      </c>
      <c r="D2402" s="1">
        <v>1934.5</v>
      </c>
      <c r="E2402" s="1">
        <v>1935</v>
      </c>
      <c r="F2402" s="1">
        <v>1931</v>
      </c>
      <c r="G2402" s="1">
        <v>1931.5</v>
      </c>
      <c r="H2402" s="1">
        <v>9100</v>
      </c>
    </row>
    <row r="2403" spans="1:8">
      <c r="A2403" s="1"/>
      <c r="B2403" s="1" t="s">
        <v>78</v>
      </c>
      <c r="C2403" s="1" t="s">
        <v>118</v>
      </c>
      <c r="D2403" s="1">
        <v>1932</v>
      </c>
      <c r="E2403" s="1">
        <v>1933</v>
      </c>
      <c r="F2403" s="1">
        <v>1930</v>
      </c>
      <c r="G2403" s="1">
        <v>1931.5</v>
      </c>
      <c r="H2403" s="1">
        <v>8300</v>
      </c>
    </row>
    <row r="2404" spans="1:8">
      <c r="A2404" s="1" t="s">
        <v>79</v>
      </c>
      <c r="B2404" s="1" t="s">
        <v>79</v>
      </c>
      <c r="C2404" s="1" t="s">
        <v>79</v>
      </c>
      <c r="D2404" s="1" t="s">
        <v>79</v>
      </c>
      <c r="E2404" s="1" t="s">
        <v>79</v>
      </c>
      <c r="F2404" s="1" t="s">
        <v>79</v>
      </c>
      <c r="G2404" s="1" t="s">
        <v>79</v>
      </c>
      <c r="H2404" s="1" t="s">
        <v>79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CC9F2-7D9B-4F51-BF7B-216F3E976AA0}">
  <sheetPr codeName="Sheet41"/>
  <dimension ref="A1:Y2405"/>
  <sheetViews>
    <sheetView workbookViewId="0">
      <selection activeCell="A2" sqref="A2"/>
    </sheetView>
  </sheetViews>
  <sheetFormatPr defaultRowHeight="18.75"/>
  <cols>
    <col min="11" max="11" width="3" customWidth="1"/>
    <col min="13" max="13" width="3" customWidth="1"/>
  </cols>
  <sheetData>
    <row r="1" spans="1:25">
      <c r="A1" t="str">
        <f>_xll.RssChart($A$2:$H$2, "6525.T", "1M", 332)</f>
        <v>=RssChart($A$2:$H$2, "6525.T", "1M", 332) =&gt; 配信中</v>
      </c>
    </row>
    <row r="2" spans="1: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J2" t="s">
        <v>73</v>
      </c>
      <c r="L2" t="s">
        <v>74</v>
      </c>
      <c r="N2" t="s">
        <v>75</v>
      </c>
      <c r="P2" t="s">
        <v>119</v>
      </c>
      <c r="Q2">
        <f>_xll.RssMarket("6525.T", "現在値")</f>
        <v>3126</v>
      </c>
      <c r="R2" t="str">
        <f>_xll.RssMarket("6525.T", "現在値時刻")</f>
        <v>15:30</v>
      </c>
      <c r="T2" t="s">
        <v>131</v>
      </c>
      <c r="U2">
        <f>_xll.RssMarket("6525.T", "出来高")</f>
        <v>7689200</v>
      </c>
      <c r="X2" t="s">
        <v>138</v>
      </c>
      <c r="Y2">
        <f>_xll.RssMarket("6525.T", "信用売残")</f>
        <v>413700</v>
      </c>
    </row>
    <row r="3" spans="1:25">
      <c r="A3" t="s">
        <v>433</v>
      </c>
      <c r="B3" t="s">
        <v>587</v>
      </c>
      <c r="C3" t="s">
        <v>166</v>
      </c>
      <c r="D3" t="s">
        <v>8</v>
      </c>
      <c r="E3" t="s">
        <v>8</v>
      </c>
      <c r="F3" t="s">
        <v>8</v>
      </c>
      <c r="G3" t="s">
        <v>8</v>
      </c>
      <c r="H3">
        <v>0</v>
      </c>
      <c r="J3">
        <f>_xll.RssMarket("6525.T", "売成行数量")</f>
        <v>0</v>
      </c>
      <c r="L3" t="s">
        <v>76</v>
      </c>
      <c r="N3">
        <f>_xll.RssMarket("6525.T", "買成行数量")</f>
        <v>0</v>
      </c>
      <c r="P3" t="s">
        <v>121</v>
      </c>
      <c r="Q3">
        <f>_xll.RssMarket("6525.T", "前日比")</f>
        <v>-283</v>
      </c>
      <c r="R3">
        <f>_xll.RssMarket("6525.T", "前日比率")</f>
        <v>-8.3000000000000007</v>
      </c>
      <c r="S3" t="s">
        <v>122</v>
      </c>
      <c r="T3" t="s">
        <v>132</v>
      </c>
      <c r="U3">
        <f>_xll.RssMarket("6525.T", "売買代金")</f>
        <v>23457015</v>
      </c>
      <c r="X3" t="s">
        <v>139</v>
      </c>
      <c r="Y3">
        <f>_xll.RssMarket("6525.T", "信用買残")</f>
        <v>1339200</v>
      </c>
    </row>
    <row r="4" spans="1:25">
      <c r="B4" t="s">
        <v>587</v>
      </c>
      <c r="C4" t="s">
        <v>167</v>
      </c>
      <c r="D4" t="s">
        <v>8</v>
      </c>
      <c r="E4" t="s">
        <v>8</v>
      </c>
      <c r="F4" t="s">
        <v>8</v>
      </c>
      <c r="G4" t="s">
        <v>8</v>
      </c>
      <c r="H4">
        <v>0</v>
      </c>
      <c r="J4">
        <f>_xll.RssMarket("6525.T", "OVER気配数量")</f>
        <v>558700</v>
      </c>
      <c r="L4" t="s">
        <v>77</v>
      </c>
      <c r="P4" t="s">
        <v>123</v>
      </c>
      <c r="Q4">
        <f>_xll.RssMarket("6525.T", "高値")</f>
        <v>3137</v>
      </c>
      <c r="T4" t="s">
        <v>137</v>
      </c>
      <c r="U4">
        <f>_xll.RssMarket("6525.T", "前場出来高")</f>
        <v>4633500</v>
      </c>
      <c r="X4" t="s">
        <v>140</v>
      </c>
      <c r="Y4">
        <f>_xll.RssMarket("6525.T", "信用倍率")</f>
        <v>3.24</v>
      </c>
    </row>
    <row r="5" spans="1:25">
      <c r="B5" t="s">
        <v>587</v>
      </c>
      <c r="C5" t="s">
        <v>168</v>
      </c>
      <c r="D5" t="s">
        <v>8</v>
      </c>
      <c r="E5" t="s">
        <v>8</v>
      </c>
      <c r="F5" t="s">
        <v>8</v>
      </c>
      <c r="G5" t="s">
        <v>8</v>
      </c>
      <c r="H5">
        <v>0</v>
      </c>
      <c r="J5">
        <f>_xll.RssMarket("6525.T", "最良売気配数量10")</f>
        <v>900</v>
      </c>
      <c r="L5">
        <f>_xll.RssMarket("6525.T", "最良売気配値10")</f>
        <v>3137</v>
      </c>
      <c r="P5" t="s">
        <v>124</v>
      </c>
      <c r="Q5">
        <f>_xll.RssMarket("6525.T", "安値")</f>
        <v>2922</v>
      </c>
    </row>
    <row r="6" spans="1:25">
      <c r="B6" t="s">
        <v>587</v>
      </c>
      <c r="C6" t="s">
        <v>169</v>
      </c>
      <c r="D6" t="s">
        <v>8</v>
      </c>
      <c r="E6" t="s">
        <v>8</v>
      </c>
      <c r="F6" t="s">
        <v>8</v>
      </c>
      <c r="G6" t="s">
        <v>8</v>
      </c>
      <c r="H6">
        <v>0</v>
      </c>
      <c r="J6">
        <f>_xll.RssMarket("6525.T", "最良売気配数量9")</f>
        <v>4100</v>
      </c>
      <c r="L6">
        <f>_xll.RssMarket("6525.T", "最良売気配値9")</f>
        <v>3136</v>
      </c>
      <c r="P6" t="s">
        <v>125</v>
      </c>
      <c r="Q6">
        <f>_xll.RssMarket("6525.T", "始値")</f>
        <v>3059</v>
      </c>
      <c r="T6" t="s">
        <v>133</v>
      </c>
      <c r="U6">
        <f>_xll.RssMarket("6525.T", "歩み1")</f>
        <v>3125</v>
      </c>
      <c r="V6" t="str">
        <f>_xll.RssMarket("6525.T", "歩み1詳細時刻")</f>
        <v>15:24:59</v>
      </c>
      <c r="X6" t="s">
        <v>141</v>
      </c>
      <c r="Y6">
        <f>_xll.RssMarket("6525.T", "逆日歩")</f>
        <v>0</v>
      </c>
    </row>
    <row r="7" spans="1:25">
      <c r="B7" t="s">
        <v>587</v>
      </c>
      <c r="C7" t="s">
        <v>170</v>
      </c>
      <c r="D7" t="s">
        <v>8</v>
      </c>
      <c r="E7" t="s">
        <v>8</v>
      </c>
      <c r="F7" t="s">
        <v>8</v>
      </c>
      <c r="G7" t="s">
        <v>8</v>
      </c>
      <c r="H7">
        <v>0</v>
      </c>
      <c r="J7">
        <f>_xll.RssMarket("6525.T", "最良売気配数量8")</f>
        <v>5400</v>
      </c>
      <c r="L7">
        <f>_xll.RssMarket("6525.T", "最良売気配値8")</f>
        <v>3135</v>
      </c>
      <c r="P7" t="s">
        <v>120</v>
      </c>
      <c r="Q7">
        <f>_xll.RssMarket("6525.T", "前日終値")</f>
        <v>3409</v>
      </c>
      <c r="T7" t="s">
        <v>134</v>
      </c>
      <c r="U7">
        <f>_xll.RssMarket("6525.T", "歩み2")</f>
        <v>3128</v>
      </c>
      <c r="V7" t="str">
        <f>_xll.RssMarket("6525.T", "歩み2詳細時刻")</f>
        <v>15:24:55</v>
      </c>
      <c r="X7" t="s">
        <v>142</v>
      </c>
      <c r="Y7">
        <f>_xll.RssMarket("6525.T", "貸借倍率")</f>
        <v>13.36</v>
      </c>
    </row>
    <row r="8" spans="1:25">
      <c r="B8" t="s">
        <v>587</v>
      </c>
      <c r="C8" t="s">
        <v>171</v>
      </c>
      <c r="D8" t="s">
        <v>8</v>
      </c>
      <c r="E8" t="s">
        <v>8</v>
      </c>
      <c r="F8" t="s">
        <v>8</v>
      </c>
      <c r="G8" t="s">
        <v>8</v>
      </c>
      <c r="H8">
        <v>0</v>
      </c>
      <c r="J8">
        <f>_xll.RssMarket("6525.T", "最良売気配数量7")</f>
        <v>300</v>
      </c>
      <c r="L8">
        <f>_xll.RssMarket("6525.T", "最良売気配値7")</f>
        <v>3134</v>
      </c>
      <c r="P8" t="s">
        <v>126</v>
      </c>
      <c r="Q8">
        <f>_xll.RssMarket("6525.T", "出来高加重平均")</f>
        <v>3050.6444000000001</v>
      </c>
      <c r="T8" t="s">
        <v>135</v>
      </c>
      <c r="U8">
        <f>_xll.RssMarket("6525.T", "歩み3")</f>
        <v>3125</v>
      </c>
      <c r="V8" t="str">
        <f>_xll.RssMarket("6525.T", "歩み3詳細時刻")</f>
        <v>15:24:55</v>
      </c>
    </row>
    <row r="9" spans="1:25">
      <c r="B9" t="s">
        <v>587</v>
      </c>
      <c r="C9" t="s">
        <v>172</v>
      </c>
      <c r="D9" t="s">
        <v>8</v>
      </c>
      <c r="E9" t="s">
        <v>8</v>
      </c>
      <c r="F9" t="s">
        <v>8</v>
      </c>
      <c r="G9" t="s">
        <v>8</v>
      </c>
      <c r="H9">
        <v>0</v>
      </c>
      <c r="J9">
        <f>_xll.RssMarket("6525.T", "最良売気配数量6")</f>
        <v>500</v>
      </c>
      <c r="L9">
        <f>_xll.RssMarket("6525.T", "最良売気配値6")</f>
        <v>3133</v>
      </c>
      <c r="P9" t="s">
        <v>127</v>
      </c>
      <c r="Q9">
        <f>_xll.RssMarket("6525.T", "年初来高値")</f>
        <v>3730</v>
      </c>
      <c r="R9" t="str">
        <f>_xll.RssMarket("6525.T", "年初来高値日付")</f>
        <v>2025/02/25</v>
      </c>
      <c r="T9" t="s">
        <v>136</v>
      </c>
      <c r="U9">
        <f>_xll.RssMarket("6525.T", "歩み4")</f>
        <v>3128</v>
      </c>
      <c r="V9" t="str">
        <f>_xll.RssMarket("6525.T", "歩み4詳細時刻")</f>
        <v>15:24:52</v>
      </c>
    </row>
    <row r="10" spans="1:25">
      <c r="B10" t="s">
        <v>587</v>
      </c>
      <c r="C10" t="s">
        <v>173</v>
      </c>
      <c r="D10" t="s">
        <v>8</v>
      </c>
      <c r="E10" t="s">
        <v>8</v>
      </c>
      <c r="F10" t="s">
        <v>8</v>
      </c>
      <c r="G10" t="s">
        <v>8</v>
      </c>
      <c r="H10">
        <v>0</v>
      </c>
      <c r="J10">
        <f>_xll.RssMarket("6525.T", "最良売気配数量5")</f>
        <v>300</v>
      </c>
      <c r="L10">
        <f>_xll.RssMarket("6525.T", "最良売気配値5")</f>
        <v>3132</v>
      </c>
      <c r="P10" t="s">
        <v>128</v>
      </c>
      <c r="Q10">
        <f>_xll.RssMarket("6525.T", "年初来安値")</f>
        <v>1666.5</v>
      </c>
      <c r="R10" t="str">
        <f>_xll.RssMarket("6525.T", "年初来安値日付")</f>
        <v>2025/04/09</v>
      </c>
    </row>
    <row r="11" spans="1:25">
      <c r="B11" t="s">
        <v>587</v>
      </c>
      <c r="C11" t="s">
        <v>174</v>
      </c>
      <c r="D11" t="s">
        <v>8</v>
      </c>
      <c r="E11" t="s">
        <v>8</v>
      </c>
      <c r="F11" t="s">
        <v>8</v>
      </c>
      <c r="G11" t="s">
        <v>8</v>
      </c>
      <c r="H11">
        <v>0</v>
      </c>
      <c r="J11">
        <f>_xll.RssMarket("6525.T", "最良売気配数量4")</f>
        <v>11700</v>
      </c>
      <c r="L11">
        <f>_xll.RssMarket("6525.T", "最良売気配値4")</f>
        <v>3131</v>
      </c>
      <c r="P11" t="s">
        <v>129</v>
      </c>
      <c r="Q11">
        <f>_xll.RssMarket("6525.T", "上場来高値")</f>
        <v>5940</v>
      </c>
      <c r="R11" t="str">
        <f>_xll.RssMarket("6525.T", "上場来高値日付")</f>
        <v>2024/07/17</v>
      </c>
    </row>
    <row r="12" spans="1:25">
      <c r="B12" t="s">
        <v>587</v>
      </c>
      <c r="C12" t="s">
        <v>175</v>
      </c>
      <c r="D12" t="s">
        <v>8</v>
      </c>
      <c r="E12" t="s">
        <v>8</v>
      </c>
      <c r="F12" t="s">
        <v>8</v>
      </c>
      <c r="G12" t="s">
        <v>8</v>
      </c>
      <c r="H12">
        <v>0</v>
      </c>
      <c r="J12">
        <f>_xll.RssMarket("6525.T", "最良売気配数量3")</f>
        <v>5600</v>
      </c>
      <c r="L12">
        <f>_xll.RssMarket("6525.T", "最良売気配値3")</f>
        <v>3130</v>
      </c>
      <c r="P12" t="s">
        <v>130</v>
      </c>
      <c r="Q12">
        <f>_xll.RssMarket("6525.T", "上場来安値")</f>
        <v>1666.5</v>
      </c>
      <c r="R12" t="str">
        <f>_xll.RssMarket("6525.T", "上場来安値日付")</f>
        <v>2025/04/09</v>
      </c>
    </row>
    <row r="13" spans="1:25">
      <c r="B13" t="s">
        <v>587</v>
      </c>
      <c r="C13" t="s">
        <v>176</v>
      </c>
      <c r="D13" t="s">
        <v>8</v>
      </c>
      <c r="E13" t="s">
        <v>8</v>
      </c>
      <c r="F13" t="s">
        <v>8</v>
      </c>
      <c r="G13" t="s">
        <v>8</v>
      </c>
      <c r="H13">
        <v>0</v>
      </c>
      <c r="J13">
        <f>_xll.RssMarket("6525.T", "最良売気配数量2")</f>
        <v>100</v>
      </c>
      <c r="L13">
        <f>_xll.RssMarket("6525.T", "最良売気配値2")</f>
        <v>3129</v>
      </c>
    </row>
    <row r="14" spans="1:25">
      <c r="B14" t="s">
        <v>587</v>
      </c>
      <c r="C14" t="s">
        <v>177</v>
      </c>
      <c r="D14" t="s">
        <v>8</v>
      </c>
      <c r="E14" t="s">
        <v>8</v>
      </c>
      <c r="F14" t="s">
        <v>8</v>
      </c>
      <c r="G14" t="s">
        <v>8</v>
      </c>
      <c r="H14">
        <v>0</v>
      </c>
      <c r="J14">
        <f>_xll.RssMarket("6525.T", "最良売気配数量1")</f>
        <v>200</v>
      </c>
      <c r="K14" t="str">
        <f>_xll.RssMarket("6525.T", "特別売気配フラグ")</f>
        <v xml:space="preserve"> </v>
      </c>
      <c r="L14">
        <f>_xll.RssMarket("6525.T", "最良売気配値1")</f>
        <v>3128</v>
      </c>
    </row>
    <row r="15" spans="1:25">
      <c r="B15" t="s">
        <v>587</v>
      </c>
      <c r="C15" t="s">
        <v>178</v>
      </c>
      <c r="D15">
        <v>3059</v>
      </c>
      <c r="E15">
        <v>3069</v>
      </c>
      <c r="F15">
        <v>3031</v>
      </c>
      <c r="G15">
        <v>3038</v>
      </c>
      <c r="H15">
        <v>449500</v>
      </c>
      <c r="L15">
        <f>_xll.RssMarket("6525.T", "最良買気配値1")</f>
        <v>3125</v>
      </c>
      <c r="M15" t="str">
        <f>_xll.RssMarket("6525.T", "特別買気配フラグ")</f>
        <v xml:space="preserve"> </v>
      </c>
      <c r="N15">
        <f>_xll.RssMarket("6525.T", "最良買気配数量1")</f>
        <v>5900</v>
      </c>
    </row>
    <row r="16" spans="1:25">
      <c r="B16" t="s">
        <v>587</v>
      </c>
      <c r="C16" t="s">
        <v>179</v>
      </c>
      <c r="D16">
        <v>3037</v>
      </c>
      <c r="E16">
        <v>3043</v>
      </c>
      <c r="F16">
        <v>3006</v>
      </c>
      <c r="G16">
        <v>3031</v>
      </c>
      <c r="H16">
        <v>248700</v>
      </c>
      <c r="L16">
        <f>_xll.RssMarket("6525.T", "最良買気配値2")</f>
        <v>3124</v>
      </c>
      <c r="N16">
        <f>_xll.RssMarket("6525.T", "最良買気配数量2")</f>
        <v>300</v>
      </c>
    </row>
    <row r="17" spans="2:14">
      <c r="B17" t="s">
        <v>587</v>
      </c>
      <c r="C17" t="s">
        <v>180</v>
      </c>
      <c r="D17">
        <v>3030</v>
      </c>
      <c r="E17">
        <v>3030</v>
      </c>
      <c r="F17">
        <v>2993</v>
      </c>
      <c r="G17">
        <v>3004</v>
      </c>
      <c r="H17">
        <v>154300</v>
      </c>
      <c r="L17">
        <f>_xll.RssMarket("6525.T", "最良買気配値3")</f>
        <v>3123</v>
      </c>
      <c r="N17">
        <f>_xll.RssMarket("6525.T", "最良買気配数量3")</f>
        <v>200</v>
      </c>
    </row>
    <row r="18" spans="2:14">
      <c r="B18" t="s">
        <v>587</v>
      </c>
      <c r="C18" t="s">
        <v>181</v>
      </c>
      <c r="D18">
        <v>3002</v>
      </c>
      <c r="E18">
        <v>3002</v>
      </c>
      <c r="F18">
        <v>2987.5</v>
      </c>
      <c r="G18">
        <v>2988</v>
      </c>
      <c r="H18">
        <v>76800</v>
      </c>
      <c r="L18">
        <f>_xll.RssMarket("6525.T", "最良買気配値4")</f>
        <v>3122</v>
      </c>
      <c r="N18">
        <f>_xll.RssMarket("6525.T", "最良買気配数量4")</f>
        <v>6200</v>
      </c>
    </row>
    <row r="19" spans="2:14">
      <c r="B19" t="s">
        <v>587</v>
      </c>
      <c r="C19" t="s">
        <v>182</v>
      </c>
      <c r="D19">
        <v>2987.5</v>
      </c>
      <c r="E19">
        <v>2987.5</v>
      </c>
      <c r="F19">
        <v>2950.5</v>
      </c>
      <c r="G19">
        <v>2955</v>
      </c>
      <c r="H19">
        <v>130400</v>
      </c>
      <c r="L19">
        <f>_xll.RssMarket("6525.T", "最良買気配値5")</f>
        <v>3121</v>
      </c>
      <c r="N19">
        <f>_xll.RssMarket("6525.T", "最良買気配数量5")</f>
        <v>300</v>
      </c>
    </row>
    <row r="20" spans="2:14">
      <c r="B20" t="s">
        <v>587</v>
      </c>
      <c r="C20" t="s">
        <v>183</v>
      </c>
      <c r="D20">
        <v>2952.5</v>
      </c>
      <c r="E20">
        <v>2963</v>
      </c>
      <c r="F20">
        <v>2943</v>
      </c>
      <c r="G20">
        <v>2952.5</v>
      </c>
      <c r="H20">
        <v>185300</v>
      </c>
      <c r="L20">
        <f>_xll.RssMarket("6525.T", "最良買気配値6")</f>
        <v>3120</v>
      </c>
      <c r="N20">
        <f>_xll.RssMarket("6525.T", "最良買気配数量6")</f>
        <v>900</v>
      </c>
    </row>
    <row r="21" spans="2:14">
      <c r="B21" t="s">
        <v>587</v>
      </c>
      <c r="C21" t="s">
        <v>184</v>
      </c>
      <c r="D21">
        <v>2952.5</v>
      </c>
      <c r="E21">
        <v>2966</v>
      </c>
      <c r="F21">
        <v>2943</v>
      </c>
      <c r="G21">
        <v>2943.5</v>
      </c>
      <c r="H21">
        <v>100800</v>
      </c>
      <c r="L21">
        <f>_xll.RssMarket("6525.T", "最良買気配値7")</f>
        <v>3118</v>
      </c>
      <c r="N21">
        <f>_xll.RssMarket("6525.T", "最良買気配数量7")</f>
        <v>300</v>
      </c>
    </row>
    <row r="22" spans="2:14">
      <c r="B22" t="s">
        <v>587</v>
      </c>
      <c r="C22" t="s">
        <v>185</v>
      </c>
      <c r="D22">
        <v>2942.5</v>
      </c>
      <c r="E22">
        <v>2943.5</v>
      </c>
      <c r="F22">
        <v>2922</v>
      </c>
      <c r="G22">
        <v>2939.5</v>
      </c>
      <c r="H22">
        <v>106200</v>
      </c>
      <c r="L22">
        <f>_xll.RssMarket("6525.T", "最良買気配値8")</f>
        <v>3117</v>
      </c>
      <c r="N22">
        <f>_xll.RssMarket("6525.T", "最良買気配数量8")</f>
        <v>100</v>
      </c>
    </row>
    <row r="23" spans="2:14">
      <c r="B23" t="s">
        <v>587</v>
      </c>
      <c r="C23" t="s">
        <v>186</v>
      </c>
      <c r="D23">
        <v>2939.5</v>
      </c>
      <c r="E23">
        <v>2953</v>
      </c>
      <c r="F23">
        <v>2936.5</v>
      </c>
      <c r="G23">
        <v>2936.5</v>
      </c>
      <c r="H23">
        <v>53900</v>
      </c>
      <c r="L23">
        <f>_xll.RssMarket("6525.T", "最良買気配値9")</f>
        <v>3116</v>
      </c>
      <c r="N23">
        <f>_xll.RssMarket("6525.T", "最良買気配数量9")</f>
        <v>7700</v>
      </c>
    </row>
    <row r="24" spans="2:14">
      <c r="B24" t="s">
        <v>587</v>
      </c>
      <c r="C24" t="s">
        <v>187</v>
      </c>
      <c r="D24">
        <v>2938</v>
      </c>
      <c r="E24">
        <v>2953.5</v>
      </c>
      <c r="F24">
        <v>2936.5</v>
      </c>
      <c r="G24">
        <v>2953.5</v>
      </c>
      <c r="H24">
        <v>66000</v>
      </c>
      <c r="L24">
        <f>_xll.RssMarket("6525.T", "最良買気配値10")</f>
        <v>3115</v>
      </c>
      <c r="N24">
        <f>_xll.RssMarket("6525.T", "最良買気配数量10")</f>
        <v>500</v>
      </c>
    </row>
    <row r="25" spans="2:14">
      <c r="B25" t="s">
        <v>587</v>
      </c>
      <c r="C25" t="s">
        <v>188</v>
      </c>
      <c r="D25">
        <v>2953.5</v>
      </c>
      <c r="E25">
        <v>2963</v>
      </c>
      <c r="F25">
        <v>2935.5</v>
      </c>
      <c r="G25">
        <v>2935.5</v>
      </c>
      <c r="H25">
        <v>56900</v>
      </c>
      <c r="L25" t="s">
        <v>80</v>
      </c>
      <c r="N25">
        <f>_xll.RssMarket("6525.T", "UNDER気配数量")</f>
        <v>493500</v>
      </c>
    </row>
    <row r="26" spans="2:14">
      <c r="B26" t="s">
        <v>587</v>
      </c>
      <c r="C26" t="s">
        <v>189</v>
      </c>
      <c r="D26">
        <v>2936</v>
      </c>
      <c r="E26">
        <v>2946.5</v>
      </c>
      <c r="F26">
        <v>2934</v>
      </c>
      <c r="G26">
        <v>2940</v>
      </c>
      <c r="H26">
        <v>48500</v>
      </c>
    </row>
    <row r="27" spans="2:14">
      <c r="B27" t="s">
        <v>587</v>
      </c>
      <c r="C27" t="s">
        <v>190</v>
      </c>
      <c r="D27">
        <v>2940.5</v>
      </c>
      <c r="E27">
        <v>2943.5</v>
      </c>
      <c r="F27">
        <v>2935</v>
      </c>
      <c r="G27">
        <v>2943.5</v>
      </c>
      <c r="H27">
        <v>38800</v>
      </c>
    </row>
    <row r="28" spans="2:14">
      <c r="B28" t="s">
        <v>587</v>
      </c>
      <c r="C28" t="s">
        <v>191</v>
      </c>
      <c r="D28">
        <v>2942</v>
      </c>
      <c r="E28">
        <v>2943.5</v>
      </c>
      <c r="F28">
        <v>2937</v>
      </c>
      <c r="G28">
        <v>2940</v>
      </c>
      <c r="H28">
        <v>35900</v>
      </c>
    </row>
    <row r="29" spans="2:14">
      <c r="B29" t="s">
        <v>587</v>
      </c>
      <c r="C29" t="s">
        <v>192</v>
      </c>
      <c r="D29">
        <v>2940</v>
      </c>
      <c r="E29">
        <v>2943.5</v>
      </c>
      <c r="F29">
        <v>2938</v>
      </c>
      <c r="G29">
        <v>2940</v>
      </c>
      <c r="H29">
        <v>31600</v>
      </c>
    </row>
    <row r="30" spans="2:14">
      <c r="B30" t="s">
        <v>587</v>
      </c>
      <c r="C30" t="s">
        <v>193</v>
      </c>
      <c r="D30">
        <v>2939.5</v>
      </c>
      <c r="E30">
        <v>2951</v>
      </c>
      <c r="F30">
        <v>2937.5</v>
      </c>
      <c r="G30">
        <v>2942</v>
      </c>
      <c r="H30">
        <v>52800</v>
      </c>
    </row>
    <row r="31" spans="2:14">
      <c r="B31" t="s">
        <v>587</v>
      </c>
      <c r="C31" t="s">
        <v>194</v>
      </c>
      <c r="D31">
        <v>2942.5</v>
      </c>
      <c r="E31">
        <v>2949.5</v>
      </c>
      <c r="F31">
        <v>2930.5</v>
      </c>
      <c r="G31">
        <v>2931.5</v>
      </c>
      <c r="H31">
        <v>62700</v>
      </c>
    </row>
    <row r="32" spans="2:14">
      <c r="B32" t="s">
        <v>587</v>
      </c>
      <c r="C32" t="s">
        <v>195</v>
      </c>
      <c r="D32">
        <v>2931.5</v>
      </c>
      <c r="E32">
        <v>2940.5</v>
      </c>
      <c r="F32">
        <v>2931.5</v>
      </c>
      <c r="G32">
        <v>2940.5</v>
      </c>
      <c r="H32">
        <v>52600</v>
      </c>
    </row>
    <row r="33" spans="2:8">
      <c r="B33" t="s">
        <v>587</v>
      </c>
      <c r="C33" t="s">
        <v>196</v>
      </c>
      <c r="D33">
        <v>2940.5</v>
      </c>
      <c r="E33">
        <v>2972.5</v>
      </c>
      <c r="F33">
        <v>2939</v>
      </c>
      <c r="G33">
        <v>2972</v>
      </c>
      <c r="H33">
        <v>64500</v>
      </c>
    </row>
    <row r="34" spans="2:8">
      <c r="B34" t="s">
        <v>587</v>
      </c>
      <c r="C34" t="s">
        <v>197</v>
      </c>
      <c r="D34">
        <v>2973</v>
      </c>
      <c r="E34">
        <v>2990.5</v>
      </c>
      <c r="F34">
        <v>2966.5</v>
      </c>
      <c r="G34">
        <v>2987</v>
      </c>
      <c r="H34">
        <v>79300</v>
      </c>
    </row>
    <row r="35" spans="2:8">
      <c r="B35" t="s">
        <v>587</v>
      </c>
      <c r="C35" t="s">
        <v>198</v>
      </c>
      <c r="D35">
        <v>2987</v>
      </c>
      <c r="E35">
        <v>3010</v>
      </c>
      <c r="F35">
        <v>2985</v>
      </c>
      <c r="G35">
        <v>3005</v>
      </c>
      <c r="H35">
        <v>70400</v>
      </c>
    </row>
    <row r="36" spans="2:8">
      <c r="B36" t="s">
        <v>587</v>
      </c>
      <c r="C36" t="s">
        <v>199</v>
      </c>
      <c r="D36">
        <v>3005</v>
      </c>
      <c r="E36">
        <v>3019</v>
      </c>
      <c r="F36">
        <v>3003</v>
      </c>
      <c r="G36">
        <v>3015</v>
      </c>
      <c r="H36">
        <v>90200</v>
      </c>
    </row>
    <row r="37" spans="2:8">
      <c r="B37" t="s">
        <v>587</v>
      </c>
      <c r="C37" t="s">
        <v>200</v>
      </c>
      <c r="D37">
        <v>3015</v>
      </c>
      <c r="E37">
        <v>3032</v>
      </c>
      <c r="F37">
        <v>3009</v>
      </c>
      <c r="G37">
        <v>3029</v>
      </c>
      <c r="H37">
        <v>57700</v>
      </c>
    </row>
    <row r="38" spans="2:8">
      <c r="B38" t="s">
        <v>587</v>
      </c>
      <c r="C38" t="s">
        <v>201</v>
      </c>
      <c r="D38">
        <v>3029</v>
      </c>
      <c r="E38">
        <v>3038</v>
      </c>
      <c r="F38">
        <v>3027</v>
      </c>
      <c r="G38">
        <v>3037</v>
      </c>
      <c r="H38">
        <v>40200</v>
      </c>
    </row>
    <row r="39" spans="2:8">
      <c r="B39" t="s">
        <v>587</v>
      </c>
      <c r="C39" t="s">
        <v>202</v>
      </c>
      <c r="D39">
        <v>3037</v>
      </c>
      <c r="E39">
        <v>3042</v>
      </c>
      <c r="F39">
        <v>3032</v>
      </c>
      <c r="G39">
        <v>3041</v>
      </c>
      <c r="H39">
        <v>59700</v>
      </c>
    </row>
    <row r="40" spans="2:8">
      <c r="B40" t="s">
        <v>587</v>
      </c>
      <c r="C40" t="s">
        <v>203</v>
      </c>
      <c r="D40">
        <v>3041</v>
      </c>
      <c r="E40">
        <v>3049</v>
      </c>
      <c r="F40">
        <v>3035</v>
      </c>
      <c r="G40">
        <v>3042</v>
      </c>
      <c r="H40">
        <v>65600</v>
      </c>
    </row>
    <row r="41" spans="2:8">
      <c r="B41" t="s">
        <v>587</v>
      </c>
      <c r="C41" t="s">
        <v>204</v>
      </c>
      <c r="D41">
        <v>3042</v>
      </c>
      <c r="E41">
        <v>3063</v>
      </c>
      <c r="F41">
        <v>3042</v>
      </c>
      <c r="G41">
        <v>3060</v>
      </c>
      <c r="H41">
        <v>41800</v>
      </c>
    </row>
    <row r="42" spans="2:8">
      <c r="B42" t="s">
        <v>587</v>
      </c>
      <c r="C42" t="s">
        <v>205</v>
      </c>
      <c r="D42">
        <v>3060</v>
      </c>
      <c r="E42">
        <v>3064</v>
      </c>
      <c r="F42">
        <v>3055</v>
      </c>
      <c r="G42">
        <v>3056</v>
      </c>
      <c r="H42">
        <v>34800</v>
      </c>
    </row>
    <row r="43" spans="2:8">
      <c r="B43" t="s">
        <v>587</v>
      </c>
      <c r="C43" t="s">
        <v>206</v>
      </c>
      <c r="D43">
        <v>3057</v>
      </c>
      <c r="E43">
        <v>3096</v>
      </c>
      <c r="F43">
        <v>3057</v>
      </c>
      <c r="G43">
        <v>3071</v>
      </c>
      <c r="H43">
        <v>101700</v>
      </c>
    </row>
    <row r="44" spans="2:8">
      <c r="B44" t="s">
        <v>587</v>
      </c>
      <c r="C44" t="s">
        <v>207</v>
      </c>
      <c r="D44">
        <v>3072</v>
      </c>
      <c r="E44">
        <v>3075</v>
      </c>
      <c r="F44">
        <v>3060</v>
      </c>
      <c r="G44">
        <v>3063</v>
      </c>
      <c r="H44">
        <v>68200</v>
      </c>
    </row>
    <row r="45" spans="2:8">
      <c r="B45" t="s">
        <v>587</v>
      </c>
      <c r="C45" t="s">
        <v>208</v>
      </c>
      <c r="D45">
        <v>3063</v>
      </c>
      <c r="E45">
        <v>3066</v>
      </c>
      <c r="F45">
        <v>3033</v>
      </c>
      <c r="G45">
        <v>3042</v>
      </c>
      <c r="H45">
        <v>73400</v>
      </c>
    </row>
    <row r="46" spans="2:8">
      <c r="B46" t="s">
        <v>587</v>
      </c>
      <c r="C46" t="s">
        <v>209</v>
      </c>
      <c r="D46">
        <v>3044</v>
      </c>
      <c r="E46">
        <v>3051</v>
      </c>
      <c r="F46">
        <v>3040</v>
      </c>
      <c r="G46">
        <v>3041</v>
      </c>
      <c r="H46">
        <v>35000</v>
      </c>
    </row>
    <row r="47" spans="2:8">
      <c r="B47" t="s">
        <v>587</v>
      </c>
      <c r="C47" t="s">
        <v>210</v>
      </c>
      <c r="D47">
        <v>3040</v>
      </c>
      <c r="E47">
        <v>3046</v>
      </c>
      <c r="F47">
        <v>3033</v>
      </c>
      <c r="G47">
        <v>3040</v>
      </c>
      <c r="H47">
        <v>35100</v>
      </c>
    </row>
    <row r="48" spans="2:8">
      <c r="B48" t="s">
        <v>587</v>
      </c>
      <c r="C48" t="s">
        <v>211</v>
      </c>
      <c r="D48">
        <v>3040</v>
      </c>
      <c r="E48">
        <v>3057</v>
      </c>
      <c r="F48">
        <v>3031</v>
      </c>
      <c r="G48">
        <v>3054</v>
      </c>
      <c r="H48">
        <v>42100</v>
      </c>
    </row>
    <row r="49" spans="2:8">
      <c r="B49" t="s">
        <v>587</v>
      </c>
      <c r="C49" t="s">
        <v>212</v>
      </c>
      <c r="D49">
        <v>3054</v>
      </c>
      <c r="E49">
        <v>3079</v>
      </c>
      <c r="F49">
        <v>3047</v>
      </c>
      <c r="G49">
        <v>3077</v>
      </c>
      <c r="H49">
        <v>45200</v>
      </c>
    </row>
    <row r="50" spans="2:8">
      <c r="B50" t="s">
        <v>587</v>
      </c>
      <c r="C50" t="s">
        <v>213</v>
      </c>
      <c r="D50">
        <v>3077</v>
      </c>
      <c r="E50">
        <v>3077</v>
      </c>
      <c r="F50">
        <v>3057</v>
      </c>
      <c r="G50">
        <v>3066</v>
      </c>
      <c r="H50">
        <v>25900</v>
      </c>
    </row>
    <row r="51" spans="2:8">
      <c r="B51" t="s">
        <v>587</v>
      </c>
      <c r="C51" t="s">
        <v>214</v>
      </c>
      <c r="D51">
        <v>3066</v>
      </c>
      <c r="E51">
        <v>3090</v>
      </c>
      <c r="F51">
        <v>3066</v>
      </c>
      <c r="G51">
        <v>3088</v>
      </c>
      <c r="H51">
        <v>53200</v>
      </c>
    </row>
    <row r="52" spans="2:8">
      <c r="B52" t="s">
        <v>587</v>
      </c>
      <c r="C52" t="s">
        <v>215</v>
      </c>
      <c r="D52">
        <v>3089</v>
      </c>
      <c r="E52">
        <v>3089</v>
      </c>
      <c r="F52">
        <v>3055</v>
      </c>
      <c r="G52">
        <v>3059</v>
      </c>
      <c r="H52">
        <v>35500</v>
      </c>
    </row>
    <row r="53" spans="2:8">
      <c r="B53" t="s">
        <v>587</v>
      </c>
      <c r="C53" t="s">
        <v>216</v>
      </c>
      <c r="D53">
        <v>3057</v>
      </c>
      <c r="E53">
        <v>3057</v>
      </c>
      <c r="F53">
        <v>3032</v>
      </c>
      <c r="G53">
        <v>3032</v>
      </c>
      <c r="H53">
        <v>39300</v>
      </c>
    </row>
    <row r="54" spans="2:8">
      <c r="B54" t="s">
        <v>587</v>
      </c>
      <c r="C54" t="s">
        <v>217</v>
      </c>
      <c r="D54">
        <v>3033</v>
      </c>
      <c r="E54">
        <v>3041</v>
      </c>
      <c r="F54">
        <v>3024</v>
      </c>
      <c r="G54">
        <v>3028</v>
      </c>
      <c r="H54">
        <v>51100</v>
      </c>
    </row>
    <row r="55" spans="2:8">
      <c r="B55" t="s">
        <v>587</v>
      </c>
      <c r="C55" t="s">
        <v>218</v>
      </c>
      <c r="D55">
        <v>3027</v>
      </c>
      <c r="E55">
        <v>3031</v>
      </c>
      <c r="F55">
        <v>3014</v>
      </c>
      <c r="G55">
        <v>3017</v>
      </c>
      <c r="H55">
        <v>32900</v>
      </c>
    </row>
    <row r="56" spans="2:8">
      <c r="B56" t="s">
        <v>587</v>
      </c>
      <c r="C56" t="s">
        <v>219</v>
      </c>
      <c r="D56">
        <v>3016</v>
      </c>
      <c r="E56">
        <v>3016</v>
      </c>
      <c r="F56">
        <v>3007</v>
      </c>
      <c r="G56">
        <v>3010</v>
      </c>
      <c r="H56">
        <v>27900</v>
      </c>
    </row>
    <row r="57" spans="2:8">
      <c r="B57" t="s">
        <v>587</v>
      </c>
      <c r="C57" t="s">
        <v>220</v>
      </c>
      <c r="D57">
        <v>3010</v>
      </c>
      <c r="E57">
        <v>3010</v>
      </c>
      <c r="F57">
        <v>2997</v>
      </c>
      <c r="G57">
        <v>3003</v>
      </c>
      <c r="H57">
        <v>52400</v>
      </c>
    </row>
    <row r="58" spans="2:8">
      <c r="B58" t="s">
        <v>587</v>
      </c>
      <c r="C58" t="s">
        <v>221</v>
      </c>
      <c r="D58">
        <v>3002</v>
      </c>
      <c r="E58">
        <v>3006</v>
      </c>
      <c r="F58">
        <v>2998.5</v>
      </c>
      <c r="G58">
        <v>3000</v>
      </c>
      <c r="H58">
        <v>38000</v>
      </c>
    </row>
    <row r="59" spans="2:8">
      <c r="B59" t="s">
        <v>587</v>
      </c>
      <c r="C59" t="s">
        <v>222</v>
      </c>
      <c r="D59">
        <v>2999.5</v>
      </c>
      <c r="E59">
        <v>3006</v>
      </c>
      <c r="F59">
        <v>2999.5</v>
      </c>
      <c r="G59">
        <v>3006</v>
      </c>
      <c r="H59">
        <v>21500</v>
      </c>
    </row>
    <row r="60" spans="2:8">
      <c r="B60" t="s">
        <v>587</v>
      </c>
      <c r="C60" t="s">
        <v>223</v>
      </c>
      <c r="D60">
        <v>3006</v>
      </c>
      <c r="E60">
        <v>3006</v>
      </c>
      <c r="F60">
        <v>2997</v>
      </c>
      <c r="G60">
        <v>2997</v>
      </c>
      <c r="H60">
        <v>18800</v>
      </c>
    </row>
    <row r="61" spans="2:8">
      <c r="B61" t="s">
        <v>587</v>
      </c>
      <c r="C61" t="s">
        <v>224</v>
      </c>
      <c r="D61">
        <v>2996</v>
      </c>
      <c r="E61">
        <v>2996</v>
      </c>
      <c r="F61">
        <v>2981.5</v>
      </c>
      <c r="G61">
        <v>2983</v>
      </c>
      <c r="H61">
        <v>45500</v>
      </c>
    </row>
    <row r="62" spans="2:8">
      <c r="B62" t="s">
        <v>587</v>
      </c>
      <c r="C62" t="s">
        <v>225</v>
      </c>
      <c r="D62">
        <v>2982.5</v>
      </c>
      <c r="E62">
        <v>2998.5</v>
      </c>
      <c r="F62">
        <v>2980.5</v>
      </c>
      <c r="G62">
        <v>2995</v>
      </c>
      <c r="H62">
        <v>32300</v>
      </c>
    </row>
    <row r="63" spans="2:8">
      <c r="B63" t="s">
        <v>587</v>
      </c>
      <c r="C63" t="s">
        <v>226</v>
      </c>
      <c r="D63">
        <v>2994</v>
      </c>
      <c r="E63">
        <v>2999</v>
      </c>
      <c r="F63">
        <v>2992.5</v>
      </c>
      <c r="G63">
        <v>2994.5</v>
      </c>
      <c r="H63">
        <v>20400</v>
      </c>
    </row>
    <row r="64" spans="2:8">
      <c r="B64" t="s">
        <v>587</v>
      </c>
      <c r="C64" t="s">
        <v>227</v>
      </c>
      <c r="D64">
        <v>2995</v>
      </c>
      <c r="E64">
        <v>3010</v>
      </c>
      <c r="F64">
        <v>2994.5</v>
      </c>
      <c r="G64">
        <v>3007</v>
      </c>
      <c r="H64">
        <v>26700</v>
      </c>
    </row>
    <row r="65" spans="2:8">
      <c r="B65" t="s">
        <v>587</v>
      </c>
      <c r="C65" t="s">
        <v>228</v>
      </c>
      <c r="D65">
        <v>3006</v>
      </c>
      <c r="E65">
        <v>3019</v>
      </c>
      <c r="F65">
        <v>3005</v>
      </c>
      <c r="G65">
        <v>3019</v>
      </c>
      <c r="H65">
        <v>15100</v>
      </c>
    </row>
    <row r="66" spans="2:8">
      <c r="B66" t="s">
        <v>587</v>
      </c>
      <c r="C66" t="s">
        <v>229</v>
      </c>
      <c r="D66">
        <v>3018</v>
      </c>
      <c r="E66">
        <v>3025</v>
      </c>
      <c r="F66">
        <v>3016</v>
      </c>
      <c r="G66">
        <v>3025</v>
      </c>
      <c r="H66">
        <v>27400</v>
      </c>
    </row>
    <row r="67" spans="2:8">
      <c r="B67" t="s">
        <v>587</v>
      </c>
      <c r="C67" t="s">
        <v>230</v>
      </c>
      <c r="D67">
        <v>3024</v>
      </c>
      <c r="E67">
        <v>3025</v>
      </c>
      <c r="F67">
        <v>3021</v>
      </c>
      <c r="G67">
        <v>3025</v>
      </c>
      <c r="H67">
        <v>10900</v>
      </c>
    </row>
    <row r="68" spans="2:8">
      <c r="B68" t="s">
        <v>587</v>
      </c>
      <c r="C68" t="s">
        <v>231</v>
      </c>
      <c r="D68">
        <v>3025</v>
      </c>
      <c r="E68">
        <v>3025</v>
      </c>
      <c r="F68">
        <v>3017</v>
      </c>
      <c r="G68">
        <v>3022</v>
      </c>
      <c r="H68">
        <v>28600</v>
      </c>
    </row>
    <row r="69" spans="2:8">
      <c r="B69" t="s">
        <v>587</v>
      </c>
      <c r="C69" t="s">
        <v>232</v>
      </c>
      <c r="D69">
        <v>3021</v>
      </c>
      <c r="E69">
        <v>3024</v>
      </c>
      <c r="F69">
        <v>3008</v>
      </c>
      <c r="G69">
        <v>3013</v>
      </c>
      <c r="H69">
        <v>30600</v>
      </c>
    </row>
    <row r="70" spans="2:8">
      <c r="B70" t="s">
        <v>587</v>
      </c>
      <c r="C70" t="s">
        <v>233</v>
      </c>
      <c r="D70">
        <v>3013</v>
      </c>
      <c r="E70">
        <v>3017</v>
      </c>
      <c r="F70">
        <v>2998.5</v>
      </c>
      <c r="G70">
        <v>3002</v>
      </c>
      <c r="H70">
        <v>46200</v>
      </c>
    </row>
    <row r="71" spans="2:8">
      <c r="B71" t="s">
        <v>587</v>
      </c>
      <c r="C71" t="s">
        <v>234</v>
      </c>
      <c r="D71">
        <v>3002</v>
      </c>
      <c r="E71">
        <v>3003</v>
      </c>
      <c r="F71">
        <v>2996</v>
      </c>
      <c r="G71">
        <v>2997.5</v>
      </c>
      <c r="H71">
        <v>22600</v>
      </c>
    </row>
    <row r="72" spans="2:8">
      <c r="B72" t="s">
        <v>587</v>
      </c>
      <c r="C72" t="s">
        <v>235</v>
      </c>
      <c r="D72">
        <v>2997</v>
      </c>
      <c r="E72">
        <v>2998</v>
      </c>
      <c r="F72">
        <v>2990.5</v>
      </c>
      <c r="G72">
        <v>2994</v>
      </c>
      <c r="H72">
        <v>26400</v>
      </c>
    </row>
    <row r="73" spans="2:8">
      <c r="B73" t="s">
        <v>587</v>
      </c>
      <c r="C73" t="s">
        <v>236</v>
      </c>
      <c r="D73">
        <v>2994</v>
      </c>
      <c r="E73">
        <v>2998</v>
      </c>
      <c r="F73">
        <v>2993.5</v>
      </c>
      <c r="G73">
        <v>2996.5</v>
      </c>
      <c r="H73">
        <v>15900</v>
      </c>
    </row>
    <row r="74" spans="2:8">
      <c r="B74" t="s">
        <v>587</v>
      </c>
      <c r="C74" t="s">
        <v>237</v>
      </c>
      <c r="D74">
        <v>2996.5</v>
      </c>
      <c r="E74">
        <v>2999</v>
      </c>
      <c r="F74">
        <v>2994.5</v>
      </c>
      <c r="G74">
        <v>2997.5</v>
      </c>
      <c r="H74">
        <v>9200</v>
      </c>
    </row>
    <row r="75" spans="2:8">
      <c r="B75" t="s">
        <v>587</v>
      </c>
      <c r="C75" t="s">
        <v>238</v>
      </c>
      <c r="D75">
        <v>2997.5</v>
      </c>
      <c r="E75">
        <v>3006</v>
      </c>
      <c r="F75">
        <v>2997.5</v>
      </c>
      <c r="G75">
        <v>3004</v>
      </c>
      <c r="H75">
        <v>12900</v>
      </c>
    </row>
    <row r="76" spans="2:8">
      <c r="B76" t="s">
        <v>587</v>
      </c>
      <c r="C76" t="s">
        <v>239</v>
      </c>
      <c r="D76">
        <v>3002</v>
      </c>
      <c r="E76">
        <v>3006</v>
      </c>
      <c r="F76">
        <v>3001</v>
      </c>
      <c r="G76">
        <v>3005</v>
      </c>
      <c r="H76">
        <v>8400</v>
      </c>
    </row>
    <row r="77" spans="2:8">
      <c r="B77" t="s">
        <v>587</v>
      </c>
      <c r="C77" t="s">
        <v>240</v>
      </c>
      <c r="D77">
        <v>3005</v>
      </c>
      <c r="E77">
        <v>3010</v>
      </c>
      <c r="F77">
        <v>3005</v>
      </c>
      <c r="G77">
        <v>3008</v>
      </c>
      <c r="H77">
        <v>9200</v>
      </c>
    </row>
    <row r="78" spans="2:8">
      <c r="B78" t="s">
        <v>587</v>
      </c>
      <c r="C78" t="s">
        <v>241</v>
      </c>
      <c r="D78">
        <v>3009</v>
      </c>
      <c r="E78">
        <v>3018</v>
      </c>
      <c r="F78">
        <v>3007</v>
      </c>
      <c r="G78">
        <v>3015</v>
      </c>
      <c r="H78">
        <v>25100</v>
      </c>
    </row>
    <row r="79" spans="2:8">
      <c r="B79" t="s">
        <v>587</v>
      </c>
      <c r="C79" t="s">
        <v>242</v>
      </c>
      <c r="D79">
        <v>3016</v>
      </c>
      <c r="E79">
        <v>3021</v>
      </c>
      <c r="F79">
        <v>3013</v>
      </c>
      <c r="G79">
        <v>3013</v>
      </c>
      <c r="H79">
        <v>17500</v>
      </c>
    </row>
    <row r="80" spans="2:8">
      <c r="B80" t="s">
        <v>587</v>
      </c>
      <c r="C80" t="s">
        <v>243</v>
      </c>
      <c r="D80">
        <v>3013</v>
      </c>
      <c r="E80">
        <v>3014</v>
      </c>
      <c r="F80">
        <v>3010</v>
      </c>
      <c r="G80">
        <v>3014</v>
      </c>
      <c r="H80">
        <v>15100</v>
      </c>
    </row>
    <row r="81" spans="2:8">
      <c r="B81" t="s">
        <v>587</v>
      </c>
      <c r="C81" t="s">
        <v>244</v>
      </c>
      <c r="D81">
        <v>3013</v>
      </c>
      <c r="E81">
        <v>3013</v>
      </c>
      <c r="F81">
        <v>3007</v>
      </c>
      <c r="G81">
        <v>3007</v>
      </c>
      <c r="H81">
        <v>7100</v>
      </c>
    </row>
    <row r="82" spans="2:8">
      <c r="B82" t="s">
        <v>587</v>
      </c>
      <c r="C82" t="s">
        <v>245</v>
      </c>
      <c r="D82">
        <v>3007</v>
      </c>
      <c r="E82">
        <v>3009</v>
      </c>
      <c r="F82">
        <v>3001</v>
      </c>
      <c r="G82">
        <v>3004</v>
      </c>
      <c r="H82">
        <v>9400</v>
      </c>
    </row>
    <row r="83" spans="2:8">
      <c r="B83" t="s">
        <v>587</v>
      </c>
      <c r="C83" t="s">
        <v>246</v>
      </c>
      <c r="D83">
        <v>3003</v>
      </c>
      <c r="E83">
        <v>3012</v>
      </c>
      <c r="F83">
        <v>3003</v>
      </c>
      <c r="G83">
        <v>3008</v>
      </c>
      <c r="H83">
        <v>17400</v>
      </c>
    </row>
    <row r="84" spans="2:8">
      <c r="B84" t="s">
        <v>587</v>
      </c>
      <c r="C84" t="s">
        <v>247</v>
      </c>
      <c r="D84">
        <v>3005</v>
      </c>
      <c r="E84">
        <v>3013</v>
      </c>
      <c r="F84">
        <v>3005</v>
      </c>
      <c r="G84">
        <v>3010</v>
      </c>
      <c r="H84">
        <v>9600</v>
      </c>
    </row>
    <row r="85" spans="2:8">
      <c r="B85" t="s">
        <v>587</v>
      </c>
      <c r="C85" t="s">
        <v>248</v>
      </c>
      <c r="D85">
        <v>3009</v>
      </c>
      <c r="E85">
        <v>3009</v>
      </c>
      <c r="F85">
        <v>3006</v>
      </c>
      <c r="G85">
        <v>3006</v>
      </c>
      <c r="H85">
        <v>2900</v>
      </c>
    </row>
    <row r="86" spans="2:8">
      <c r="B86" t="s">
        <v>587</v>
      </c>
      <c r="C86" t="s">
        <v>249</v>
      </c>
      <c r="D86">
        <v>3005</v>
      </c>
      <c r="E86">
        <v>3007</v>
      </c>
      <c r="F86">
        <v>3003</v>
      </c>
      <c r="G86">
        <v>3004</v>
      </c>
      <c r="H86">
        <v>8700</v>
      </c>
    </row>
    <row r="87" spans="2:8">
      <c r="B87" t="s">
        <v>587</v>
      </c>
      <c r="C87" t="s">
        <v>250</v>
      </c>
      <c r="D87">
        <v>3004</v>
      </c>
      <c r="E87">
        <v>3004</v>
      </c>
      <c r="F87">
        <v>3000</v>
      </c>
      <c r="G87">
        <v>3001</v>
      </c>
      <c r="H87">
        <v>12600</v>
      </c>
    </row>
    <row r="88" spans="2:8">
      <c r="B88" t="s">
        <v>587</v>
      </c>
      <c r="C88" t="s">
        <v>251</v>
      </c>
      <c r="D88">
        <v>3000</v>
      </c>
      <c r="E88">
        <v>3004</v>
      </c>
      <c r="F88">
        <v>2995.5</v>
      </c>
      <c r="G88">
        <v>2996</v>
      </c>
      <c r="H88">
        <v>29200</v>
      </c>
    </row>
    <row r="89" spans="2:8">
      <c r="B89" t="s">
        <v>587</v>
      </c>
      <c r="C89" t="s">
        <v>252</v>
      </c>
      <c r="D89">
        <v>2996.5</v>
      </c>
      <c r="E89">
        <v>3001</v>
      </c>
      <c r="F89">
        <v>2996.5</v>
      </c>
      <c r="G89">
        <v>3000</v>
      </c>
      <c r="H89">
        <v>11100</v>
      </c>
    </row>
    <row r="90" spans="2:8">
      <c r="B90" t="s">
        <v>587</v>
      </c>
      <c r="C90" t="s">
        <v>253</v>
      </c>
      <c r="D90">
        <v>3001</v>
      </c>
      <c r="E90">
        <v>3005</v>
      </c>
      <c r="F90">
        <v>3000</v>
      </c>
      <c r="G90">
        <v>3005</v>
      </c>
      <c r="H90">
        <v>9100</v>
      </c>
    </row>
    <row r="91" spans="2:8">
      <c r="B91" t="s">
        <v>587</v>
      </c>
      <c r="C91" t="s">
        <v>254</v>
      </c>
      <c r="D91">
        <v>3004</v>
      </c>
      <c r="E91">
        <v>3004</v>
      </c>
      <c r="F91">
        <v>2998.5</v>
      </c>
      <c r="G91">
        <v>3000</v>
      </c>
      <c r="H91">
        <v>14500</v>
      </c>
    </row>
    <row r="92" spans="2:8">
      <c r="B92" t="s">
        <v>587</v>
      </c>
      <c r="C92" t="s">
        <v>255</v>
      </c>
      <c r="D92">
        <v>3001</v>
      </c>
      <c r="E92">
        <v>3002</v>
      </c>
      <c r="F92">
        <v>2998.5</v>
      </c>
      <c r="G92">
        <v>3000</v>
      </c>
      <c r="H92">
        <v>12300</v>
      </c>
    </row>
    <row r="93" spans="2:8">
      <c r="B93" t="s">
        <v>587</v>
      </c>
      <c r="C93" t="s">
        <v>256</v>
      </c>
      <c r="D93">
        <v>3000</v>
      </c>
      <c r="E93">
        <v>3001</v>
      </c>
      <c r="F93">
        <v>2998.5</v>
      </c>
      <c r="G93">
        <v>2999</v>
      </c>
      <c r="H93">
        <v>6300</v>
      </c>
    </row>
    <row r="94" spans="2:8">
      <c r="B94" t="s">
        <v>587</v>
      </c>
      <c r="C94" t="s">
        <v>257</v>
      </c>
      <c r="D94">
        <v>2998</v>
      </c>
      <c r="E94">
        <v>3002</v>
      </c>
      <c r="F94">
        <v>2996</v>
      </c>
      <c r="G94">
        <v>3001</v>
      </c>
      <c r="H94">
        <v>28100</v>
      </c>
    </row>
    <row r="95" spans="2:8">
      <c r="B95" t="s">
        <v>587</v>
      </c>
      <c r="C95" t="s">
        <v>258</v>
      </c>
      <c r="D95">
        <v>3001</v>
      </c>
      <c r="E95">
        <v>3002</v>
      </c>
      <c r="F95">
        <v>2999.5</v>
      </c>
      <c r="G95">
        <v>3001</v>
      </c>
      <c r="H95">
        <v>9300</v>
      </c>
    </row>
    <row r="96" spans="2:8">
      <c r="B96" t="s">
        <v>587</v>
      </c>
      <c r="C96" t="s">
        <v>259</v>
      </c>
      <c r="D96">
        <v>3001</v>
      </c>
      <c r="E96">
        <v>3005</v>
      </c>
      <c r="F96">
        <v>2999.5</v>
      </c>
      <c r="G96">
        <v>3004</v>
      </c>
      <c r="H96">
        <v>16900</v>
      </c>
    </row>
    <row r="97" spans="2:8">
      <c r="B97" t="s">
        <v>587</v>
      </c>
      <c r="C97" t="s">
        <v>260</v>
      </c>
      <c r="D97">
        <v>3004</v>
      </c>
      <c r="E97">
        <v>3004</v>
      </c>
      <c r="F97">
        <v>3001</v>
      </c>
      <c r="G97">
        <v>3002</v>
      </c>
      <c r="H97">
        <v>8800</v>
      </c>
    </row>
    <row r="98" spans="2:8">
      <c r="B98" t="s">
        <v>587</v>
      </c>
      <c r="C98" t="s">
        <v>261</v>
      </c>
      <c r="D98">
        <v>3001</v>
      </c>
      <c r="E98">
        <v>3004</v>
      </c>
      <c r="F98">
        <v>3000</v>
      </c>
      <c r="G98">
        <v>3001</v>
      </c>
      <c r="H98">
        <v>9200</v>
      </c>
    </row>
    <row r="99" spans="2:8">
      <c r="B99" t="s">
        <v>587</v>
      </c>
      <c r="C99" t="s">
        <v>262</v>
      </c>
      <c r="D99">
        <v>3000</v>
      </c>
      <c r="E99">
        <v>3000</v>
      </c>
      <c r="F99">
        <v>2995.5</v>
      </c>
      <c r="G99">
        <v>2997</v>
      </c>
      <c r="H99">
        <v>27400</v>
      </c>
    </row>
    <row r="100" spans="2:8">
      <c r="B100" t="s">
        <v>587</v>
      </c>
      <c r="C100" t="s">
        <v>263</v>
      </c>
      <c r="D100">
        <v>2997</v>
      </c>
      <c r="E100">
        <v>3009</v>
      </c>
      <c r="F100">
        <v>2996.5</v>
      </c>
      <c r="G100">
        <v>3009</v>
      </c>
      <c r="H100">
        <v>24000</v>
      </c>
    </row>
    <row r="101" spans="2:8">
      <c r="B101" t="s">
        <v>587</v>
      </c>
      <c r="C101" t="s">
        <v>264</v>
      </c>
      <c r="D101">
        <v>3009</v>
      </c>
      <c r="E101">
        <v>3010</v>
      </c>
      <c r="F101">
        <v>3003</v>
      </c>
      <c r="G101">
        <v>3004</v>
      </c>
      <c r="H101">
        <v>10800</v>
      </c>
    </row>
    <row r="102" spans="2:8">
      <c r="B102" t="s">
        <v>587</v>
      </c>
      <c r="C102" t="s">
        <v>265</v>
      </c>
      <c r="D102">
        <v>3004</v>
      </c>
      <c r="E102">
        <v>3005</v>
      </c>
      <c r="F102">
        <v>3004</v>
      </c>
      <c r="G102">
        <v>3005</v>
      </c>
      <c r="H102">
        <v>2700</v>
      </c>
    </row>
    <row r="103" spans="2:8">
      <c r="B103" t="s">
        <v>587</v>
      </c>
      <c r="C103" t="s">
        <v>266</v>
      </c>
      <c r="D103">
        <v>3004</v>
      </c>
      <c r="E103">
        <v>3007</v>
      </c>
      <c r="F103">
        <v>3003</v>
      </c>
      <c r="G103">
        <v>3006</v>
      </c>
      <c r="H103">
        <v>10300</v>
      </c>
    </row>
    <row r="104" spans="2:8">
      <c r="B104" t="s">
        <v>587</v>
      </c>
      <c r="C104" t="s">
        <v>267</v>
      </c>
      <c r="D104">
        <v>3005</v>
      </c>
      <c r="E104">
        <v>3008</v>
      </c>
      <c r="F104">
        <v>3005</v>
      </c>
      <c r="G104">
        <v>3007</v>
      </c>
      <c r="H104">
        <v>6600</v>
      </c>
    </row>
    <row r="105" spans="2:8">
      <c r="B105" t="s">
        <v>587</v>
      </c>
      <c r="C105" t="s">
        <v>268</v>
      </c>
      <c r="D105">
        <v>3007</v>
      </c>
      <c r="E105">
        <v>3009</v>
      </c>
      <c r="F105">
        <v>3007</v>
      </c>
      <c r="G105">
        <v>3009</v>
      </c>
      <c r="H105">
        <v>6000</v>
      </c>
    </row>
    <row r="106" spans="2:8">
      <c r="B106" t="s">
        <v>587</v>
      </c>
      <c r="C106" t="s">
        <v>269</v>
      </c>
      <c r="D106">
        <v>3009</v>
      </c>
      <c r="E106">
        <v>3018</v>
      </c>
      <c r="F106">
        <v>3009</v>
      </c>
      <c r="G106">
        <v>3018</v>
      </c>
      <c r="H106">
        <v>11900</v>
      </c>
    </row>
    <row r="107" spans="2:8">
      <c r="B107" t="s">
        <v>587</v>
      </c>
      <c r="C107" t="s">
        <v>270</v>
      </c>
      <c r="D107">
        <v>3017</v>
      </c>
      <c r="E107">
        <v>3018</v>
      </c>
      <c r="F107">
        <v>3016</v>
      </c>
      <c r="G107">
        <v>3016</v>
      </c>
      <c r="H107">
        <v>7800</v>
      </c>
    </row>
    <row r="108" spans="2:8">
      <c r="B108" t="s">
        <v>587</v>
      </c>
      <c r="C108" t="s">
        <v>271</v>
      </c>
      <c r="D108">
        <v>3016</v>
      </c>
      <c r="E108">
        <v>3019</v>
      </c>
      <c r="F108">
        <v>3013</v>
      </c>
      <c r="G108">
        <v>3019</v>
      </c>
      <c r="H108">
        <v>10600</v>
      </c>
    </row>
    <row r="109" spans="2:8">
      <c r="B109" t="s">
        <v>587</v>
      </c>
      <c r="C109" t="s">
        <v>272</v>
      </c>
      <c r="D109">
        <v>3019</v>
      </c>
      <c r="E109">
        <v>3026</v>
      </c>
      <c r="F109">
        <v>3018</v>
      </c>
      <c r="G109">
        <v>3026</v>
      </c>
      <c r="H109">
        <v>15700</v>
      </c>
    </row>
    <row r="110" spans="2:8">
      <c r="B110" t="s">
        <v>587</v>
      </c>
      <c r="C110" t="s">
        <v>273</v>
      </c>
      <c r="D110">
        <v>3025</v>
      </c>
      <c r="E110">
        <v>3025</v>
      </c>
      <c r="F110">
        <v>3022</v>
      </c>
      <c r="G110">
        <v>3022</v>
      </c>
      <c r="H110">
        <v>9400</v>
      </c>
    </row>
    <row r="111" spans="2:8">
      <c r="B111" t="s">
        <v>587</v>
      </c>
      <c r="C111" t="s">
        <v>274</v>
      </c>
      <c r="D111">
        <v>3022</v>
      </c>
      <c r="E111">
        <v>3030</v>
      </c>
      <c r="F111">
        <v>3022</v>
      </c>
      <c r="G111">
        <v>3030</v>
      </c>
      <c r="H111">
        <v>11500</v>
      </c>
    </row>
    <row r="112" spans="2:8">
      <c r="B112" t="s">
        <v>587</v>
      </c>
      <c r="C112" t="s">
        <v>275</v>
      </c>
      <c r="D112">
        <v>3030</v>
      </c>
      <c r="E112">
        <v>3034</v>
      </c>
      <c r="F112">
        <v>3030</v>
      </c>
      <c r="G112">
        <v>3031</v>
      </c>
      <c r="H112">
        <v>12000</v>
      </c>
    </row>
    <row r="113" spans="2:8">
      <c r="B113" t="s">
        <v>587</v>
      </c>
      <c r="C113" t="s">
        <v>276</v>
      </c>
      <c r="D113">
        <v>3032</v>
      </c>
      <c r="E113">
        <v>3039</v>
      </c>
      <c r="F113">
        <v>3032</v>
      </c>
      <c r="G113">
        <v>3035</v>
      </c>
      <c r="H113">
        <v>14700</v>
      </c>
    </row>
    <row r="114" spans="2:8">
      <c r="B114" t="s">
        <v>587</v>
      </c>
      <c r="C114" t="s">
        <v>277</v>
      </c>
      <c r="D114">
        <v>3034</v>
      </c>
      <c r="E114">
        <v>3035</v>
      </c>
      <c r="F114">
        <v>3030</v>
      </c>
      <c r="G114">
        <v>3034</v>
      </c>
      <c r="H114">
        <v>12700</v>
      </c>
    </row>
    <row r="115" spans="2:8">
      <c r="B115" t="s">
        <v>587</v>
      </c>
      <c r="C115" t="s">
        <v>278</v>
      </c>
      <c r="D115">
        <v>3034</v>
      </c>
      <c r="E115">
        <v>3038</v>
      </c>
      <c r="F115">
        <v>3034</v>
      </c>
      <c r="G115">
        <v>3038</v>
      </c>
      <c r="H115">
        <v>8300</v>
      </c>
    </row>
    <row r="116" spans="2:8">
      <c r="B116" t="s">
        <v>587</v>
      </c>
      <c r="C116" t="s">
        <v>279</v>
      </c>
      <c r="D116">
        <v>3038</v>
      </c>
      <c r="E116">
        <v>3044</v>
      </c>
      <c r="F116">
        <v>3037</v>
      </c>
      <c r="G116">
        <v>3040</v>
      </c>
      <c r="H116">
        <v>19400</v>
      </c>
    </row>
    <row r="117" spans="2:8">
      <c r="B117" t="s">
        <v>587</v>
      </c>
      <c r="C117" t="s">
        <v>280</v>
      </c>
      <c r="D117">
        <v>3040</v>
      </c>
      <c r="E117">
        <v>3041</v>
      </c>
      <c r="F117">
        <v>3039</v>
      </c>
      <c r="G117">
        <v>3040</v>
      </c>
      <c r="H117">
        <v>6400</v>
      </c>
    </row>
    <row r="118" spans="2:8">
      <c r="B118" t="s">
        <v>587</v>
      </c>
      <c r="C118" t="s">
        <v>281</v>
      </c>
      <c r="D118">
        <v>3040</v>
      </c>
      <c r="E118">
        <v>3042</v>
      </c>
      <c r="F118">
        <v>3035</v>
      </c>
      <c r="G118">
        <v>3036</v>
      </c>
      <c r="H118">
        <v>16400</v>
      </c>
    </row>
    <row r="119" spans="2:8">
      <c r="B119" t="s">
        <v>587</v>
      </c>
      <c r="C119" t="s">
        <v>282</v>
      </c>
      <c r="D119">
        <v>3035</v>
      </c>
      <c r="E119">
        <v>3039</v>
      </c>
      <c r="F119">
        <v>3034</v>
      </c>
      <c r="G119">
        <v>3039</v>
      </c>
      <c r="H119">
        <v>8600</v>
      </c>
    </row>
    <row r="120" spans="2:8">
      <c r="B120" t="s">
        <v>587</v>
      </c>
      <c r="C120" t="s">
        <v>283</v>
      </c>
      <c r="D120">
        <v>3040</v>
      </c>
      <c r="E120">
        <v>3041</v>
      </c>
      <c r="F120">
        <v>3036</v>
      </c>
      <c r="G120">
        <v>3039</v>
      </c>
      <c r="H120">
        <v>9800</v>
      </c>
    </row>
    <row r="121" spans="2:8">
      <c r="B121" t="s">
        <v>587</v>
      </c>
      <c r="C121" t="s">
        <v>284</v>
      </c>
      <c r="D121">
        <v>3038</v>
      </c>
      <c r="E121">
        <v>3041</v>
      </c>
      <c r="F121">
        <v>3037</v>
      </c>
      <c r="G121">
        <v>3041</v>
      </c>
      <c r="H121">
        <v>8600</v>
      </c>
    </row>
    <row r="122" spans="2:8">
      <c r="B122" t="s">
        <v>587</v>
      </c>
      <c r="C122" t="s">
        <v>285</v>
      </c>
      <c r="D122">
        <v>3041</v>
      </c>
      <c r="E122">
        <v>3041</v>
      </c>
      <c r="F122">
        <v>3037</v>
      </c>
      <c r="G122">
        <v>3040</v>
      </c>
      <c r="H122">
        <v>14200</v>
      </c>
    </row>
    <row r="123" spans="2:8">
      <c r="B123" t="s">
        <v>587</v>
      </c>
      <c r="C123" t="s">
        <v>286</v>
      </c>
      <c r="D123">
        <v>3040</v>
      </c>
      <c r="E123">
        <v>3040</v>
      </c>
      <c r="F123">
        <v>3036</v>
      </c>
      <c r="G123">
        <v>3038</v>
      </c>
      <c r="H123">
        <v>10300</v>
      </c>
    </row>
    <row r="124" spans="2:8">
      <c r="B124" t="s">
        <v>587</v>
      </c>
      <c r="C124" t="s">
        <v>287</v>
      </c>
      <c r="D124">
        <v>3038</v>
      </c>
      <c r="E124">
        <v>3041</v>
      </c>
      <c r="F124">
        <v>3037</v>
      </c>
      <c r="G124">
        <v>3041</v>
      </c>
      <c r="H124">
        <v>9700</v>
      </c>
    </row>
    <row r="125" spans="2:8">
      <c r="B125" t="s">
        <v>587</v>
      </c>
      <c r="C125" t="s">
        <v>288</v>
      </c>
      <c r="D125">
        <v>3040</v>
      </c>
      <c r="E125">
        <v>3040</v>
      </c>
      <c r="F125">
        <v>3039</v>
      </c>
      <c r="G125">
        <v>3040</v>
      </c>
      <c r="H125">
        <v>7000</v>
      </c>
    </row>
    <row r="126" spans="2:8">
      <c r="B126" t="s">
        <v>587</v>
      </c>
      <c r="C126" t="s">
        <v>289</v>
      </c>
      <c r="D126">
        <v>3040</v>
      </c>
      <c r="E126">
        <v>3047</v>
      </c>
      <c r="F126">
        <v>3039</v>
      </c>
      <c r="G126">
        <v>3047</v>
      </c>
      <c r="H126">
        <v>8200</v>
      </c>
    </row>
    <row r="127" spans="2:8">
      <c r="B127" t="s">
        <v>587</v>
      </c>
      <c r="C127" t="s">
        <v>290</v>
      </c>
      <c r="D127">
        <v>3046</v>
      </c>
      <c r="E127">
        <v>3053</v>
      </c>
      <c r="F127">
        <v>3044</v>
      </c>
      <c r="G127">
        <v>3053</v>
      </c>
      <c r="H127">
        <v>17900</v>
      </c>
    </row>
    <row r="128" spans="2:8">
      <c r="B128" t="s">
        <v>587</v>
      </c>
      <c r="C128" t="s">
        <v>291</v>
      </c>
      <c r="D128">
        <v>3053</v>
      </c>
      <c r="E128">
        <v>3056</v>
      </c>
      <c r="F128">
        <v>3051</v>
      </c>
      <c r="G128">
        <v>3056</v>
      </c>
      <c r="H128">
        <v>10300</v>
      </c>
    </row>
    <row r="129" spans="2:8">
      <c r="B129" t="s">
        <v>587</v>
      </c>
      <c r="C129" t="s">
        <v>292</v>
      </c>
      <c r="D129">
        <v>3055</v>
      </c>
      <c r="E129">
        <v>3055</v>
      </c>
      <c r="F129">
        <v>3050</v>
      </c>
      <c r="G129">
        <v>3053</v>
      </c>
      <c r="H129">
        <v>9300</v>
      </c>
    </row>
    <row r="130" spans="2:8">
      <c r="B130" t="s">
        <v>587</v>
      </c>
      <c r="C130" t="s">
        <v>293</v>
      </c>
      <c r="D130">
        <v>3051</v>
      </c>
      <c r="E130">
        <v>3053</v>
      </c>
      <c r="F130">
        <v>3050</v>
      </c>
      <c r="G130">
        <v>3051</v>
      </c>
      <c r="H130">
        <v>7600</v>
      </c>
    </row>
    <row r="131" spans="2:8">
      <c r="B131" t="s">
        <v>587</v>
      </c>
      <c r="C131" t="s">
        <v>294</v>
      </c>
      <c r="D131">
        <v>3052</v>
      </c>
      <c r="E131">
        <v>3052</v>
      </c>
      <c r="F131">
        <v>3048</v>
      </c>
      <c r="G131">
        <v>3048</v>
      </c>
      <c r="H131">
        <v>10700</v>
      </c>
    </row>
    <row r="132" spans="2:8">
      <c r="B132" t="s">
        <v>587</v>
      </c>
      <c r="C132" t="s">
        <v>295</v>
      </c>
      <c r="D132">
        <v>3048</v>
      </c>
      <c r="E132">
        <v>3048</v>
      </c>
      <c r="F132">
        <v>3043</v>
      </c>
      <c r="G132">
        <v>3044</v>
      </c>
      <c r="H132">
        <v>8400</v>
      </c>
    </row>
    <row r="133" spans="2:8">
      <c r="B133" t="s">
        <v>587</v>
      </c>
      <c r="C133" t="s">
        <v>296</v>
      </c>
      <c r="D133">
        <v>3043</v>
      </c>
      <c r="E133">
        <v>3050</v>
      </c>
      <c r="F133">
        <v>3043</v>
      </c>
      <c r="G133">
        <v>3048</v>
      </c>
      <c r="H133">
        <v>11600</v>
      </c>
    </row>
    <row r="134" spans="2:8">
      <c r="B134" t="s">
        <v>587</v>
      </c>
      <c r="C134" t="s">
        <v>297</v>
      </c>
      <c r="D134">
        <v>3049</v>
      </c>
      <c r="E134">
        <v>3055</v>
      </c>
      <c r="F134">
        <v>3049</v>
      </c>
      <c r="G134">
        <v>3055</v>
      </c>
      <c r="H134">
        <v>17900</v>
      </c>
    </row>
    <row r="135" spans="2:8">
      <c r="B135" t="s">
        <v>587</v>
      </c>
      <c r="C135" t="s">
        <v>298</v>
      </c>
      <c r="D135">
        <v>3054</v>
      </c>
      <c r="E135">
        <v>3060</v>
      </c>
      <c r="F135">
        <v>3053</v>
      </c>
      <c r="G135">
        <v>3059</v>
      </c>
      <c r="H135">
        <v>15200</v>
      </c>
    </row>
    <row r="136" spans="2:8">
      <c r="B136" t="s">
        <v>587</v>
      </c>
      <c r="C136" t="s">
        <v>299</v>
      </c>
      <c r="D136">
        <v>3056</v>
      </c>
      <c r="E136">
        <v>3056</v>
      </c>
      <c r="F136">
        <v>3048</v>
      </c>
      <c r="G136">
        <v>3048</v>
      </c>
      <c r="H136">
        <v>11400</v>
      </c>
    </row>
    <row r="137" spans="2:8">
      <c r="B137" t="s">
        <v>587</v>
      </c>
      <c r="C137" t="s">
        <v>300</v>
      </c>
      <c r="D137">
        <v>3049</v>
      </c>
      <c r="E137">
        <v>3054</v>
      </c>
      <c r="F137">
        <v>3049</v>
      </c>
      <c r="G137">
        <v>3050</v>
      </c>
      <c r="H137">
        <v>11700</v>
      </c>
    </row>
    <row r="138" spans="2:8">
      <c r="B138" t="s">
        <v>587</v>
      </c>
      <c r="C138" t="s">
        <v>301</v>
      </c>
      <c r="D138">
        <v>3051</v>
      </c>
      <c r="E138">
        <v>3051</v>
      </c>
      <c r="F138">
        <v>3045</v>
      </c>
      <c r="G138">
        <v>3051</v>
      </c>
      <c r="H138">
        <v>17700</v>
      </c>
    </row>
    <row r="139" spans="2:8">
      <c r="B139" t="s">
        <v>587</v>
      </c>
      <c r="C139" t="s">
        <v>302</v>
      </c>
      <c r="D139">
        <v>3052</v>
      </c>
      <c r="E139">
        <v>3057</v>
      </c>
      <c r="F139">
        <v>3051</v>
      </c>
      <c r="G139">
        <v>3056</v>
      </c>
      <c r="H139">
        <v>6800</v>
      </c>
    </row>
    <row r="140" spans="2:8">
      <c r="B140" t="s">
        <v>587</v>
      </c>
      <c r="C140" t="s">
        <v>303</v>
      </c>
      <c r="D140">
        <v>3056</v>
      </c>
      <c r="E140">
        <v>3056</v>
      </c>
      <c r="F140">
        <v>3054</v>
      </c>
      <c r="G140">
        <v>3054</v>
      </c>
      <c r="H140">
        <v>10200</v>
      </c>
    </row>
    <row r="141" spans="2:8">
      <c r="B141" t="s">
        <v>587</v>
      </c>
      <c r="C141" t="s">
        <v>304</v>
      </c>
      <c r="D141">
        <v>3055</v>
      </c>
      <c r="E141">
        <v>3067</v>
      </c>
      <c r="F141">
        <v>3055</v>
      </c>
      <c r="G141">
        <v>3064</v>
      </c>
      <c r="H141">
        <v>27000</v>
      </c>
    </row>
    <row r="142" spans="2:8">
      <c r="B142" t="s">
        <v>587</v>
      </c>
      <c r="C142" t="s">
        <v>305</v>
      </c>
      <c r="D142">
        <v>3066</v>
      </c>
      <c r="E142">
        <v>3074</v>
      </c>
      <c r="F142">
        <v>3066</v>
      </c>
      <c r="G142">
        <v>3073</v>
      </c>
      <c r="H142">
        <v>16600</v>
      </c>
    </row>
    <row r="143" spans="2:8">
      <c r="B143" t="s">
        <v>587</v>
      </c>
      <c r="C143" t="s">
        <v>306</v>
      </c>
      <c r="D143">
        <v>3073</v>
      </c>
      <c r="E143">
        <v>3073</v>
      </c>
      <c r="F143">
        <v>3065</v>
      </c>
      <c r="G143">
        <v>3066</v>
      </c>
      <c r="H143">
        <v>10000</v>
      </c>
    </row>
    <row r="144" spans="2:8">
      <c r="B144" t="s">
        <v>587</v>
      </c>
      <c r="C144" t="s">
        <v>307</v>
      </c>
      <c r="D144">
        <v>3066</v>
      </c>
      <c r="E144">
        <v>3066</v>
      </c>
      <c r="F144">
        <v>3063</v>
      </c>
      <c r="G144">
        <v>3064</v>
      </c>
      <c r="H144">
        <v>4100</v>
      </c>
    </row>
    <row r="145" spans="2:8">
      <c r="B145" t="s">
        <v>587</v>
      </c>
      <c r="C145" t="s">
        <v>308</v>
      </c>
      <c r="D145">
        <v>3062</v>
      </c>
      <c r="E145">
        <v>3062</v>
      </c>
      <c r="F145">
        <v>3059</v>
      </c>
      <c r="G145">
        <v>3059</v>
      </c>
      <c r="H145">
        <v>3700</v>
      </c>
    </row>
    <row r="146" spans="2:8">
      <c r="B146" t="s">
        <v>587</v>
      </c>
      <c r="C146" t="s">
        <v>309</v>
      </c>
      <c r="D146">
        <v>3060</v>
      </c>
      <c r="E146">
        <v>3063</v>
      </c>
      <c r="F146">
        <v>3059</v>
      </c>
      <c r="G146">
        <v>3062</v>
      </c>
      <c r="H146">
        <v>14200</v>
      </c>
    </row>
    <row r="147" spans="2:8">
      <c r="B147" t="s">
        <v>587</v>
      </c>
      <c r="C147" t="s">
        <v>310</v>
      </c>
      <c r="D147">
        <v>3061</v>
      </c>
      <c r="E147">
        <v>3066</v>
      </c>
      <c r="F147">
        <v>3060</v>
      </c>
      <c r="G147">
        <v>3065</v>
      </c>
      <c r="H147">
        <v>8100</v>
      </c>
    </row>
    <row r="148" spans="2:8">
      <c r="B148" t="s">
        <v>587</v>
      </c>
      <c r="C148" t="s">
        <v>311</v>
      </c>
      <c r="D148">
        <v>3063</v>
      </c>
      <c r="E148">
        <v>3067</v>
      </c>
      <c r="F148">
        <v>3063</v>
      </c>
      <c r="G148">
        <v>3066</v>
      </c>
      <c r="H148">
        <v>8200</v>
      </c>
    </row>
    <row r="149" spans="2:8">
      <c r="B149" t="s">
        <v>587</v>
      </c>
      <c r="C149" t="s">
        <v>312</v>
      </c>
      <c r="D149">
        <v>3066</v>
      </c>
      <c r="E149">
        <v>3067</v>
      </c>
      <c r="F149">
        <v>3064</v>
      </c>
      <c r="G149">
        <v>3064</v>
      </c>
      <c r="H149">
        <v>6400</v>
      </c>
    </row>
    <row r="150" spans="2:8">
      <c r="B150" t="s">
        <v>587</v>
      </c>
      <c r="C150" t="s">
        <v>313</v>
      </c>
      <c r="D150">
        <v>3064</v>
      </c>
      <c r="E150">
        <v>3064</v>
      </c>
      <c r="F150">
        <v>3062</v>
      </c>
      <c r="G150">
        <v>3064</v>
      </c>
      <c r="H150">
        <v>6400</v>
      </c>
    </row>
    <row r="151" spans="2:8">
      <c r="B151" t="s">
        <v>587</v>
      </c>
      <c r="C151" t="s">
        <v>314</v>
      </c>
      <c r="D151">
        <v>3065</v>
      </c>
      <c r="E151">
        <v>3069</v>
      </c>
      <c r="F151">
        <v>3065</v>
      </c>
      <c r="G151">
        <v>3069</v>
      </c>
      <c r="H151">
        <v>7700</v>
      </c>
    </row>
    <row r="152" spans="2:8">
      <c r="B152" t="s">
        <v>587</v>
      </c>
      <c r="C152" t="s">
        <v>315</v>
      </c>
      <c r="D152">
        <v>3067</v>
      </c>
      <c r="E152">
        <v>3075</v>
      </c>
      <c r="F152">
        <v>3067</v>
      </c>
      <c r="G152">
        <v>3073</v>
      </c>
      <c r="H152">
        <v>8200</v>
      </c>
    </row>
    <row r="153" spans="2:8">
      <c r="B153" t="s">
        <v>587</v>
      </c>
      <c r="C153" t="s">
        <v>316</v>
      </c>
      <c r="D153">
        <v>3075</v>
      </c>
      <c r="E153">
        <v>3075</v>
      </c>
      <c r="F153">
        <v>3075</v>
      </c>
      <c r="G153">
        <v>3075</v>
      </c>
      <c r="H153">
        <v>3600</v>
      </c>
    </row>
    <row r="154" spans="2:8">
      <c r="B154" t="s">
        <v>587</v>
      </c>
      <c r="C154" t="s">
        <v>317</v>
      </c>
      <c r="D154">
        <v>3090</v>
      </c>
      <c r="E154">
        <v>3091</v>
      </c>
      <c r="F154">
        <v>3062</v>
      </c>
      <c r="G154">
        <v>3064</v>
      </c>
      <c r="H154">
        <v>167100</v>
      </c>
    </row>
    <row r="155" spans="2:8">
      <c r="B155" t="s">
        <v>587</v>
      </c>
      <c r="C155" t="s">
        <v>318</v>
      </c>
      <c r="D155">
        <v>3065</v>
      </c>
      <c r="E155">
        <v>3072</v>
      </c>
      <c r="F155">
        <v>3064</v>
      </c>
      <c r="G155">
        <v>3071</v>
      </c>
      <c r="H155">
        <v>22000</v>
      </c>
    </row>
    <row r="156" spans="2:8">
      <c r="B156" t="s">
        <v>587</v>
      </c>
      <c r="C156" t="s">
        <v>319</v>
      </c>
      <c r="D156">
        <v>3072</v>
      </c>
      <c r="E156">
        <v>3080</v>
      </c>
      <c r="F156">
        <v>3072</v>
      </c>
      <c r="G156">
        <v>3076</v>
      </c>
      <c r="H156">
        <v>18300</v>
      </c>
    </row>
    <row r="157" spans="2:8">
      <c r="B157" t="s">
        <v>587</v>
      </c>
      <c r="C157" t="s">
        <v>320</v>
      </c>
      <c r="D157">
        <v>3076</v>
      </c>
      <c r="E157">
        <v>3086</v>
      </c>
      <c r="F157">
        <v>3076</v>
      </c>
      <c r="G157">
        <v>3086</v>
      </c>
      <c r="H157">
        <v>18500</v>
      </c>
    </row>
    <row r="158" spans="2:8">
      <c r="B158" t="s">
        <v>587</v>
      </c>
      <c r="C158" t="s">
        <v>321</v>
      </c>
      <c r="D158">
        <v>3086</v>
      </c>
      <c r="E158">
        <v>3086</v>
      </c>
      <c r="F158">
        <v>3073</v>
      </c>
      <c r="G158">
        <v>3081</v>
      </c>
      <c r="H158">
        <v>38000</v>
      </c>
    </row>
    <row r="159" spans="2:8">
      <c r="B159" t="s">
        <v>587</v>
      </c>
      <c r="C159" t="s">
        <v>322</v>
      </c>
      <c r="D159">
        <v>3081</v>
      </c>
      <c r="E159">
        <v>3085</v>
      </c>
      <c r="F159">
        <v>3072</v>
      </c>
      <c r="G159">
        <v>3082</v>
      </c>
      <c r="H159">
        <v>27600</v>
      </c>
    </row>
    <row r="160" spans="2:8">
      <c r="B160" t="s">
        <v>587</v>
      </c>
      <c r="C160" t="s">
        <v>323</v>
      </c>
      <c r="D160">
        <v>3082</v>
      </c>
      <c r="E160">
        <v>3087</v>
      </c>
      <c r="F160">
        <v>3082</v>
      </c>
      <c r="G160">
        <v>3085</v>
      </c>
      <c r="H160">
        <v>18300</v>
      </c>
    </row>
    <row r="161" spans="2:8">
      <c r="B161" t="s">
        <v>587</v>
      </c>
      <c r="C161" t="s">
        <v>324</v>
      </c>
      <c r="D161">
        <v>3085</v>
      </c>
      <c r="E161">
        <v>3087</v>
      </c>
      <c r="F161">
        <v>3080</v>
      </c>
      <c r="G161">
        <v>3084</v>
      </c>
      <c r="H161">
        <v>23200</v>
      </c>
    </row>
    <row r="162" spans="2:8">
      <c r="B162" t="s">
        <v>587</v>
      </c>
      <c r="C162" t="s">
        <v>325</v>
      </c>
      <c r="D162">
        <v>3084</v>
      </c>
      <c r="E162">
        <v>3085</v>
      </c>
      <c r="F162">
        <v>3082</v>
      </c>
      <c r="G162">
        <v>3084</v>
      </c>
      <c r="H162">
        <v>18100</v>
      </c>
    </row>
    <row r="163" spans="2:8">
      <c r="B163" t="s">
        <v>587</v>
      </c>
      <c r="C163" t="s">
        <v>326</v>
      </c>
      <c r="D163">
        <v>3085</v>
      </c>
      <c r="E163">
        <v>3095</v>
      </c>
      <c r="F163">
        <v>3084</v>
      </c>
      <c r="G163">
        <v>3095</v>
      </c>
      <c r="H163">
        <v>29500</v>
      </c>
    </row>
    <row r="164" spans="2:8">
      <c r="B164" t="s">
        <v>587</v>
      </c>
      <c r="C164" t="s">
        <v>327</v>
      </c>
      <c r="D164">
        <v>3094</v>
      </c>
      <c r="E164">
        <v>3094</v>
      </c>
      <c r="F164">
        <v>3091</v>
      </c>
      <c r="G164">
        <v>3092</v>
      </c>
      <c r="H164">
        <v>10800</v>
      </c>
    </row>
    <row r="165" spans="2:8">
      <c r="B165" t="s">
        <v>587</v>
      </c>
      <c r="C165" t="s">
        <v>328</v>
      </c>
      <c r="D165">
        <v>3093</v>
      </c>
      <c r="E165">
        <v>3095</v>
      </c>
      <c r="F165">
        <v>3091</v>
      </c>
      <c r="G165">
        <v>3095</v>
      </c>
      <c r="H165">
        <v>16200</v>
      </c>
    </row>
    <row r="166" spans="2:8">
      <c r="B166" t="s">
        <v>587</v>
      </c>
      <c r="C166" t="s">
        <v>329</v>
      </c>
      <c r="D166">
        <v>3095</v>
      </c>
      <c r="E166">
        <v>3098</v>
      </c>
      <c r="F166">
        <v>3091</v>
      </c>
      <c r="G166">
        <v>3092</v>
      </c>
      <c r="H166">
        <v>27400</v>
      </c>
    </row>
    <row r="167" spans="2:8">
      <c r="B167" t="s">
        <v>587</v>
      </c>
      <c r="C167" t="s">
        <v>330</v>
      </c>
      <c r="D167">
        <v>3093</v>
      </c>
      <c r="E167">
        <v>3098</v>
      </c>
      <c r="F167">
        <v>3091</v>
      </c>
      <c r="G167">
        <v>3096</v>
      </c>
      <c r="H167">
        <v>22400</v>
      </c>
    </row>
    <row r="168" spans="2:8">
      <c r="B168" t="s">
        <v>587</v>
      </c>
      <c r="C168" t="s">
        <v>331</v>
      </c>
      <c r="D168">
        <v>3096</v>
      </c>
      <c r="E168">
        <v>3097</v>
      </c>
      <c r="F168">
        <v>3095</v>
      </c>
      <c r="G168">
        <v>3097</v>
      </c>
      <c r="H168">
        <v>11000</v>
      </c>
    </row>
    <row r="169" spans="2:8">
      <c r="B169" t="s">
        <v>587</v>
      </c>
      <c r="C169" t="s">
        <v>332</v>
      </c>
      <c r="D169">
        <v>3095</v>
      </c>
      <c r="E169">
        <v>3097</v>
      </c>
      <c r="F169">
        <v>3090</v>
      </c>
      <c r="G169">
        <v>3094</v>
      </c>
      <c r="H169">
        <v>22500</v>
      </c>
    </row>
    <row r="170" spans="2:8">
      <c r="B170" t="s">
        <v>587</v>
      </c>
      <c r="C170" t="s">
        <v>333</v>
      </c>
      <c r="D170">
        <v>3095</v>
      </c>
      <c r="E170">
        <v>3118</v>
      </c>
      <c r="F170">
        <v>3095</v>
      </c>
      <c r="G170">
        <v>3116</v>
      </c>
      <c r="H170">
        <v>59800</v>
      </c>
    </row>
    <row r="171" spans="2:8">
      <c r="B171" t="s">
        <v>587</v>
      </c>
      <c r="C171" t="s">
        <v>334</v>
      </c>
      <c r="D171">
        <v>3116</v>
      </c>
      <c r="E171">
        <v>3118</v>
      </c>
      <c r="F171">
        <v>3111</v>
      </c>
      <c r="G171">
        <v>3116</v>
      </c>
      <c r="H171">
        <v>20700</v>
      </c>
    </row>
    <row r="172" spans="2:8">
      <c r="B172" t="s">
        <v>587</v>
      </c>
      <c r="C172" t="s">
        <v>335</v>
      </c>
      <c r="D172">
        <v>3114</v>
      </c>
      <c r="E172">
        <v>3116</v>
      </c>
      <c r="F172">
        <v>3113</v>
      </c>
      <c r="G172">
        <v>3115</v>
      </c>
      <c r="H172">
        <v>15400</v>
      </c>
    </row>
    <row r="173" spans="2:8">
      <c r="B173" t="s">
        <v>587</v>
      </c>
      <c r="C173" t="s">
        <v>336</v>
      </c>
      <c r="D173">
        <v>3115</v>
      </c>
      <c r="E173">
        <v>3116</v>
      </c>
      <c r="F173">
        <v>3113</v>
      </c>
      <c r="G173">
        <v>3116</v>
      </c>
      <c r="H173">
        <v>28400</v>
      </c>
    </row>
    <row r="174" spans="2:8">
      <c r="B174" t="s">
        <v>587</v>
      </c>
      <c r="C174" t="s">
        <v>337</v>
      </c>
      <c r="D174">
        <v>3115</v>
      </c>
      <c r="E174">
        <v>3118</v>
      </c>
      <c r="F174">
        <v>3103</v>
      </c>
      <c r="G174">
        <v>3103</v>
      </c>
      <c r="H174">
        <v>41000</v>
      </c>
    </row>
    <row r="175" spans="2:8">
      <c r="B175" t="s">
        <v>587</v>
      </c>
      <c r="C175" t="s">
        <v>338</v>
      </c>
      <c r="D175">
        <v>3103</v>
      </c>
      <c r="E175">
        <v>3103</v>
      </c>
      <c r="F175">
        <v>3098</v>
      </c>
      <c r="G175">
        <v>3098</v>
      </c>
      <c r="H175">
        <v>12500</v>
      </c>
    </row>
    <row r="176" spans="2:8">
      <c r="B176" t="s">
        <v>587</v>
      </c>
      <c r="C176" t="s">
        <v>339</v>
      </c>
      <c r="D176">
        <v>3098</v>
      </c>
      <c r="E176">
        <v>3098</v>
      </c>
      <c r="F176">
        <v>3096</v>
      </c>
      <c r="G176">
        <v>3097</v>
      </c>
      <c r="H176">
        <v>5900</v>
      </c>
    </row>
    <row r="177" spans="2:8">
      <c r="B177" t="s">
        <v>587</v>
      </c>
      <c r="C177" t="s">
        <v>340</v>
      </c>
      <c r="D177">
        <v>3096</v>
      </c>
      <c r="E177">
        <v>3097</v>
      </c>
      <c r="F177">
        <v>3095</v>
      </c>
      <c r="G177">
        <v>3096</v>
      </c>
      <c r="H177">
        <v>14600</v>
      </c>
    </row>
    <row r="178" spans="2:8">
      <c r="B178" t="s">
        <v>587</v>
      </c>
      <c r="C178" t="s">
        <v>341</v>
      </c>
      <c r="D178">
        <v>3096</v>
      </c>
      <c r="E178">
        <v>3097</v>
      </c>
      <c r="F178">
        <v>3095</v>
      </c>
      <c r="G178">
        <v>3096</v>
      </c>
      <c r="H178">
        <v>4600</v>
      </c>
    </row>
    <row r="179" spans="2:8">
      <c r="B179" t="s">
        <v>587</v>
      </c>
      <c r="C179" t="s">
        <v>342</v>
      </c>
      <c r="D179">
        <v>3097</v>
      </c>
      <c r="E179">
        <v>3099</v>
      </c>
      <c r="F179">
        <v>3092</v>
      </c>
      <c r="G179">
        <v>3093</v>
      </c>
      <c r="H179">
        <v>21700</v>
      </c>
    </row>
    <row r="180" spans="2:8">
      <c r="B180" t="s">
        <v>587</v>
      </c>
      <c r="C180" t="s">
        <v>343</v>
      </c>
      <c r="D180">
        <v>3092</v>
      </c>
      <c r="E180">
        <v>3093</v>
      </c>
      <c r="F180">
        <v>3090</v>
      </c>
      <c r="G180">
        <v>3090</v>
      </c>
      <c r="H180">
        <v>19400</v>
      </c>
    </row>
    <row r="181" spans="2:8">
      <c r="B181" t="s">
        <v>587</v>
      </c>
      <c r="C181" t="s">
        <v>344</v>
      </c>
      <c r="D181">
        <v>3090</v>
      </c>
      <c r="E181">
        <v>3092</v>
      </c>
      <c r="F181">
        <v>3085</v>
      </c>
      <c r="G181">
        <v>3085</v>
      </c>
      <c r="H181">
        <v>20200</v>
      </c>
    </row>
    <row r="182" spans="2:8">
      <c r="B182" t="s">
        <v>587</v>
      </c>
      <c r="C182" t="s">
        <v>345</v>
      </c>
      <c r="D182">
        <v>3086</v>
      </c>
      <c r="E182">
        <v>3086</v>
      </c>
      <c r="F182">
        <v>3079</v>
      </c>
      <c r="G182">
        <v>3079</v>
      </c>
      <c r="H182">
        <v>12900</v>
      </c>
    </row>
    <row r="183" spans="2:8">
      <c r="B183" t="s">
        <v>587</v>
      </c>
      <c r="C183" t="s">
        <v>346</v>
      </c>
      <c r="D183">
        <v>3078</v>
      </c>
      <c r="E183">
        <v>3079</v>
      </c>
      <c r="F183">
        <v>3075</v>
      </c>
      <c r="G183">
        <v>3077</v>
      </c>
      <c r="H183">
        <v>20100</v>
      </c>
    </row>
    <row r="184" spans="2:8">
      <c r="B184" t="s">
        <v>587</v>
      </c>
      <c r="C184" t="s">
        <v>347</v>
      </c>
      <c r="D184">
        <v>3076</v>
      </c>
      <c r="E184">
        <v>3082</v>
      </c>
      <c r="F184">
        <v>3073</v>
      </c>
      <c r="G184">
        <v>3081</v>
      </c>
      <c r="H184">
        <v>14000</v>
      </c>
    </row>
    <row r="185" spans="2:8">
      <c r="B185" t="s">
        <v>587</v>
      </c>
      <c r="C185" t="s">
        <v>348</v>
      </c>
      <c r="D185">
        <v>3082</v>
      </c>
      <c r="E185">
        <v>3090</v>
      </c>
      <c r="F185">
        <v>3082</v>
      </c>
      <c r="G185">
        <v>3090</v>
      </c>
      <c r="H185">
        <v>15500</v>
      </c>
    </row>
    <row r="186" spans="2:8">
      <c r="B186" t="s">
        <v>587</v>
      </c>
      <c r="C186" t="s">
        <v>349</v>
      </c>
      <c r="D186">
        <v>3090</v>
      </c>
      <c r="E186">
        <v>3097</v>
      </c>
      <c r="F186">
        <v>3089</v>
      </c>
      <c r="G186">
        <v>3093</v>
      </c>
      <c r="H186">
        <v>18000</v>
      </c>
    </row>
    <row r="187" spans="2:8">
      <c r="B187" t="s">
        <v>587</v>
      </c>
      <c r="C187" t="s">
        <v>350</v>
      </c>
      <c r="D187">
        <v>3092</v>
      </c>
      <c r="E187">
        <v>3093</v>
      </c>
      <c r="F187">
        <v>3089</v>
      </c>
      <c r="G187">
        <v>3090</v>
      </c>
      <c r="H187">
        <v>4600</v>
      </c>
    </row>
    <row r="188" spans="2:8">
      <c r="B188" t="s">
        <v>587</v>
      </c>
      <c r="C188" t="s">
        <v>351</v>
      </c>
      <c r="D188">
        <v>3090</v>
      </c>
      <c r="E188">
        <v>3091</v>
      </c>
      <c r="F188">
        <v>3086</v>
      </c>
      <c r="G188">
        <v>3090</v>
      </c>
      <c r="H188">
        <v>11700</v>
      </c>
    </row>
    <row r="189" spans="2:8">
      <c r="B189" t="s">
        <v>587</v>
      </c>
      <c r="C189" t="s">
        <v>352</v>
      </c>
      <c r="D189">
        <v>3091</v>
      </c>
      <c r="E189">
        <v>3095</v>
      </c>
      <c r="F189">
        <v>3089</v>
      </c>
      <c r="G189">
        <v>3095</v>
      </c>
      <c r="H189">
        <v>8900</v>
      </c>
    </row>
    <row r="190" spans="2:8">
      <c r="B190" t="s">
        <v>587</v>
      </c>
      <c r="C190" t="s">
        <v>353</v>
      </c>
      <c r="D190">
        <v>3096</v>
      </c>
      <c r="E190">
        <v>3099</v>
      </c>
      <c r="F190">
        <v>3095</v>
      </c>
      <c r="G190">
        <v>3098</v>
      </c>
      <c r="H190">
        <v>4800</v>
      </c>
    </row>
    <row r="191" spans="2:8">
      <c r="B191" t="s">
        <v>587</v>
      </c>
      <c r="C191" t="s">
        <v>354</v>
      </c>
      <c r="D191">
        <v>3099</v>
      </c>
      <c r="E191">
        <v>3107</v>
      </c>
      <c r="F191">
        <v>3099</v>
      </c>
      <c r="G191">
        <v>3104</v>
      </c>
      <c r="H191">
        <v>18800</v>
      </c>
    </row>
    <row r="192" spans="2:8">
      <c r="B192" t="s">
        <v>587</v>
      </c>
      <c r="C192" t="s">
        <v>355</v>
      </c>
      <c r="D192">
        <v>3105</v>
      </c>
      <c r="E192">
        <v>3108</v>
      </c>
      <c r="F192">
        <v>3103</v>
      </c>
      <c r="G192">
        <v>3107</v>
      </c>
      <c r="H192">
        <v>8000</v>
      </c>
    </row>
    <row r="193" spans="2:8">
      <c r="B193" t="s">
        <v>587</v>
      </c>
      <c r="C193" t="s">
        <v>356</v>
      </c>
      <c r="D193">
        <v>3108</v>
      </c>
      <c r="E193">
        <v>3108</v>
      </c>
      <c r="F193">
        <v>3101</v>
      </c>
      <c r="G193">
        <v>3101</v>
      </c>
      <c r="H193">
        <v>6700</v>
      </c>
    </row>
    <row r="194" spans="2:8">
      <c r="B194" t="s">
        <v>587</v>
      </c>
      <c r="C194" t="s">
        <v>357</v>
      </c>
      <c r="D194">
        <v>3101</v>
      </c>
      <c r="E194">
        <v>3104</v>
      </c>
      <c r="F194">
        <v>3101</v>
      </c>
      <c r="G194">
        <v>3104</v>
      </c>
      <c r="H194">
        <v>7400</v>
      </c>
    </row>
    <row r="195" spans="2:8">
      <c r="B195" t="s">
        <v>587</v>
      </c>
      <c r="C195" t="s">
        <v>358</v>
      </c>
      <c r="D195">
        <v>3105</v>
      </c>
      <c r="E195">
        <v>3106</v>
      </c>
      <c r="F195">
        <v>3104</v>
      </c>
      <c r="G195">
        <v>3104</v>
      </c>
      <c r="H195">
        <v>4800</v>
      </c>
    </row>
    <row r="196" spans="2:8">
      <c r="B196" t="s">
        <v>587</v>
      </c>
      <c r="C196" t="s">
        <v>359</v>
      </c>
      <c r="D196">
        <v>3105</v>
      </c>
      <c r="E196">
        <v>3117</v>
      </c>
      <c r="F196">
        <v>3105</v>
      </c>
      <c r="G196">
        <v>3115</v>
      </c>
      <c r="H196">
        <v>17200</v>
      </c>
    </row>
    <row r="197" spans="2:8">
      <c r="B197" t="s">
        <v>587</v>
      </c>
      <c r="C197" t="s">
        <v>360</v>
      </c>
      <c r="D197">
        <v>3115</v>
      </c>
      <c r="E197">
        <v>3120</v>
      </c>
      <c r="F197">
        <v>3114</v>
      </c>
      <c r="G197">
        <v>3120</v>
      </c>
      <c r="H197">
        <v>11800</v>
      </c>
    </row>
    <row r="198" spans="2:8">
      <c r="B198" t="s">
        <v>587</v>
      </c>
      <c r="C198" t="s">
        <v>361</v>
      </c>
      <c r="D198">
        <v>3120</v>
      </c>
      <c r="E198">
        <v>3123</v>
      </c>
      <c r="F198">
        <v>3119</v>
      </c>
      <c r="G198">
        <v>3123</v>
      </c>
      <c r="H198">
        <v>6700</v>
      </c>
    </row>
    <row r="199" spans="2:8">
      <c r="B199" t="s">
        <v>587</v>
      </c>
      <c r="C199" t="s">
        <v>362</v>
      </c>
      <c r="D199">
        <v>3122</v>
      </c>
      <c r="E199">
        <v>3124</v>
      </c>
      <c r="F199">
        <v>3115</v>
      </c>
      <c r="G199">
        <v>3119</v>
      </c>
      <c r="H199">
        <v>18200</v>
      </c>
    </row>
    <row r="200" spans="2:8">
      <c r="B200" t="s">
        <v>587</v>
      </c>
      <c r="C200" t="s">
        <v>363</v>
      </c>
      <c r="D200">
        <v>3118</v>
      </c>
      <c r="E200">
        <v>3120</v>
      </c>
      <c r="F200">
        <v>3112</v>
      </c>
      <c r="G200">
        <v>3114</v>
      </c>
      <c r="H200">
        <v>15200</v>
      </c>
    </row>
    <row r="201" spans="2:8">
      <c r="B201" t="s">
        <v>587</v>
      </c>
      <c r="C201" t="s">
        <v>364</v>
      </c>
      <c r="D201">
        <v>3113</v>
      </c>
      <c r="E201">
        <v>3117</v>
      </c>
      <c r="F201">
        <v>3112</v>
      </c>
      <c r="G201">
        <v>3115</v>
      </c>
      <c r="H201">
        <v>8300</v>
      </c>
    </row>
    <row r="202" spans="2:8">
      <c r="B202" t="s">
        <v>587</v>
      </c>
      <c r="C202" t="s">
        <v>365</v>
      </c>
      <c r="D202">
        <v>3116</v>
      </c>
      <c r="E202">
        <v>3120</v>
      </c>
      <c r="F202">
        <v>3116</v>
      </c>
      <c r="G202">
        <v>3117</v>
      </c>
      <c r="H202">
        <v>6300</v>
      </c>
    </row>
    <row r="203" spans="2:8">
      <c r="B203" t="s">
        <v>587</v>
      </c>
      <c r="C203" t="s">
        <v>366</v>
      </c>
      <c r="D203">
        <v>3118</v>
      </c>
      <c r="E203">
        <v>3119</v>
      </c>
      <c r="F203">
        <v>3116</v>
      </c>
      <c r="G203">
        <v>3116</v>
      </c>
      <c r="H203">
        <v>10900</v>
      </c>
    </row>
    <row r="204" spans="2:8">
      <c r="B204" t="s">
        <v>587</v>
      </c>
      <c r="C204" t="s">
        <v>367</v>
      </c>
      <c r="D204">
        <v>3115</v>
      </c>
      <c r="E204">
        <v>3115</v>
      </c>
      <c r="F204">
        <v>3113</v>
      </c>
      <c r="G204">
        <v>3113</v>
      </c>
      <c r="H204">
        <v>7700</v>
      </c>
    </row>
    <row r="205" spans="2:8">
      <c r="B205" t="s">
        <v>587</v>
      </c>
      <c r="C205" t="s">
        <v>368</v>
      </c>
      <c r="D205">
        <v>3112</v>
      </c>
      <c r="E205">
        <v>3117</v>
      </c>
      <c r="F205">
        <v>3111</v>
      </c>
      <c r="G205">
        <v>3114</v>
      </c>
      <c r="H205">
        <v>20400</v>
      </c>
    </row>
    <row r="206" spans="2:8">
      <c r="B206" t="s">
        <v>587</v>
      </c>
      <c r="C206" t="s">
        <v>369</v>
      </c>
      <c r="D206">
        <v>3113</v>
      </c>
      <c r="E206">
        <v>3113</v>
      </c>
      <c r="F206">
        <v>3113</v>
      </c>
      <c r="G206">
        <v>3113</v>
      </c>
      <c r="H206">
        <v>700</v>
      </c>
    </row>
    <row r="207" spans="2:8">
      <c r="B207" t="s">
        <v>587</v>
      </c>
      <c r="C207" t="s">
        <v>370</v>
      </c>
      <c r="D207">
        <v>3114</v>
      </c>
      <c r="E207">
        <v>3115</v>
      </c>
      <c r="F207">
        <v>3112</v>
      </c>
      <c r="G207">
        <v>3114</v>
      </c>
      <c r="H207">
        <v>5700</v>
      </c>
    </row>
    <row r="208" spans="2:8">
      <c r="B208" t="s">
        <v>587</v>
      </c>
      <c r="C208" t="s">
        <v>371</v>
      </c>
      <c r="D208">
        <v>3114</v>
      </c>
      <c r="E208">
        <v>3116</v>
      </c>
      <c r="F208">
        <v>3114</v>
      </c>
      <c r="G208">
        <v>3115</v>
      </c>
      <c r="H208">
        <v>6200</v>
      </c>
    </row>
    <row r="209" spans="2:8">
      <c r="B209" t="s">
        <v>587</v>
      </c>
      <c r="C209" t="s">
        <v>372</v>
      </c>
      <c r="D209">
        <v>3115</v>
      </c>
      <c r="E209">
        <v>3116</v>
      </c>
      <c r="F209">
        <v>3108</v>
      </c>
      <c r="G209">
        <v>3112</v>
      </c>
      <c r="H209">
        <v>19800</v>
      </c>
    </row>
    <row r="210" spans="2:8">
      <c r="B210" t="s">
        <v>587</v>
      </c>
      <c r="C210" t="s">
        <v>373</v>
      </c>
      <c r="D210">
        <v>3112</v>
      </c>
      <c r="E210">
        <v>3124</v>
      </c>
      <c r="F210">
        <v>3112</v>
      </c>
      <c r="G210">
        <v>3115</v>
      </c>
      <c r="H210">
        <v>24700</v>
      </c>
    </row>
    <row r="211" spans="2:8">
      <c r="B211" t="s">
        <v>587</v>
      </c>
      <c r="C211" t="s">
        <v>374</v>
      </c>
      <c r="D211">
        <v>3114</v>
      </c>
      <c r="E211">
        <v>3119</v>
      </c>
      <c r="F211">
        <v>3114</v>
      </c>
      <c r="G211">
        <v>3119</v>
      </c>
      <c r="H211">
        <v>5200</v>
      </c>
    </row>
    <row r="212" spans="2:8">
      <c r="B212" t="s">
        <v>587</v>
      </c>
      <c r="C212" t="s">
        <v>375</v>
      </c>
      <c r="D212">
        <v>3119</v>
      </c>
      <c r="E212">
        <v>3120</v>
      </c>
      <c r="F212">
        <v>3118</v>
      </c>
      <c r="G212">
        <v>3119</v>
      </c>
      <c r="H212">
        <v>6200</v>
      </c>
    </row>
    <row r="213" spans="2:8">
      <c r="B213" t="s">
        <v>587</v>
      </c>
      <c r="C213" t="s">
        <v>376</v>
      </c>
      <c r="D213">
        <v>3119</v>
      </c>
      <c r="E213">
        <v>3129</v>
      </c>
      <c r="F213">
        <v>3119</v>
      </c>
      <c r="G213">
        <v>3126</v>
      </c>
      <c r="H213">
        <v>36800</v>
      </c>
    </row>
    <row r="214" spans="2:8">
      <c r="B214" t="s">
        <v>587</v>
      </c>
      <c r="C214" t="s">
        <v>377</v>
      </c>
      <c r="D214">
        <v>3126</v>
      </c>
      <c r="E214">
        <v>3134</v>
      </c>
      <c r="F214">
        <v>3124</v>
      </c>
      <c r="G214">
        <v>3131</v>
      </c>
      <c r="H214">
        <v>22200</v>
      </c>
    </row>
    <row r="215" spans="2:8">
      <c r="B215" t="s">
        <v>587</v>
      </c>
      <c r="C215" t="s">
        <v>378</v>
      </c>
      <c r="D215">
        <v>3131</v>
      </c>
      <c r="E215">
        <v>3135</v>
      </c>
      <c r="F215">
        <v>3131</v>
      </c>
      <c r="G215">
        <v>3132</v>
      </c>
      <c r="H215">
        <v>13900</v>
      </c>
    </row>
    <row r="216" spans="2:8">
      <c r="B216" t="s">
        <v>587</v>
      </c>
      <c r="C216" t="s">
        <v>379</v>
      </c>
      <c r="D216">
        <v>3133</v>
      </c>
      <c r="E216">
        <v>3135</v>
      </c>
      <c r="F216">
        <v>3131</v>
      </c>
      <c r="G216">
        <v>3132</v>
      </c>
      <c r="H216">
        <v>11700</v>
      </c>
    </row>
    <row r="217" spans="2:8">
      <c r="B217" t="s">
        <v>587</v>
      </c>
      <c r="C217" t="s">
        <v>380</v>
      </c>
      <c r="D217">
        <v>3131</v>
      </c>
      <c r="E217">
        <v>3135</v>
      </c>
      <c r="F217">
        <v>3131</v>
      </c>
      <c r="G217">
        <v>3133</v>
      </c>
      <c r="H217">
        <v>14800</v>
      </c>
    </row>
    <row r="218" spans="2:8">
      <c r="B218" t="s">
        <v>587</v>
      </c>
      <c r="C218" t="s">
        <v>381</v>
      </c>
      <c r="D218">
        <v>3133</v>
      </c>
      <c r="E218">
        <v>3134</v>
      </c>
      <c r="F218">
        <v>3130</v>
      </c>
      <c r="G218">
        <v>3131</v>
      </c>
      <c r="H218">
        <v>10200</v>
      </c>
    </row>
    <row r="219" spans="2:8">
      <c r="B219" t="s">
        <v>587</v>
      </c>
      <c r="C219" t="s">
        <v>382</v>
      </c>
      <c r="D219">
        <v>3131</v>
      </c>
      <c r="E219">
        <v>3134</v>
      </c>
      <c r="F219">
        <v>3131</v>
      </c>
      <c r="G219">
        <v>3131</v>
      </c>
      <c r="H219">
        <v>12100</v>
      </c>
    </row>
    <row r="220" spans="2:8">
      <c r="B220" t="s">
        <v>587</v>
      </c>
      <c r="C220" t="s">
        <v>383</v>
      </c>
      <c r="D220">
        <v>3132</v>
      </c>
      <c r="E220">
        <v>3134</v>
      </c>
      <c r="F220">
        <v>3132</v>
      </c>
      <c r="G220">
        <v>3132</v>
      </c>
      <c r="H220">
        <v>4100</v>
      </c>
    </row>
    <row r="221" spans="2:8">
      <c r="B221" t="s">
        <v>587</v>
      </c>
      <c r="C221" t="s">
        <v>384</v>
      </c>
      <c r="D221">
        <v>3132</v>
      </c>
      <c r="E221">
        <v>3133</v>
      </c>
      <c r="F221">
        <v>3127</v>
      </c>
      <c r="G221">
        <v>3130</v>
      </c>
      <c r="H221">
        <v>21000</v>
      </c>
    </row>
    <row r="222" spans="2:8">
      <c r="B222" t="s">
        <v>587</v>
      </c>
      <c r="C222" t="s">
        <v>385</v>
      </c>
      <c r="D222">
        <v>3129</v>
      </c>
      <c r="E222">
        <v>3129</v>
      </c>
      <c r="F222">
        <v>3126</v>
      </c>
      <c r="G222">
        <v>3126</v>
      </c>
      <c r="H222">
        <v>2900</v>
      </c>
    </row>
    <row r="223" spans="2:8">
      <c r="B223" t="s">
        <v>587</v>
      </c>
      <c r="C223" t="s">
        <v>386</v>
      </c>
      <c r="D223">
        <v>3126</v>
      </c>
      <c r="E223">
        <v>3126</v>
      </c>
      <c r="F223">
        <v>3120</v>
      </c>
      <c r="G223">
        <v>3120</v>
      </c>
      <c r="H223">
        <v>5000</v>
      </c>
    </row>
    <row r="224" spans="2:8">
      <c r="B224" t="s">
        <v>587</v>
      </c>
      <c r="C224" t="s">
        <v>387</v>
      </c>
      <c r="D224">
        <v>3121</v>
      </c>
      <c r="E224">
        <v>3123</v>
      </c>
      <c r="F224">
        <v>3121</v>
      </c>
      <c r="G224">
        <v>3122</v>
      </c>
      <c r="H224">
        <v>11700</v>
      </c>
    </row>
    <row r="225" spans="2:8">
      <c r="B225" t="s">
        <v>587</v>
      </c>
      <c r="C225" t="s">
        <v>388</v>
      </c>
      <c r="D225">
        <v>3122</v>
      </c>
      <c r="E225">
        <v>3123</v>
      </c>
      <c r="F225">
        <v>3120</v>
      </c>
      <c r="G225">
        <v>3121</v>
      </c>
      <c r="H225">
        <v>5100</v>
      </c>
    </row>
    <row r="226" spans="2:8">
      <c r="B226" t="s">
        <v>587</v>
      </c>
      <c r="C226" t="s">
        <v>389</v>
      </c>
      <c r="D226">
        <v>3121</v>
      </c>
      <c r="E226">
        <v>3122</v>
      </c>
      <c r="F226">
        <v>3120</v>
      </c>
      <c r="G226">
        <v>3122</v>
      </c>
      <c r="H226">
        <v>17400</v>
      </c>
    </row>
    <row r="227" spans="2:8">
      <c r="B227" t="s">
        <v>587</v>
      </c>
      <c r="C227" t="s">
        <v>390</v>
      </c>
      <c r="D227">
        <v>3121</v>
      </c>
      <c r="E227">
        <v>3126</v>
      </c>
      <c r="F227">
        <v>3121</v>
      </c>
      <c r="G227">
        <v>3125</v>
      </c>
      <c r="H227">
        <v>14900</v>
      </c>
    </row>
    <row r="228" spans="2:8">
      <c r="B228" t="s">
        <v>587</v>
      </c>
      <c r="C228" t="s">
        <v>391</v>
      </c>
      <c r="D228">
        <v>3125</v>
      </c>
      <c r="E228">
        <v>3127</v>
      </c>
      <c r="F228">
        <v>3123</v>
      </c>
      <c r="G228">
        <v>3125</v>
      </c>
      <c r="H228">
        <v>11600</v>
      </c>
    </row>
    <row r="229" spans="2:8">
      <c r="B229" t="s">
        <v>587</v>
      </c>
      <c r="C229" t="s">
        <v>392</v>
      </c>
      <c r="D229">
        <v>3124</v>
      </c>
      <c r="E229">
        <v>3125</v>
      </c>
      <c r="F229">
        <v>3124</v>
      </c>
      <c r="G229">
        <v>3124</v>
      </c>
      <c r="H229">
        <v>5200</v>
      </c>
    </row>
    <row r="230" spans="2:8">
      <c r="B230" t="s">
        <v>587</v>
      </c>
      <c r="C230" t="s">
        <v>393</v>
      </c>
      <c r="D230">
        <v>3125</v>
      </c>
      <c r="E230">
        <v>3125</v>
      </c>
      <c r="F230">
        <v>3123</v>
      </c>
      <c r="G230">
        <v>3123</v>
      </c>
      <c r="H230">
        <v>1900</v>
      </c>
    </row>
    <row r="231" spans="2:8">
      <c r="B231" t="s">
        <v>587</v>
      </c>
      <c r="C231" t="s">
        <v>394</v>
      </c>
      <c r="D231">
        <v>3123</v>
      </c>
      <c r="E231">
        <v>3123</v>
      </c>
      <c r="F231">
        <v>3119</v>
      </c>
      <c r="G231">
        <v>3122</v>
      </c>
      <c r="H231">
        <v>14700</v>
      </c>
    </row>
    <row r="232" spans="2:8">
      <c r="B232" t="s">
        <v>587</v>
      </c>
      <c r="C232" t="s">
        <v>395</v>
      </c>
      <c r="D232">
        <v>3120</v>
      </c>
      <c r="E232">
        <v>3121</v>
      </c>
      <c r="F232">
        <v>3116</v>
      </c>
      <c r="G232">
        <v>3116</v>
      </c>
      <c r="H232">
        <v>7900</v>
      </c>
    </row>
    <row r="233" spans="2:8">
      <c r="B233" t="s">
        <v>587</v>
      </c>
      <c r="C233" t="s">
        <v>396</v>
      </c>
      <c r="D233">
        <v>3116</v>
      </c>
      <c r="E233">
        <v>3121</v>
      </c>
      <c r="F233">
        <v>3115</v>
      </c>
      <c r="G233">
        <v>3115</v>
      </c>
      <c r="H233">
        <v>24100</v>
      </c>
    </row>
    <row r="234" spans="2:8">
      <c r="B234" t="s">
        <v>587</v>
      </c>
      <c r="C234" t="s">
        <v>397</v>
      </c>
      <c r="D234">
        <v>3116</v>
      </c>
      <c r="E234">
        <v>3130</v>
      </c>
      <c r="F234">
        <v>3115</v>
      </c>
      <c r="G234">
        <v>3128</v>
      </c>
      <c r="H234">
        <v>27800</v>
      </c>
    </row>
    <row r="235" spans="2:8">
      <c r="B235" t="s">
        <v>587</v>
      </c>
      <c r="C235" t="s">
        <v>398</v>
      </c>
      <c r="D235">
        <v>3127</v>
      </c>
      <c r="E235">
        <v>3128</v>
      </c>
      <c r="F235">
        <v>3126</v>
      </c>
      <c r="G235">
        <v>3127</v>
      </c>
      <c r="H235">
        <v>6300</v>
      </c>
    </row>
    <row r="236" spans="2:8">
      <c r="B236" t="s">
        <v>587</v>
      </c>
      <c r="C236" t="s">
        <v>399</v>
      </c>
      <c r="D236">
        <v>3128</v>
      </c>
      <c r="E236">
        <v>3135</v>
      </c>
      <c r="F236">
        <v>3128</v>
      </c>
      <c r="G236">
        <v>3132</v>
      </c>
      <c r="H236">
        <v>10700</v>
      </c>
    </row>
    <row r="237" spans="2:8">
      <c r="B237" t="s">
        <v>587</v>
      </c>
      <c r="C237" t="s">
        <v>400</v>
      </c>
      <c r="D237">
        <v>3131</v>
      </c>
      <c r="E237">
        <v>3132</v>
      </c>
      <c r="F237">
        <v>3130</v>
      </c>
      <c r="G237">
        <v>3132</v>
      </c>
      <c r="H237">
        <v>9000</v>
      </c>
    </row>
    <row r="238" spans="2:8">
      <c r="B238" t="s">
        <v>587</v>
      </c>
      <c r="C238" t="s">
        <v>401</v>
      </c>
      <c r="D238">
        <v>3132</v>
      </c>
      <c r="E238">
        <v>3133</v>
      </c>
      <c r="F238">
        <v>3127</v>
      </c>
      <c r="G238">
        <v>3127</v>
      </c>
      <c r="H238">
        <v>13300</v>
      </c>
    </row>
    <row r="239" spans="2:8">
      <c r="B239" t="s">
        <v>587</v>
      </c>
      <c r="C239" t="s">
        <v>402</v>
      </c>
      <c r="D239">
        <v>3127</v>
      </c>
      <c r="E239">
        <v>3135</v>
      </c>
      <c r="F239">
        <v>3127</v>
      </c>
      <c r="G239">
        <v>3128</v>
      </c>
      <c r="H239">
        <v>23900</v>
      </c>
    </row>
    <row r="240" spans="2:8">
      <c r="B240" t="s">
        <v>587</v>
      </c>
      <c r="C240" t="s">
        <v>403</v>
      </c>
      <c r="D240">
        <v>3128</v>
      </c>
      <c r="E240">
        <v>3134</v>
      </c>
      <c r="F240">
        <v>3127</v>
      </c>
      <c r="G240">
        <v>3134</v>
      </c>
      <c r="H240">
        <v>15300</v>
      </c>
    </row>
    <row r="241" spans="2:8">
      <c r="B241" t="s">
        <v>587</v>
      </c>
      <c r="C241" t="s">
        <v>404</v>
      </c>
      <c r="D241">
        <v>3134</v>
      </c>
      <c r="E241">
        <v>3135</v>
      </c>
      <c r="F241">
        <v>3127</v>
      </c>
      <c r="G241">
        <v>3127</v>
      </c>
      <c r="H241">
        <v>10700</v>
      </c>
    </row>
    <row r="242" spans="2:8">
      <c r="B242" t="s">
        <v>587</v>
      </c>
      <c r="C242" t="s">
        <v>405</v>
      </c>
      <c r="D242">
        <v>3128</v>
      </c>
      <c r="E242">
        <v>3128</v>
      </c>
      <c r="F242">
        <v>3123</v>
      </c>
      <c r="G242">
        <v>3128</v>
      </c>
      <c r="H242">
        <v>12700</v>
      </c>
    </row>
    <row r="243" spans="2:8">
      <c r="B243" t="s">
        <v>587</v>
      </c>
      <c r="C243" t="s">
        <v>406</v>
      </c>
      <c r="D243">
        <v>3128</v>
      </c>
      <c r="E243">
        <v>3131</v>
      </c>
      <c r="F243">
        <v>3127</v>
      </c>
      <c r="G243">
        <v>3131</v>
      </c>
      <c r="H243">
        <v>8200</v>
      </c>
    </row>
    <row r="244" spans="2:8">
      <c r="B244" t="s">
        <v>587</v>
      </c>
      <c r="C244" t="s">
        <v>407</v>
      </c>
      <c r="D244">
        <v>3130</v>
      </c>
      <c r="E244">
        <v>3131</v>
      </c>
      <c r="F244">
        <v>3130</v>
      </c>
      <c r="G244">
        <v>3130</v>
      </c>
      <c r="H244">
        <v>4900</v>
      </c>
    </row>
    <row r="245" spans="2:8">
      <c r="B245" t="s">
        <v>587</v>
      </c>
      <c r="C245" t="s">
        <v>408</v>
      </c>
      <c r="D245">
        <v>3131</v>
      </c>
      <c r="E245">
        <v>3132</v>
      </c>
      <c r="F245">
        <v>3131</v>
      </c>
      <c r="G245">
        <v>3132</v>
      </c>
      <c r="H245">
        <v>6900</v>
      </c>
    </row>
    <row r="246" spans="2:8">
      <c r="B246" t="s">
        <v>587</v>
      </c>
      <c r="C246" t="s">
        <v>409</v>
      </c>
      <c r="D246">
        <v>3130</v>
      </c>
      <c r="E246">
        <v>3133</v>
      </c>
      <c r="F246">
        <v>3130</v>
      </c>
      <c r="G246">
        <v>3133</v>
      </c>
      <c r="H246">
        <v>8400</v>
      </c>
    </row>
    <row r="247" spans="2:8">
      <c r="B247" t="s">
        <v>587</v>
      </c>
      <c r="C247" t="s">
        <v>410</v>
      </c>
      <c r="D247">
        <v>3133</v>
      </c>
      <c r="E247">
        <v>3136</v>
      </c>
      <c r="F247">
        <v>3132</v>
      </c>
      <c r="G247">
        <v>3132</v>
      </c>
      <c r="H247">
        <v>21400</v>
      </c>
    </row>
    <row r="248" spans="2:8">
      <c r="B248" t="s">
        <v>587</v>
      </c>
      <c r="C248" t="s">
        <v>411</v>
      </c>
      <c r="D248">
        <v>3133</v>
      </c>
      <c r="E248">
        <v>3137</v>
      </c>
      <c r="F248">
        <v>3133</v>
      </c>
      <c r="G248">
        <v>3136</v>
      </c>
      <c r="H248">
        <v>23300</v>
      </c>
    </row>
    <row r="249" spans="2:8">
      <c r="B249" t="s">
        <v>587</v>
      </c>
      <c r="C249" t="s">
        <v>412</v>
      </c>
      <c r="D249">
        <v>3136</v>
      </c>
      <c r="E249">
        <v>3137</v>
      </c>
      <c r="F249">
        <v>3134</v>
      </c>
      <c r="G249">
        <v>3135</v>
      </c>
      <c r="H249">
        <v>11300</v>
      </c>
    </row>
    <row r="250" spans="2:8">
      <c r="B250" t="s">
        <v>587</v>
      </c>
      <c r="C250" t="s">
        <v>413</v>
      </c>
      <c r="D250">
        <v>3135</v>
      </c>
      <c r="E250">
        <v>3135</v>
      </c>
      <c r="F250">
        <v>3123</v>
      </c>
      <c r="G250">
        <v>3123</v>
      </c>
      <c r="H250">
        <v>12700</v>
      </c>
    </row>
    <row r="251" spans="2:8">
      <c r="B251" t="s">
        <v>587</v>
      </c>
      <c r="C251" t="s">
        <v>414</v>
      </c>
      <c r="D251">
        <v>3123</v>
      </c>
      <c r="E251">
        <v>3123</v>
      </c>
      <c r="F251">
        <v>3098</v>
      </c>
      <c r="G251">
        <v>3102</v>
      </c>
      <c r="H251">
        <v>40100</v>
      </c>
    </row>
    <row r="252" spans="2:8">
      <c r="B252" t="s">
        <v>587</v>
      </c>
      <c r="C252" t="s">
        <v>415</v>
      </c>
      <c r="D252">
        <v>3102</v>
      </c>
      <c r="E252">
        <v>3102</v>
      </c>
      <c r="F252">
        <v>3091</v>
      </c>
      <c r="G252">
        <v>3091</v>
      </c>
      <c r="H252">
        <v>14800</v>
      </c>
    </row>
    <row r="253" spans="2:8">
      <c r="B253" t="s">
        <v>587</v>
      </c>
      <c r="C253" t="s">
        <v>416</v>
      </c>
      <c r="D253">
        <v>3091</v>
      </c>
      <c r="E253">
        <v>3103</v>
      </c>
      <c r="F253">
        <v>3090</v>
      </c>
      <c r="G253">
        <v>3101</v>
      </c>
      <c r="H253">
        <v>25100</v>
      </c>
    </row>
    <row r="254" spans="2:8">
      <c r="B254" t="s">
        <v>587</v>
      </c>
      <c r="C254" t="s">
        <v>417</v>
      </c>
      <c r="D254">
        <v>3102</v>
      </c>
      <c r="E254">
        <v>3113</v>
      </c>
      <c r="F254">
        <v>3102</v>
      </c>
      <c r="G254">
        <v>3111</v>
      </c>
      <c r="H254">
        <v>14700</v>
      </c>
    </row>
    <row r="255" spans="2:8">
      <c r="B255" t="s">
        <v>587</v>
      </c>
      <c r="C255" t="s">
        <v>418</v>
      </c>
      <c r="D255">
        <v>3111</v>
      </c>
      <c r="E255">
        <v>3111</v>
      </c>
      <c r="F255">
        <v>3105</v>
      </c>
      <c r="G255">
        <v>3105</v>
      </c>
      <c r="H255">
        <v>7000</v>
      </c>
    </row>
    <row r="256" spans="2:8">
      <c r="B256" t="s">
        <v>587</v>
      </c>
      <c r="C256" t="s">
        <v>419</v>
      </c>
      <c r="D256">
        <v>3105</v>
      </c>
      <c r="E256">
        <v>3108</v>
      </c>
      <c r="F256">
        <v>3104</v>
      </c>
      <c r="G256">
        <v>3105</v>
      </c>
      <c r="H256">
        <v>9000</v>
      </c>
    </row>
    <row r="257" spans="2:8">
      <c r="B257" t="s">
        <v>587</v>
      </c>
      <c r="C257" t="s">
        <v>420</v>
      </c>
      <c r="D257">
        <v>3104</v>
      </c>
      <c r="E257">
        <v>3108</v>
      </c>
      <c r="F257">
        <v>3104</v>
      </c>
      <c r="G257">
        <v>3105</v>
      </c>
      <c r="H257">
        <v>9400</v>
      </c>
    </row>
    <row r="258" spans="2:8">
      <c r="B258" t="s">
        <v>587</v>
      </c>
      <c r="C258" t="s">
        <v>421</v>
      </c>
      <c r="D258">
        <v>3105</v>
      </c>
      <c r="E258">
        <v>3106</v>
      </c>
      <c r="F258">
        <v>3101</v>
      </c>
      <c r="G258">
        <v>3101</v>
      </c>
      <c r="H258">
        <v>8600</v>
      </c>
    </row>
    <row r="259" spans="2:8">
      <c r="B259" t="s">
        <v>587</v>
      </c>
      <c r="C259" t="s">
        <v>422</v>
      </c>
      <c r="D259">
        <v>3102</v>
      </c>
      <c r="E259">
        <v>3102</v>
      </c>
      <c r="F259">
        <v>3096</v>
      </c>
      <c r="G259">
        <v>3096</v>
      </c>
      <c r="H259">
        <v>28500</v>
      </c>
    </row>
    <row r="260" spans="2:8">
      <c r="B260" t="s">
        <v>587</v>
      </c>
      <c r="C260" t="s">
        <v>423</v>
      </c>
      <c r="D260">
        <v>3097</v>
      </c>
      <c r="E260">
        <v>3098</v>
      </c>
      <c r="F260">
        <v>3094</v>
      </c>
      <c r="G260">
        <v>3095</v>
      </c>
      <c r="H260">
        <v>10800</v>
      </c>
    </row>
    <row r="261" spans="2:8">
      <c r="B261" t="s">
        <v>587</v>
      </c>
      <c r="C261" t="s">
        <v>424</v>
      </c>
      <c r="D261">
        <v>3095</v>
      </c>
      <c r="E261">
        <v>3101</v>
      </c>
      <c r="F261">
        <v>3094</v>
      </c>
      <c r="G261">
        <v>3096</v>
      </c>
      <c r="H261">
        <v>14200</v>
      </c>
    </row>
    <row r="262" spans="2:8">
      <c r="B262" t="s">
        <v>587</v>
      </c>
      <c r="C262" t="s">
        <v>425</v>
      </c>
      <c r="D262">
        <v>3097</v>
      </c>
      <c r="E262">
        <v>3097</v>
      </c>
      <c r="F262">
        <v>3094</v>
      </c>
      <c r="G262">
        <v>3095</v>
      </c>
      <c r="H262">
        <v>3300</v>
      </c>
    </row>
    <row r="263" spans="2:8">
      <c r="B263" t="s">
        <v>587</v>
      </c>
      <c r="C263" t="s">
        <v>426</v>
      </c>
      <c r="D263">
        <v>3095</v>
      </c>
      <c r="E263">
        <v>3098</v>
      </c>
      <c r="F263">
        <v>3094</v>
      </c>
      <c r="G263">
        <v>3098</v>
      </c>
      <c r="H263">
        <v>10600</v>
      </c>
    </row>
    <row r="264" spans="2:8">
      <c r="B264" t="s">
        <v>587</v>
      </c>
      <c r="C264" t="s">
        <v>427</v>
      </c>
      <c r="D264">
        <v>3098</v>
      </c>
      <c r="E264">
        <v>3098</v>
      </c>
      <c r="F264">
        <v>3095</v>
      </c>
      <c r="G264">
        <v>3096</v>
      </c>
      <c r="H264">
        <v>9200</v>
      </c>
    </row>
    <row r="265" spans="2:8">
      <c r="B265" t="s">
        <v>587</v>
      </c>
      <c r="C265" t="s">
        <v>428</v>
      </c>
      <c r="D265">
        <v>3096</v>
      </c>
      <c r="E265">
        <v>3098</v>
      </c>
      <c r="F265">
        <v>3096</v>
      </c>
      <c r="G265">
        <v>3096</v>
      </c>
      <c r="H265">
        <v>3500</v>
      </c>
    </row>
    <row r="266" spans="2:8">
      <c r="B266" t="s">
        <v>587</v>
      </c>
      <c r="C266" t="s">
        <v>429</v>
      </c>
      <c r="D266">
        <v>3095</v>
      </c>
      <c r="E266">
        <v>3095</v>
      </c>
      <c r="F266">
        <v>3093</v>
      </c>
      <c r="G266">
        <v>3093</v>
      </c>
      <c r="H266">
        <v>5400</v>
      </c>
    </row>
    <row r="267" spans="2:8">
      <c r="B267" t="s">
        <v>587</v>
      </c>
      <c r="C267" t="s">
        <v>430</v>
      </c>
      <c r="D267">
        <v>3093</v>
      </c>
      <c r="E267">
        <v>3093</v>
      </c>
      <c r="F267">
        <v>3091</v>
      </c>
      <c r="G267">
        <v>3091</v>
      </c>
      <c r="H267">
        <v>7500</v>
      </c>
    </row>
    <row r="268" spans="2:8">
      <c r="B268" t="s">
        <v>587</v>
      </c>
      <c r="C268" t="s">
        <v>431</v>
      </c>
      <c r="D268">
        <v>3091</v>
      </c>
      <c r="E268">
        <v>3097</v>
      </c>
      <c r="F268">
        <v>3090</v>
      </c>
      <c r="G268">
        <v>3096</v>
      </c>
      <c r="H268">
        <v>15900</v>
      </c>
    </row>
    <row r="269" spans="2:8">
      <c r="B269" t="s">
        <v>587</v>
      </c>
      <c r="C269" t="s">
        <v>9</v>
      </c>
      <c r="D269">
        <v>3095</v>
      </c>
      <c r="E269">
        <v>3097</v>
      </c>
      <c r="F269">
        <v>3094</v>
      </c>
      <c r="G269">
        <v>3097</v>
      </c>
      <c r="H269">
        <v>10200</v>
      </c>
    </row>
    <row r="270" spans="2:8">
      <c r="B270" t="s">
        <v>587</v>
      </c>
      <c r="C270" t="s">
        <v>10</v>
      </c>
      <c r="D270">
        <v>3096</v>
      </c>
      <c r="E270">
        <v>3100</v>
      </c>
      <c r="F270">
        <v>3095</v>
      </c>
      <c r="G270">
        <v>3100</v>
      </c>
      <c r="H270">
        <v>7300</v>
      </c>
    </row>
    <row r="271" spans="2:8">
      <c r="B271" t="s">
        <v>587</v>
      </c>
      <c r="C271" t="s">
        <v>11</v>
      </c>
      <c r="D271">
        <v>3100</v>
      </c>
      <c r="E271">
        <v>3106</v>
      </c>
      <c r="F271">
        <v>3100</v>
      </c>
      <c r="G271">
        <v>3102</v>
      </c>
      <c r="H271">
        <v>10300</v>
      </c>
    </row>
    <row r="272" spans="2:8">
      <c r="B272" t="s">
        <v>587</v>
      </c>
      <c r="C272" t="s">
        <v>12</v>
      </c>
      <c r="D272">
        <v>3103</v>
      </c>
      <c r="E272">
        <v>3105</v>
      </c>
      <c r="F272">
        <v>3103</v>
      </c>
      <c r="G272">
        <v>3104</v>
      </c>
      <c r="H272">
        <v>4500</v>
      </c>
    </row>
    <row r="273" spans="2:8">
      <c r="B273" t="s">
        <v>587</v>
      </c>
      <c r="C273" t="s">
        <v>13</v>
      </c>
      <c r="D273">
        <v>3104</v>
      </c>
      <c r="E273">
        <v>3104</v>
      </c>
      <c r="F273">
        <v>3103</v>
      </c>
      <c r="G273">
        <v>3103</v>
      </c>
      <c r="H273">
        <v>3400</v>
      </c>
    </row>
    <row r="274" spans="2:8">
      <c r="B274" t="s">
        <v>587</v>
      </c>
      <c r="C274" t="s">
        <v>14</v>
      </c>
      <c r="D274">
        <v>3104</v>
      </c>
      <c r="E274">
        <v>3107</v>
      </c>
      <c r="F274">
        <v>3103</v>
      </c>
      <c r="G274">
        <v>3104</v>
      </c>
      <c r="H274">
        <v>11400</v>
      </c>
    </row>
    <row r="275" spans="2:8">
      <c r="B275" t="s">
        <v>587</v>
      </c>
      <c r="C275" t="s">
        <v>15</v>
      </c>
      <c r="D275">
        <v>3104</v>
      </c>
      <c r="E275">
        <v>3108</v>
      </c>
      <c r="F275">
        <v>3104</v>
      </c>
      <c r="G275">
        <v>3108</v>
      </c>
      <c r="H275">
        <v>14200</v>
      </c>
    </row>
    <row r="276" spans="2:8">
      <c r="B276" t="s">
        <v>587</v>
      </c>
      <c r="C276" t="s">
        <v>16</v>
      </c>
      <c r="D276">
        <v>3108</v>
      </c>
      <c r="E276">
        <v>3110</v>
      </c>
      <c r="F276">
        <v>3105</v>
      </c>
      <c r="G276">
        <v>3105</v>
      </c>
      <c r="H276">
        <v>8000</v>
      </c>
    </row>
    <row r="277" spans="2:8">
      <c r="B277" t="s">
        <v>587</v>
      </c>
      <c r="C277" t="s">
        <v>17</v>
      </c>
      <c r="D277">
        <v>3105</v>
      </c>
      <c r="E277">
        <v>3106</v>
      </c>
      <c r="F277">
        <v>3103</v>
      </c>
      <c r="G277">
        <v>3104</v>
      </c>
      <c r="H277">
        <v>4700</v>
      </c>
    </row>
    <row r="278" spans="2:8">
      <c r="B278" t="s">
        <v>587</v>
      </c>
      <c r="C278" t="s">
        <v>18</v>
      </c>
      <c r="D278">
        <v>3103</v>
      </c>
      <c r="E278">
        <v>3109</v>
      </c>
      <c r="F278">
        <v>3103</v>
      </c>
      <c r="G278">
        <v>3109</v>
      </c>
      <c r="H278">
        <v>10300</v>
      </c>
    </row>
    <row r="279" spans="2:8">
      <c r="B279" t="s">
        <v>587</v>
      </c>
      <c r="C279" t="s">
        <v>19</v>
      </c>
      <c r="D279">
        <v>3108</v>
      </c>
      <c r="E279">
        <v>3118</v>
      </c>
      <c r="F279">
        <v>3108</v>
      </c>
      <c r="G279">
        <v>3114</v>
      </c>
      <c r="H279">
        <v>22300</v>
      </c>
    </row>
    <row r="280" spans="2:8">
      <c r="B280" t="s">
        <v>587</v>
      </c>
      <c r="C280" t="s">
        <v>20</v>
      </c>
      <c r="D280">
        <v>3113</v>
      </c>
      <c r="E280">
        <v>3115</v>
      </c>
      <c r="F280">
        <v>3113</v>
      </c>
      <c r="G280">
        <v>3114</v>
      </c>
      <c r="H280">
        <v>4000</v>
      </c>
    </row>
    <row r="281" spans="2:8">
      <c r="B281" t="s">
        <v>587</v>
      </c>
      <c r="C281" t="s">
        <v>21</v>
      </c>
      <c r="D281">
        <v>3114</v>
      </c>
      <c r="E281">
        <v>3120</v>
      </c>
      <c r="F281">
        <v>3114</v>
      </c>
      <c r="G281">
        <v>3120</v>
      </c>
      <c r="H281">
        <v>8000</v>
      </c>
    </row>
    <row r="282" spans="2:8">
      <c r="B282" t="s">
        <v>587</v>
      </c>
      <c r="C282" t="s">
        <v>22</v>
      </c>
      <c r="D282">
        <v>3119</v>
      </c>
      <c r="E282">
        <v>3121</v>
      </c>
      <c r="F282">
        <v>3119</v>
      </c>
      <c r="G282">
        <v>3119</v>
      </c>
      <c r="H282">
        <v>7400</v>
      </c>
    </row>
    <row r="283" spans="2:8">
      <c r="B283" t="s">
        <v>587</v>
      </c>
      <c r="C283" t="s">
        <v>23</v>
      </c>
      <c r="D283">
        <v>3119</v>
      </c>
      <c r="E283">
        <v>3120</v>
      </c>
      <c r="F283">
        <v>3119</v>
      </c>
      <c r="G283">
        <v>3120</v>
      </c>
      <c r="H283">
        <v>1300</v>
      </c>
    </row>
    <row r="284" spans="2:8">
      <c r="B284" t="s">
        <v>587</v>
      </c>
      <c r="C284" t="s">
        <v>24</v>
      </c>
      <c r="D284">
        <v>3120</v>
      </c>
      <c r="E284">
        <v>3120</v>
      </c>
      <c r="F284">
        <v>3115</v>
      </c>
      <c r="G284">
        <v>3118</v>
      </c>
      <c r="H284">
        <v>20100</v>
      </c>
    </row>
    <row r="285" spans="2:8">
      <c r="B285" t="s">
        <v>587</v>
      </c>
      <c r="C285" t="s">
        <v>25</v>
      </c>
      <c r="D285">
        <v>3118</v>
      </c>
      <c r="E285">
        <v>3121</v>
      </c>
      <c r="F285">
        <v>3118</v>
      </c>
      <c r="G285">
        <v>3121</v>
      </c>
      <c r="H285">
        <v>11900</v>
      </c>
    </row>
    <row r="286" spans="2:8">
      <c r="B286" t="s">
        <v>587</v>
      </c>
      <c r="C286" t="s">
        <v>26</v>
      </c>
      <c r="D286">
        <v>3121</v>
      </c>
      <c r="E286">
        <v>3124</v>
      </c>
      <c r="F286">
        <v>3120</v>
      </c>
      <c r="G286">
        <v>3120</v>
      </c>
      <c r="H286">
        <v>9300</v>
      </c>
    </row>
    <row r="287" spans="2:8">
      <c r="B287" t="s">
        <v>587</v>
      </c>
      <c r="C287" t="s">
        <v>27</v>
      </c>
      <c r="D287">
        <v>3121</v>
      </c>
      <c r="E287">
        <v>3122</v>
      </c>
      <c r="F287">
        <v>3119</v>
      </c>
      <c r="G287">
        <v>3122</v>
      </c>
      <c r="H287">
        <v>6900</v>
      </c>
    </row>
    <row r="288" spans="2:8">
      <c r="B288" t="s">
        <v>587</v>
      </c>
      <c r="C288" t="s">
        <v>28</v>
      </c>
      <c r="D288">
        <v>3121</v>
      </c>
      <c r="E288">
        <v>3121</v>
      </c>
      <c r="F288">
        <v>3119</v>
      </c>
      <c r="G288">
        <v>3119</v>
      </c>
      <c r="H288">
        <v>4500</v>
      </c>
    </row>
    <row r="289" spans="2:8">
      <c r="B289" t="s">
        <v>587</v>
      </c>
      <c r="C289" t="s">
        <v>29</v>
      </c>
      <c r="D289">
        <v>3119</v>
      </c>
      <c r="E289">
        <v>3119</v>
      </c>
      <c r="F289">
        <v>3112</v>
      </c>
      <c r="G289">
        <v>3115</v>
      </c>
      <c r="H289">
        <v>30500</v>
      </c>
    </row>
    <row r="290" spans="2:8">
      <c r="B290" t="s">
        <v>587</v>
      </c>
      <c r="C290" t="s">
        <v>30</v>
      </c>
      <c r="D290">
        <v>3115</v>
      </c>
      <c r="E290">
        <v>3119</v>
      </c>
      <c r="F290">
        <v>3114</v>
      </c>
      <c r="G290">
        <v>3118</v>
      </c>
      <c r="H290">
        <v>9500</v>
      </c>
    </row>
    <row r="291" spans="2:8">
      <c r="B291" t="s">
        <v>587</v>
      </c>
      <c r="C291" t="s">
        <v>31</v>
      </c>
      <c r="D291">
        <v>3118</v>
      </c>
      <c r="E291">
        <v>3118</v>
      </c>
      <c r="F291">
        <v>3117</v>
      </c>
      <c r="G291">
        <v>3118</v>
      </c>
      <c r="H291">
        <v>4700</v>
      </c>
    </row>
    <row r="292" spans="2:8">
      <c r="B292" t="s">
        <v>587</v>
      </c>
      <c r="C292" t="s">
        <v>32</v>
      </c>
      <c r="D292">
        <v>3119</v>
      </c>
      <c r="E292">
        <v>3120</v>
      </c>
      <c r="F292">
        <v>3117</v>
      </c>
      <c r="G292">
        <v>3117</v>
      </c>
      <c r="H292">
        <v>12600</v>
      </c>
    </row>
    <row r="293" spans="2:8">
      <c r="B293" t="s">
        <v>587</v>
      </c>
      <c r="C293" t="s">
        <v>33</v>
      </c>
      <c r="D293">
        <v>3117</v>
      </c>
      <c r="E293">
        <v>3117</v>
      </c>
      <c r="F293">
        <v>3113</v>
      </c>
      <c r="G293">
        <v>3113</v>
      </c>
      <c r="H293">
        <v>6100</v>
      </c>
    </row>
    <row r="294" spans="2:8">
      <c r="B294" t="s">
        <v>587</v>
      </c>
      <c r="C294" t="s">
        <v>34</v>
      </c>
      <c r="D294">
        <v>3113</v>
      </c>
      <c r="E294">
        <v>3114</v>
      </c>
      <c r="F294">
        <v>3112</v>
      </c>
      <c r="G294">
        <v>3113</v>
      </c>
      <c r="H294">
        <v>3100</v>
      </c>
    </row>
    <row r="295" spans="2:8">
      <c r="B295" t="s">
        <v>587</v>
      </c>
      <c r="C295" t="s">
        <v>35</v>
      </c>
      <c r="D295">
        <v>3113</v>
      </c>
      <c r="E295">
        <v>3116</v>
      </c>
      <c r="F295">
        <v>3113</v>
      </c>
      <c r="G295">
        <v>3116</v>
      </c>
      <c r="H295">
        <v>17500</v>
      </c>
    </row>
    <row r="296" spans="2:8">
      <c r="B296" t="s">
        <v>587</v>
      </c>
      <c r="C296" t="s">
        <v>36</v>
      </c>
      <c r="D296">
        <v>3115</v>
      </c>
      <c r="E296">
        <v>3117</v>
      </c>
      <c r="F296">
        <v>3115</v>
      </c>
      <c r="G296">
        <v>3116</v>
      </c>
      <c r="H296">
        <v>9400</v>
      </c>
    </row>
    <row r="297" spans="2:8">
      <c r="B297" t="s">
        <v>587</v>
      </c>
      <c r="C297" t="s">
        <v>37</v>
      </c>
      <c r="D297">
        <v>3116</v>
      </c>
      <c r="E297">
        <v>3117</v>
      </c>
      <c r="F297">
        <v>3115</v>
      </c>
      <c r="G297">
        <v>3117</v>
      </c>
      <c r="H297">
        <v>4600</v>
      </c>
    </row>
    <row r="298" spans="2:8">
      <c r="B298" t="s">
        <v>587</v>
      </c>
      <c r="C298" t="s">
        <v>38</v>
      </c>
      <c r="D298">
        <v>3116</v>
      </c>
      <c r="E298">
        <v>3117</v>
      </c>
      <c r="F298">
        <v>3113</v>
      </c>
      <c r="G298">
        <v>3115</v>
      </c>
      <c r="H298">
        <v>15600</v>
      </c>
    </row>
    <row r="299" spans="2:8">
      <c r="B299" t="s">
        <v>587</v>
      </c>
      <c r="C299" t="s">
        <v>39</v>
      </c>
      <c r="D299">
        <v>3115</v>
      </c>
      <c r="E299">
        <v>3115</v>
      </c>
      <c r="F299">
        <v>3114</v>
      </c>
      <c r="G299">
        <v>3114</v>
      </c>
      <c r="H299">
        <v>6300</v>
      </c>
    </row>
    <row r="300" spans="2:8">
      <c r="B300" t="s">
        <v>587</v>
      </c>
      <c r="C300" t="s">
        <v>40</v>
      </c>
      <c r="D300">
        <v>3114</v>
      </c>
      <c r="E300">
        <v>3120</v>
      </c>
      <c r="F300">
        <v>3114</v>
      </c>
      <c r="G300">
        <v>3117</v>
      </c>
      <c r="H300">
        <v>15400</v>
      </c>
    </row>
    <row r="301" spans="2:8">
      <c r="B301" t="s">
        <v>587</v>
      </c>
      <c r="C301" t="s">
        <v>41</v>
      </c>
      <c r="D301">
        <v>3117</v>
      </c>
      <c r="E301">
        <v>3117</v>
      </c>
      <c r="F301">
        <v>3113</v>
      </c>
      <c r="G301">
        <v>3114</v>
      </c>
      <c r="H301">
        <v>7000</v>
      </c>
    </row>
    <row r="302" spans="2:8">
      <c r="B302" t="s">
        <v>587</v>
      </c>
      <c r="C302" t="s">
        <v>42</v>
      </c>
      <c r="D302">
        <v>3114</v>
      </c>
      <c r="E302">
        <v>3114</v>
      </c>
      <c r="F302">
        <v>3113</v>
      </c>
      <c r="G302">
        <v>3113</v>
      </c>
      <c r="H302">
        <v>1600</v>
      </c>
    </row>
    <row r="303" spans="2:8">
      <c r="B303" t="s">
        <v>587</v>
      </c>
      <c r="C303" t="s">
        <v>43</v>
      </c>
      <c r="D303">
        <v>3113</v>
      </c>
      <c r="E303">
        <v>3117</v>
      </c>
      <c r="F303">
        <v>3113</v>
      </c>
      <c r="G303">
        <v>3117</v>
      </c>
      <c r="H303">
        <v>24500</v>
      </c>
    </row>
    <row r="304" spans="2:8">
      <c r="B304" t="s">
        <v>587</v>
      </c>
      <c r="C304" t="s">
        <v>44</v>
      </c>
      <c r="D304">
        <v>3116</v>
      </c>
      <c r="E304">
        <v>3119</v>
      </c>
      <c r="F304">
        <v>3116</v>
      </c>
      <c r="G304">
        <v>3116</v>
      </c>
      <c r="H304">
        <v>9300</v>
      </c>
    </row>
    <row r="305" spans="2:8">
      <c r="B305" t="s">
        <v>587</v>
      </c>
      <c r="C305" t="s">
        <v>45</v>
      </c>
      <c r="D305">
        <v>3116</v>
      </c>
      <c r="E305">
        <v>3118</v>
      </c>
      <c r="F305">
        <v>3116</v>
      </c>
      <c r="G305">
        <v>3117</v>
      </c>
      <c r="H305">
        <v>8900</v>
      </c>
    </row>
    <row r="306" spans="2:8">
      <c r="B306" t="s">
        <v>587</v>
      </c>
      <c r="C306" t="s">
        <v>46</v>
      </c>
      <c r="D306">
        <v>3117</v>
      </c>
      <c r="E306">
        <v>3118</v>
      </c>
      <c r="F306">
        <v>3116</v>
      </c>
      <c r="G306">
        <v>3116</v>
      </c>
      <c r="H306">
        <v>4600</v>
      </c>
    </row>
    <row r="307" spans="2:8">
      <c r="B307" t="s">
        <v>587</v>
      </c>
      <c r="C307" t="s">
        <v>47</v>
      </c>
      <c r="D307">
        <v>3116</v>
      </c>
      <c r="E307">
        <v>3117</v>
      </c>
      <c r="F307">
        <v>3116</v>
      </c>
      <c r="G307">
        <v>3117</v>
      </c>
      <c r="H307">
        <v>4800</v>
      </c>
    </row>
    <row r="308" spans="2:8">
      <c r="B308" t="s">
        <v>587</v>
      </c>
      <c r="C308" t="s">
        <v>48</v>
      </c>
      <c r="D308">
        <v>3116</v>
      </c>
      <c r="E308">
        <v>3123</v>
      </c>
      <c r="F308">
        <v>3116</v>
      </c>
      <c r="G308">
        <v>3123</v>
      </c>
      <c r="H308">
        <v>51100</v>
      </c>
    </row>
    <row r="309" spans="2:8">
      <c r="B309" t="s">
        <v>587</v>
      </c>
      <c r="C309" t="s">
        <v>49</v>
      </c>
      <c r="D309">
        <v>3123</v>
      </c>
      <c r="E309">
        <v>3123</v>
      </c>
      <c r="F309">
        <v>3122</v>
      </c>
      <c r="G309">
        <v>3122</v>
      </c>
      <c r="H309">
        <v>4100</v>
      </c>
    </row>
    <row r="310" spans="2:8">
      <c r="B310" t="s">
        <v>587</v>
      </c>
      <c r="C310" t="s">
        <v>50</v>
      </c>
      <c r="D310">
        <v>3123</v>
      </c>
      <c r="E310">
        <v>3125</v>
      </c>
      <c r="F310">
        <v>3123</v>
      </c>
      <c r="G310">
        <v>3123</v>
      </c>
      <c r="H310">
        <v>12800</v>
      </c>
    </row>
    <row r="311" spans="2:8">
      <c r="B311" t="s">
        <v>587</v>
      </c>
      <c r="C311" t="s">
        <v>51</v>
      </c>
      <c r="D311">
        <v>3123</v>
      </c>
      <c r="E311">
        <v>3124</v>
      </c>
      <c r="F311">
        <v>3122</v>
      </c>
      <c r="G311">
        <v>3122</v>
      </c>
      <c r="H311">
        <v>2800</v>
      </c>
    </row>
    <row r="312" spans="2:8">
      <c r="B312" t="s">
        <v>587</v>
      </c>
      <c r="C312" t="s">
        <v>52</v>
      </c>
      <c r="D312">
        <v>3122</v>
      </c>
      <c r="E312">
        <v>3123</v>
      </c>
      <c r="F312">
        <v>3121</v>
      </c>
      <c r="G312">
        <v>3121</v>
      </c>
      <c r="H312">
        <v>4400</v>
      </c>
    </row>
    <row r="313" spans="2:8">
      <c r="B313" t="s">
        <v>587</v>
      </c>
      <c r="C313" t="s">
        <v>53</v>
      </c>
      <c r="D313">
        <v>3120</v>
      </c>
      <c r="E313">
        <v>3121</v>
      </c>
      <c r="F313">
        <v>3119</v>
      </c>
      <c r="G313">
        <v>3119</v>
      </c>
      <c r="H313">
        <v>17200</v>
      </c>
    </row>
    <row r="314" spans="2:8">
      <c r="B314" t="s">
        <v>587</v>
      </c>
      <c r="C314" t="s">
        <v>54</v>
      </c>
      <c r="D314">
        <v>3119</v>
      </c>
      <c r="E314">
        <v>3123</v>
      </c>
      <c r="F314">
        <v>3119</v>
      </c>
      <c r="G314">
        <v>3121</v>
      </c>
      <c r="H314">
        <v>25100</v>
      </c>
    </row>
    <row r="315" spans="2:8">
      <c r="B315" t="s">
        <v>587</v>
      </c>
      <c r="C315" t="s">
        <v>55</v>
      </c>
      <c r="D315">
        <v>3122</v>
      </c>
      <c r="E315">
        <v>3123</v>
      </c>
      <c r="F315">
        <v>3122</v>
      </c>
      <c r="G315">
        <v>3123</v>
      </c>
      <c r="H315">
        <v>7500</v>
      </c>
    </row>
    <row r="316" spans="2:8">
      <c r="B316" t="s">
        <v>587</v>
      </c>
      <c r="C316" t="s">
        <v>56</v>
      </c>
      <c r="D316">
        <v>3123</v>
      </c>
      <c r="E316">
        <v>3123</v>
      </c>
      <c r="F316">
        <v>3122</v>
      </c>
      <c r="G316">
        <v>3122</v>
      </c>
      <c r="H316">
        <v>4300</v>
      </c>
    </row>
    <row r="317" spans="2:8">
      <c r="B317" t="s">
        <v>587</v>
      </c>
      <c r="C317" t="s">
        <v>57</v>
      </c>
      <c r="D317">
        <v>3122</v>
      </c>
      <c r="E317">
        <v>3122</v>
      </c>
      <c r="F317">
        <v>3116</v>
      </c>
      <c r="G317">
        <v>3117</v>
      </c>
      <c r="H317">
        <v>17500</v>
      </c>
    </row>
    <row r="318" spans="2:8">
      <c r="B318" t="s">
        <v>587</v>
      </c>
      <c r="C318" t="s">
        <v>58</v>
      </c>
      <c r="D318">
        <v>3116</v>
      </c>
      <c r="E318">
        <v>3116</v>
      </c>
      <c r="F318">
        <v>3107</v>
      </c>
      <c r="G318">
        <v>3107</v>
      </c>
      <c r="H318">
        <v>21300</v>
      </c>
    </row>
    <row r="319" spans="2:8">
      <c r="B319" t="s">
        <v>587</v>
      </c>
      <c r="C319" t="s">
        <v>59</v>
      </c>
      <c r="D319">
        <v>3107</v>
      </c>
      <c r="E319">
        <v>3109</v>
      </c>
      <c r="F319">
        <v>3102</v>
      </c>
      <c r="G319">
        <v>3109</v>
      </c>
      <c r="H319">
        <v>31100</v>
      </c>
    </row>
    <row r="320" spans="2:8">
      <c r="B320" t="s">
        <v>587</v>
      </c>
      <c r="C320" t="s">
        <v>60</v>
      </c>
      <c r="D320">
        <v>3108</v>
      </c>
      <c r="E320">
        <v>3114</v>
      </c>
      <c r="F320">
        <v>3108</v>
      </c>
      <c r="G320">
        <v>3113</v>
      </c>
      <c r="H320">
        <v>13700</v>
      </c>
    </row>
    <row r="321" spans="1:8">
      <c r="B321" t="s">
        <v>587</v>
      </c>
      <c r="C321" t="s">
        <v>61</v>
      </c>
      <c r="D321">
        <v>3112</v>
      </c>
      <c r="E321">
        <v>3121</v>
      </c>
      <c r="F321">
        <v>3109</v>
      </c>
      <c r="G321">
        <v>3121</v>
      </c>
      <c r="H321">
        <v>24600</v>
      </c>
    </row>
    <row r="322" spans="1:8">
      <c r="B322" t="s">
        <v>587</v>
      </c>
      <c r="C322" t="s">
        <v>62</v>
      </c>
      <c r="D322">
        <v>3119</v>
      </c>
      <c r="E322">
        <v>3121</v>
      </c>
      <c r="F322">
        <v>3118</v>
      </c>
      <c r="G322">
        <v>3121</v>
      </c>
      <c r="H322">
        <v>7100</v>
      </c>
    </row>
    <row r="323" spans="1:8">
      <c r="B323" t="s">
        <v>587</v>
      </c>
      <c r="C323" t="s">
        <v>63</v>
      </c>
      <c r="D323">
        <v>3120</v>
      </c>
      <c r="E323">
        <v>3123</v>
      </c>
      <c r="F323">
        <v>3120</v>
      </c>
      <c r="G323">
        <v>3122</v>
      </c>
      <c r="H323">
        <v>12800</v>
      </c>
    </row>
    <row r="324" spans="1:8">
      <c r="B324" t="s">
        <v>587</v>
      </c>
      <c r="C324" t="s">
        <v>64</v>
      </c>
      <c r="D324">
        <v>3122</v>
      </c>
      <c r="E324">
        <v>3123</v>
      </c>
      <c r="F324">
        <v>3121</v>
      </c>
      <c r="G324">
        <v>3121</v>
      </c>
      <c r="H324">
        <v>7600</v>
      </c>
    </row>
    <row r="325" spans="1:8">
      <c r="B325" t="s">
        <v>587</v>
      </c>
      <c r="C325" t="s">
        <v>65</v>
      </c>
      <c r="D325">
        <v>3121</v>
      </c>
      <c r="E325">
        <v>3124</v>
      </c>
      <c r="F325">
        <v>3119</v>
      </c>
      <c r="G325">
        <v>3124</v>
      </c>
      <c r="H325">
        <v>29400</v>
      </c>
    </row>
    <row r="326" spans="1:8">
      <c r="B326" t="s">
        <v>587</v>
      </c>
      <c r="C326" t="s">
        <v>66</v>
      </c>
      <c r="D326">
        <v>3122</v>
      </c>
      <c r="E326">
        <v>3133</v>
      </c>
      <c r="F326">
        <v>3122</v>
      </c>
      <c r="G326">
        <v>3128</v>
      </c>
      <c r="H326">
        <v>51900</v>
      </c>
    </row>
    <row r="327" spans="1:8">
      <c r="B327" t="s">
        <v>587</v>
      </c>
      <c r="C327" t="s">
        <v>164</v>
      </c>
      <c r="D327">
        <v>3127</v>
      </c>
      <c r="E327">
        <v>3130</v>
      </c>
      <c r="F327">
        <v>3125</v>
      </c>
      <c r="G327">
        <v>3129</v>
      </c>
      <c r="H327">
        <v>14900</v>
      </c>
    </row>
    <row r="328" spans="1:8">
      <c r="B328" t="s">
        <v>587</v>
      </c>
      <c r="C328" t="s">
        <v>165</v>
      </c>
      <c r="D328">
        <v>3129</v>
      </c>
      <c r="E328">
        <v>3131</v>
      </c>
      <c r="F328">
        <v>3125</v>
      </c>
      <c r="G328">
        <v>3125</v>
      </c>
      <c r="H328">
        <v>16600</v>
      </c>
    </row>
    <row r="329" spans="1:8">
      <c r="B329" t="s">
        <v>587</v>
      </c>
      <c r="C329" t="s">
        <v>67</v>
      </c>
      <c r="D329" t="s">
        <v>8</v>
      </c>
      <c r="E329" t="s">
        <v>8</v>
      </c>
      <c r="F329" t="s">
        <v>8</v>
      </c>
      <c r="G329" t="s">
        <v>8</v>
      </c>
      <c r="H329">
        <v>0</v>
      </c>
    </row>
    <row r="330" spans="1:8">
      <c r="B330" t="s">
        <v>587</v>
      </c>
      <c r="C330" t="s">
        <v>68</v>
      </c>
      <c r="D330" t="s">
        <v>8</v>
      </c>
      <c r="E330" t="s">
        <v>8</v>
      </c>
      <c r="F330" t="s">
        <v>8</v>
      </c>
      <c r="G330" t="s">
        <v>8</v>
      </c>
      <c r="H330">
        <v>0</v>
      </c>
    </row>
    <row r="331" spans="1:8">
      <c r="B331" t="s">
        <v>587</v>
      </c>
      <c r="C331" t="s">
        <v>69</v>
      </c>
      <c r="D331" t="s">
        <v>8</v>
      </c>
      <c r="E331" t="s">
        <v>8</v>
      </c>
      <c r="F331" t="s">
        <v>8</v>
      </c>
      <c r="G331" t="s">
        <v>8</v>
      </c>
      <c r="H331">
        <v>0</v>
      </c>
    </row>
    <row r="332" spans="1:8">
      <c r="B332" t="s">
        <v>587</v>
      </c>
      <c r="C332" t="s">
        <v>70</v>
      </c>
      <c r="D332" t="s">
        <v>8</v>
      </c>
      <c r="E332" t="s">
        <v>8</v>
      </c>
      <c r="F332" t="s">
        <v>8</v>
      </c>
      <c r="G332" t="s">
        <v>8</v>
      </c>
      <c r="H332">
        <v>0</v>
      </c>
    </row>
    <row r="333" spans="1:8">
      <c r="B333" t="s">
        <v>587</v>
      </c>
      <c r="C333" t="s">
        <v>71</v>
      </c>
      <c r="D333" t="s">
        <v>8</v>
      </c>
      <c r="E333" t="s">
        <v>8</v>
      </c>
      <c r="F333" t="s">
        <v>8</v>
      </c>
      <c r="G333" t="s">
        <v>8</v>
      </c>
      <c r="H333">
        <v>0</v>
      </c>
    </row>
    <row r="334" spans="1:8">
      <c r="B334" t="s">
        <v>587</v>
      </c>
      <c r="C334" t="s">
        <v>72</v>
      </c>
      <c r="D334">
        <v>3126</v>
      </c>
      <c r="E334">
        <v>3126</v>
      </c>
      <c r="F334">
        <v>3126</v>
      </c>
      <c r="G334">
        <v>3126</v>
      </c>
      <c r="H334">
        <v>465800</v>
      </c>
    </row>
    <row r="335" spans="1:8">
      <c r="A335" s="1" t="s">
        <v>79</v>
      </c>
      <c r="B335" s="1" t="s">
        <v>79</v>
      </c>
      <c r="C335" s="1" t="s">
        <v>79</v>
      </c>
      <c r="D335" s="1" t="s">
        <v>79</v>
      </c>
      <c r="E335" s="1" t="s">
        <v>79</v>
      </c>
      <c r="F335" s="1" t="s">
        <v>79</v>
      </c>
      <c r="G335" s="1" t="s">
        <v>79</v>
      </c>
      <c r="H335" s="1" t="s">
        <v>79</v>
      </c>
    </row>
    <row r="336" spans="1:8">
      <c r="B336" t="s">
        <v>442</v>
      </c>
      <c r="C336" t="s">
        <v>167</v>
      </c>
      <c r="D336">
        <v>3251</v>
      </c>
      <c r="E336">
        <v>3263</v>
      </c>
      <c r="F336">
        <v>3250</v>
      </c>
      <c r="G336">
        <v>3256</v>
      </c>
      <c r="H336">
        <v>8400</v>
      </c>
    </row>
    <row r="337" spans="2:8">
      <c r="B337" t="s">
        <v>442</v>
      </c>
      <c r="C337" t="s">
        <v>168</v>
      </c>
      <c r="D337">
        <v>3258</v>
      </c>
      <c r="E337">
        <v>3263</v>
      </c>
      <c r="F337">
        <v>3256</v>
      </c>
      <c r="G337">
        <v>3261</v>
      </c>
      <c r="H337">
        <v>4100</v>
      </c>
    </row>
    <row r="338" spans="2:8">
      <c r="B338" t="s">
        <v>442</v>
      </c>
      <c r="C338" t="s">
        <v>169</v>
      </c>
      <c r="D338">
        <v>3259</v>
      </c>
      <c r="E338">
        <v>3274</v>
      </c>
      <c r="F338">
        <v>3258</v>
      </c>
      <c r="G338">
        <v>3272</v>
      </c>
      <c r="H338">
        <v>9500</v>
      </c>
    </row>
    <row r="339" spans="2:8">
      <c r="B339" t="s">
        <v>442</v>
      </c>
      <c r="C339" t="s">
        <v>170</v>
      </c>
      <c r="D339">
        <v>3270</v>
      </c>
      <c r="E339">
        <v>3270</v>
      </c>
      <c r="F339">
        <v>3257</v>
      </c>
      <c r="G339">
        <v>3269</v>
      </c>
      <c r="H339">
        <v>8200</v>
      </c>
    </row>
    <row r="340" spans="2:8">
      <c r="B340" t="s">
        <v>442</v>
      </c>
      <c r="C340" t="s">
        <v>171</v>
      </c>
      <c r="D340">
        <v>3268</v>
      </c>
      <c r="E340">
        <v>3280</v>
      </c>
      <c r="F340">
        <v>3267</v>
      </c>
      <c r="G340">
        <v>3276</v>
      </c>
      <c r="H340">
        <v>4900</v>
      </c>
    </row>
    <row r="341" spans="2:8">
      <c r="B341" t="s">
        <v>442</v>
      </c>
      <c r="C341" t="s">
        <v>172</v>
      </c>
      <c r="D341">
        <v>3278</v>
      </c>
      <c r="E341">
        <v>3280</v>
      </c>
      <c r="F341">
        <v>3266</v>
      </c>
      <c r="G341">
        <v>3269</v>
      </c>
      <c r="H341">
        <v>6900</v>
      </c>
    </row>
    <row r="342" spans="2:8">
      <c r="B342" t="s">
        <v>442</v>
      </c>
      <c r="C342" t="s">
        <v>173</v>
      </c>
      <c r="D342">
        <v>3267</v>
      </c>
      <c r="E342">
        <v>3268</v>
      </c>
      <c r="F342">
        <v>3259</v>
      </c>
      <c r="G342">
        <v>3265</v>
      </c>
      <c r="H342">
        <v>5600</v>
      </c>
    </row>
    <row r="343" spans="2:8">
      <c r="B343" t="s">
        <v>442</v>
      </c>
      <c r="C343" t="s">
        <v>174</v>
      </c>
      <c r="D343">
        <v>3265</v>
      </c>
      <c r="E343">
        <v>3267</v>
      </c>
      <c r="F343">
        <v>3257</v>
      </c>
      <c r="G343">
        <v>3258</v>
      </c>
      <c r="H343">
        <v>6600</v>
      </c>
    </row>
    <row r="344" spans="2:8">
      <c r="B344" t="s">
        <v>442</v>
      </c>
      <c r="C344" t="s">
        <v>175</v>
      </c>
      <c r="D344">
        <v>3258</v>
      </c>
      <c r="E344">
        <v>3260</v>
      </c>
      <c r="F344">
        <v>3252</v>
      </c>
      <c r="G344">
        <v>3252</v>
      </c>
      <c r="H344">
        <v>8400</v>
      </c>
    </row>
    <row r="345" spans="2:8">
      <c r="B345" t="s">
        <v>442</v>
      </c>
      <c r="C345" t="s">
        <v>176</v>
      </c>
      <c r="D345">
        <v>3252</v>
      </c>
      <c r="E345">
        <v>3260</v>
      </c>
      <c r="F345">
        <v>3252</v>
      </c>
      <c r="G345">
        <v>3260</v>
      </c>
      <c r="H345">
        <v>4300</v>
      </c>
    </row>
    <row r="346" spans="2:8">
      <c r="B346" t="s">
        <v>442</v>
      </c>
      <c r="C346" t="s">
        <v>177</v>
      </c>
      <c r="D346">
        <v>3260</v>
      </c>
      <c r="E346">
        <v>3260</v>
      </c>
      <c r="F346">
        <v>3255</v>
      </c>
      <c r="G346">
        <v>3256</v>
      </c>
      <c r="H346">
        <v>2700</v>
      </c>
    </row>
    <row r="347" spans="2:8">
      <c r="B347" t="s">
        <v>442</v>
      </c>
      <c r="C347" t="s">
        <v>178</v>
      </c>
      <c r="D347">
        <v>3256</v>
      </c>
      <c r="E347">
        <v>3256</v>
      </c>
      <c r="F347">
        <v>3246</v>
      </c>
      <c r="G347">
        <v>3255</v>
      </c>
      <c r="H347">
        <v>18200</v>
      </c>
    </row>
    <row r="348" spans="2:8">
      <c r="B348" t="s">
        <v>442</v>
      </c>
      <c r="C348" t="s">
        <v>179</v>
      </c>
      <c r="D348">
        <v>3254</v>
      </c>
      <c r="E348">
        <v>3255</v>
      </c>
      <c r="F348">
        <v>3251</v>
      </c>
      <c r="G348">
        <v>3253</v>
      </c>
      <c r="H348">
        <v>2900</v>
      </c>
    </row>
    <row r="349" spans="2:8">
      <c r="B349" t="s">
        <v>442</v>
      </c>
      <c r="C349" t="s">
        <v>180</v>
      </c>
      <c r="D349">
        <v>3253</v>
      </c>
      <c r="E349">
        <v>3257</v>
      </c>
      <c r="F349">
        <v>3252</v>
      </c>
      <c r="G349">
        <v>3252</v>
      </c>
      <c r="H349">
        <v>3100</v>
      </c>
    </row>
    <row r="350" spans="2:8">
      <c r="B350" t="s">
        <v>442</v>
      </c>
      <c r="C350" t="s">
        <v>181</v>
      </c>
      <c r="D350">
        <v>3251</v>
      </c>
      <c r="E350">
        <v>3259</v>
      </c>
      <c r="F350">
        <v>3251</v>
      </c>
      <c r="G350">
        <v>3257</v>
      </c>
      <c r="H350">
        <v>5700</v>
      </c>
    </row>
    <row r="351" spans="2:8">
      <c r="B351" t="s">
        <v>442</v>
      </c>
      <c r="C351" t="s">
        <v>182</v>
      </c>
      <c r="D351">
        <v>3257</v>
      </c>
      <c r="E351">
        <v>3257</v>
      </c>
      <c r="F351">
        <v>3254</v>
      </c>
      <c r="G351">
        <v>3256</v>
      </c>
      <c r="H351">
        <v>1300</v>
      </c>
    </row>
    <row r="352" spans="2:8">
      <c r="B352" t="s">
        <v>442</v>
      </c>
      <c r="C352" t="s">
        <v>183</v>
      </c>
      <c r="D352">
        <v>3254</v>
      </c>
      <c r="E352">
        <v>3254</v>
      </c>
      <c r="F352">
        <v>3250</v>
      </c>
      <c r="G352">
        <v>3252</v>
      </c>
      <c r="H352">
        <v>4600</v>
      </c>
    </row>
    <row r="353" spans="2:8">
      <c r="B353" t="s">
        <v>442</v>
      </c>
      <c r="C353" t="s">
        <v>184</v>
      </c>
      <c r="D353">
        <v>3251</v>
      </c>
      <c r="E353">
        <v>3251</v>
      </c>
      <c r="F353">
        <v>3241</v>
      </c>
      <c r="G353">
        <v>3241</v>
      </c>
      <c r="H353">
        <v>7200</v>
      </c>
    </row>
    <row r="354" spans="2:8">
      <c r="B354" t="s">
        <v>442</v>
      </c>
      <c r="C354" t="s">
        <v>185</v>
      </c>
      <c r="D354">
        <v>3241</v>
      </c>
      <c r="E354">
        <v>3242</v>
      </c>
      <c r="F354">
        <v>3238</v>
      </c>
      <c r="G354">
        <v>3240</v>
      </c>
      <c r="H354">
        <v>6300</v>
      </c>
    </row>
    <row r="355" spans="2:8">
      <c r="B355" t="s">
        <v>442</v>
      </c>
      <c r="C355" t="s">
        <v>186</v>
      </c>
      <c r="D355">
        <v>3239</v>
      </c>
      <c r="E355">
        <v>3242</v>
      </c>
      <c r="F355">
        <v>3237</v>
      </c>
      <c r="G355">
        <v>3240</v>
      </c>
      <c r="H355">
        <v>2800</v>
      </c>
    </row>
    <row r="356" spans="2:8">
      <c r="B356" t="s">
        <v>442</v>
      </c>
      <c r="C356" t="s">
        <v>187</v>
      </c>
      <c r="D356">
        <v>3240</v>
      </c>
      <c r="E356">
        <v>3241</v>
      </c>
      <c r="F356">
        <v>3238</v>
      </c>
      <c r="G356">
        <v>3238</v>
      </c>
      <c r="H356">
        <v>2600</v>
      </c>
    </row>
    <row r="357" spans="2:8">
      <c r="B357" t="s">
        <v>442</v>
      </c>
      <c r="C357" t="s">
        <v>188</v>
      </c>
      <c r="D357">
        <v>3238</v>
      </c>
      <c r="E357">
        <v>3243</v>
      </c>
      <c r="F357">
        <v>3238</v>
      </c>
      <c r="G357">
        <v>3240</v>
      </c>
      <c r="H357">
        <v>3200</v>
      </c>
    </row>
    <row r="358" spans="2:8">
      <c r="B358" t="s">
        <v>442</v>
      </c>
      <c r="C358" t="s">
        <v>189</v>
      </c>
      <c r="D358">
        <v>3240</v>
      </c>
      <c r="E358">
        <v>3250</v>
      </c>
      <c r="F358">
        <v>3240</v>
      </c>
      <c r="G358">
        <v>3249</v>
      </c>
      <c r="H358">
        <v>11700</v>
      </c>
    </row>
    <row r="359" spans="2:8">
      <c r="B359" t="s">
        <v>442</v>
      </c>
      <c r="C359" t="s">
        <v>190</v>
      </c>
      <c r="D359">
        <v>3249</v>
      </c>
      <c r="E359">
        <v>3257</v>
      </c>
      <c r="F359">
        <v>3249</v>
      </c>
      <c r="G359">
        <v>3257</v>
      </c>
      <c r="H359">
        <v>3900</v>
      </c>
    </row>
    <row r="360" spans="2:8">
      <c r="B360" t="s">
        <v>442</v>
      </c>
      <c r="C360" t="s">
        <v>191</v>
      </c>
      <c r="D360">
        <v>3257</v>
      </c>
      <c r="E360">
        <v>3259</v>
      </c>
      <c r="F360">
        <v>3251</v>
      </c>
      <c r="G360">
        <v>3251</v>
      </c>
      <c r="H360">
        <v>4500</v>
      </c>
    </row>
    <row r="361" spans="2:8">
      <c r="B361" t="s">
        <v>442</v>
      </c>
      <c r="C361" t="s">
        <v>192</v>
      </c>
      <c r="D361">
        <v>3250</v>
      </c>
      <c r="E361">
        <v>3254</v>
      </c>
      <c r="F361">
        <v>3250</v>
      </c>
      <c r="G361">
        <v>3254</v>
      </c>
      <c r="H361">
        <v>1900</v>
      </c>
    </row>
    <row r="362" spans="2:8">
      <c r="B362" t="s">
        <v>442</v>
      </c>
      <c r="C362" t="s">
        <v>193</v>
      </c>
      <c r="D362">
        <v>3255</v>
      </c>
      <c r="E362">
        <v>3257</v>
      </c>
      <c r="F362">
        <v>3254</v>
      </c>
      <c r="G362">
        <v>3257</v>
      </c>
      <c r="H362">
        <v>1500</v>
      </c>
    </row>
    <row r="363" spans="2:8">
      <c r="B363" t="s">
        <v>442</v>
      </c>
      <c r="C363" t="s">
        <v>194</v>
      </c>
      <c r="D363">
        <v>3258</v>
      </c>
      <c r="E363">
        <v>3258</v>
      </c>
      <c r="F363">
        <v>3255</v>
      </c>
      <c r="G363">
        <v>3256</v>
      </c>
      <c r="H363">
        <v>700</v>
      </c>
    </row>
    <row r="364" spans="2:8">
      <c r="B364" t="s">
        <v>442</v>
      </c>
      <c r="C364" t="s">
        <v>195</v>
      </c>
      <c r="D364">
        <v>3254</v>
      </c>
      <c r="E364">
        <v>3254</v>
      </c>
      <c r="F364">
        <v>3250</v>
      </c>
      <c r="G364">
        <v>3250</v>
      </c>
      <c r="H364">
        <v>1700</v>
      </c>
    </row>
    <row r="365" spans="2:8">
      <c r="B365" t="s">
        <v>442</v>
      </c>
      <c r="C365" t="s">
        <v>196</v>
      </c>
      <c r="D365">
        <v>3249</v>
      </c>
      <c r="E365">
        <v>3252</v>
      </c>
      <c r="F365">
        <v>3247</v>
      </c>
      <c r="G365">
        <v>3250</v>
      </c>
      <c r="H365">
        <v>2000</v>
      </c>
    </row>
    <row r="366" spans="2:8">
      <c r="B366" t="s">
        <v>442</v>
      </c>
      <c r="C366" t="s">
        <v>197</v>
      </c>
      <c r="D366">
        <v>3251</v>
      </c>
      <c r="E366">
        <v>3252</v>
      </c>
      <c r="F366">
        <v>3248</v>
      </c>
      <c r="G366">
        <v>3249</v>
      </c>
      <c r="H366">
        <v>2400</v>
      </c>
    </row>
    <row r="367" spans="2:8">
      <c r="B367" t="s">
        <v>442</v>
      </c>
      <c r="C367" t="s">
        <v>198</v>
      </c>
      <c r="D367">
        <v>3251</v>
      </c>
      <c r="E367">
        <v>3253</v>
      </c>
      <c r="F367">
        <v>3248</v>
      </c>
      <c r="G367">
        <v>3250</v>
      </c>
      <c r="H367">
        <v>3900</v>
      </c>
    </row>
    <row r="368" spans="2:8">
      <c r="B368" t="s">
        <v>442</v>
      </c>
      <c r="C368" t="s">
        <v>199</v>
      </c>
      <c r="D368">
        <v>3250</v>
      </c>
      <c r="E368">
        <v>3252</v>
      </c>
      <c r="F368">
        <v>3250</v>
      </c>
      <c r="G368">
        <v>3252</v>
      </c>
      <c r="H368">
        <v>900</v>
      </c>
    </row>
    <row r="369" spans="2:8">
      <c r="B369" t="s">
        <v>442</v>
      </c>
      <c r="C369" t="s">
        <v>200</v>
      </c>
      <c r="D369">
        <v>3253</v>
      </c>
      <c r="E369">
        <v>3257</v>
      </c>
      <c r="F369">
        <v>3252</v>
      </c>
      <c r="G369">
        <v>3257</v>
      </c>
      <c r="H369">
        <v>2500</v>
      </c>
    </row>
    <row r="370" spans="2:8">
      <c r="B370" t="s">
        <v>442</v>
      </c>
      <c r="C370" t="s">
        <v>201</v>
      </c>
      <c r="D370">
        <v>3256</v>
      </c>
      <c r="E370">
        <v>3263</v>
      </c>
      <c r="F370">
        <v>3256</v>
      </c>
      <c r="G370">
        <v>3261</v>
      </c>
      <c r="H370">
        <v>3900</v>
      </c>
    </row>
    <row r="371" spans="2:8">
      <c r="B371" t="s">
        <v>442</v>
      </c>
      <c r="C371" t="s">
        <v>202</v>
      </c>
      <c r="D371">
        <v>3261</v>
      </c>
      <c r="E371">
        <v>3262</v>
      </c>
      <c r="F371">
        <v>3257</v>
      </c>
      <c r="G371">
        <v>3257</v>
      </c>
      <c r="H371">
        <v>2300</v>
      </c>
    </row>
    <row r="372" spans="2:8">
      <c r="B372" t="s">
        <v>442</v>
      </c>
      <c r="C372" t="s">
        <v>203</v>
      </c>
      <c r="D372">
        <v>3259</v>
      </c>
      <c r="E372">
        <v>3268</v>
      </c>
      <c r="F372">
        <v>3259</v>
      </c>
      <c r="G372">
        <v>3264</v>
      </c>
      <c r="H372">
        <v>4700</v>
      </c>
    </row>
    <row r="373" spans="2:8">
      <c r="B373" t="s">
        <v>442</v>
      </c>
      <c r="C373" t="s">
        <v>204</v>
      </c>
      <c r="D373">
        <v>3265</v>
      </c>
      <c r="E373">
        <v>3270</v>
      </c>
      <c r="F373">
        <v>3264</v>
      </c>
      <c r="G373">
        <v>3266</v>
      </c>
      <c r="H373">
        <v>3900</v>
      </c>
    </row>
    <row r="374" spans="2:8">
      <c r="B374" t="s">
        <v>442</v>
      </c>
      <c r="C374" t="s">
        <v>205</v>
      </c>
      <c r="D374">
        <v>3265</v>
      </c>
      <c r="E374">
        <v>3267</v>
      </c>
      <c r="F374">
        <v>3264</v>
      </c>
      <c r="G374">
        <v>3264</v>
      </c>
      <c r="H374">
        <v>1900</v>
      </c>
    </row>
    <row r="375" spans="2:8">
      <c r="B375" t="s">
        <v>442</v>
      </c>
      <c r="C375" t="s">
        <v>206</v>
      </c>
      <c r="D375">
        <v>3263</v>
      </c>
      <c r="E375">
        <v>3265</v>
      </c>
      <c r="F375">
        <v>3261</v>
      </c>
      <c r="G375">
        <v>3261</v>
      </c>
      <c r="H375">
        <v>2200</v>
      </c>
    </row>
    <row r="376" spans="2:8">
      <c r="B376" t="s">
        <v>442</v>
      </c>
      <c r="C376" t="s">
        <v>207</v>
      </c>
      <c r="D376">
        <v>3261</v>
      </c>
      <c r="E376">
        <v>3261</v>
      </c>
      <c r="F376">
        <v>3260</v>
      </c>
      <c r="G376">
        <v>3260</v>
      </c>
      <c r="H376">
        <v>1300</v>
      </c>
    </row>
    <row r="377" spans="2:8">
      <c r="B377" t="s">
        <v>442</v>
      </c>
      <c r="C377" t="s">
        <v>208</v>
      </c>
      <c r="D377">
        <v>3262</v>
      </c>
      <c r="E377">
        <v>3266</v>
      </c>
      <c r="F377">
        <v>3262</v>
      </c>
      <c r="G377">
        <v>3266</v>
      </c>
      <c r="H377">
        <v>2000</v>
      </c>
    </row>
    <row r="378" spans="2:8">
      <c r="B378" t="s">
        <v>442</v>
      </c>
      <c r="C378" t="s">
        <v>209</v>
      </c>
      <c r="D378">
        <v>3267</v>
      </c>
      <c r="E378">
        <v>3268</v>
      </c>
      <c r="F378">
        <v>3264</v>
      </c>
      <c r="G378">
        <v>3267</v>
      </c>
      <c r="H378">
        <v>2300</v>
      </c>
    </row>
    <row r="379" spans="2:8">
      <c r="B379" t="s">
        <v>442</v>
      </c>
      <c r="C379" t="s">
        <v>210</v>
      </c>
      <c r="D379">
        <v>3266</v>
      </c>
      <c r="E379">
        <v>3270</v>
      </c>
      <c r="F379">
        <v>3266</v>
      </c>
      <c r="G379">
        <v>3268</v>
      </c>
      <c r="H379">
        <v>3600</v>
      </c>
    </row>
    <row r="380" spans="2:8">
      <c r="B380" t="s">
        <v>442</v>
      </c>
      <c r="C380" t="s">
        <v>211</v>
      </c>
      <c r="D380">
        <v>3266</v>
      </c>
      <c r="E380">
        <v>3268</v>
      </c>
      <c r="F380">
        <v>3265</v>
      </c>
      <c r="G380">
        <v>3268</v>
      </c>
      <c r="H380">
        <v>4700</v>
      </c>
    </row>
    <row r="381" spans="2:8">
      <c r="B381" t="s">
        <v>442</v>
      </c>
      <c r="C381" t="s">
        <v>212</v>
      </c>
      <c r="D381">
        <v>3265</v>
      </c>
      <c r="E381">
        <v>3271</v>
      </c>
      <c r="F381">
        <v>3265</v>
      </c>
      <c r="G381">
        <v>3271</v>
      </c>
      <c r="H381">
        <v>3900</v>
      </c>
    </row>
    <row r="382" spans="2:8">
      <c r="B382" t="s">
        <v>442</v>
      </c>
      <c r="C382" t="s">
        <v>213</v>
      </c>
      <c r="D382">
        <v>3269</v>
      </c>
      <c r="E382">
        <v>3272</v>
      </c>
      <c r="F382">
        <v>3266</v>
      </c>
      <c r="G382">
        <v>3270</v>
      </c>
      <c r="H382">
        <v>5100</v>
      </c>
    </row>
    <row r="383" spans="2:8">
      <c r="B383" t="s">
        <v>442</v>
      </c>
      <c r="C383" t="s">
        <v>214</v>
      </c>
      <c r="D383">
        <v>3272</v>
      </c>
      <c r="E383">
        <v>3272</v>
      </c>
      <c r="F383">
        <v>3271</v>
      </c>
      <c r="G383">
        <v>3271</v>
      </c>
      <c r="H383">
        <v>900</v>
      </c>
    </row>
    <row r="384" spans="2:8">
      <c r="B384" t="s">
        <v>442</v>
      </c>
      <c r="C384" t="s">
        <v>215</v>
      </c>
      <c r="D384">
        <v>3270</v>
      </c>
      <c r="E384">
        <v>3271</v>
      </c>
      <c r="F384">
        <v>3269</v>
      </c>
      <c r="G384">
        <v>3271</v>
      </c>
      <c r="H384">
        <v>600</v>
      </c>
    </row>
    <row r="385" spans="2:8">
      <c r="B385" t="s">
        <v>442</v>
      </c>
      <c r="C385" t="s">
        <v>216</v>
      </c>
      <c r="D385">
        <v>3270</v>
      </c>
      <c r="E385">
        <v>3270</v>
      </c>
      <c r="F385">
        <v>3261</v>
      </c>
      <c r="G385">
        <v>3262</v>
      </c>
      <c r="H385">
        <v>4800</v>
      </c>
    </row>
    <row r="386" spans="2:8">
      <c r="B386" t="s">
        <v>442</v>
      </c>
      <c r="C386" t="s">
        <v>217</v>
      </c>
      <c r="D386">
        <v>3265</v>
      </c>
      <c r="E386">
        <v>3267</v>
      </c>
      <c r="F386">
        <v>3264</v>
      </c>
      <c r="G386">
        <v>3267</v>
      </c>
      <c r="H386">
        <v>3600</v>
      </c>
    </row>
    <row r="387" spans="2:8">
      <c r="B387" t="s">
        <v>442</v>
      </c>
      <c r="C387" t="s">
        <v>218</v>
      </c>
      <c r="D387">
        <v>3266</v>
      </c>
      <c r="E387">
        <v>3266</v>
      </c>
      <c r="F387">
        <v>3263</v>
      </c>
      <c r="G387">
        <v>3265</v>
      </c>
      <c r="H387">
        <v>1500</v>
      </c>
    </row>
    <row r="388" spans="2:8">
      <c r="B388" t="s">
        <v>442</v>
      </c>
      <c r="C388" t="s">
        <v>219</v>
      </c>
      <c r="D388">
        <v>3264</v>
      </c>
      <c r="E388">
        <v>3265</v>
      </c>
      <c r="F388">
        <v>3263</v>
      </c>
      <c r="G388">
        <v>3264</v>
      </c>
      <c r="H388">
        <v>1500</v>
      </c>
    </row>
    <row r="389" spans="2:8">
      <c r="B389" t="s">
        <v>442</v>
      </c>
      <c r="C389" t="s">
        <v>220</v>
      </c>
      <c r="D389">
        <v>3262</v>
      </c>
      <c r="E389">
        <v>3262</v>
      </c>
      <c r="F389">
        <v>3254</v>
      </c>
      <c r="G389">
        <v>3257</v>
      </c>
      <c r="H389">
        <v>10600</v>
      </c>
    </row>
    <row r="390" spans="2:8">
      <c r="B390" t="s">
        <v>442</v>
      </c>
      <c r="C390" t="s">
        <v>221</v>
      </c>
      <c r="D390">
        <v>3256</v>
      </c>
      <c r="E390">
        <v>3259</v>
      </c>
      <c r="F390">
        <v>3256</v>
      </c>
      <c r="G390">
        <v>3259</v>
      </c>
      <c r="H390">
        <v>1300</v>
      </c>
    </row>
    <row r="391" spans="2:8">
      <c r="B391" t="s">
        <v>442</v>
      </c>
      <c r="C391" t="s">
        <v>222</v>
      </c>
      <c r="D391">
        <v>3259</v>
      </c>
      <c r="E391">
        <v>3259</v>
      </c>
      <c r="F391">
        <v>3253</v>
      </c>
      <c r="G391">
        <v>3255</v>
      </c>
      <c r="H391">
        <v>5800</v>
      </c>
    </row>
    <row r="392" spans="2:8">
      <c r="B392" t="s">
        <v>442</v>
      </c>
      <c r="C392" t="s">
        <v>223</v>
      </c>
      <c r="D392">
        <v>3253</v>
      </c>
      <c r="E392">
        <v>3255</v>
      </c>
      <c r="F392">
        <v>3242</v>
      </c>
      <c r="G392">
        <v>3242</v>
      </c>
      <c r="H392">
        <v>9600</v>
      </c>
    </row>
    <row r="393" spans="2:8">
      <c r="B393" t="s">
        <v>442</v>
      </c>
      <c r="C393" t="s">
        <v>224</v>
      </c>
      <c r="D393">
        <v>3242</v>
      </c>
      <c r="E393">
        <v>3246</v>
      </c>
      <c r="F393">
        <v>3240</v>
      </c>
      <c r="G393">
        <v>3246</v>
      </c>
      <c r="H393">
        <v>5900</v>
      </c>
    </row>
    <row r="394" spans="2:8">
      <c r="B394" t="s">
        <v>442</v>
      </c>
      <c r="C394" t="s">
        <v>225</v>
      </c>
      <c r="D394">
        <v>3246</v>
      </c>
      <c r="E394">
        <v>3251</v>
      </c>
      <c r="F394">
        <v>3246</v>
      </c>
      <c r="G394">
        <v>3250</v>
      </c>
      <c r="H394">
        <v>2800</v>
      </c>
    </row>
    <row r="395" spans="2:8">
      <c r="B395" t="s">
        <v>442</v>
      </c>
      <c r="C395" t="s">
        <v>226</v>
      </c>
      <c r="D395">
        <v>3250</v>
      </c>
      <c r="E395">
        <v>3253</v>
      </c>
      <c r="F395">
        <v>3249</v>
      </c>
      <c r="G395">
        <v>3253</v>
      </c>
      <c r="H395">
        <v>5600</v>
      </c>
    </row>
    <row r="396" spans="2:8">
      <c r="B396" t="s">
        <v>442</v>
      </c>
      <c r="C396" t="s">
        <v>227</v>
      </c>
      <c r="D396">
        <v>3252</v>
      </c>
      <c r="E396">
        <v>3253</v>
      </c>
      <c r="F396">
        <v>3251</v>
      </c>
      <c r="G396">
        <v>3253</v>
      </c>
      <c r="H396">
        <v>500</v>
      </c>
    </row>
    <row r="397" spans="2:8">
      <c r="B397" t="s">
        <v>442</v>
      </c>
      <c r="C397" t="s">
        <v>228</v>
      </c>
      <c r="D397">
        <v>3254</v>
      </c>
      <c r="E397">
        <v>3254</v>
      </c>
      <c r="F397">
        <v>3250</v>
      </c>
      <c r="G397">
        <v>3253</v>
      </c>
      <c r="H397">
        <v>2400</v>
      </c>
    </row>
    <row r="398" spans="2:8">
      <c r="B398" t="s">
        <v>442</v>
      </c>
      <c r="C398" t="s">
        <v>229</v>
      </c>
      <c r="D398">
        <v>3252</v>
      </c>
      <c r="E398">
        <v>3255</v>
      </c>
      <c r="F398">
        <v>3252</v>
      </c>
      <c r="G398">
        <v>3254</v>
      </c>
      <c r="H398">
        <v>1800</v>
      </c>
    </row>
    <row r="399" spans="2:8">
      <c r="B399" t="s">
        <v>442</v>
      </c>
      <c r="C399" t="s">
        <v>230</v>
      </c>
      <c r="D399">
        <v>3254</v>
      </c>
      <c r="E399">
        <v>3254</v>
      </c>
      <c r="F399">
        <v>3251</v>
      </c>
      <c r="G399">
        <v>3251</v>
      </c>
      <c r="H399">
        <v>1900</v>
      </c>
    </row>
    <row r="400" spans="2:8">
      <c r="B400" t="s">
        <v>442</v>
      </c>
      <c r="C400" t="s">
        <v>231</v>
      </c>
      <c r="D400">
        <v>3250</v>
      </c>
      <c r="E400">
        <v>3252</v>
      </c>
      <c r="F400">
        <v>3248</v>
      </c>
      <c r="G400">
        <v>3252</v>
      </c>
      <c r="H400">
        <v>4500</v>
      </c>
    </row>
    <row r="401" spans="2:8">
      <c r="B401" t="s">
        <v>442</v>
      </c>
      <c r="C401" t="s">
        <v>232</v>
      </c>
      <c r="D401">
        <v>3251</v>
      </c>
      <c r="E401">
        <v>3251</v>
      </c>
      <c r="F401">
        <v>3247</v>
      </c>
      <c r="G401">
        <v>3247</v>
      </c>
      <c r="H401">
        <v>2700</v>
      </c>
    </row>
    <row r="402" spans="2:8">
      <c r="B402" t="s">
        <v>442</v>
      </c>
      <c r="C402" t="s">
        <v>233</v>
      </c>
      <c r="D402">
        <v>3246</v>
      </c>
      <c r="E402">
        <v>3250</v>
      </c>
      <c r="F402">
        <v>3246</v>
      </c>
      <c r="G402">
        <v>3247</v>
      </c>
      <c r="H402">
        <v>2400</v>
      </c>
    </row>
    <row r="403" spans="2:8">
      <c r="B403" t="s">
        <v>442</v>
      </c>
      <c r="C403" t="s">
        <v>234</v>
      </c>
      <c r="D403">
        <v>3247</v>
      </c>
      <c r="E403">
        <v>3257</v>
      </c>
      <c r="F403">
        <v>3247</v>
      </c>
      <c r="G403">
        <v>3257</v>
      </c>
      <c r="H403">
        <v>5100</v>
      </c>
    </row>
    <row r="404" spans="2:8">
      <c r="B404" t="s">
        <v>442</v>
      </c>
      <c r="C404" t="s">
        <v>235</v>
      </c>
      <c r="D404">
        <v>3257</v>
      </c>
      <c r="E404">
        <v>3261</v>
      </c>
      <c r="F404">
        <v>3257</v>
      </c>
      <c r="G404">
        <v>3261</v>
      </c>
      <c r="H404">
        <v>2600</v>
      </c>
    </row>
    <row r="405" spans="2:8">
      <c r="B405" t="s">
        <v>442</v>
      </c>
      <c r="C405" t="s">
        <v>236</v>
      </c>
      <c r="D405">
        <v>3259</v>
      </c>
      <c r="E405">
        <v>3259</v>
      </c>
      <c r="F405">
        <v>3248</v>
      </c>
      <c r="G405">
        <v>3248</v>
      </c>
      <c r="H405">
        <v>9300</v>
      </c>
    </row>
    <row r="406" spans="2:8">
      <c r="B406" t="s">
        <v>442</v>
      </c>
      <c r="C406" t="s">
        <v>237</v>
      </c>
      <c r="D406">
        <v>3249</v>
      </c>
      <c r="E406">
        <v>3254</v>
      </c>
      <c r="F406">
        <v>3249</v>
      </c>
      <c r="G406">
        <v>3253</v>
      </c>
      <c r="H406">
        <v>2300</v>
      </c>
    </row>
    <row r="407" spans="2:8">
      <c r="B407" t="s">
        <v>442</v>
      </c>
      <c r="C407" t="s">
        <v>238</v>
      </c>
      <c r="D407">
        <v>3255</v>
      </c>
      <c r="E407">
        <v>3257</v>
      </c>
      <c r="F407">
        <v>3253</v>
      </c>
      <c r="G407">
        <v>3257</v>
      </c>
      <c r="H407">
        <v>1500</v>
      </c>
    </row>
    <row r="408" spans="2:8">
      <c r="B408" t="s">
        <v>442</v>
      </c>
      <c r="C408" t="s">
        <v>239</v>
      </c>
      <c r="D408">
        <v>3256</v>
      </c>
      <c r="E408">
        <v>3258</v>
      </c>
      <c r="F408">
        <v>3256</v>
      </c>
      <c r="G408">
        <v>3257</v>
      </c>
      <c r="H408">
        <v>1800</v>
      </c>
    </row>
    <row r="409" spans="2:8">
      <c r="B409" t="s">
        <v>442</v>
      </c>
      <c r="C409" t="s">
        <v>240</v>
      </c>
      <c r="D409">
        <v>3255</v>
      </c>
      <c r="E409">
        <v>3255</v>
      </c>
      <c r="F409">
        <v>3253</v>
      </c>
      <c r="G409">
        <v>3253</v>
      </c>
      <c r="H409">
        <v>2600</v>
      </c>
    </row>
    <row r="410" spans="2:8">
      <c r="B410" t="s">
        <v>442</v>
      </c>
      <c r="C410" t="s">
        <v>241</v>
      </c>
      <c r="D410">
        <v>3254</v>
      </c>
      <c r="E410">
        <v>3256</v>
      </c>
      <c r="F410">
        <v>3254</v>
      </c>
      <c r="G410">
        <v>3255</v>
      </c>
      <c r="H410">
        <v>1100</v>
      </c>
    </row>
    <row r="411" spans="2:8">
      <c r="B411" t="s">
        <v>442</v>
      </c>
      <c r="C411" t="s">
        <v>242</v>
      </c>
      <c r="D411">
        <v>3255</v>
      </c>
      <c r="E411">
        <v>3256</v>
      </c>
      <c r="F411">
        <v>3255</v>
      </c>
      <c r="G411">
        <v>3256</v>
      </c>
      <c r="H411">
        <v>1400</v>
      </c>
    </row>
    <row r="412" spans="2:8">
      <c r="B412" t="s">
        <v>442</v>
      </c>
      <c r="C412" t="s">
        <v>243</v>
      </c>
      <c r="D412">
        <v>3254</v>
      </c>
      <c r="E412">
        <v>3254</v>
      </c>
      <c r="F412">
        <v>3254</v>
      </c>
      <c r="G412">
        <v>3254</v>
      </c>
      <c r="H412">
        <v>500</v>
      </c>
    </row>
    <row r="413" spans="2:8">
      <c r="B413" t="s">
        <v>442</v>
      </c>
      <c r="C413" t="s">
        <v>244</v>
      </c>
      <c r="D413">
        <v>3255</v>
      </c>
      <c r="E413">
        <v>3257</v>
      </c>
      <c r="F413">
        <v>3255</v>
      </c>
      <c r="G413">
        <v>3257</v>
      </c>
      <c r="H413">
        <v>2000</v>
      </c>
    </row>
    <row r="414" spans="2:8">
      <c r="B414" t="s">
        <v>442</v>
      </c>
      <c r="C414" t="s">
        <v>245</v>
      </c>
      <c r="D414">
        <v>3257</v>
      </c>
      <c r="E414">
        <v>3257</v>
      </c>
      <c r="F414">
        <v>3256</v>
      </c>
      <c r="G414">
        <v>3257</v>
      </c>
      <c r="H414">
        <v>2600</v>
      </c>
    </row>
    <row r="415" spans="2:8">
      <c r="B415" t="s">
        <v>442</v>
      </c>
      <c r="C415" t="s">
        <v>246</v>
      </c>
      <c r="D415">
        <v>3257</v>
      </c>
      <c r="E415">
        <v>3258</v>
      </c>
      <c r="F415">
        <v>3253</v>
      </c>
      <c r="G415">
        <v>3253</v>
      </c>
      <c r="H415">
        <v>2100</v>
      </c>
    </row>
    <row r="416" spans="2:8">
      <c r="B416" t="s">
        <v>442</v>
      </c>
      <c r="C416" t="s">
        <v>247</v>
      </c>
      <c r="D416">
        <v>3251</v>
      </c>
      <c r="E416">
        <v>3254</v>
      </c>
      <c r="F416">
        <v>3250</v>
      </c>
      <c r="G416">
        <v>3252</v>
      </c>
      <c r="H416">
        <v>1900</v>
      </c>
    </row>
    <row r="417" spans="2:8">
      <c r="B417" t="s">
        <v>442</v>
      </c>
      <c r="C417" t="s">
        <v>248</v>
      </c>
      <c r="D417">
        <v>3252</v>
      </c>
      <c r="E417">
        <v>3253</v>
      </c>
      <c r="F417">
        <v>3250</v>
      </c>
      <c r="G417">
        <v>3251</v>
      </c>
      <c r="H417">
        <v>1600</v>
      </c>
    </row>
    <row r="418" spans="2:8">
      <c r="B418" t="s">
        <v>442</v>
      </c>
      <c r="C418" t="s">
        <v>249</v>
      </c>
      <c r="D418">
        <v>3251</v>
      </c>
      <c r="E418">
        <v>3251</v>
      </c>
      <c r="F418">
        <v>3251</v>
      </c>
      <c r="G418">
        <v>3251</v>
      </c>
      <c r="H418">
        <v>600</v>
      </c>
    </row>
    <row r="419" spans="2:8">
      <c r="B419" t="s">
        <v>442</v>
      </c>
      <c r="C419" t="s">
        <v>250</v>
      </c>
      <c r="D419">
        <v>3250</v>
      </c>
      <c r="E419">
        <v>3251</v>
      </c>
      <c r="F419">
        <v>3249</v>
      </c>
      <c r="G419">
        <v>3251</v>
      </c>
      <c r="H419">
        <v>2300</v>
      </c>
    </row>
    <row r="420" spans="2:8">
      <c r="B420" t="s">
        <v>442</v>
      </c>
      <c r="C420" t="s">
        <v>251</v>
      </c>
      <c r="D420">
        <v>3250</v>
      </c>
      <c r="E420">
        <v>3250</v>
      </c>
      <c r="F420">
        <v>3249</v>
      </c>
      <c r="G420">
        <v>3249</v>
      </c>
      <c r="H420">
        <v>1300</v>
      </c>
    </row>
    <row r="421" spans="2:8">
      <c r="B421" t="s">
        <v>442</v>
      </c>
      <c r="C421" t="s">
        <v>252</v>
      </c>
      <c r="D421">
        <v>3248</v>
      </c>
      <c r="E421">
        <v>3250</v>
      </c>
      <c r="F421">
        <v>3248</v>
      </c>
      <c r="G421">
        <v>3249</v>
      </c>
      <c r="H421">
        <v>3600</v>
      </c>
    </row>
    <row r="422" spans="2:8">
      <c r="B422" t="s">
        <v>442</v>
      </c>
      <c r="C422" t="s">
        <v>253</v>
      </c>
      <c r="D422">
        <v>3249</v>
      </c>
      <c r="E422">
        <v>3250</v>
      </c>
      <c r="F422">
        <v>3248</v>
      </c>
      <c r="G422">
        <v>3248</v>
      </c>
      <c r="H422">
        <v>2000</v>
      </c>
    </row>
    <row r="423" spans="2:8">
      <c r="B423" t="s">
        <v>442</v>
      </c>
      <c r="C423" t="s">
        <v>254</v>
      </c>
      <c r="D423">
        <v>3248</v>
      </c>
      <c r="E423">
        <v>3250</v>
      </c>
      <c r="F423">
        <v>3244</v>
      </c>
      <c r="G423">
        <v>3246</v>
      </c>
      <c r="H423">
        <v>4200</v>
      </c>
    </row>
    <row r="424" spans="2:8">
      <c r="B424" t="s">
        <v>442</v>
      </c>
      <c r="C424" t="s">
        <v>255</v>
      </c>
      <c r="D424">
        <v>3245</v>
      </c>
      <c r="E424">
        <v>3248</v>
      </c>
      <c r="F424">
        <v>3245</v>
      </c>
      <c r="G424">
        <v>3248</v>
      </c>
      <c r="H424">
        <v>800</v>
      </c>
    </row>
    <row r="425" spans="2:8">
      <c r="B425" t="s">
        <v>442</v>
      </c>
      <c r="C425" t="s">
        <v>256</v>
      </c>
      <c r="D425">
        <v>3248</v>
      </c>
      <c r="E425">
        <v>3248</v>
      </c>
      <c r="F425">
        <v>3244</v>
      </c>
      <c r="G425">
        <v>3245</v>
      </c>
      <c r="H425">
        <v>1600</v>
      </c>
    </row>
    <row r="426" spans="2:8">
      <c r="B426" t="s">
        <v>442</v>
      </c>
      <c r="C426" t="s">
        <v>257</v>
      </c>
      <c r="D426">
        <v>3243</v>
      </c>
      <c r="E426">
        <v>3243</v>
      </c>
      <c r="F426">
        <v>3241</v>
      </c>
      <c r="G426">
        <v>3241</v>
      </c>
      <c r="H426">
        <v>2000</v>
      </c>
    </row>
    <row r="427" spans="2:8">
      <c r="B427" t="s">
        <v>442</v>
      </c>
      <c r="C427" t="s">
        <v>258</v>
      </c>
      <c r="D427">
        <v>3241</v>
      </c>
      <c r="E427">
        <v>3241</v>
      </c>
      <c r="F427">
        <v>3238</v>
      </c>
      <c r="G427">
        <v>3239</v>
      </c>
      <c r="H427">
        <v>16400</v>
      </c>
    </row>
    <row r="428" spans="2:8">
      <c r="B428" t="s">
        <v>442</v>
      </c>
      <c r="C428" t="s">
        <v>259</v>
      </c>
      <c r="D428">
        <v>3241</v>
      </c>
      <c r="E428">
        <v>3243</v>
      </c>
      <c r="F428">
        <v>3241</v>
      </c>
      <c r="G428">
        <v>3243</v>
      </c>
      <c r="H428">
        <v>2500</v>
      </c>
    </row>
    <row r="429" spans="2:8">
      <c r="B429" t="s">
        <v>442</v>
      </c>
      <c r="C429" t="s">
        <v>260</v>
      </c>
      <c r="D429">
        <v>3243</v>
      </c>
      <c r="E429">
        <v>3246</v>
      </c>
      <c r="F429">
        <v>3243</v>
      </c>
      <c r="G429">
        <v>3246</v>
      </c>
      <c r="H429">
        <v>1300</v>
      </c>
    </row>
    <row r="430" spans="2:8">
      <c r="B430" t="s">
        <v>442</v>
      </c>
      <c r="C430" t="s">
        <v>261</v>
      </c>
      <c r="D430">
        <v>3246</v>
      </c>
      <c r="E430">
        <v>3247</v>
      </c>
      <c r="F430">
        <v>3246</v>
      </c>
      <c r="G430">
        <v>3246</v>
      </c>
      <c r="H430">
        <v>2300</v>
      </c>
    </row>
    <row r="431" spans="2:8">
      <c r="B431" t="s">
        <v>442</v>
      </c>
      <c r="C431" t="s">
        <v>262</v>
      </c>
      <c r="D431">
        <v>3246</v>
      </c>
      <c r="E431">
        <v>3248</v>
      </c>
      <c r="F431">
        <v>3246</v>
      </c>
      <c r="G431">
        <v>3248</v>
      </c>
      <c r="H431">
        <v>700</v>
      </c>
    </row>
    <row r="432" spans="2:8">
      <c r="B432" t="s">
        <v>442</v>
      </c>
      <c r="C432" t="s">
        <v>263</v>
      </c>
      <c r="D432">
        <v>3247</v>
      </c>
      <c r="E432">
        <v>3250</v>
      </c>
      <c r="F432">
        <v>3246</v>
      </c>
      <c r="G432">
        <v>3249</v>
      </c>
      <c r="H432">
        <v>3700</v>
      </c>
    </row>
    <row r="433" spans="2:8">
      <c r="B433" t="s">
        <v>442</v>
      </c>
      <c r="C433" t="s">
        <v>264</v>
      </c>
      <c r="D433">
        <v>3250</v>
      </c>
      <c r="E433">
        <v>3250</v>
      </c>
      <c r="F433">
        <v>3246</v>
      </c>
      <c r="G433">
        <v>3249</v>
      </c>
      <c r="H433">
        <v>1700</v>
      </c>
    </row>
    <row r="434" spans="2:8">
      <c r="B434" t="s">
        <v>442</v>
      </c>
      <c r="C434" t="s">
        <v>265</v>
      </c>
      <c r="D434">
        <v>3249</v>
      </c>
      <c r="E434">
        <v>3249</v>
      </c>
      <c r="F434">
        <v>3248</v>
      </c>
      <c r="G434">
        <v>3248</v>
      </c>
      <c r="H434">
        <v>600</v>
      </c>
    </row>
    <row r="435" spans="2:8">
      <c r="B435" t="s">
        <v>442</v>
      </c>
      <c r="C435" t="s">
        <v>266</v>
      </c>
      <c r="D435">
        <v>3247</v>
      </c>
      <c r="E435">
        <v>3247</v>
      </c>
      <c r="F435">
        <v>3247</v>
      </c>
      <c r="G435">
        <v>3247</v>
      </c>
      <c r="H435">
        <v>1000</v>
      </c>
    </row>
    <row r="436" spans="2:8">
      <c r="B436" t="s">
        <v>442</v>
      </c>
      <c r="C436" t="s">
        <v>267</v>
      </c>
      <c r="D436">
        <v>3247</v>
      </c>
      <c r="E436">
        <v>3247</v>
      </c>
      <c r="F436">
        <v>3246</v>
      </c>
      <c r="G436">
        <v>3247</v>
      </c>
      <c r="H436">
        <v>1100</v>
      </c>
    </row>
    <row r="437" spans="2:8">
      <c r="B437" t="s">
        <v>442</v>
      </c>
      <c r="C437" t="s">
        <v>268</v>
      </c>
      <c r="D437">
        <v>3246</v>
      </c>
      <c r="E437">
        <v>3248</v>
      </c>
      <c r="F437">
        <v>3246</v>
      </c>
      <c r="G437">
        <v>3248</v>
      </c>
      <c r="H437">
        <v>1200</v>
      </c>
    </row>
    <row r="438" spans="2:8">
      <c r="B438" t="s">
        <v>442</v>
      </c>
      <c r="C438" t="s">
        <v>269</v>
      </c>
      <c r="D438">
        <v>3249</v>
      </c>
      <c r="E438">
        <v>3255</v>
      </c>
      <c r="F438">
        <v>3249</v>
      </c>
      <c r="G438">
        <v>3254</v>
      </c>
      <c r="H438">
        <v>6000</v>
      </c>
    </row>
    <row r="439" spans="2:8">
      <c r="B439" t="s">
        <v>442</v>
      </c>
      <c r="C439" t="s">
        <v>270</v>
      </c>
      <c r="D439">
        <v>3254</v>
      </c>
      <c r="E439">
        <v>3254</v>
      </c>
      <c r="F439">
        <v>3253</v>
      </c>
      <c r="G439">
        <v>3253</v>
      </c>
      <c r="H439">
        <v>1200</v>
      </c>
    </row>
    <row r="440" spans="2:8">
      <c r="B440" t="s">
        <v>442</v>
      </c>
      <c r="C440" t="s">
        <v>271</v>
      </c>
      <c r="D440">
        <v>3253</v>
      </c>
      <c r="E440">
        <v>3255</v>
      </c>
      <c r="F440">
        <v>3253</v>
      </c>
      <c r="G440">
        <v>3255</v>
      </c>
      <c r="H440">
        <v>1600</v>
      </c>
    </row>
    <row r="441" spans="2:8">
      <c r="B441" t="s">
        <v>442</v>
      </c>
      <c r="C441" t="s">
        <v>272</v>
      </c>
      <c r="D441">
        <v>3255</v>
      </c>
      <c r="E441">
        <v>3255</v>
      </c>
      <c r="F441">
        <v>3251</v>
      </c>
      <c r="G441">
        <v>3254</v>
      </c>
      <c r="H441">
        <v>2100</v>
      </c>
    </row>
    <row r="442" spans="2:8">
      <c r="B442" t="s">
        <v>442</v>
      </c>
      <c r="C442" t="s">
        <v>273</v>
      </c>
      <c r="D442">
        <v>3253</v>
      </c>
      <c r="E442">
        <v>3255</v>
      </c>
      <c r="F442">
        <v>3253</v>
      </c>
      <c r="G442">
        <v>3255</v>
      </c>
      <c r="H442">
        <v>1200</v>
      </c>
    </row>
    <row r="443" spans="2:8">
      <c r="B443" t="s">
        <v>442</v>
      </c>
      <c r="C443" t="s">
        <v>274</v>
      </c>
      <c r="D443">
        <v>3254</v>
      </c>
      <c r="E443">
        <v>3259</v>
      </c>
      <c r="F443">
        <v>3253</v>
      </c>
      <c r="G443">
        <v>3259</v>
      </c>
      <c r="H443">
        <v>3900</v>
      </c>
    </row>
    <row r="444" spans="2:8">
      <c r="B444" t="s">
        <v>442</v>
      </c>
      <c r="C444" t="s">
        <v>275</v>
      </c>
      <c r="D444">
        <v>3259</v>
      </c>
      <c r="E444">
        <v>3264</v>
      </c>
      <c r="F444">
        <v>3258</v>
      </c>
      <c r="G444">
        <v>3263</v>
      </c>
      <c r="H444">
        <v>5100</v>
      </c>
    </row>
    <row r="445" spans="2:8">
      <c r="B445" t="s">
        <v>442</v>
      </c>
      <c r="C445" t="s">
        <v>276</v>
      </c>
      <c r="D445">
        <v>3262</v>
      </c>
      <c r="E445">
        <v>3264</v>
      </c>
      <c r="F445">
        <v>3260</v>
      </c>
      <c r="G445">
        <v>3264</v>
      </c>
      <c r="H445">
        <v>1800</v>
      </c>
    </row>
    <row r="446" spans="2:8">
      <c r="B446" t="s">
        <v>442</v>
      </c>
      <c r="C446" t="s">
        <v>277</v>
      </c>
      <c r="D446">
        <v>3263</v>
      </c>
      <c r="E446">
        <v>3268</v>
      </c>
      <c r="F446">
        <v>3263</v>
      </c>
      <c r="G446">
        <v>3268</v>
      </c>
      <c r="H446">
        <v>3300</v>
      </c>
    </row>
    <row r="447" spans="2:8">
      <c r="B447" t="s">
        <v>442</v>
      </c>
      <c r="C447" t="s">
        <v>278</v>
      </c>
      <c r="D447">
        <v>3267</v>
      </c>
      <c r="E447">
        <v>3267</v>
      </c>
      <c r="F447">
        <v>3263</v>
      </c>
      <c r="G447">
        <v>3266</v>
      </c>
      <c r="H447">
        <v>3500</v>
      </c>
    </row>
    <row r="448" spans="2:8">
      <c r="B448" t="s">
        <v>442</v>
      </c>
      <c r="C448" t="s">
        <v>279</v>
      </c>
      <c r="D448">
        <v>3264</v>
      </c>
      <c r="E448">
        <v>3266</v>
      </c>
      <c r="F448">
        <v>3264</v>
      </c>
      <c r="G448">
        <v>3266</v>
      </c>
      <c r="H448">
        <v>800</v>
      </c>
    </row>
    <row r="449" spans="2:8">
      <c r="B449" t="s">
        <v>442</v>
      </c>
      <c r="C449" t="s">
        <v>280</v>
      </c>
      <c r="D449">
        <v>3266</v>
      </c>
      <c r="E449">
        <v>3267</v>
      </c>
      <c r="F449">
        <v>3266</v>
      </c>
      <c r="G449">
        <v>3267</v>
      </c>
      <c r="H449">
        <v>1200</v>
      </c>
    </row>
    <row r="450" spans="2:8">
      <c r="B450" t="s">
        <v>442</v>
      </c>
      <c r="C450" t="s">
        <v>281</v>
      </c>
      <c r="D450">
        <v>3266</v>
      </c>
      <c r="E450">
        <v>3266</v>
      </c>
      <c r="F450">
        <v>3264</v>
      </c>
      <c r="G450">
        <v>3265</v>
      </c>
      <c r="H450">
        <v>2100</v>
      </c>
    </row>
    <row r="451" spans="2:8">
      <c r="B451" t="s">
        <v>442</v>
      </c>
      <c r="C451" t="s">
        <v>282</v>
      </c>
      <c r="D451">
        <v>3264</v>
      </c>
      <c r="E451">
        <v>3264</v>
      </c>
      <c r="F451">
        <v>3262</v>
      </c>
      <c r="G451">
        <v>3262</v>
      </c>
      <c r="H451">
        <v>4300</v>
      </c>
    </row>
    <row r="452" spans="2:8">
      <c r="B452" t="s">
        <v>442</v>
      </c>
      <c r="C452" t="s">
        <v>283</v>
      </c>
      <c r="D452">
        <v>3260</v>
      </c>
      <c r="E452">
        <v>3260</v>
      </c>
      <c r="F452">
        <v>3256</v>
      </c>
      <c r="G452">
        <v>3258</v>
      </c>
      <c r="H452">
        <v>3100</v>
      </c>
    </row>
    <row r="453" spans="2:8">
      <c r="B453" t="s">
        <v>442</v>
      </c>
      <c r="C453" t="s">
        <v>284</v>
      </c>
      <c r="D453">
        <v>3256</v>
      </c>
      <c r="E453">
        <v>3259</v>
      </c>
      <c r="F453">
        <v>3256</v>
      </c>
      <c r="G453">
        <v>3259</v>
      </c>
      <c r="H453">
        <v>2400</v>
      </c>
    </row>
    <row r="454" spans="2:8">
      <c r="B454" t="s">
        <v>442</v>
      </c>
      <c r="C454" t="s">
        <v>285</v>
      </c>
      <c r="D454">
        <v>3259</v>
      </c>
      <c r="E454">
        <v>3259</v>
      </c>
      <c r="F454">
        <v>3257</v>
      </c>
      <c r="G454">
        <v>3258</v>
      </c>
      <c r="H454">
        <v>1400</v>
      </c>
    </row>
    <row r="455" spans="2:8">
      <c r="B455" t="s">
        <v>442</v>
      </c>
      <c r="C455" t="s">
        <v>286</v>
      </c>
      <c r="D455">
        <v>3258</v>
      </c>
      <c r="E455">
        <v>3261</v>
      </c>
      <c r="F455">
        <v>3258</v>
      </c>
      <c r="G455">
        <v>3260</v>
      </c>
      <c r="H455">
        <v>1900</v>
      </c>
    </row>
    <row r="456" spans="2:8">
      <c r="B456" t="s">
        <v>442</v>
      </c>
      <c r="C456" t="s">
        <v>287</v>
      </c>
      <c r="D456">
        <v>3259</v>
      </c>
      <c r="E456">
        <v>3259</v>
      </c>
      <c r="F456">
        <v>3258</v>
      </c>
      <c r="G456">
        <v>3258</v>
      </c>
      <c r="H456">
        <v>1500</v>
      </c>
    </row>
    <row r="457" spans="2:8">
      <c r="B457" t="s">
        <v>442</v>
      </c>
      <c r="C457" t="s">
        <v>288</v>
      </c>
      <c r="D457">
        <v>3258</v>
      </c>
      <c r="E457">
        <v>3263</v>
      </c>
      <c r="F457">
        <v>3258</v>
      </c>
      <c r="G457">
        <v>3262</v>
      </c>
      <c r="H457">
        <v>2800</v>
      </c>
    </row>
    <row r="458" spans="2:8">
      <c r="B458" t="s">
        <v>442</v>
      </c>
      <c r="C458" t="s">
        <v>289</v>
      </c>
      <c r="D458">
        <v>3263</v>
      </c>
      <c r="E458">
        <v>3264</v>
      </c>
      <c r="F458">
        <v>3263</v>
      </c>
      <c r="G458">
        <v>3264</v>
      </c>
      <c r="H458">
        <v>1000</v>
      </c>
    </row>
    <row r="459" spans="2:8">
      <c r="B459" t="s">
        <v>442</v>
      </c>
      <c r="C459" t="s">
        <v>290</v>
      </c>
      <c r="D459">
        <v>3263</v>
      </c>
      <c r="E459">
        <v>3263</v>
      </c>
      <c r="F459">
        <v>3260</v>
      </c>
      <c r="G459">
        <v>3260</v>
      </c>
      <c r="H459">
        <v>1900</v>
      </c>
    </row>
    <row r="460" spans="2:8">
      <c r="B460" t="s">
        <v>442</v>
      </c>
      <c r="C460" t="s">
        <v>291</v>
      </c>
      <c r="D460">
        <v>3260</v>
      </c>
      <c r="E460">
        <v>3261</v>
      </c>
      <c r="F460">
        <v>3257</v>
      </c>
      <c r="G460">
        <v>3261</v>
      </c>
      <c r="H460">
        <v>2800</v>
      </c>
    </row>
    <row r="461" spans="2:8">
      <c r="B461" t="s">
        <v>442</v>
      </c>
      <c r="C461" t="s">
        <v>292</v>
      </c>
      <c r="D461">
        <v>3262</v>
      </c>
      <c r="E461">
        <v>3262</v>
      </c>
      <c r="F461">
        <v>3260</v>
      </c>
      <c r="G461">
        <v>3260</v>
      </c>
      <c r="H461">
        <v>2000</v>
      </c>
    </row>
    <row r="462" spans="2:8">
      <c r="B462" t="s">
        <v>442</v>
      </c>
      <c r="C462" t="s">
        <v>293</v>
      </c>
      <c r="D462">
        <v>3260</v>
      </c>
      <c r="E462">
        <v>3260</v>
      </c>
      <c r="F462">
        <v>3260</v>
      </c>
      <c r="G462">
        <v>3260</v>
      </c>
      <c r="H462">
        <v>400</v>
      </c>
    </row>
    <row r="463" spans="2:8">
      <c r="B463" t="s">
        <v>442</v>
      </c>
      <c r="C463" t="s">
        <v>294</v>
      </c>
      <c r="D463">
        <v>3260</v>
      </c>
      <c r="E463">
        <v>3260</v>
      </c>
      <c r="F463">
        <v>3258</v>
      </c>
      <c r="G463">
        <v>3258</v>
      </c>
      <c r="H463">
        <v>1700</v>
      </c>
    </row>
    <row r="464" spans="2:8">
      <c r="B464" t="s">
        <v>442</v>
      </c>
      <c r="C464" t="s">
        <v>295</v>
      </c>
      <c r="D464">
        <v>3257</v>
      </c>
      <c r="E464">
        <v>3261</v>
      </c>
      <c r="F464">
        <v>3257</v>
      </c>
      <c r="G464">
        <v>3260</v>
      </c>
      <c r="H464">
        <v>3900</v>
      </c>
    </row>
    <row r="465" spans="2:8">
      <c r="B465" t="s">
        <v>442</v>
      </c>
      <c r="C465" t="s">
        <v>296</v>
      </c>
      <c r="D465">
        <v>3261</v>
      </c>
      <c r="E465">
        <v>3263</v>
      </c>
      <c r="F465">
        <v>3261</v>
      </c>
      <c r="G465">
        <v>3263</v>
      </c>
      <c r="H465">
        <v>2100</v>
      </c>
    </row>
    <row r="466" spans="2:8">
      <c r="B466" t="s">
        <v>442</v>
      </c>
      <c r="C466" t="s">
        <v>297</v>
      </c>
      <c r="D466">
        <v>3265</v>
      </c>
      <c r="E466">
        <v>3265</v>
      </c>
      <c r="F466">
        <v>3263</v>
      </c>
      <c r="G466">
        <v>3263</v>
      </c>
      <c r="H466">
        <v>1200</v>
      </c>
    </row>
    <row r="467" spans="2:8">
      <c r="B467" t="s">
        <v>442</v>
      </c>
      <c r="C467" t="s">
        <v>298</v>
      </c>
      <c r="D467">
        <v>3261</v>
      </c>
      <c r="E467">
        <v>3262</v>
      </c>
      <c r="F467">
        <v>3261</v>
      </c>
      <c r="G467">
        <v>3261</v>
      </c>
      <c r="H467">
        <v>700</v>
      </c>
    </row>
    <row r="468" spans="2:8">
      <c r="B468" t="s">
        <v>442</v>
      </c>
      <c r="C468" t="s">
        <v>299</v>
      </c>
      <c r="D468">
        <v>3260</v>
      </c>
      <c r="E468">
        <v>3260</v>
      </c>
      <c r="F468">
        <v>3257</v>
      </c>
      <c r="G468">
        <v>3257</v>
      </c>
      <c r="H468">
        <v>2700</v>
      </c>
    </row>
    <row r="469" spans="2:8">
      <c r="B469" t="s">
        <v>442</v>
      </c>
      <c r="C469" t="s">
        <v>300</v>
      </c>
      <c r="D469">
        <v>3257</v>
      </c>
      <c r="E469">
        <v>3257</v>
      </c>
      <c r="F469">
        <v>3257</v>
      </c>
      <c r="G469">
        <v>3257</v>
      </c>
      <c r="H469">
        <v>1400</v>
      </c>
    </row>
    <row r="470" spans="2:8">
      <c r="B470" t="s">
        <v>442</v>
      </c>
      <c r="C470" t="s">
        <v>301</v>
      </c>
      <c r="D470">
        <v>3256</v>
      </c>
      <c r="E470">
        <v>3257</v>
      </c>
      <c r="F470">
        <v>3255</v>
      </c>
      <c r="G470">
        <v>3255</v>
      </c>
      <c r="H470">
        <v>2300</v>
      </c>
    </row>
    <row r="471" spans="2:8">
      <c r="B471" t="s">
        <v>442</v>
      </c>
      <c r="C471" t="s">
        <v>302</v>
      </c>
      <c r="D471">
        <v>3255</v>
      </c>
      <c r="E471">
        <v>3255</v>
      </c>
      <c r="F471">
        <v>3253</v>
      </c>
      <c r="G471">
        <v>3254</v>
      </c>
      <c r="H471">
        <v>800</v>
      </c>
    </row>
    <row r="472" spans="2:8">
      <c r="B472" t="s">
        <v>442</v>
      </c>
      <c r="C472" t="s">
        <v>303</v>
      </c>
      <c r="D472">
        <v>3254</v>
      </c>
      <c r="E472">
        <v>3254</v>
      </c>
      <c r="F472">
        <v>3252</v>
      </c>
      <c r="G472">
        <v>3252</v>
      </c>
      <c r="H472">
        <v>2700</v>
      </c>
    </row>
    <row r="473" spans="2:8">
      <c r="B473" t="s">
        <v>442</v>
      </c>
      <c r="C473" t="s">
        <v>304</v>
      </c>
      <c r="D473">
        <v>3251</v>
      </c>
      <c r="E473">
        <v>3253</v>
      </c>
      <c r="F473">
        <v>3251</v>
      </c>
      <c r="G473">
        <v>3252</v>
      </c>
      <c r="H473">
        <v>1500</v>
      </c>
    </row>
    <row r="474" spans="2:8">
      <c r="B474" t="s">
        <v>442</v>
      </c>
      <c r="C474" t="s">
        <v>305</v>
      </c>
      <c r="D474">
        <v>3251</v>
      </c>
      <c r="E474">
        <v>3253</v>
      </c>
      <c r="F474">
        <v>3251</v>
      </c>
      <c r="G474">
        <v>3252</v>
      </c>
      <c r="H474">
        <v>1800</v>
      </c>
    </row>
    <row r="475" spans="2:8">
      <c r="B475" t="s">
        <v>442</v>
      </c>
      <c r="C475" t="s">
        <v>306</v>
      </c>
      <c r="D475">
        <v>3251</v>
      </c>
      <c r="E475">
        <v>3252</v>
      </c>
      <c r="F475">
        <v>3250</v>
      </c>
      <c r="G475">
        <v>3251</v>
      </c>
      <c r="H475">
        <v>1200</v>
      </c>
    </row>
    <row r="476" spans="2:8">
      <c r="B476" t="s">
        <v>442</v>
      </c>
      <c r="C476" t="s">
        <v>307</v>
      </c>
      <c r="D476">
        <v>3252</v>
      </c>
      <c r="E476">
        <v>3254</v>
      </c>
      <c r="F476">
        <v>3250</v>
      </c>
      <c r="G476">
        <v>3254</v>
      </c>
      <c r="H476">
        <v>2400</v>
      </c>
    </row>
    <row r="477" spans="2:8">
      <c r="B477" t="s">
        <v>442</v>
      </c>
      <c r="C477" t="s">
        <v>308</v>
      </c>
      <c r="D477">
        <v>3254</v>
      </c>
      <c r="E477">
        <v>3254</v>
      </c>
      <c r="F477">
        <v>3252</v>
      </c>
      <c r="G477">
        <v>3252</v>
      </c>
      <c r="H477">
        <v>1700</v>
      </c>
    </row>
    <row r="478" spans="2:8">
      <c r="B478" t="s">
        <v>442</v>
      </c>
      <c r="C478" t="s">
        <v>309</v>
      </c>
      <c r="D478">
        <v>3252</v>
      </c>
      <c r="E478">
        <v>3252</v>
      </c>
      <c r="F478">
        <v>3251</v>
      </c>
      <c r="G478">
        <v>3251</v>
      </c>
      <c r="H478">
        <v>1000</v>
      </c>
    </row>
    <row r="479" spans="2:8">
      <c r="B479" t="s">
        <v>442</v>
      </c>
      <c r="C479" t="s">
        <v>310</v>
      </c>
      <c r="D479">
        <v>3250</v>
      </c>
      <c r="E479">
        <v>3252</v>
      </c>
      <c r="F479">
        <v>3249</v>
      </c>
      <c r="G479">
        <v>3251</v>
      </c>
      <c r="H479">
        <v>5100</v>
      </c>
    </row>
    <row r="480" spans="2:8">
      <c r="B480" t="s">
        <v>442</v>
      </c>
      <c r="C480" t="s">
        <v>311</v>
      </c>
      <c r="D480" t="s">
        <v>8</v>
      </c>
      <c r="E480" t="s">
        <v>8</v>
      </c>
      <c r="F480" t="s">
        <v>8</v>
      </c>
      <c r="G480" t="s">
        <v>8</v>
      </c>
      <c r="H480">
        <v>0</v>
      </c>
    </row>
    <row r="481" spans="2:8">
      <c r="B481" t="s">
        <v>442</v>
      </c>
      <c r="C481" t="s">
        <v>312</v>
      </c>
      <c r="D481">
        <v>3252</v>
      </c>
      <c r="E481">
        <v>3255</v>
      </c>
      <c r="F481">
        <v>3252</v>
      </c>
      <c r="G481">
        <v>3255</v>
      </c>
      <c r="H481">
        <v>2300</v>
      </c>
    </row>
    <row r="482" spans="2:8">
      <c r="B482" t="s">
        <v>442</v>
      </c>
      <c r="C482" t="s">
        <v>313</v>
      </c>
      <c r="D482">
        <v>3255</v>
      </c>
      <c r="E482">
        <v>3255</v>
      </c>
      <c r="F482">
        <v>3252</v>
      </c>
      <c r="G482">
        <v>3254</v>
      </c>
      <c r="H482">
        <v>2000</v>
      </c>
    </row>
    <row r="483" spans="2:8">
      <c r="B483" t="s">
        <v>442</v>
      </c>
      <c r="C483" t="s">
        <v>314</v>
      </c>
      <c r="D483">
        <v>3253</v>
      </c>
      <c r="E483">
        <v>3254</v>
      </c>
      <c r="F483">
        <v>3253</v>
      </c>
      <c r="G483">
        <v>3254</v>
      </c>
      <c r="H483">
        <v>700</v>
      </c>
    </row>
    <row r="484" spans="2:8">
      <c r="B484" t="s">
        <v>442</v>
      </c>
      <c r="C484" t="s">
        <v>315</v>
      </c>
      <c r="D484">
        <v>3253</v>
      </c>
      <c r="E484">
        <v>3253</v>
      </c>
      <c r="F484">
        <v>3250</v>
      </c>
      <c r="G484">
        <v>3252</v>
      </c>
      <c r="H484">
        <v>4900</v>
      </c>
    </row>
    <row r="485" spans="2:8">
      <c r="B485" t="s">
        <v>442</v>
      </c>
      <c r="C485" t="s">
        <v>316</v>
      </c>
      <c r="D485">
        <v>3251</v>
      </c>
      <c r="E485">
        <v>3251</v>
      </c>
      <c r="F485">
        <v>3251</v>
      </c>
      <c r="G485">
        <v>3251</v>
      </c>
      <c r="H485">
        <v>3000</v>
      </c>
    </row>
    <row r="486" spans="2:8">
      <c r="B486" t="s">
        <v>442</v>
      </c>
      <c r="C486" t="s">
        <v>317</v>
      </c>
      <c r="D486">
        <v>3266</v>
      </c>
      <c r="E486">
        <v>3274</v>
      </c>
      <c r="F486">
        <v>3266</v>
      </c>
      <c r="G486">
        <v>3267</v>
      </c>
      <c r="H486">
        <v>24800</v>
      </c>
    </row>
    <row r="487" spans="2:8">
      <c r="B487" t="s">
        <v>442</v>
      </c>
      <c r="C487" t="s">
        <v>318</v>
      </c>
      <c r="D487">
        <v>3269</v>
      </c>
      <c r="E487">
        <v>3273</v>
      </c>
      <c r="F487">
        <v>3266</v>
      </c>
      <c r="G487">
        <v>3268</v>
      </c>
      <c r="H487">
        <v>10200</v>
      </c>
    </row>
    <row r="488" spans="2:8">
      <c r="B488" t="s">
        <v>442</v>
      </c>
      <c r="C488" t="s">
        <v>319</v>
      </c>
      <c r="D488">
        <v>3267</v>
      </c>
      <c r="E488">
        <v>3276</v>
      </c>
      <c r="F488">
        <v>3265</v>
      </c>
      <c r="G488">
        <v>3274</v>
      </c>
      <c r="H488">
        <v>8900</v>
      </c>
    </row>
    <row r="489" spans="2:8">
      <c r="B489" t="s">
        <v>442</v>
      </c>
      <c r="C489" t="s">
        <v>320</v>
      </c>
      <c r="D489">
        <v>3274</v>
      </c>
      <c r="E489">
        <v>3276</v>
      </c>
      <c r="F489">
        <v>3270</v>
      </c>
      <c r="G489">
        <v>3272</v>
      </c>
      <c r="H489">
        <v>7000</v>
      </c>
    </row>
    <row r="490" spans="2:8">
      <c r="B490" t="s">
        <v>442</v>
      </c>
      <c r="C490" t="s">
        <v>321</v>
      </c>
      <c r="D490">
        <v>3272</v>
      </c>
      <c r="E490">
        <v>3279</v>
      </c>
      <c r="F490">
        <v>3271</v>
      </c>
      <c r="G490">
        <v>3275</v>
      </c>
      <c r="H490">
        <v>6800</v>
      </c>
    </row>
    <row r="491" spans="2:8">
      <c r="B491" t="s">
        <v>442</v>
      </c>
      <c r="C491" t="s">
        <v>322</v>
      </c>
      <c r="D491">
        <v>3276</v>
      </c>
      <c r="E491">
        <v>3284</v>
      </c>
      <c r="F491">
        <v>3275</v>
      </c>
      <c r="G491">
        <v>3281</v>
      </c>
      <c r="H491">
        <v>6100</v>
      </c>
    </row>
    <row r="492" spans="2:8">
      <c r="B492" t="s">
        <v>442</v>
      </c>
      <c r="C492" t="s">
        <v>323</v>
      </c>
      <c r="D492">
        <v>3282</v>
      </c>
      <c r="E492">
        <v>3284</v>
      </c>
      <c r="F492">
        <v>3278</v>
      </c>
      <c r="G492">
        <v>3279</v>
      </c>
      <c r="H492">
        <v>3800</v>
      </c>
    </row>
    <row r="493" spans="2:8">
      <c r="B493" t="s">
        <v>442</v>
      </c>
      <c r="C493" t="s">
        <v>324</v>
      </c>
      <c r="D493">
        <v>3279</v>
      </c>
      <c r="E493">
        <v>3281</v>
      </c>
      <c r="F493">
        <v>3279</v>
      </c>
      <c r="G493">
        <v>3280</v>
      </c>
      <c r="H493">
        <v>2500</v>
      </c>
    </row>
    <row r="494" spans="2:8">
      <c r="B494" t="s">
        <v>442</v>
      </c>
      <c r="C494" t="s">
        <v>325</v>
      </c>
      <c r="D494">
        <v>3280</v>
      </c>
      <c r="E494">
        <v>3280</v>
      </c>
      <c r="F494">
        <v>3276</v>
      </c>
      <c r="G494">
        <v>3277</v>
      </c>
      <c r="H494">
        <v>3100</v>
      </c>
    </row>
    <row r="495" spans="2:8">
      <c r="B495" t="s">
        <v>442</v>
      </c>
      <c r="C495" t="s">
        <v>326</v>
      </c>
      <c r="D495">
        <v>3279</v>
      </c>
      <c r="E495">
        <v>3281</v>
      </c>
      <c r="F495">
        <v>3279</v>
      </c>
      <c r="G495">
        <v>3281</v>
      </c>
      <c r="H495">
        <v>3500</v>
      </c>
    </row>
    <row r="496" spans="2:8">
      <c r="B496" t="s">
        <v>442</v>
      </c>
      <c r="C496" t="s">
        <v>327</v>
      </c>
      <c r="D496">
        <v>3280</v>
      </c>
      <c r="E496">
        <v>3280</v>
      </c>
      <c r="F496">
        <v>3278</v>
      </c>
      <c r="G496">
        <v>3278</v>
      </c>
      <c r="H496">
        <v>2600</v>
      </c>
    </row>
    <row r="497" spans="2:8">
      <c r="B497" t="s">
        <v>442</v>
      </c>
      <c r="C497" t="s">
        <v>328</v>
      </c>
      <c r="D497">
        <v>3278</v>
      </c>
      <c r="E497">
        <v>3281</v>
      </c>
      <c r="F497">
        <v>3278</v>
      </c>
      <c r="G497">
        <v>3280</v>
      </c>
      <c r="H497">
        <v>3200</v>
      </c>
    </row>
    <row r="498" spans="2:8">
      <c r="B498" t="s">
        <v>442</v>
      </c>
      <c r="C498" t="s">
        <v>329</v>
      </c>
      <c r="D498">
        <v>3280</v>
      </c>
      <c r="E498">
        <v>3282</v>
      </c>
      <c r="F498">
        <v>3278</v>
      </c>
      <c r="G498">
        <v>3282</v>
      </c>
      <c r="H498">
        <v>3300</v>
      </c>
    </row>
    <row r="499" spans="2:8">
      <c r="B499" t="s">
        <v>442</v>
      </c>
      <c r="C499" t="s">
        <v>330</v>
      </c>
      <c r="D499">
        <v>3281</v>
      </c>
      <c r="E499">
        <v>3288</v>
      </c>
      <c r="F499">
        <v>3281</v>
      </c>
      <c r="G499">
        <v>3287</v>
      </c>
      <c r="H499">
        <v>7400</v>
      </c>
    </row>
    <row r="500" spans="2:8">
      <c r="B500" t="s">
        <v>442</v>
      </c>
      <c r="C500" t="s">
        <v>331</v>
      </c>
      <c r="D500">
        <v>3288</v>
      </c>
      <c r="E500">
        <v>3290</v>
      </c>
      <c r="F500">
        <v>3286</v>
      </c>
      <c r="G500">
        <v>3286</v>
      </c>
      <c r="H500">
        <v>2900</v>
      </c>
    </row>
    <row r="501" spans="2:8">
      <c r="B501" t="s">
        <v>442</v>
      </c>
      <c r="C501" t="s">
        <v>332</v>
      </c>
      <c r="D501">
        <v>3286</v>
      </c>
      <c r="E501">
        <v>3287</v>
      </c>
      <c r="F501">
        <v>3285</v>
      </c>
      <c r="G501">
        <v>3285</v>
      </c>
      <c r="H501">
        <v>3800</v>
      </c>
    </row>
    <row r="502" spans="2:8">
      <c r="B502" t="s">
        <v>442</v>
      </c>
      <c r="C502" t="s">
        <v>333</v>
      </c>
      <c r="D502">
        <v>3286</v>
      </c>
      <c r="E502">
        <v>3288</v>
      </c>
      <c r="F502">
        <v>3284</v>
      </c>
      <c r="G502">
        <v>3286</v>
      </c>
      <c r="H502">
        <v>2000</v>
      </c>
    </row>
    <row r="503" spans="2:8">
      <c r="B503" t="s">
        <v>442</v>
      </c>
      <c r="C503" t="s">
        <v>334</v>
      </c>
      <c r="D503">
        <v>3287</v>
      </c>
      <c r="E503">
        <v>3288</v>
      </c>
      <c r="F503">
        <v>3286</v>
      </c>
      <c r="G503">
        <v>3287</v>
      </c>
      <c r="H503">
        <v>2400</v>
      </c>
    </row>
    <row r="504" spans="2:8">
      <c r="B504" t="s">
        <v>442</v>
      </c>
      <c r="C504" t="s">
        <v>335</v>
      </c>
      <c r="D504">
        <v>3287</v>
      </c>
      <c r="E504">
        <v>3288</v>
      </c>
      <c r="F504">
        <v>3285</v>
      </c>
      <c r="G504">
        <v>3286</v>
      </c>
      <c r="H504">
        <v>4100</v>
      </c>
    </row>
    <row r="505" spans="2:8">
      <c r="B505" t="s">
        <v>442</v>
      </c>
      <c r="C505" t="s">
        <v>336</v>
      </c>
      <c r="D505">
        <v>3286</v>
      </c>
      <c r="E505">
        <v>3286</v>
      </c>
      <c r="F505">
        <v>3286</v>
      </c>
      <c r="G505">
        <v>3286</v>
      </c>
      <c r="H505">
        <v>1000</v>
      </c>
    </row>
    <row r="506" spans="2:8">
      <c r="B506" t="s">
        <v>442</v>
      </c>
      <c r="C506" t="s">
        <v>337</v>
      </c>
      <c r="D506">
        <v>3286</v>
      </c>
      <c r="E506">
        <v>3290</v>
      </c>
      <c r="F506">
        <v>3286</v>
      </c>
      <c r="G506">
        <v>3287</v>
      </c>
      <c r="H506">
        <v>6400</v>
      </c>
    </row>
    <row r="507" spans="2:8">
      <c r="B507" t="s">
        <v>442</v>
      </c>
      <c r="C507" t="s">
        <v>338</v>
      </c>
      <c r="D507">
        <v>3287</v>
      </c>
      <c r="E507">
        <v>3287</v>
      </c>
      <c r="F507">
        <v>3285</v>
      </c>
      <c r="G507">
        <v>3285</v>
      </c>
      <c r="H507">
        <v>2800</v>
      </c>
    </row>
    <row r="508" spans="2:8">
      <c r="B508" t="s">
        <v>442</v>
      </c>
      <c r="C508" t="s">
        <v>339</v>
      </c>
      <c r="D508">
        <v>3284</v>
      </c>
      <c r="E508">
        <v>3284</v>
      </c>
      <c r="F508">
        <v>3283</v>
      </c>
      <c r="G508">
        <v>3284</v>
      </c>
      <c r="H508">
        <v>3200</v>
      </c>
    </row>
    <row r="509" spans="2:8">
      <c r="B509" t="s">
        <v>442</v>
      </c>
      <c r="C509" t="s">
        <v>340</v>
      </c>
      <c r="D509">
        <v>3284</v>
      </c>
      <c r="E509">
        <v>3284</v>
      </c>
      <c r="F509">
        <v>3280</v>
      </c>
      <c r="G509">
        <v>3281</v>
      </c>
      <c r="H509">
        <v>3600</v>
      </c>
    </row>
    <row r="510" spans="2:8">
      <c r="B510" t="s">
        <v>442</v>
      </c>
      <c r="C510" t="s">
        <v>341</v>
      </c>
      <c r="D510">
        <v>3281</v>
      </c>
      <c r="E510">
        <v>3281</v>
      </c>
      <c r="F510">
        <v>3279</v>
      </c>
      <c r="G510">
        <v>3279</v>
      </c>
      <c r="H510">
        <v>4100</v>
      </c>
    </row>
    <row r="511" spans="2:8">
      <c r="B511" t="s">
        <v>442</v>
      </c>
      <c r="C511" t="s">
        <v>342</v>
      </c>
      <c r="D511">
        <v>3279</v>
      </c>
      <c r="E511">
        <v>3280</v>
      </c>
      <c r="F511">
        <v>3279</v>
      </c>
      <c r="G511">
        <v>3280</v>
      </c>
      <c r="H511">
        <v>2100</v>
      </c>
    </row>
    <row r="512" spans="2:8">
      <c r="B512" t="s">
        <v>442</v>
      </c>
      <c r="C512" t="s">
        <v>343</v>
      </c>
      <c r="D512">
        <v>3280</v>
      </c>
      <c r="E512">
        <v>3283</v>
      </c>
      <c r="F512">
        <v>3280</v>
      </c>
      <c r="G512">
        <v>3282</v>
      </c>
      <c r="H512">
        <v>3800</v>
      </c>
    </row>
    <row r="513" spans="2:8">
      <c r="B513" t="s">
        <v>442</v>
      </c>
      <c r="C513" t="s">
        <v>344</v>
      </c>
      <c r="D513">
        <v>3282</v>
      </c>
      <c r="E513">
        <v>3282</v>
      </c>
      <c r="F513">
        <v>3280</v>
      </c>
      <c r="G513">
        <v>3280</v>
      </c>
      <c r="H513">
        <v>2000</v>
      </c>
    </row>
    <row r="514" spans="2:8">
      <c r="B514" t="s">
        <v>442</v>
      </c>
      <c r="C514" t="s">
        <v>345</v>
      </c>
      <c r="D514">
        <v>3282</v>
      </c>
      <c r="E514">
        <v>3282</v>
      </c>
      <c r="F514">
        <v>3281</v>
      </c>
      <c r="G514">
        <v>3281</v>
      </c>
      <c r="H514">
        <v>1500</v>
      </c>
    </row>
    <row r="515" spans="2:8">
      <c r="B515" t="s">
        <v>442</v>
      </c>
      <c r="C515" t="s">
        <v>346</v>
      </c>
      <c r="D515">
        <v>3281</v>
      </c>
      <c r="E515">
        <v>3281</v>
      </c>
      <c r="F515">
        <v>3280</v>
      </c>
      <c r="G515">
        <v>3281</v>
      </c>
      <c r="H515">
        <v>1600</v>
      </c>
    </row>
    <row r="516" spans="2:8">
      <c r="B516" t="s">
        <v>442</v>
      </c>
      <c r="C516" t="s">
        <v>347</v>
      </c>
      <c r="D516">
        <v>3280</v>
      </c>
      <c r="E516">
        <v>3280</v>
      </c>
      <c r="F516">
        <v>3276</v>
      </c>
      <c r="G516">
        <v>3277</v>
      </c>
      <c r="H516">
        <v>3400</v>
      </c>
    </row>
    <row r="517" spans="2:8">
      <c r="B517" t="s">
        <v>442</v>
      </c>
      <c r="C517" t="s">
        <v>348</v>
      </c>
      <c r="D517">
        <v>3277</v>
      </c>
      <c r="E517">
        <v>3279</v>
      </c>
      <c r="F517">
        <v>3277</v>
      </c>
      <c r="G517">
        <v>3279</v>
      </c>
      <c r="H517">
        <v>1800</v>
      </c>
    </row>
    <row r="518" spans="2:8">
      <c r="B518" t="s">
        <v>442</v>
      </c>
      <c r="C518" t="s">
        <v>349</v>
      </c>
      <c r="D518">
        <v>3279</v>
      </c>
      <c r="E518">
        <v>3279</v>
      </c>
      <c r="F518">
        <v>3279</v>
      </c>
      <c r="G518">
        <v>3279</v>
      </c>
      <c r="H518">
        <v>500</v>
      </c>
    </row>
    <row r="519" spans="2:8">
      <c r="B519" t="s">
        <v>442</v>
      </c>
      <c r="C519" t="s">
        <v>350</v>
      </c>
      <c r="D519">
        <v>3279</v>
      </c>
      <c r="E519">
        <v>3280</v>
      </c>
      <c r="F519">
        <v>3279</v>
      </c>
      <c r="G519">
        <v>3280</v>
      </c>
      <c r="H519">
        <v>2600</v>
      </c>
    </row>
    <row r="520" spans="2:8">
      <c r="B520" t="s">
        <v>442</v>
      </c>
      <c r="C520" t="s">
        <v>351</v>
      </c>
      <c r="D520">
        <v>3280</v>
      </c>
      <c r="E520">
        <v>3281</v>
      </c>
      <c r="F520">
        <v>3279</v>
      </c>
      <c r="G520">
        <v>3281</v>
      </c>
      <c r="H520">
        <v>2200</v>
      </c>
    </row>
    <row r="521" spans="2:8">
      <c r="B521" t="s">
        <v>442</v>
      </c>
      <c r="C521" t="s">
        <v>352</v>
      </c>
      <c r="D521">
        <v>3282</v>
      </c>
      <c r="E521">
        <v>3283</v>
      </c>
      <c r="F521">
        <v>3281</v>
      </c>
      <c r="G521">
        <v>3282</v>
      </c>
      <c r="H521">
        <v>2200</v>
      </c>
    </row>
    <row r="522" spans="2:8">
      <c r="B522" t="s">
        <v>442</v>
      </c>
      <c r="C522" t="s">
        <v>353</v>
      </c>
      <c r="D522">
        <v>3283</v>
      </c>
      <c r="E522">
        <v>3284</v>
      </c>
      <c r="F522">
        <v>3282</v>
      </c>
      <c r="G522">
        <v>3282</v>
      </c>
      <c r="H522">
        <v>1400</v>
      </c>
    </row>
    <row r="523" spans="2:8">
      <c r="B523" t="s">
        <v>442</v>
      </c>
      <c r="C523" t="s">
        <v>354</v>
      </c>
      <c r="D523">
        <v>3282</v>
      </c>
      <c r="E523">
        <v>3282</v>
      </c>
      <c r="F523">
        <v>3280</v>
      </c>
      <c r="G523">
        <v>3281</v>
      </c>
      <c r="H523">
        <v>3400</v>
      </c>
    </row>
    <row r="524" spans="2:8">
      <c r="B524" t="s">
        <v>442</v>
      </c>
      <c r="C524" t="s">
        <v>355</v>
      </c>
      <c r="D524">
        <v>3282</v>
      </c>
      <c r="E524">
        <v>3282</v>
      </c>
      <c r="F524">
        <v>3282</v>
      </c>
      <c r="G524">
        <v>3282</v>
      </c>
      <c r="H524">
        <v>1400</v>
      </c>
    </row>
    <row r="525" spans="2:8">
      <c r="B525" t="s">
        <v>442</v>
      </c>
      <c r="C525" t="s">
        <v>356</v>
      </c>
      <c r="D525">
        <v>3282</v>
      </c>
      <c r="E525">
        <v>3282</v>
      </c>
      <c r="F525">
        <v>3279</v>
      </c>
      <c r="G525">
        <v>3280</v>
      </c>
      <c r="H525">
        <v>4600</v>
      </c>
    </row>
    <row r="526" spans="2:8">
      <c r="B526" t="s">
        <v>442</v>
      </c>
      <c r="C526" t="s">
        <v>357</v>
      </c>
      <c r="D526">
        <v>3280</v>
      </c>
      <c r="E526">
        <v>3281</v>
      </c>
      <c r="F526">
        <v>3280</v>
      </c>
      <c r="G526">
        <v>3280</v>
      </c>
      <c r="H526">
        <v>1200</v>
      </c>
    </row>
    <row r="527" spans="2:8">
      <c r="B527" t="s">
        <v>442</v>
      </c>
      <c r="C527" t="s">
        <v>358</v>
      </c>
      <c r="D527">
        <v>3279</v>
      </c>
      <c r="E527">
        <v>3279</v>
      </c>
      <c r="F527">
        <v>3279</v>
      </c>
      <c r="G527">
        <v>3279</v>
      </c>
      <c r="H527">
        <v>2000</v>
      </c>
    </row>
    <row r="528" spans="2:8">
      <c r="B528" t="s">
        <v>442</v>
      </c>
      <c r="C528" t="s">
        <v>359</v>
      </c>
      <c r="D528">
        <v>3279</v>
      </c>
      <c r="E528">
        <v>3280</v>
      </c>
      <c r="F528">
        <v>3278</v>
      </c>
      <c r="G528">
        <v>3280</v>
      </c>
      <c r="H528">
        <v>800</v>
      </c>
    </row>
    <row r="529" spans="2:8">
      <c r="B529" t="s">
        <v>442</v>
      </c>
      <c r="C529" t="s">
        <v>360</v>
      </c>
      <c r="D529">
        <v>3278</v>
      </c>
      <c r="E529">
        <v>3278</v>
      </c>
      <c r="F529">
        <v>3276</v>
      </c>
      <c r="G529">
        <v>3276</v>
      </c>
      <c r="H529">
        <v>2300</v>
      </c>
    </row>
    <row r="530" spans="2:8">
      <c r="B530" t="s">
        <v>442</v>
      </c>
      <c r="C530" t="s">
        <v>361</v>
      </c>
      <c r="D530">
        <v>3277</v>
      </c>
      <c r="E530">
        <v>3279</v>
      </c>
      <c r="F530">
        <v>3277</v>
      </c>
      <c r="G530">
        <v>3279</v>
      </c>
      <c r="H530">
        <v>4000</v>
      </c>
    </row>
    <row r="531" spans="2:8">
      <c r="B531" t="s">
        <v>442</v>
      </c>
      <c r="C531" t="s">
        <v>362</v>
      </c>
      <c r="D531">
        <v>3279</v>
      </c>
      <c r="E531">
        <v>3282</v>
      </c>
      <c r="F531">
        <v>3278</v>
      </c>
      <c r="G531">
        <v>3280</v>
      </c>
      <c r="H531">
        <v>6300</v>
      </c>
    </row>
    <row r="532" spans="2:8">
      <c r="B532" t="s">
        <v>442</v>
      </c>
      <c r="C532" t="s">
        <v>363</v>
      </c>
      <c r="D532">
        <v>3278</v>
      </c>
      <c r="E532">
        <v>3278</v>
      </c>
      <c r="F532">
        <v>3276</v>
      </c>
      <c r="G532">
        <v>3276</v>
      </c>
      <c r="H532">
        <v>2200</v>
      </c>
    </row>
    <row r="533" spans="2:8">
      <c r="B533" t="s">
        <v>442</v>
      </c>
      <c r="C533" t="s">
        <v>364</v>
      </c>
      <c r="D533">
        <v>3276</v>
      </c>
      <c r="E533">
        <v>3277</v>
      </c>
      <c r="F533">
        <v>3275</v>
      </c>
      <c r="G533">
        <v>3277</v>
      </c>
      <c r="H533">
        <v>2700</v>
      </c>
    </row>
    <row r="534" spans="2:8">
      <c r="B534" t="s">
        <v>442</v>
      </c>
      <c r="C534" t="s">
        <v>365</v>
      </c>
      <c r="D534">
        <v>3276</v>
      </c>
      <c r="E534">
        <v>3276</v>
      </c>
      <c r="F534">
        <v>3276</v>
      </c>
      <c r="G534">
        <v>3276</v>
      </c>
      <c r="H534">
        <v>300</v>
      </c>
    </row>
    <row r="535" spans="2:8">
      <c r="B535" t="s">
        <v>442</v>
      </c>
      <c r="C535" t="s">
        <v>366</v>
      </c>
      <c r="D535">
        <v>3275</v>
      </c>
      <c r="E535">
        <v>3275</v>
      </c>
      <c r="F535">
        <v>3274</v>
      </c>
      <c r="G535">
        <v>3274</v>
      </c>
      <c r="H535">
        <v>2600</v>
      </c>
    </row>
    <row r="536" spans="2:8">
      <c r="B536" t="s">
        <v>442</v>
      </c>
      <c r="C536" t="s">
        <v>367</v>
      </c>
      <c r="D536">
        <v>3275</v>
      </c>
      <c r="E536">
        <v>3275</v>
      </c>
      <c r="F536">
        <v>3273</v>
      </c>
      <c r="G536">
        <v>3273</v>
      </c>
      <c r="H536">
        <v>1500</v>
      </c>
    </row>
    <row r="537" spans="2:8">
      <c r="B537" t="s">
        <v>442</v>
      </c>
      <c r="C537" t="s">
        <v>368</v>
      </c>
      <c r="D537">
        <v>3272</v>
      </c>
      <c r="E537">
        <v>3274</v>
      </c>
      <c r="F537">
        <v>3272</v>
      </c>
      <c r="G537">
        <v>3273</v>
      </c>
      <c r="H537">
        <v>2000</v>
      </c>
    </row>
    <row r="538" spans="2:8">
      <c r="B538" t="s">
        <v>442</v>
      </c>
      <c r="C538" t="s">
        <v>369</v>
      </c>
      <c r="D538">
        <v>3274</v>
      </c>
      <c r="E538">
        <v>3276</v>
      </c>
      <c r="F538">
        <v>3274</v>
      </c>
      <c r="G538">
        <v>3276</v>
      </c>
      <c r="H538">
        <v>1000</v>
      </c>
    </row>
    <row r="539" spans="2:8">
      <c r="B539" t="s">
        <v>442</v>
      </c>
      <c r="C539" t="s">
        <v>370</v>
      </c>
      <c r="D539">
        <v>3277</v>
      </c>
      <c r="E539">
        <v>3278</v>
      </c>
      <c r="F539">
        <v>3277</v>
      </c>
      <c r="G539">
        <v>3277</v>
      </c>
      <c r="H539">
        <v>700</v>
      </c>
    </row>
    <row r="540" spans="2:8">
      <c r="B540" t="s">
        <v>442</v>
      </c>
      <c r="C540" t="s">
        <v>371</v>
      </c>
      <c r="D540">
        <v>3278</v>
      </c>
      <c r="E540">
        <v>3278</v>
      </c>
      <c r="F540">
        <v>3277</v>
      </c>
      <c r="G540">
        <v>3278</v>
      </c>
      <c r="H540">
        <v>800</v>
      </c>
    </row>
    <row r="541" spans="2:8">
      <c r="B541" t="s">
        <v>442</v>
      </c>
      <c r="C541" t="s">
        <v>372</v>
      </c>
      <c r="D541">
        <v>3276</v>
      </c>
      <c r="E541">
        <v>3278</v>
      </c>
      <c r="F541">
        <v>3276</v>
      </c>
      <c r="G541">
        <v>3277</v>
      </c>
      <c r="H541">
        <v>2500</v>
      </c>
    </row>
    <row r="542" spans="2:8">
      <c r="B542" t="s">
        <v>442</v>
      </c>
      <c r="C542" t="s">
        <v>373</v>
      </c>
      <c r="D542">
        <v>3277</v>
      </c>
      <c r="E542">
        <v>3279</v>
      </c>
      <c r="F542">
        <v>3277</v>
      </c>
      <c r="G542">
        <v>3279</v>
      </c>
      <c r="H542">
        <v>1100</v>
      </c>
    </row>
    <row r="543" spans="2:8">
      <c r="B543" t="s">
        <v>442</v>
      </c>
      <c r="C543" t="s">
        <v>374</v>
      </c>
      <c r="D543">
        <v>3278</v>
      </c>
      <c r="E543">
        <v>3278</v>
      </c>
      <c r="F543">
        <v>3278</v>
      </c>
      <c r="G543">
        <v>3278</v>
      </c>
      <c r="H543">
        <v>100</v>
      </c>
    </row>
    <row r="544" spans="2:8">
      <c r="B544" t="s">
        <v>442</v>
      </c>
      <c r="C544" t="s">
        <v>375</v>
      </c>
      <c r="D544">
        <v>3279</v>
      </c>
      <c r="E544">
        <v>3280</v>
      </c>
      <c r="F544">
        <v>3279</v>
      </c>
      <c r="G544">
        <v>3280</v>
      </c>
      <c r="H544">
        <v>900</v>
      </c>
    </row>
    <row r="545" spans="2:8">
      <c r="B545" t="s">
        <v>442</v>
      </c>
      <c r="C545" t="s">
        <v>376</v>
      </c>
      <c r="D545">
        <v>3280</v>
      </c>
      <c r="E545">
        <v>3281</v>
      </c>
      <c r="F545">
        <v>3279</v>
      </c>
      <c r="G545">
        <v>3280</v>
      </c>
      <c r="H545">
        <v>3100</v>
      </c>
    </row>
    <row r="546" spans="2:8">
      <c r="B546" t="s">
        <v>442</v>
      </c>
      <c r="C546" t="s">
        <v>377</v>
      </c>
      <c r="D546">
        <v>3280</v>
      </c>
      <c r="E546">
        <v>3282</v>
      </c>
      <c r="F546">
        <v>3280</v>
      </c>
      <c r="G546">
        <v>3280</v>
      </c>
      <c r="H546">
        <v>2900</v>
      </c>
    </row>
    <row r="547" spans="2:8">
      <c r="B547" t="s">
        <v>442</v>
      </c>
      <c r="C547" t="s">
        <v>378</v>
      </c>
      <c r="D547">
        <v>3280</v>
      </c>
      <c r="E547">
        <v>3283</v>
      </c>
      <c r="F547">
        <v>3280</v>
      </c>
      <c r="G547">
        <v>3281</v>
      </c>
      <c r="H547">
        <v>2700</v>
      </c>
    </row>
    <row r="548" spans="2:8">
      <c r="B548" t="s">
        <v>442</v>
      </c>
      <c r="C548" t="s">
        <v>379</v>
      </c>
      <c r="D548" t="s">
        <v>8</v>
      </c>
      <c r="E548" t="s">
        <v>8</v>
      </c>
      <c r="F548" t="s">
        <v>8</v>
      </c>
      <c r="G548" t="s">
        <v>8</v>
      </c>
      <c r="H548">
        <v>0</v>
      </c>
    </row>
    <row r="549" spans="2:8">
      <c r="B549" t="s">
        <v>442</v>
      </c>
      <c r="C549" t="s">
        <v>380</v>
      </c>
      <c r="D549">
        <v>3280</v>
      </c>
      <c r="E549">
        <v>3280</v>
      </c>
      <c r="F549">
        <v>3280</v>
      </c>
      <c r="G549">
        <v>3280</v>
      </c>
      <c r="H549">
        <v>1000</v>
      </c>
    </row>
    <row r="550" spans="2:8">
      <c r="B550" t="s">
        <v>442</v>
      </c>
      <c r="C550" t="s">
        <v>381</v>
      </c>
      <c r="D550">
        <v>3279</v>
      </c>
      <c r="E550">
        <v>3280</v>
      </c>
      <c r="F550">
        <v>3279</v>
      </c>
      <c r="G550">
        <v>3279</v>
      </c>
      <c r="H550">
        <v>2000</v>
      </c>
    </row>
    <row r="551" spans="2:8">
      <c r="B551" t="s">
        <v>442</v>
      </c>
      <c r="C551" t="s">
        <v>382</v>
      </c>
      <c r="D551">
        <v>3279</v>
      </c>
      <c r="E551">
        <v>3279</v>
      </c>
      <c r="F551">
        <v>3279</v>
      </c>
      <c r="G551">
        <v>3279</v>
      </c>
      <c r="H551">
        <v>100</v>
      </c>
    </row>
    <row r="552" spans="2:8">
      <c r="B552" t="s">
        <v>442</v>
      </c>
      <c r="C552" t="s">
        <v>383</v>
      </c>
      <c r="D552">
        <v>3279</v>
      </c>
      <c r="E552">
        <v>3281</v>
      </c>
      <c r="F552">
        <v>3279</v>
      </c>
      <c r="G552">
        <v>3280</v>
      </c>
      <c r="H552">
        <v>3300</v>
      </c>
    </row>
    <row r="553" spans="2:8">
      <c r="B553" t="s">
        <v>442</v>
      </c>
      <c r="C553" t="s">
        <v>384</v>
      </c>
      <c r="D553">
        <v>3280</v>
      </c>
      <c r="E553">
        <v>3283</v>
      </c>
      <c r="F553">
        <v>3280</v>
      </c>
      <c r="G553">
        <v>3283</v>
      </c>
      <c r="H553">
        <v>3100</v>
      </c>
    </row>
    <row r="554" spans="2:8">
      <c r="B554" t="s">
        <v>442</v>
      </c>
      <c r="C554" t="s">
        <v>385</v>
      </c>
      <c r="D554">
        <v>3283</v>
      </c>
      <c r="E554">
        <v>3283</v>
      </c>
      <c r="F554">
        <v>3283</v>
      </c>
      <c r="G554">
        <v>3283</v>
      </c>
      <c r="H554">
        <v>100</v>
      </c>
    </row>
    <row r="555" spans="2:8">
      <c r="B555" t="s">
        <v>442</v>
      </c>
      <c r="C555" t="s">
        <v>386</v>
      </c>
      <c r="D555">
        <v>3283</v>
      </c>
      <c r="E555">
        <v>3283</v>
      </c>
      <c r="F555">
        <v>3283</v>
      </c>
      <c r="G555">
        <v>3283</v>
      </c>
      <c r="H555">
        <v>100</v>
      </c>
    </row>
    <row r="556" spans="2:8">
      <c r="B556" t="s">
        <v>442</v>
      </c>
      <c r="C556" t="s">
        <v>387</v>
      </c>
      <c r="D556">
        <v>3283</v>
      </c>
      <c r="E556">
        <v>3292</v>
      </c>
      <c r="F556">
        <v>3283</v>
      </c>
      <c r="G556">
        <v>3290</v>
      </c>
      <c r="H556">
        <v>10600</v>
      </c>
    </row>
    <row r="557" spans="2:8">
      <c r="B557" t="s">
        <v>442</v>
      </c>
      <c r="C557" t="s">
        <v>388</v>
      </c>
      <c r="D557">
        <v>3290</v>
      </c>
      <c r="E557">
        <v>3290</v>
      </c>
      <c r="F557">
        <v>3288</v>
      </c>
      <c r="G557">
        <v>3288</v>
      </c>
      <c r="H557">
        <v>5600</v>
      </c>
    </row>
    <row r="558" spans="2:8">
      <c r="B558" t="s">
        <v>442</v>
      </c>
      <c r="C558" t="s">
        <v>389</v>
      </c>
      <c r="D558">
        <v>3289</v>
      </c>
      <c r="E558">
        <v>3289</v>
      </c>
      <c r="F558">
        <v>3283</v>
      </c>
      <c r="G558">
        <v>3284</v>
      </c>
      <c r="H558">
        <v>4100</v>
      </c>
    </row>
    <row r="559" spans="2:8">
      <c r="B559" t="s">
        <v>442</v>
      </c>
      <c r="C559" t="s">
        <v>390</v>
      </c>
      <c r="D559">
        <v>3283</v>
      </c>
      <c r="E559">
        <v>3284</v>
      </c>
      <c r="F559">
        <v>3283</v>
      </c>
      <c r="G559">
        <v>3283</v>
      </c>
      <c r="H559">
        <v>1300</v>
      </c>
    </row>
    <row r="560" spans="2:8">
      <c r="B560" t="s">
        <v>442</v>
      </c>
      <c r="C560" t="s">
        <v>391</v>
      </c>
      <c r="D560">
        <v>3282</v>
      </c>
      <c r="E560">
        <v>3282</v>
      </c>
      <c r="F560">
        <v>3277</v>
      </c>
      <c r="G560">
        <v>3278</v>
      </c>
      <c r="H560">
        <v>5200</v>
      </c>
    </row>
    <row r="561" spans="2:8">
      <c r="B561" t="s">
        <v>442</v>
      </c>
      <c r="C561" t="s">
        <v>392</v>
      </c>
      <c r="D561">
        <v>3278</v>
      </c>
      <c r="E561">
        <v>3282</v>
      </c>
      <c r="F561">
        <v>3278</v>
      </c>
      <c r="G561">
        <v>3282</v>
      </c>
      <c r="H561">
        <v>2100</v>
      </c>
    </row>
    <row r="562" spans="2:8">
      <c r="B562" t="s">
        <v>442</v>
      </c>
      <c r="C562" t="s">
        <v>393</v>
      </c>
      <c r="D562">
        <v>3282</v>
      </c>
      <c r="E562">
        <v>3282</v>
      </c>
      <c r="F562">
        <v>3281</v>
      </c>
      <c r="G562">
        <v>3281</v>
      </c>
      <c r="H562">
        <v>1100</v>
      </c>
    </row>
    <row r="563" spans="2:8">
      <c r="B563" t="s">
        <v>442</v>
      </c>
      <c r="C563" t="s">
        <v>394</v>
      </c>
      <c r="D563">
        <v>3280</v>
      </c>
      <c r="E563">
        <v>3281</v>
      </c>
      <c r="F563">
        <v>3278</v>
      </c>
      <c r="G563">
        <v>3281</v>
      </c>
      <c r="H563">
        <v>3100</v>
      </c>
    </row>
    <row r="564" spans="2:8">
      <c r="B564" t="s">
        <v>442</v>
      </c>
      <c r="C564" t="s">
        <v>395</v>
      </c>
      <c r="D564" t="s">
        <v>8</v>
      </c>
      <c r="E564" t="s">
        <v>8</v>
      </c>
      <c r="F564" t="s">
        <v>8</v>
      </c>
      <c r="G564" t="s">
        <v>8</v>
      </c>
      <c r="H564">
        <v>0</v>
      </c>
    </row>
    <row r="565" spans="2:8">
      <c r="B565" t="s">
        <v>442</v>
      </c>
      <c r="C565" t="s">
        <v>396</v>
      </c>
      <c r="D565">
        <v>3280</v>
      </c>
      <c r="E565">
        <v>3280</v>
      </c>
      <c r="F565">
        <v>3280</v>
      </c>
      <c r="G565">
        <v>3280</v>
      </c>
      <c r="H565">
        <v>300</v>
      </c>
    </row>
    <row r="566" spans="2:8">
      <c r="B566" t="s">
        <v>442</v>
      </c>
      <c r="C566" t="s">
        <v>397</v>
      </c>
      <c r="D566">
        <v>3279</v>
      </c>
      <c r="E566">
        <v>3281</v>
      </c>
      <c r="F566">
        <v>3277</v>
      </c>
      <c r="G566">
        <v>3278</v>
      </c>
      <c r="H566">
        <v>4100</v>
      </c>
    </row>
    <row r="567" spans="2:8">
      <c r="B567" t="s">
        <v>442</v>
      </c>
      <c r="C567" t="s">
        <v>398</v>
      </c>
      <c r="D567">
        <v>3278</v>
      </c>
      <c r="E567">
        <v>3280</v>
      </c>
      <c r="F567">
        <v>3277</v>
      </c>
      <c r="G567">
        <v>3279</v>
      </c>
      <c r="H567">
        <v>2600</v>
      </c>
    </row>
    <row r="568" spans="2:8">
      <c r="B568" t="s">
        <v>442</v>
      </c>
      <c r="C568" t="s">
        <v>399</v>
      </c>
      <c r="D568">
        <v>3279</v>
      </c>
      <c r="E568">
        <v>3281</v>
      </c>
      <c r="F568">
        <v>3279</v>
      </c>
      <c r="G568">
        <v>3281</v>
      </c>
      <c r="H568">
        <v>1100</v>
      </c>
    </row>
    <row r="569" spans="2:8">
      <c r="B569" t="s">
        <v>442</v>
      </c>
      <c r="C569" t="s">
        <v>400</v>
      </c>
      <c r="D569">
        <v>3280</v>
      </c>
      <c r="E569">
        <v>3281</v>
      </c>
      <c r="F569">
        <v>3280</v>
      </c>
      <c r="G569">
        <v>3281</v>
      </c>
      <c r="H569">
        <v>1400</v>
      </c>
    </row>
    <row r="570" spans="2:8">
      <c r="B570" t="s">
        <v>442</v>
      </c>
      <c r="C570" t="s">
        <v>401</v>
      </c>
      <c r="D570">
        <v>3281</v>
      </c>
      <c r="E570">
        <v>3283</v>
      </c>
      <c r="F570">
        <v>3281</v>
      </c>
      <c r="G570">
        <v>3281</v>
      </c>
      <c r="H570">
        <v>2500</v>
      </c>
    </row>
    <row r="571" spans="2:8">
      <c r="B571" t="s">
        <v>442</v>
      </c>
      <c r="C571" t="s">
        <v>402</v>
      </c>
      <c r="D571">
        <v>3281</v>
      </c>
      <c r="E571">
        <v>3281</v>
      </c>
      <c r="F571">
        <v>3279</v>
      </c>
      <c r="G571">
        <v>3279</v>
      </c>
      <c r="H571">
        <v>2500</v>
      </c>
    </row>
    <row r="572" spans="2:8">
      <c r="B572" t="s">
        <v>442</v>
      </c>
      <c r="C572" t="s">
        <v>403</v>
      </c>
      <c r="D572">
        <v>3279</v>
      </c>
      <c r="E572">
        <v>3279</v>
      </c>
      <c r="F572">
        <v>3278</v>
      </c>
      <c r="G572">
        <v>3278</v>
      </c>
      <c r="H572">
        <v>2200</v>
      </c>
    </row>
    <row r="573" spans="2:8">
      <c r="B573" t="s">
        <v>442</v>
      </c>
      <c r="C573" t="s">
        <v>404</v>
      </c>
      <c r="D573">
        <v>3278</v>
      </c>
      <c r="E573">
        <v>3280</v>
      </c>
      <c r="F573">
        <v>3278</v>
      </c>
      <c r="G573">
        <v>3280</v>
      </c>
      <c r="H573">
        <v>2200</v>
      </c>
    </row>
    <row r="574" spans="2:8">
      <c r="B574" t="s">
        <v>442</v>
      </c>
      <c r="C574" t="s">
        <v>405</v>
      </c>
      <c r="D574">
        <v>3278</v>
      </c>
      <c r="E574">
        <v>3278</v>
      </c>
      <c r="F574">
        <v>3278</v>
      </c>
      <c r="G574">
        <v>3278</v>
      </c>
      <c r="H574">
        <v>300</v>
      </c>
    </row>
    <row r="575" spans="2:8">
      <c r="B575" t="s">
        <v>442</v>
      </c>
      <c r="C575" t="s">
        <v>406</v>
      </c>
      <c r="D575">
        <v>3278</v>
      </c>
      <c r="E575">
        <v>3280</v>
      </c>
      <c r="F575">
        <v>3277</v>
      </c>
      <c r="G575">
        <v>3280</v>
      </c>
      <c r="H575">
        <v>1900</v>
      </c>
    </row>
    <row r="576" spans="2:8">
      <c r="B576" t="s">
        <v>442</v>
      </c>
      <c r="C576" t="s">
        <v>407</v>
      </c>
      <c r="D576">
        <v>3278</v>
      </c>
      <c r="E576">
        <v>3279</v>
      </c>
      <c r="F576">
        <v>3277</v>
      </c>
      <c r="G576">
        <v>3279</v>
      </c>
      <c r="H576">
        <v>2300</v>
      </c>
    </row>
    <row r="577" spans="2:8">
      <c r="B577" t="s">
        <v>442</v>
      </c>
      <c r="C577" t="s">
        <v>408</v>
      </c>
      <c r="D577">
        <v>3279</v>
      </c>
      <c r="E577">
        <v>3283</v>
      </c>
      <c r="F577">
        <v>3279</v>
      </c>
      <c r="G577">
        <v>3283</v>
      </c>
      <c r="H577">
        <v>6200</v>
      </c>
    </row>
    <row r="578" spans="2:8">
      <c r="B578" t="s">
        <v>442</v>
      </c>
      <c r="C578" t="s">
        <v>409</v>
      </c>
      <c r="D578">
        <v>3284</v>
      </c>
      <c r="E578">
        <v>3285</v>
      </c>
      <c r="F578">
        <v>3282</v>
      </c>
      <c r="G578">
        <v>3282</v>
      </c>
      <c r="H578">
        <v>3900</v>
      </c>
    </row>
    <row r="579" spans="2:8">
      <c r="B579" t="s">
        <v>442</v>
      </c>
      <c r="C579" t="s">
        <v>410</v>
      </c>
      <c r="D579">
        <v>3281</v>
      </c>
      <c r="E579">
        <v>3283</v>
      </c>
      <c r="F579">
        <v>3280</v>
      </c>
      <c r="G579">
        <v>3283</v>
      </c>
      <c r="H579">
        <v>2500</v>
      </c>
    </row>
    <row r="580" spans="2:8">
      <c r="B580" t="s">
        <v>442</v>
      </c>
      <c r="C580" t="s">
        <v>411</v>
      </c>
      <c r="D580">
        <v>3283</v>
      </c>
      <c r="E580">
        <v>3284</v>
      </c>
      <c r="F580">
        <v>3283</v>
      </c>
      <c r="G580">
        <v>3284</v>
      </c>
      <c r="H580">
        <v>1000</v>
      </c>
    </row>
    <row r="581" spans="2:8">
      <c r="B581" t="s">
        <v>442</v>
      </c>
      <c r="C581" t="s">
        <v>412</v>
      </c>
      <c r="D581">
        <v>3284</v>
      </c>
      <c r="E581">
        <v>3284</v>
      </c>
      <c r="F581">
        <v>3283</v>
      </c>
      <c r="G581">
        <v>3283</v>
      </c>
      <c r="H581">
        <v>1000</v>
      </c>
    </row>
    <row r="582" spans="2:8">
      <c r="B582" t="s">
        <v>442</v>
      </c>
      <c r="C582" t="s">
        <v>413</v>
      </c>
      <c r="D582">
        <v>3283</v>
      </c>
      <c r="E582">
        <v>3283</v>
      </c>
      <c r="F582">
        <v>3283</v>
      </c>
      <c r="G582">
        <v>3283</v>
      </c>
      <c r="H582">
        <v>1500</v>
      </c>
    </row>
    <row r="583" spans="2:8">
      <c r="B583" t="s">
        <v>442</v>
      </c>
      <c r="C583" t="s">
        <v>414</v>
      </c>
      <c r="D583">
        <v>3283</v>
      </c>
      <c r="E583">
        <v>3284</v>
      </c>
      <c r="F583">
        <v>3283</v>
      </c>
      <c r="G583">
        <v>3283</v>
      </c>
      <c r="H583">
        <v>1800</v>
      </c>
    </row>
    <row r="584" spans="2:8">
      <c r="B584" t="s">
        <v>442</v>
      </c>
      <c r="C584" t="s">
        <v>415</v>
      </c>
      <c r="D584">
        <v>3284</v>
      </c>
      <c r="E584">
        <v>3288</v>
      </c>
      <c r="F584">
        <v>3284</v>
      </c>
      <c r="G584">
        <v>3286</v>
      </c>
      <c r="H584">
        <v>4200</v>
      </c>
    </row>
    <row r="585" spans="2:8">
      <c r="B585" t="s">
        <v>442</v>
      </c>
      <c r="C585" t="s">
        <v>416</v>
      </c>
      <c r="D585">
        <v>3285</v>
      </c>
      <c r="E585">
        <v>3286</v>
      </c>
      <c r="F585">
        <v>3285</v>
      </c>
      <c r="G585">
        <v>3285</v>
      </c>
      <c r="H585">
        <v>900</v>
      </c>
    </row>
    <row r="586" spans="2:8">
      <c r="B586" t="s">
        <v>442</v>
      </c>
      <c r="C586" t="s">
        <v>417</v>
      </c>
      <c r="D586">
        <v>3285</v>
      </c>
      <c r="E586">
        <v>3285</v>
      </c>
      <c r="F586">
        <v>3285</v>
      </c>
      <c r="G586">
        <v>3285</v>
      </c>
      <c r="H586">
        <v>500</v>
      </c>
    </row>
    <row r="587" spans="2:8">
      <c r="B587" t="s">
        <v>442</v>
      </c>
      <c r="C587" t="s">
        <v>418</v>
      </c>
      <c r="D587">
        <v>3285</v>
      </c>
      <c r="E587">
        <v>3287</v>
      </c>
      <c r="F587">
        <v>3285</v>
      </c>
      <c r="G587">
        <v>3286</v>
      </c>
      <c r="H587">
        <v>2800</v>
      </c>
    </row>
    <row r="588" spans="2:8">
      <c r="B588" t="s">
        <v>442</v>
      </c>
      <c r="C588" t="s">
        <v>419</v>
      </c>
      <c r="D588">
        <v>3286</v>
      </c>
      <c r="E588">
        <v>3287</v>
      </c>
      <c r="F588">
        <v>3285</v>
      </c>
      <c r="G588">
        <v>3286</v>
      </c>
      <c r="H588">
        <v>1900</v>
      </c>
    </row>
    <row r="589" spans="2:8">
      <c r="B589" t="s">
        <v>442</v>
      </c>
      <c r="C589" t="s">
        <v>420</v>
      </c>
      <c r="D589">
        <v>3285</v>
      </c>
      <c r="E589">
        <v>3285</v>
      </c>
      <c r="F589">
        <v>3285</v>
      </c>
      <c r="G589">
        <v>3285</v>
      </c>
      <c r="H589">
        <v>600</v>
      </c>
    </row>
    <row r="590" spans="2:8">
      <c r="B590" t="s">
        <v>442</v>
      </c>
      <c r="C590" t="s">
        <v>421</v>
      </c>
      <c r="D590">
        <v>3285</v>
      </c>
      <c r="E590">
        <v>3286</v>
      </c>
      <c r="F590">
        <v>3285</v>
      </c>
      <c r="G590">
        <v>3286</v>
      </c>
      <c r="H590">
        <v>800</v>
      </c>
    </row>
    <row r="591" spans="2:8">
      <c r="B591" t="s">
        <v>442</v>
      </c>
      <c r="C591" t="s">
        <v>422</v>
      </c>
      <c r="D591">
        <v>3285</v>
      </c>
      <c r="E591">
        <v>3285</v>
      </c>
      <c r="F591">
        <v>3281</v>
      </c>
      <c r="G591">
        <v>3281</v>
      </c>
      <c r="H591">
        <v>4400</v>
      </c>
    </row>
    <row r="592" spans="2:8">
      <c r="B592" t="s">
        <v>442</v>
      </c>
      <c r="C592" t="s">
        <v>423</v>
      </c>
      <c r="D592">
        <v>3281</v>
      </c>
      <c r="E592">
        <v>3281</v>
      </c>
      <c r="F592">
        <v>3277</v>
      </c>
      <c r="G592">
        <v>3279</v>
      </c>
      <c r="H592">
        <v>8200</v>
      </c>
    </row>
    <row r="593" spans="2:8">
      <c r="B593" t="s">
        <v>442</v>
      </c>
      <c r="C593" t="s">
        <v>424</v>
      </c>
      <c r="D593">
        <v>3280</v>
      </c>
      <c r="E593">
        <v>3280</v>
      </c>
      <c r="F593">
        <v>3278</v>
      </c>
      <c r="G593">
        <v>3278</v>
      </c>
      <c r="H593">
        <v>1600</v>
      </c>
    </row>
    <row r="594" spans="2:8">
      <c r="B594" t="s">
        <v>442</v>
      </c>
      <c r="C594" t="s">
        <v>425</v>
      </c>
      <c r="D594">
        <v>3280</v>
      </c>
      <c r="E594">
        <v>3280</v>
      </c>
      <c r="F594">
        <v>3278</v>
      </c>
      <c r="G594">
        <v>3279</v>
      </c>
      <c r="H594">
        <v>3300</v>
      </c>
    </row>
    <row r="595" spans="2:8">
      <c r="B595" t="s">
        <v>442</v>
      </c>
      <c r="C595" t="s">
        <v>426</v>
      </c>
      <c r="D595">
        <v>3279</v>
      </c>
      <c r="E595">
        <v>3279</v>
      </c>
      <c r="F595">
        <v>3279</v>
      </c>
      <c r="G595">
        <v>3279</v>
      </c>
      <c r="H595">
        <v>100</v>
      </c>
    </row>
    <row r="596" spans="2:8">
      <c r="B596" t="s">
        <v>442</v>
      </c>
      <c r="C596" t="s">
        <v>427</v>
      </c>
      <c r="D596">
        <v>3280</v>
      </c>
      <c r="E596">
        <v>3282</v>
      </c>
      <c r="F596">
        <v>3279</v>
      </c>
      <c r="G596">
        <v>3280</v>
      </c>
      <c r="H596">
        <v>3700</v>
      </c>
    </row>
    <row r="597" spans="2:8">
      <c r="B597" t="s">
        <v>442</v>
      </c>
      <c r="C597" t="s">
        <v>428</v>
      </c>
      <c r="D597">
        <v>3280</v>
      </c>
      <c r="E597">
        <v>3283</v>
      </c>
      <c r="F597">
        <v>3280</v>
      </c>
      <c r="G597">
        <v>3283</v>
      </c>
      <c r="H597">
        <v>2900</v>
      </c>
    </row>
    <row r="598" spans="2:8">
      <c r="B598" t="s">
        <v>442</v>
      </c>
      <c r="C598" t="s">
        <v>429</v>
      </c>
      <c r="D598">
        <v>3282</v>
      </c>
      <c r="E598">
        <v>3283</v>
      </c>
      <c r="F598">
        <v>3282</v>
      </c>
      <c r="G598">
        <v>3283</v>
      </c>
      <c r="H598">
        <v>1100</v>
      </c>
    </row>
    <row r="599" spans="2:8">
      <c r="B599" t="s">
        <v>442</v>
      </c>
      <c r="C599" t="s">
        <v>430</v>
      </c>
      <c r="D599">
        <v>3282</v>
      </c>
      <c r="E599">
        <v>3284</v>
      </c>
      <c r="F599">
        <v>3282</v>
      </c>
      <c r="G599">
        <v>3284</v>
      </c>
      <c r="H599">
        <v>900</v>
      </c>
    </row>
    <row r="600" spans="2:8">
      <c r="B600" t="s">
        <v>442</v>
      </c>
      <c r="C600" t="s">
        <v>431</v>
      </c>
      <c r="D600">
        <v>3283</v>
      </c>
      <c r="E600">
        <v>3284</v>
      </c>
      <c r="F600">
        <v>3280</v>
      </c>
      <c r="G600">
        <v>3280</v>
      </c>
      <c r="H600">
        <v>4300</v>
      </c>
    </row>
    <row r="601" spans="2:8">
      <c r="B601" t="s">
        <v>442</v>
      </c>
      <c r="C601" t="s">
        <v>9</v>
      </c>
      <c r="D601">
        <v>3280</v>
      </c>
      <c r="E601">
        <v>3280</v>
      </c>
      <c r="F601">
        <v>3277</v>
      </c>
      <c r="G601">
        <v>3278</v>
      </c>
      <c r="H601">
        <v>4600</v>
      </c>
    </row>
    <row r="602" spans="2:8">
      <c r="B602" t="s">
        <v>442</v>
      </c>
      <c r="C602" t="s">
        <v>10</v>
      </c>
      <c r="D602">
        <v>3279</v>
      </c>
      <c r="E602">
        <v>3279</v>
      </c>
      <c r="F602">
        <v>3278</v>
      </c>
      <c r="G602">
        <v>3279</v>
      </c>
      <c r="H602">
        <v>600</v>
      </c>
    </row>
    <row r="603" spans="2:8">
      <c r="B603" t="s">
        <v>442</v>
      </c>
      <c r="C603" t="s">
        <v>11</v>
      </c>
      <c r="D603">
        <v>3278</v>
      </c>
      <c r="E603">
        <v>3280</v>
      </c>
      <c r="F603">
        <v>3278</v>
      </c>
      <c r="G603">
        <v>3279</v>
      </c>
      <c r="H603">
        <v>500</v>
      </c>
    </row>
    <row r="604" spans="2:8">
      <c r="B604" t="s">
        <v>442</v>
      </c>
      <c r="C604" t="s">
        <v>12</v>
      </c>
      <c r="D604">
        <v>3279</v>
      </c>
      <c r="E604">
        <v>3283</v>
      </c>
      <c r="F604">
        <v>3279</v>
      </c>
      <c r="G604">
        <v>3281</v>
      </c>
      <c r="H604">
        <v>2500</v>
      </c>
    </row>
    <row r="605" spans="2:8">
      <c r="B605" t="s">
        <v>442</v>
      </c>
      <c r="C605" t="s">
        <v>13</v>
      </c>
      <c r="D605">
        <v>3281</v>
      </c>
      <c r="E605">
        <v>3284</v>
      </c>
      <c r="F605">
        <v>3281</v>
      </c>
      <c r="G605">
        <v>3284</v>
      </c>
      <c r="H605">
        <v>700</v>
      </c>
    </row>
    <row r="606" spans="2:8">
      <c r="B606" t="s">
        <v>442</v>
      </c>
      <c r="C606" t="s">
        <v>14</v>
      </c>
      <c r="D606">
        <v>3282</v>
      </c>
      <c r="E606">
        <v>3282</v>
      </c>
      <c r="F606">
        <v>3270</v>
      </c>
      <c r="G606">
        <v>3274</v>
      </c>
      <c r="H606">
        <v>12800</v>
      </c>
    </row>
    <row r="607" spans="2:8">
      <c r="B607" t="s">
        <v>442</v>
      </c>
      <c r="C607" t="s">
        <v>15</v>
      </c>
      <c r="D607">
        <v>3273</v>
      </c>
      <c r="E607">
        <v>3275</v>
      </c>
      <c r="F607">
        <v>3264</v>
      </c>
      <c r="G607">
        <v>3266</v>
      </c>
      <c r="H607">
        <v>9500</v>
      </c>
    </row>
    <row r="608" spans="2:8">
      <c r="B608" t="s">
        <v>442</v>
      </c>
      <c r="C608" t="s">
        <v>16</v>
      </c>
      <c r="D608">
        <v>3266</v>
      </c>
      <c r="E608">
        <v>3267</v>
      </c>
      <c r="F608">
        <v>3264</v>
      </c>
      <c r="G608">
        <v>3265</v>
      </c>
      <c r="H608">
        <v>5400</v>
      </c>
    </row>
    <row r="609" spans="2:8">
      <c r="B609" t="s">
        <v>442</v>
      </c>
      <c r="C609" t="s">
        <v>17</v>
      </c>
      <c r="D609">
        <v>3266</v>
      </c>
      <c r="E609">
        <v>3266</v>
      </c>
      <c r="F609">
        <v>3265</v>
      </c>
      <c r="G609">
        <v>3265</v>
      </c>
      <c r="H609">
        <v>1800</v>
      </c>
    </row>
    <row r="610" spans="2:8">
      <c r="B610" t="s">
        <v>442</v>
      </c>
      <c r="C610" t="s">
        <v>18</v>
      </c>
      <c r="D610">
        <v>3266</v>
      </c>
      <c r="E610">
        <v>3267</v>
      </c>
      <c r="F610">
        <v>3266</v>
      </c>
      <c r="G610">
        <v>3267</v>
      </c>
      <c r="H610">
        <v>1800</v>
      </c>
    </row>
    <row r="611" spans="2:8">
      <c r="B611" t="s">
        <v>442</v>
      </c>
      <c r="C611" t="s">
        <v>19</v>
      </c>
      <c r="D611">
        <v>3267</v>
      </c>
      <c r="E611">
        <v>3267</v>
      </c>
      <c r="F611">
        <v>3265</v>
      </c>
      <c r="G611">
        <v>3266</v>
      </c>
      <c r="H611">
        <v>3900</v>
      </c>
    </row>
    <row r="612" spans="2:8">
      <c r="B612" t="s">
        <v>442</v>
      </c>
      <c r="C612" t="s">
        <v>20</v>
      </c>
      <c r="D612">
        <v>3264</v>
      </c>
      <c r="E612">
        <v>3264</v>
      </c>
      <c r="F612">
        <v>3262</v>
      </c>
      <c r="G612">
        <v>3262</v>
      </c>
      <c r="H612">
        <v>4000</v>
      </c>
    </row>
    <row r="613" spans="2:8">
      <c r="B613" t="s">
        <v>442</v>
      </c>
      <c r="C613" t="s">
        <v>21</v>
      </c>
      <c r="D613">
        <v>3261</v>
      </c>
      <c r="E613">
        <v>3265</v>
      </c>
      <c r="F613">
        <v>3260</v>
      </c>
      <c r="G613">
        <v>3265</v>
      </c>
      <c r="H613">
        <v>3600</v>
      </c>
    </row>
    <row r="614" spans="2:8">
      <c r="B614" t="s">
        <v>442</v>
      </c>
      <c r="C614" t="s">
        <v>22</v>
      </c>
      <c r="D614">
        <v>3264</v>
      </c>
      <c r="E614">
        <v>3265</v>
      </c>
      <c r="F614">
        <v>3260</v>
      </c>
      <c r="G614">
        <v>3262</v>
      </c>
      <c r="H614">
        <v>2600</v>
      </c>
    </row>
    <row r="615" spans="2:8">
      <c r="B615" t="s">
        <v>442</v>
      </c>
      <c r="C615" t="s">
        <v>23</v>
      </c>
      <c r="D615">
        <v>3261</v>
      </c>
      <c r="E615">
        <v>3264</v>
      </c>
      <c r="F615">
        <v>3260</v>
      </c>
      <c r="G615">
        <v>3264</v>
      </c>
      <c r="H615">
        <v>2800</v>
      </c>
    </row>
    <row r="616" spans="2:8">
      <c r="B616" t="s">
        <v>442</v>
      </c>
      <c r="C616" t="s">
        <v>24</v>
      </c>
      <c r="D616">
        <v>3263</v>
      </c>
      <c r="E616">
        <v>3265</v>
      </c>
      <c r="F616">
        <v>3263</v>
      </c>
      <c r="G616">
        <v>3265</v>
      </c>
      <c r="H616">
        <v>1300</v>
      </c>
    </row>
    <row r="617" spans="2:8">
      <c r="B617" t="s">
        <v>442</v>
      </c>
      <c r="C617" t="s">
        <v>25</v>
      </c>
      <c r="D617">
        <v>3265</v>
      </c>
      <c r="E617">
        <v>3267</v>
      </c>
      <c r="F617">
        <v>3264</v>
      </c>
      <c r="G617">
        <v>3266</v>
      </c>
      <c r="H617">
        <v>3900</v>
      </c>
    </row>
    <row r="618" spans="2:8">
      <c r="B618" t="s">
        <v>442</v>
      </c>
      <c r="C618" t="s">
        <v>26</v>
      </c>
      <c r="D618">
        <v>3265</v>
      </c>
      <c r="E618">
        <v>3269</v>
      </c>
      <c r="F618">
        <v>3265</v>
      </c>
      <c r="G618">
        <v>3269</v>
      </c>
      <c r="H618">
        <v>6600</v>
      </c>
    </row>
    <row r="619" spans="2:8">
      <c r="B619" t="s">
        <v>442</v>
      </c>
      <c r="C619" t="s">
        <v>27</v>
      </c>
      <c r="D619">
        <v>3267</v>
      </c>
      <c r="E619">
        <v>3268</v>
      </c>
      <c r="F619">
        <v>3266</v>
      </c>
      <c r="G619">
        <v>3266</v>
      </c>
      <c r="H619">
        <v>1800</v>
      </c>
    </row>
    <row r="620" spans="2:8">
      <c r="B620" t="s">
        <v>442</v>
      </c>
      <c r="C620" t="s">
        <v>28</v>
      </c>
      <c r="D620">
        <v>3268</v>
      </c>
      <c r="E620">
        <v>3268</v>
      </c>
      <c r="F620">
        <v>3266</v>
      </c>
      <c r="G620">
        <v>3268</v>
      </c>
      <c r="H620">
        <v>1100</v>
      </c>
    </row>
    <row r="621" spans="2:8">
      <c r="B621" t="s">
        <v>442</v>
      </c>
      <c r="C621" t="s">
        <v>29</v>
      </c>
      <c r="D621">
        <v>3268</v>
      </c>
      <c r="E621">
        <v>3271</v>
      </c>
      <c r="F621">
        <v>3268</v>
      </c>
      <c r="G621">
        <v>3271</v>
      </c>
      <c r="H621">
        <v>2700</v>
      </c>
    </row>
    <row r="622" spans="2:8">
      <c r="B622" t="s">
        <v>442</v>
      </c>
      <c r="C622" t="s">
        <v>30</v>
      </c>
      <c r="D622">
        <v>3271</v>
      </c>
      <c r="E622">
        <v>3271</v>
      </c>
      <c r="F622">
        <v>3269</v>
      </c>
      <c r="G622">
        <v>3269</v>
      </c>
      <c r="H622">
        <v>1200</v>
      </c>
    </row>
    <row r="623" spans="2:8">
      <c r="B623" t="s">
        <v>442</v>
      </c>
      <c r="C623" t="s">
        <v>31</v>
      </c>
      <c r="D623">
        <v>3268</v>
      </c>
      <c r="E623">
        <v>3269</v>
      </c>
      <c r="F623">
        <v>3267</v>
      </c>
      <c r="G623">
        <v>3267</v>
      </c>
      <c r="H623">
        <v>2100</v>
      </c>
    </row>
    <row r="624" spans="2:8">
      <c r="B624" t="s">
        <v>442</v>
      </c>
      <c r="C624" t="s">
        <v>32</v>
      </c>
      <c r="D624">
        <v>3266</v>
      </c>
      <c r="E624">
        <v>3269</v>
      </c>
      <c r="F624">
        <v>3266</v>
      </c>
      <c r="G624">
        <v>3269</v>
      </c>
      <c r="H624">
        <v>3700</v>
      </c>
    </row>
    <row r="625" spans="2:8">
      <c r="B625" t="s">
        <v>442</v>
      </c>
      <c r="C625" t="s">
        <v>33</v>
      </c>
      <c r="D625">
        <v>3269</v>
      </c>
      <c r="E625">
        <v>3269</v>
      </c>
      <c r="F625">
        <v>3268</v>
      </c>
      <c r="G625">
        <v>3269</v>
      </c>
      <c r="H625">
        <v>1700</v>
      </c>
    </row>
    <row r="626" spans="2:8">
      <c r="B626" t="s">
        <v>442</v>
      </c>
      <c r="C626" t="s">
        <v>34</v>
      </c>
      <c r="D626">
        <v>3267</v>
      </c>
      <c r="E626">
        <v>3271</v>
      </c>
      <c r="F626">
        <v>3267</v>
      </c>
      <c r="G626">
        <v>3271</v>
      </c>
      <c r="H626">
        <v>4000</v>
      </c>
    </row>
    <row r="627" spans="2:8">
      <c r="B627" t="s">
        <v>442</v>
      </c>
      <c r="C627" t="s">
        <v>35</v>
      </c>
      <c r="D627">
        <v>3271</v>
      </c>
      <c r="E627">
        <v>3272</v>
      </c>
      <c r="F627">
        <v>3271</v>
      </c>
      <c r="G627">
        <v>3272</v>
      </c>
      <c r="H627">
        <v>1900</v>
      </c>
    </row>
    <row r="628" spans="2:8">
      <c r="B628" t="s">
        <v>442</v>
      </c>
      <c r="C628" t="s">
        <v>36</v>
      </c>
      <c r="D628">
        <v>3271</v>
      </c>
      <c r="E628">
        <v>3272</v>
      </c>
      <c r="F628">
        <v>3268</v>
      </c>
      <c r="G628">
        <v>3268</v>
      </c>
      <c r="H628">
        <v>4100</v>
      </c>
    </row>
    <row r="629" spans="2:8">
      <c r="B629" t="s">
        <v>442</v>
      </c>
      <c r="C629" t="s">
        <v>37</v>
      </c>
      <c r="D629">
        <v>3267</v>
      </c>
      <c r="E629">
        <v>3267</v>
      </c>
      <c r="F629">
        <v>3264</v>
      </c>
      <c r="G629">
        <v>3266</v>
      </c>
      <c r="H629">
        <v>3900</v>
      </c>
    </row>
    <row r="630" spans="2:8">
      <c r="B630" t="s">
        <v>442</v>
      </c>
      <c r="C630" t="s">
        <v>38</v>
      </c>
      <c r="D630">
        <v>3267</v>
      </c>
      <c r="E630">
        <v>3267</v>
      </c>
      <c r="F630">
        <v>3265</v>
      </c>
      <c r="G630">
        <v>3265</v>
      </c>
      <c r="H630">
        <v>1500</v>
      </c>
    </row>
    <row r="631" spans="2:8">
      <c r="B631" t="s">
        <v>442</v>
      </c>
      <c r="C631" t="s">
        <v>39</v>
      </c>
      <c r="D631">
        <v>3266</v>
      </c>
      <c r="E631">
        <v>3268</v>
      </c>
      <c r="F631">
        <v>3264</v>
      </c>
      <c r="G631">
        <v>3268</v>
      </c>
      <c r="H631">
        <v>4500</v>
      </c>
    </row>
    <row r="632" spans="2:8">
      <c r="B632" t="s">
        <v>442</v>
      </c>
      <c r="C632" t="s">
        <v>40</v>
      </c>
      <c r="D632">
        <v>3267</v>
      </c>
      <c r="E632">
        <v>3267</v>
      </c>
      <c r="F632">
        <v>3263</v>
      </c>
      <c r="G632">
        <v>3263</v>
      </c>
      <c r="H632">
        <v>2700</v>
      </c>
    </row>
    <row r="633" spans="2:8">
      <c r="B633" t="s">
        <v>442</v>
      </c>
      <c r="C633" t="s">
        <v>41</v>
      </c>
      <c r="D633">
        <v>3265</v>
      </c>
      <c r="E633">
        <v>3266</v>
      </c>
      <c r="F633">
        <v>3265</v>
      </c>
      <c r="G633">
        <v>3265</v>
      </c>
      <c r="H633">
        <v>700</v>
      </c>
    </row>
    <row r="634" spans="2:8">
      <c r="B634" t="s">
        <v>442</v>
      </c>
      <c r="C634" t="s">
        <v>42</v>
      </c>
      <c r="D634">
        <v>3265</v>
      </c>
      <c r="E634">
        <v>3265</v>
      </c>
      <c r="F634">
        <v>3265</v>
      </c>
      <c r="G634">
        <v>3265</v>
      </c>
      <c r="H634">
        <v>100</v>
      </c>
    </row>
    <row r="635" spans="2:8">
      <c r="B635" t="s">
        <v>442</v>
      </c>
      <c r="C635" t="s">
        <v>43</v>
      </c>
      <c r="D635">
        <v>3265</v>
      </c>
      <c r="E635">
        <v>3265</v>
      </c>
      <c r="F635">
        <v>3260</v>
      </c>
      <c r="G635">
        <v>3262</v>
      </c>
      <c r="H635">
        <v>6400</v>
      </c>
    </row>
    <row r="636" spans="2:8">
      <c r="B636" t="s">
        <v>442</v>
      </c>
      <c r="C636" t="s">
        <v>44</v>
      </c>
      <c r="D636">
        <v>3263</v>
      </c>
      <c r="E636">
        <v>3264</v>
      </c>
      <c r="F636">
        <v>3261</v>
      </c>
      <c r="G636">
        <v>3264</v>
      </c>
      <c r="H636">
        <v>3300</v>
      </c>
    </row>
    <row r="637" spans="2:8">
      <c r="B637" t="s">
        <v>442</v>
      </c>
      <c r="C637" t="s">
        <v>45</v>
      </c>
      <c r="D637">
        <v>3264</v>
      </c>
      <c r="E637">
        <v>3266</v>
      </c>
      <c r="F637">
        <v>3263</v>
      </c>
      <c r="G637">
        <v>3265</v>
      </c>
      <c r="H637">
        <v>1800</v>
      </c>
    </row>
    <row r="638" spans="2:8">
      <c r="B638" t="s">
        <v>442</v>
      </c>
      <c r="C638" t="s">
        <v>46</v>
      </c>
      <c r="D638">
        <v>3265</v>
      </c>
      <c r="E638">
        <v>3266</v>
      </c>
      <c r="F638">
        <v>3261</v>
      </c>
      <c r="G638">
        <v>3266</v>
      </c>
      <c r="H638">
        <v>3500</v>
      </c>
    </row>
    <row r="639" spans="2:8">
      <c r="B639" t="s">
        <v>442</v>
      </c>
      <c r="C639" t="s">
        <v>47</v>
      </c>
      <c r="D639">
        <v>3265</v>
      </c>
      <c r="E639">
        <v>3267</v>
      </c>
      <c r="F639">
        <v>3265</v>
      </c>
      <c r="G639">
        <v>3265</v>
      </c>
      <c r="H639">
        <v>3200</v>
      </c>
    </row>
    <row r="640" spans="2:8">
      <c r="B640" t="s">
        <v>442</v>
      </c>
      <c r="C640" t="s">
        <v>48</v>
      </c>
      <c r="D640">
        <v>3264</v>
      </c>
      <c r="E640">
        <v>3264</v>
      </c>
      <c r="F640">
        <v>3262</v>
      </c>
      <c r="G640">
        <v>3263</v>
      </c>
      <c r="H640">
        <v>2300</v>
      </c>
    </row>
    <row r="641" spans="2:8">
      <c r="B641" t="s">
        <v>442</v>
      </c>
      <c r="C641" t="s">
        <v>49</v>
      </c>
      <c r="D641">
        <v>3264</v>
      </c>
      <c r="E641">
        <v>3265</v>
      </c>
      <c r="F641">
        <v>3263</v>
      </c>
      <c r="G641">
        <v>3265</v>
      </c>
      <c r="H641">
        <v>1600</v>
      </c>
    </row>
    <row r="642" spans="2:8">
      <c r="B642" t="s">
        <v>442</v>
      </c>
      <c r="C642" t="s">
        <v>50</v>
      </c>
      <c r="D642">
        <v>3265</v>
      </c>
      <c r="E642">
        <v>3267</v>
      </c>
      <c r="F642">
        <v>3264</v>
      </c>
      <c r="G642">
        <v>3266</v>
      </c>
      <c r="H642">
        <v>3200</v>
      </c>
    </row>
    <row r="643" spans="2:8">
      <c r="B643" t="s">
        <v>442</v>
      </c>
      <c r="C643" t="s">
        <v>51</v>
      </c>
      <c r="D643">
        <v>3265</v>
      </c>
      <c r="E643">
        <v>3268</v>
      </c>
      <c r="F643">
        <v>3264</v>
      </c>
      <c r="G643">
        <v>3264</v>
      </c>
      <c r="H643">
        <v>4200</v>
      </c>
    </row>
    <row r="644" spans="2:8">
      <c r="B644" t="s">
        <v>442</v>
      </c>
      <c r="C644" t="s">
        <v>52</v>
      </c>
      <c r="D644">
        <v>3263</v>
      </c>
      <c r="E644">
        <v>3264</v>
      </c>
      <c r="F644">
        <v>3262</v>
      </c>
      <c r="G644">
        <v>3263</v>
      </c>
      <c r="H644">
        <v>2200</v>
      </c>
    </row>
    <row r="645" spans="2:8">
      <c r="B645" t="s">
        <v>442</v>
      </c>
      <c r="C645" t="s">
        <v>53</v>
      </c>
      <c r="D645">
        <v>3262</v>
      </c>
      <c r="E645">
        <v>3263</v>
      </c>
      <c r="F645">
        <v>3262</v>
      </c>
      <c r="G645">
        <v>3262</v>
      </c>
      <c r="H645">
        <v>1500</v>
      </c>
    </row>
    <row r="646" spans="2:8">
      <c r="B646" t="s">
        <v>442</v>
      </c>
      <c r="C646" t="s">
        <v>54</v>
      </c>
      <c r="D646">
        <v>3261</v>
      </c>
      <c r="E646">
        <v>3264</v>
      </c>
      <c r="F646">
        <v>3261</v>
      </c>
      <c r="G646">
        <v>3262</v>
      </c>
      <c r="H646">
        <v>2200</v>
      </c>
    </row>
    <row r="647" spans="2:8">
      <c r="B647" t="s">
        <v>442</v>
      </c>
      <c r="C647" t="s">
        <v>55</v>
      </c>
      <c r="D647">
        <v>3262</v>
      </c>
      <c r="E647">
        <v>3265</v>
      </c>
      <c r="F647">
        <v>3262</v>
      </c>
      <c r="G647">
        <v>3262</v>
      </c>
      <c r="H647">
        <v>3000</v>
      </c>
    </row>
    <row r="648" spans="2:8">
      <c r="B648" t="s">
        <v>442</v>
      </c>
      <c r="C648" t="s">
        <v>56</v>
      </c>
      <c r="D648">
        <v>3262</v>
      </c>
      <c r="E648">
        <v>3262</v>
      </c>
      <c r="F648">
        <v>3261</v>
      </c>
      <c r="G648">
        <v>3261</v>
      </c>
      <c r="H648">
        <v>1500</v>
      </c>
    </row>
    <row r="649" spans="2:8">
      <c r="B649" t="s">
        <v>442</v>
      </c>
      <c r="C649" t="s">
        <v>57</v>
      </c>
      <c r="D649">
        <v>3260</v>
      </c>
      <c r="E649">
        <v>3261</v>
      </c>
      <c r="F649">
        <v>3254</v>
      </c>
      <c r="G649">
        <v>3261</v>
      </c>
      <c r="H649">
        <v>11700</v>
      </c>
    </row>
    <row r="650" spans="2:8">
      <c r="B650" t="s">
        <v>442</v>
      </c>
      <c r="C650" t="s">
        <v>58</v>
      </c>
      <c r="D650">
        <v>3260</v>
      </c>
      <c r="E650">
        <v>3267</v>
      </c>
      <c r="F650">
        <v>3260</v>
      </c>
      <c r="G650">
        <v>3265</v>
      </c>
      <c r="H650">
        <v>4600</v>
      </c>
    </row>
    <row r="651" spans="2:8">
      <c r="B651" t="s">
        <v>442</v>
      </c>
      <c r="C651" t="s">
        <v>59</v>
      </c>
      <c r="D651">
        <v>3266</v>
      </c>
      <c r="E651">
        <v>3266</v>
      </c>
      <c r="F651">
        <v>3261</v>
      </c>
      <c r="G651">
        <v>3261</v>
      </c>
      <c r="H651">
        <v>3000</v>
      </c>
    </row>
    <row r="652" spans="2:8">
      <c r="B652" t="s">
        <v>442</v>
      </c>
      <c r="C652" t="s">
        <v>60</v>
      </c>
      <c r="D652">
        <v>3261</v>
      </c>
      <c r="E652">
        <v>3261</v>
      </c>
      <c r="F652">
        <v>3260</v>
      </c>
      <c r="G652">
        <v>3260</v>
      </c>
      <c r="H652">
        <v>1400</v>
      </c>
    </row>
    <row r="653" spans="2:8">
      <c r="B653" t="s">
        <v>442</v>
      </c>
      <c r="C653" t="s">
        <v>61</v>
      </c>
      <c r="D653">
        <v>3261</v>
      </c>
      <c r="E653">
        <v>3261</v>
      </c>
      <c r="F653">
        <v>3259</v>
      </c>
      <c r="G653">
        <v>3259</v>
      </c>
      <c r="H653">
        <v>4000</v>
      </c>
    </row>
    <row r="654" spans="2:8">
      <c r="B654" t="s">
        <v>442</v>
      </c>
      <c r="C654" t="s">
        <v>62</v>
      </c>
      <c r="D654">
        <v>3261</v>
      </c>
      <c r="E654">
        <v>3262</v>
      </c>
      <c r="F654">
        <v>3260</v>
      </c>
      <c r="G654">
        <v>3261</v>
      </c>
      <c r="H654">
        <v>1300</v>
      </c>
    </row>
    <row r="655" spans="2:8">
      <c r="B655" t="s">
        <v>442</v>
      </c>
      <c r="C655" t="s">
        <v>63</v>
      </c>
      <c r="D655">
        <v>3260</v>
      </c>
      <c r="E655">
        <v>3265</v>
      </c>
      <c r="F655">
        <v>3260</v>
      </c>
      <c r="G655">
        <v>3262</v>
      </c>
      <c r="H655">
        <v>4300</v>
      </c>
    </row>
    <row r="656" spans="2:8">
      <c r="B656" t="s">
        <v>442</v>
      </c>
      <c r="C656" t="s">
        <v>64</v>
      </c>
      <c r="D656">
        <v>3263</v>
      </c>
      <c r="E656">
        <v>3267</v>
      </c>
      <c r="F656">
        <v>3262</v>
      </c>
      <c r="G656">
        <v>3266</v>
      </c>
      <c r="H656">
        <v>3900</v>
      </c>
    </row>
    <row r="657" spans="2:8">
      <c r="B657" t="s">
        <v>442</v>
      </c>
      <c r="C657" t="s">
        <v>65</v>
      </c>
      <c r="D657">
        <v>3266</v>
      </c>
      <c r="E657">
        <v>3268</v>
      </c>
      <c r="F657">
        <v>3266</v>
      </c>
      <c r="G657">
        <v>3267</v>
      </c>
      <c r="H657">
        <v>3500</v>
      </c>
    </row>
    <row r="658" spans="2:8">
      <c r="B658" t="s">
        <v>442</v>
      </c>
      <c r="C658" t="s">
        <v>66</v>
      </c>
      <c r="D658">
        <v>3266</v>
      </c>
      <c r="E658">
        <v>3268</v>
      </c>
      <c r="F658">
        <v>3266</v>
      </c>
      <c r="G658">
        <v>3266</v>
      </c>
      <c r="H658">
        <v>3200</v>
      </c>
    </row>
    <row r="659" spans="2:8">
      <c r="B659" t="s">
        <v>442</v>
      </c>
      <c r="C659" t="s">
        <v>164</v>
      </c>
      <c r="D659">
        <v>3266</v>
      </c>
      <c r="E659">
        <v>3266</v>
      </c>
      <c r="F659">
        <v>3262</v>
      </c>
      <c r="G659">
        <v>3262</v>
      </c>
      <c r="H659">
        <v>5000</v>
      </c>
    </row>
    <row r="660" spans="2:8">
      <c r="B660" t="s">
        <v>442</v>
      </c>
      <c r="C660" t="s">
        <v>165</v>
      </c>
      <c r="D660">
        <v>3261</v>
      </c>
      <c r="E660">
        <v>3266</v>
      </c>
      <c r="F660">
        <v>3261</v>
      </c>
      <c r="G660">
        <v>3266</v>
      </c>
      <c r="H660">
        <v>6200</v>
      </c>
    </row>
    <row r="661" spans="2:8">
      <c r="B661" t="s">
        <v>442</v>
      </c>
      <c r="C661" t="s">
        <v>67</v>
      </c>
      <c r="D661" t="s">
        <v>8</v>
      </c>
      <c r="E661" t="s">
        <v>8</v>
      </c>
      <c r="F661" t="s">
        <v>8</v>
      </c>
      <c r="G661" t="s">
        <v>8</v>
      </c>
      <c r="H661">
        <v>0</v>
      </c>
    </row>
    <row r="662" spans="2:8">
      <c r="B662" t="s">
        <v>442</v>
      </c>
      <c r="C662" t="s">
        <v>68</v>
      </c>
      <c r="D662" t="s">
        <v>8</v>
      </c>
      <c r="E662" t="s">
        <v>8</v>
      </c>
      <c r="F662" t="s">
        <v>8</v>
      </c>
      <c r="G662" t="s">
        <v>8</v>
      </c>
      <c r="H662">
        <v>0</v>
      </c>
    </row>
    <row r="663" spans="2:8">
      <c r="B663" t="s">
        <v>442</v>
      </c>
      <c r="C663" t="s">
        <v>69</v>
      </c>
      <c r="D663" t="s">
        <v>8</v>
      </c>
      <c r="E663" t="s">
        <v>8</v>
      </c>
      <c r="F663" t="s">
        <v>8</v>
      </c>
      <c r="G663" t="s">
        <v>8</v>
      </c>
      <c r="H663">
        <v>0</v>
      </c>
    </row>
    <row r="664" spans="2:8">
      <c r="B664" t="s">
        <v>442</v>
      </c>
      <c r="C664" t="s">
        <v>70</v>
      </c>
      <c r="D664" t="s">
        <v>8</v>
      </c>
      <c r="E664" t="s">
        <v>8</v>
      </c>
      <c r="F664" t="s">
        <v>8</v>
      </c>
      <c r="G664" t="s">
        <v>8</v>
      </c>
      <c r="H664">
        <v>0</v>
      </c>
    </row>
    <row r="665" spans="2:8">
      <c r="B665" t="s">
        <v>442</v>
      </c>
      <c r="C665" t="s">
        <v>71</v>
      </c>
      <c r="D665" t="s">
        <v>8</v>
      </c>
      <c r="E665" t="s">
        <v>8</v>
      </c>
      <c r="F665" t="s">
        <v>8</v>
      </c>
      <c r="G665" t="s">
        <v>8</v>
      </c>
      <c r="H665">
        <v>0</v>
      </c>
    </row>
    <row r="666" spans="2:8">
      <c r="B666" t="s">
        <v>442</v>
      </c>
      <c r="C666" t="s">
        <v>72</v>
      </c>
      <c r="D666">
        <v>3266</v>
      </c>
      <c r="E666">
        <v>3266</v>
      </c>
      <c r="F666">
        <v>3266</v>
      </c>
      <c r="G666">
        <v>3266</v>
      </c>
      <c r="H666">
        <v>248400</v>
      </c>
    </row>
    <row r="667" spans="2:8">
      <c r="B667" t="s">
        <v>443</v>
      </c>
      <c r="C667" t="s">
        <v>166</v>
      </c>
      <c r="D667">
        <v>3260</v>
      </c>
      <c r="E667">
        <v>3266</v>
      </c>
      <c r="F667">
        <v>3245</v>
      </c>
      <c r="G667">
        <v>3255</v>
      </c>
      <c r="H667">
        <v>51500</v>
      </c>
    </row>
    <row r="668" spans="2:8">
      <c r="B668" t="s">
        <v>443</v>
      </c>
      <c r="C668" t="s">
        <v>167</v>
      </c>
      <c r="D668">
        <v>3252</v>
      </c>
      <c r="E668">
        <v>3266</v>
      </c>
      <c r="F668">
        <v>3249</v>
      </c>
      <c r="G668">
        <v>3261</v>
      </c>
      <c r="H668">
        <v>12100</v>
      </c>
    </row>
    <row r="669" spans="2:8">
      <c r="B669" t="s">
        <v>443</v>
      </c>
      <c r="C669" t="s">
        <v>168</v>
      </c>
      <c r="D669">
        <v>3260</v>
      </c>
      <c r="E669">
        <v>3265</v>
      </c>
      <c r="F669">
        <v>3257</v>
      </c>
      <c r="G669">
        <v>3265</v>
      </c>
      <c r="H669">
        <v>2800</v>
      </c>
    </row>
    <row r="670" spans="2:8">
      <c r="B670" t="s">
        <v>443</v>
      </c>
      <c r="C670" t="s">
        <v>169</v>
      </c>
      <c r="D670">
        <v>3264</v>
      </c>
      <c r="E670">
        <v>3264</v>
      </c>
      <c r="F670">
        <v>3257</v>
      </c>
      <c r="G670">
        <v>3257</v>
      </c>
      <c r="H670">
        <v>4500</v>
      </c>
    </row>
    <row r="671" spans="2:8">
      <c r="B671" t="s">
        <v>443</v>
      </c>
      <c r="C671" t="s">
        <v>170</v>
      </c>
      <c r="D671">
        <v>3255</v>
      </c>
      <c r="E671">
        <v>3265</v>
      </c>
      <c r="F671">
        <v>3248</v>
      </c>
      <c r="G671">
        <v>3262</v>
      </c>
      <c r="H671">
        <v>9500</v>
      </c>
    </row>
    <row r="672" spans="2:8">
      <c r="B672" t="s">
        <v>443</v>
      </c>
      <c r="C672" t="s">
        <v>171</v>
      </c>
      <c r="D672">
        <v>3261</v>
      </c>
      <c r="E672">
        <v>3277</v>
      </c>
      <c r="F672">
        <v>3261</v>
      </c>
      <c r="G672">
        <v>3275</v>
      </c>
      <c r="H672">
        <v>11000</v>
      </c>
    </row>
    <row r="673" spans="2:8">
      <c r="B673" t="s">
        <v>443</v>
      </c>
      <c r="C673" t="s">
        <v>172</v>
      </c>
      <c r="D673">
        <v>3274</v>
      </c>
      <c r="E673">
        <v>3275</v>
      </c>
      <c r="F673">
        <v>3258</v>
      </c>
      <c r="G673">
        <v>3260</v>
      </c>
      <c r="H673">
        <v>7900</v>
      </c>
    </row>
    <row r="674" spans="2:8">
      <c r="B674" t="s">
        <v>443</v>
      </c>
      <c r="C674" t="s">
        <v>173</v>
      </c>
      <c r="D674">
        <v>3257</v>
      </c>
      <c r="E674">
        <v>3264</v>
      </c>
      <c r="F674">
        <v>3254</v>
      </c>
      <c r="G674">
        <v>3264</v>
      </c>
      <c r="H674">
        <v>5500</v>
      </c>
    </row>
    <row r="675" spans="2:8">
      <c r="B675" t="s">
        <v>443</v>
      </c>
      <c r="C675" t="s">
        <v>174</v>
      </c>
      <c r="D675">
        <v>3261</v>
      </c>
      <c r="E675">
        <v>3267</v>
      </c>
      <c r="F675">
        <v>3259</v>
      </c>
      <c r="G675">
        <v>3267</v>
      </c>
      <c r="H675">
        <v>2900</v>
      </c>
    </row>
    <row r="676" spans="2:8">
      <c r="B676" t="s">
        <v>443</v>
      </c>
      <c r="C676" t="s">
        <v>175</v>
      </c>
      <c r="D676">
        <v>3265</v>
      </c>
      <c r="E676">
        <v>3265</v>
      </c>
      <c r="F676">
        <v>3260</v>
      </c>
      <c r="G676">
        <v>3261</v>
      </c>
      <c r="H676">
        <v>4700</v>
      </c>
    </row>
    <row r="677" spans="2:8">
      <c r="B677" t="s">
        <v>443</v>
      </c>
      <c r="C677" t="s">
        <v>176</v>
      </c>
      <c r="D677">
        <v>3263</v>
      </c>
      <c r="E677">
        <v>3266</v>
      </c>
      <c r="F677">
        <v>3262</v>
      </c>
      <c r="G677">
        <v>3264</v>
      </c>
      <c r="H677">
        <v>3000</v>
      </c>
    </row>
    <row r="678" spans="2:8">
      <c r="B678" t="s">
        <v>443</v>
      </c>
      <c r="C678" t="s">
        <v>177</v>
      </c>
      <c r="D678">
        <v>3265</v>
      </c>
      <c r="E678">
        <v>3265</v>
      </c>
      <c r="F678">
        <v>3259</v>
      </c>
      <c r="G678">
        <v>3260</v>
      </c>
      <c r="H678">
        <v>7700</v>
      </c>
    </row>
    <row r="679" spans="2:8">
      <c r="B679" t="s">
        <v>443</v>
      </c>
      <c r="C679" t="s">
        <v>178</v>
      </c>
      <c r="D679">
        <v>3261</v>
      </c>
      <c r="E679">
        <v>3264</v>
      </c>
      <c r="F679">
        <v>3255</v>
      </c>
      <c r="G679">
        <v>3261</v>
      </c>
      <c r="H679">
        <v>5300</v>
      </c>
    </row>
    <row r="680" spans="2:8">
      <c r="B680" t="s">
        <v>443</v>
      </c>
      <c r="C680" t="s">
        <v>179</v>
      </c>
      <c r="D680">
        <v>3261</v>
      </c>
      <c r="E680">
        <v>3268</v>
      </c>
      <c r="F680">
        <v>3257</v>
      </c>
      <c r="G680">
        <v>3263</v>
      </c>
      <c r="H680">
        <v>7500</v>
      </c>
    </row>
    <row r="681" spans="2:8">
      <c r="B681" t="s">
        <v>443</v>
      </c>
      <c r="C681" t="s">
        <v>180</v>
      </c>
      <c r="D681">
        <v>3263</v>
      </c>
      <c r="E681">
        <v>3271</v>
      </c>
      <c r="F681">
        <v>3263</v>
      </c>
      <c r="G681">
        <v>3268</v>
      </c>
      <c r="H681">
        <v>3500</v>
      </c>
    </row>
    <row r="682" spans="2:8">
      <c r="B682" t="s">
        <v>443</v>
      </c>
      <c r="C682" t="s">
        <v>181</v>
      </c>
      <c r="D682">
        <v>3269</v>
      </c>
      <c r="E682">
        <v>3274</v>
      </c>
      <c r="F682">
        <v>3269</v>
      </c>
      <c r="G682">
        <v>3271</v>
      </c>
      <c r="H682">
        <v>2700</v>
      </c>
    </row>
    <row r="683" spans="2:8">
      <c r="B683" t="s">
        <v>443</v>
      </c>
      <c r="C683" t="s">
        <v>182</v>
      </c>
      <c r="D683">
        <v>3271</v>
      </c>
      <c r="E683">
        <v>3273</v>
      </c>
      <c r="F683">
        <v>3261</v>
      </c>
      <c r="G683">
        <v>3261</v>
      </c>
      <c r="H683">
        <v>4600</v>
      </c>
    </row>
    <row r="684" spans="2:8">
      <c r="B684" t="s">
        <v>443</v>
      </c>
      <c r="C684" t="s">
        <v>183</v>
      </c>
      <c r="D684">
        <v>3261</v>
      </c>
      <c r="E684">
        <v>3266</v>
      </c>
      <c r="F684">
        <v>3261</v>
      </c>
      <c r="G684">
        <v>3266</v>
      </c>
      <c r="H684">
        <v>2400</v>
      </c>
    </row>
    <row r="685" spans="2:8">
      <c r="B685" t="s">
        <v>443</v>
      </c>
      <c r="C685" t="s">
        <v>184</v>
      </c>
      <c r="D685">
        <v>3266</v>
      </c>
      <c r="E685">
        <v>3268</v>
      </c>
      <c r="F685">
        <v>3263</v>
      </c>
      <c r="G685">
        <v>3266</v>
      </c>
      <c r="H685">
        <v>1900</v>
      </c>
    </row>
    <row r="686" spans="2:8">
      <c r="B686" t="s">
        <v>443</v>
      </c>
      <c r="C686" t="s">
        <v>185</v>
      </c>
      <c r="D686">
        <v>3268</v>
      </c>
      <c r="E686">
        <v>3276</v>
      </c>
      <c r="F686">
        <v>3268</v>
      </c>
      <c r="G686">
        <v>3273</v>
      </c>
      <c r="H686">
        <v>8600</v>
      </c>
    </row>
    <row r="687" spans="2:8">
      <c r="B687" t="s">
        <v>443</v>
      </c>
      <c r="C687" t="s">
        <v>186</v>
      </c>
      <c r="D687">
        <v>3273</v>
      </c>
      <c r="E687">
        <v>3273</v>
      </c>
      <c r="F687">
        <v>3271</v>
      </c>
      <c r="G687">
        <v>3271</v>
      </c>
      <c r="H687">
        <v>2800</v>
      </c>
    </row>
    <row r="688" spans="2:8">
      <c r="B688" t="s">
        <v>443</v>
      </c>
      <c r="C688" t="s">
        <v>187</v>
      </c>
      <c r="D688">
        <v>3271</v>
      </c>
      <c r="E688">
        <v>3273</v>
      </c>
      <c r="F688">
        <v>3268</v>
      </c>
      <c r="G688">
        <v>3272</v>
      </c>
      <c r="H688">
        <v>4500</v>
      </c>
    </row>
    <row r="689" spans="2:8">
      <c r="B689" t="s">
        <v>443</v>
      </c>
      <c r="C689" t="s">
        <v>188</v>
      </c>
      <c r="D689">
        <v>3272</v>
      </c>
      <c r="E689">
        <v>3274</v>
      </c>
      <c r="F689">
        <v>3270</v>
      </c>
      <c r="G689">
        <v>3271</v>
      </c>
      <c r="H689">
        <v>3600</v>
      </c>
    </row>
    <row r="690" spans="2:8">
      <c r="B690" t="s">
        <v>443</v>
      </c>
      <c r="C690" t="s">
        <v>189</v>
      </c>
      <c r="D690">
        <v>3272</v>
      </c>
      <c r="E690">
        <v>3272</v>
      </c>
      <c r="F690">
        <v>3268</v>
      </c>
      <c r="G690">
        <v>3269</v>
      </c>
      <c r="H690">
        <v>3400</v>
      </c>
    </row>
    <row r="691" spans="2:8">
      <c r="B691" t="s">
        <v>443</v>
      </c>
      <c r="C691" t="s">
        <v>190</v>
      </c>
      <c r="D691">
        <v>3270</v>
      </c>
      <c r="E691">
        <v>3270</v>
      </c>
      <c r="F691">
        <v>3267</v>
      </c>
      <c r="G691">
        <v>3267</v>
      </c>
      <c r="H691">
        <v>700</v>
      </c>
    </row>
    <row r="692" spans="2:8">
      <c r="B692" t="s">
        <v>443</v>
      </c>
      <c r="C692" t="s">
        <v>191</v>
      </c>
      <c r="D692">
        <v>3267</v>
      </c>
      <c r="E692">
        <v>3270</v>
      </c>
      <c r="F692">
        <v>3265</v>
      </c>
      <c r="G692">
        <v>3269</v>
      </c>
      <c r="H692">
        <v>3000</v>
      </c>
    </row>
    <row r="693" spans="2:8">
      <c r="B693" t="s">
        <v>443</v>
      </c>
      <c r="C693" t="s">
        <v>192</v>
      </c>
      <c r="D693">
        <v>3270</v>
      </c>
      <c r="E693">
        <v>3282</v>
      </c>
      <c r="F693">
        <v>3270</v>
      </c>
      <c r="G693">
        <v>3282</v>
      </c>
      <c r="H693">
        <v>14000</v>
      </c>
    </row>
    <row r="694" spans="2:8">
      <c r="B694" t="s">
        <v>443</v>
      </c>
      <c r="C694" t="s">
        <v>193</v>
      </c>
      <c r="D694">
        <v>3281</v>
      </c>
      <c r="E694">
        <v>3281</v>
      </c>
      <c r="F694">
        <v>3277</v>
      </c>
      <c r="G694">
        <v>3279</v>
      </c>
      <c r="H694">
        <v>3100</v>
      </c>
    </row>
    <row r="695" spans="2:8">
      <c r="B695" t="s">
        <v>443</v>
      </c>
      <c r="C695" t="s">
        <v>194</v>
      </c>
      <c r="D695">
        <v>3278</v>
      </c>
      <c r="E695">
        <v>3281</v>
      </c>
      <c r="F695">
        <v>3277</v>
      </c>
      <c r="G695">
        <v>3281</v>
      </c>
      <c r="H695">
        <v>2700</v>
      </c>
    </row>
    <row r="696" spans="2:8">
      <c r="B696" t="s">
        <v>443</v>
      </c>
      <c r="C696" t="s">
        <v>195</v>
      </c>
      <c r="D696">
        <v>3282</v>
      </c>
      <c r="E696">
        <v>3283</v>
      </c>
      <c r="F696">
        <v>3279</v>
      </c>
      <c r="G696">
        <v>3281</v>
      </c>
      <c r="H696">
        <v>5300</v>
      </c>
    </row>
    <row r="697" spans="2:8">
      <c r="B697" t="s">
        <v>443</v>
      </c>
      <c r="C697" t="s">
        <v>196</v>
      </c>
      <c r="D697">
        <v>3281</v>
      </c>
      <c r="E697">
        <v>3283</v>
      </c>
      <c r="F697">
        <v>3277</v>
      </c>
      <c r="G697">
        <v>3278</v>
      </c>
      <c r="H697">
        <v>7200</v>
      </c>
    </row>
    <row r="698" spans="2:8">
      <c r="B698" t="s">
        <v>443</v>
      </c>
      <c r="C698" t="s">
        <v>197</v>
      </c>
      <c r="D698">
        <v>3278</v>
      </c>
      <c r="E698">
        <v>3279</v>
      </c>
      <c r="F698">
        <v>3276</v>
      </c>
      <c r="G698">
        <v>3279</v>
      </c>
      <c r="H698">
        <v>3400</v>
      </c>
    </row>
    <row r="699" spans="2:8">
      <c r="B699" t="s">
        <v>443</v>
      </c>
      <c r="C699" t="s">
        <v>198</v>
      </c>
      <c r="D699">
        <v>3280</v>
      </c>
      <c r="E699">
        <v>3288</v>
      </c>
      <c r="F699">
        <v>3280</v>
      </c>
      <c r="G699">
        <v>3287</v>
      </c>
      <c r="H699">
        <v>8100</v>
      </c>
    </row>
    <row r="700" spans="2:8">
      <c r="B700" t="s">
        <v>443</v>
      </c>
      <c r="C700" t="s">
        <v>199</v>
      </c>
      <c r="D700">
        <v>3287</v>
      </c>
      <c r="E700">
        <v>3287</v>
      </c>
      <c r="F700">
        <v>3284</v>
      </c>
      <c r="G700">
        <v>3287</v>
      </c>
      <c r="H700">
        <v>3200</v>
      </c>
    </row>
    <row r="701" spans="2:8">
      <c r="B701" t="s">
        <v>443</v>
      </c>
      <c r="C701" t="s">
        <v>200</v>
      </c>
      <c r="D701">
        <v>3286</v>
      </c>
      <c r="E701">
        <v>3286</v>
      </c>
      <c r="F701">
        <v>3283</v>
      </c>
      <c r="G701">
        <v>3283</v>
      </c>
      <c r="H701">
        <v>1600</v>
      </c>
    </row>
    <row r="702" spans="2:8">
      <c r="B702" t="s">
        <v>443</v>
      </c>
      <c r="C702" t="s">
        <v>201</v>
      </c>
      <c r="D702">
        <v>3283</v>
      </c>
      <c r="E702">
        <v>3283</v>
      </c>
      <c r="F702">
        <v>3275</v>
      </c>
      <c r="G702">
        <v>3277</v>
      </c>
      <c r="H702">
        <v>4800</v>
      </c>
    </row>
    <row r="703" spans="2:8">
      <c r="B703" t="s">
        <v>443</v>
      </c>
      <c r="C703" t="s">
        <v>202</v>
      </c>
      <c r="D703">
        <v>3276</v>
      </c>
      <c r="E703">
        <v>3280</v>
      </c>
      <c r="F703">
        <v>3276</v>
      </c>
      <c r="G703">
        <v>3277</v>
      </c>
      <c r="H703">
        <v>5000</v>
      </c>
    </row>
    <row r="704" spans="2:8">
      <c r="B704" t="s">
        <v>443</v>
      </c>
      <c r="C704" t="s">
        <v>203</v>
      </c>
      <c r="D704">
        <v>3278</v>
      </c>
      <c r="E704">
        <v>3285</v>
      </c>
      <c r="F704">
        <v>3278</v>
      </c>
      <c r="G704">
        <v>3283</v>
      </c>
      <c r="H704">
        <v>5600</v>
      </c>
    </row>
    <row r="705" spans="2:8">
      <c r="B705" t="s">
        <v>443</v>
      </c>
      <c r="C705" t="s">
        <v>204</v>
      </c>
      <c r="D705">
        <v>3284</v>
      </c>
      <c r="E705">
        <v>3286</v>
      </c>
      <c r="F705">
        <v>3283</v>
      </c>
      <c r="G705">
        <v>3283</v>
      </c>
      <c r="H705">
        <v>1400</v>
      </c>
    </row>
    <row r="706" spans="2:8">
      <c r="B706" t="s">
        <v>443</v>
      </c>
      <c r="C706" t="s">
        <v>205</v>
      </c>
      <c r="D706">
        <v>3282</v>
      </c>
      <c r="E706">
        <v>3282</v>
      </c>
      <c r="F706">
        <v>3279</v>
      </c>
      <c r="G706">
        <v>3279</v>
      </c>
      <c r="H706">
        <v>1400</v>
      </c>
    </row>
    <row r="707" spans="2:8">
      <c r="B707" t="s">
        <v>443</v>
      </c>
      <c r="C707" t="s">
        <v>206</v>
      </c>
      <c r="D707">
        <v>3279</v>
      </c>
      <c r="E707">
        <v>3282</v>
      </c>
      <c r="F707">
        <v>3279</v>
      </c>
      <c r="G707">
        <v>3281</v>
      </c>
      <c r="H707">
        <v>2300</v>
      </c>
    </row>
    <row r="708" spans="2:8">
      <c r="B708" t="s">
        <v>443</v>
      </c>
      <c r="C708" t="s">
        <v>207</v>
      </c>
      <c r="D708">
        <v>3281</v>
      </c>
      <c r="E708">
        <v>3281</v>
      </c>
      <c r="F708">
        <v>3277</v>
      </c>
      <c r="G708">
        <v>3277</v>
      </c>
      <c r="H708">
        <v>1300</v>
      </c>
    </row>
    <row r="709" spans="2:8">
      <c r="B709" t="s">
        <v>443</v>
      </c>
      <c r="C709" t="s">
        <v>208</v>
      </c>
      <c r="D709">
        <v>3278</v>
      </c>
      <c r="E709">
        <v>3279</v>
      </c>
      <c r="F709">
        <v>3275</v>
      </c>
      <c r="G709">
        <v>3279</v>
      </c>
      <c r="H709">
        <v>3600</v>
      </c>
    </row>
    <row r="710" spans="2:8">
      <c r="B710" t="s">
        <v>443</v>
      </c>
      <c r="C710" t="s">
        <v>209</v>
      </c>
      <c r="D710">
        <v>3278</v>
      </c>
      <c r="E710">
        <v>3281</v>
      </c>
      <c r="F710">
        <v>3278</v>
      </c>
      <c r="G710">
        <v>3280</v>
      </c>
      <c r="H710">
        <v>3900</v>
      </c>
    </row>
    <row r="711" spans="2:8">
      <c r="B711" t="s">
        <v>443</v>
      </c>
      <c r="C711" t="s">
        <v>210</v>
      </c>
      <c r="D711">
        <v>3280</v>
      </c>
      <c r="E711">
        <v>3280</v>
      </c>
      <c r="F711">
        <v>3278</v>
      </c>
      <c r="G711">
        <v>3278</v>
      </c>
      <c r="H711">
        <v>900</v>
      </c>
    </row>
    <row r="712" spans="2:8">
      <c r="B712" t="s">
        <v>443</v>
      </c>
      <c r="C712" t="s">
        <v>211</v>
      </c>
      <c r="D712">
        <v>3280</v>
      </c>
      <c r="E712">
        <v>3282</v>
      </c>
      <c r="F712">
        <v>3279</v>
      </c>
      <c r="G712">
        <v>3282</v>
      </c>
      <c r="H712">
        <v>5700</v>
      </c>
    </row>
    <row r="713" spans="2:8">
      <c r="B713" t="s">
        <v>443</v>
      </c>
      <c r="C713" t="s">
        <v>212</v>
      </c>
      <c r="D713">
        <v>3282</v>
      </c>
      <c r="E713">
        <v>3284</v>
      </c>
      <c r="F713">
        <v>3282</v>
      </c>
      <c r="G713">
        <v>3282</v>
      </c>
      <c r="H713">
        <v>2000</v>
      </c>
    </row>
    <row r="714" spans="2:8">
      <c r="B714" t="s">
        <v>443</v>
      </c>
      <c r="C714" t="s">
        <v>213</v>
      </c>
      <c r="D714">
        <v>3281</v>
      </c>
      <c r="E714">
        <v>3281</v>
      </c>
      <c r="F714">
        <v>3278</v>
      </c>
      <c r="G714">
        <v>3278</v>
      </c>
      <c r="H714">
        <v>1800</v>
      </c>
    </row>
    <row r="715" spans="2:8">
      <c r="B715" t="s">
        <v>443</v>
      </c>
      <c r="C715" t="s">
        <v>214</v>
      </c>
      <c r="D715">
        <v>3277</v>
      </c>
      <c r="E715">
        <v>3277</v>
      </c>
      <c r="F715">
        <v>3276</v>
      </c>
      <c r="G715">
        <v>3277</v>
      </c>
      <c r="H715">
        <v>1800</v>
      </c>
    </row>
    <row r="716" spans="2:8">
      <c r="B716" t="s">
        <v>443</v>
      </c>
      <c r="C716" t="s">
        <v>215</v>
      </c>
      <c r="D716">
        <v>3277</v>
      </c>
      <c r="E716">
        <v>3277</v>
      </c>
      <c r="F716">
        <v>3272</v>
      </c>
      <c r="G716">
        <v>3272</v>
      </c>
      <c r="H716">
        <v>3200</v>
      </c>
    </row>
    <row r="717" spans="2:8">
      <c r="B717" t="s">
        <v>443</v>
      </c>
      <c r="C717" t="s">
        <v>216</v>
      </c>
      <c r="D717">
        <v>3272</v>
      </c>
      <c r="E717">
        <v>3276</v>
      </c>
      <c r="F717">
        <v>3272</v>
      </c>
      <c r="G717">
        <v>3275</v>
      </c>
      <c r="H717">
        <v>1600</v>
      </c>
    </row>
    <row r="718" spans="2:8">
      <c r="B718" t="s">
        <v>443</v>
      </c>
      <c r="C718" t="s">
        <v>217</v>
      </c>
      <c r="D718">
        <v>3275</v>
      </c>
      <c r="E718">
        <v>3276</v>
      </c>
      <c r="F718">
        <v>3273</v>
      </c>
      <c r="G718">
        <v>3275</v>
      </c>
      <c r="H718">
        <v>2800</v>
      </c>
    </row>
    <row r="719" spans="2:8">
      <c r="B719" t="s">
        <v>443</v>
      </c>
      <c r="C719" t="s">
        <v>218</v>
      </c>
      <c r="D719">
        <v>3274</v>
      </c>
      <c r="E719">
        <v>3274</v>
      </c>
      <c r="F719">
        <v>3268</v>
      </c>
      <c r="G719">
        <v>3270</v>
      </c>
      <c r="H719">
        <v>4700</v>
      </c>
    </row>
    <row r="720" spans="2:8">
      <c r="B720" t="s">
        <v>443</v>
      </c>
      <c r="C720" t="s">
        <v>219</v>
      </c>
      <c r="D720">
        <v>3266</v>
      </c>
      <c r="E720">
        <v>3269</v>
      </c>
      <c r="F720">
        <v>3265</v>
      </c>
      <c r="G720">
        <v>3269</v>
      </c>
      <c r="H720">
        <v>3300</v>
      </c>
    </row>
    <row r="721" spans="2:8">
      <c r="B721" t="s">
        <v>443</v>
      </c>
      <c r="C721" t="s">
        <v>220</v>
      </c>
      <c r="D721">
        <v>3269</v>
      </c>
      <c r="E721">
        <v>3272</v>
      </c>
      <c r="F721">
        <v>3269</v>
      </c>
      <c r="G721">
        <v>3272</v>
      </c>
      <c r="H721">
        <v>4000</v>
      </c>
    </row>
    <row r="722" spans="2:8">
      <c r="B722" t="s">
        <v>443</v>
      </c>
      <c r="C722" t="s">
        <v>221</v>
      </c>
      <c r="D722">
        <v>3273</v>
      </c>
      <c r="E722">
        <v>3274</v>
      </c>
      <c r="F722">
        <v>3273</v>
      </c>
      <c r="G722">
        <v>3274</v>
      </c>
      <c r="H722">
        <v>2200</v>
      </c>
    </row>
    <row r="723" spans="2:8">
      <c r="B723" t="s">
        <v>443</v>
      </c>
      <c r="C723" t="s">
        <v>222</v>
      </c>
      <c r="D723">
        <v>3272</v>
      </c>
      <c r="E723">
        <v>3273</v>
      </c>
      <c r="F723">
        <v>3268</v>
      </c>
      <c r="G723">
        <v>3270</v>
      </c>
      <c r="H723">
        <v>4100</v>
      </c>
    </row>
    <row r="724" spans="2:8">
      <c r="B724" t="s">
        <v>443</v>
      </c>
      <c r="C724" t="s">
        <v>223</v>
      </c>
      <c r="D724">
        <v>3269</v>
      </c>
      <c r="E724">
        <v>3269</v>
      </c>
      <c r="F724">
        <v>3266</v>
      </c>
      <c r="G724">
        <v>3266</v>
      </c>
      <c r="H724">
        <v>1000</v>
      </c>
    </row>
    <row r="725" spans="2:8">
      <c r="B725" t="s">
        <v>443</v>
      </c>
      <c r="C725" t="s">
        <v>224</v>
      </c>
      <c r="D725">
        <v>3268</v>
      </c>
      <c r="E725">
        <v>3270</v>
      </c>
      <c r="F725">
        <v>3268</v>
      </c>
      <c r="G725">
        <v>3268</v>
      </c>
      <c r="H725">
        <v>1900</v>
      </c>
    </row>
    <row r="726" spans="2:8">
      <c r="B726" t="s">
        <v>443</v>
      </c>
      <c r="C726" t="s">
        <v>225</v>
      </c>
      <c r="D726">
        <v>3271</v>
      </c>
      <c r="E726">
        <v>3272</v>
      </c>
      <c r="F726">
        <v>3269</v>
      </c>
      <c r="G726">
        <v>3269</v>
      </c>
      <c r="H726">
        <v>2100</v>
      </c>
    </row>
    <row r="727" spans="2:8">
      <c r="B727" t="s">
        <v>443</v>
      </c>
      <c r="C727" t="s">
        <v>226</v>
      </c>
      <c r="D727">
        <v>3268</v>
      </c>
      <c r="E727">
        <v>3269</v>
      </c>
      <c r="F727">
        <v>3263</v>
      </c>
      <c r="G727">
        <v>3267</v>
      </c>
      <c r="H727">
        <v>5600</v>
      </c>
    </row>
    <row r="728" spans="2:8">
      <c r="B728" t="s">
        <v>443</v>
      </c>
      <c r="C728" t="s">
        <v>227</v>
      </c>
      <c r="D728">
        <v>3266</v>
      </c>
      <c r="E728">
        <v>3266</v>
      </c>
      <c r="F728">
        <v>3262</v>
      </c>
      <c r="G728">
        <v>3262</v>
      </c>
      <c r="H728">
        <v>2300</v>
      </c>
    </row>
    <row r="729" spans="2:8">
      <c r="B729" t="s">
        <v>443</v>
      </c>
      <c r="C729" t="s">
        <v>228</v>
      </c>
      <c r="D729">
        <v>3262</v>
      </c>
      <c r="E729">
        <v>3266</v>
      </c>
      <c r="F729">
        <v>3262</v>
      </c>
      <c r="G729">
        <v>3265</v>
      </c>
      <c r="H729">
        <v>1800</v>
      </c>
    </row>
    <row r="730" spans="2:8">
      <c r="B730" t="s">
        <v>443</v>
      </c>
      <c r="C730" t="s">
        <v>229</v>
      </c>
      <c r="D730">
        <v>3265</v>
      </c>
      <c r="E730">
        <v>3265</v>
      </c>
      <c r="F730">
        <v>3264</v>
      </c>
      <c r="G730">
        <v>3265</v>
      </c>
      <c r="H730">
        <v>1500</v>
      </c>
    </row>
    <row r="731" spans="2:8">
      <c r="B731" t="s">
        <v>443</v>
      </c>
      <c r="C731" t="s">
        <v>230</v>
      </c>
      <c r="D731">
        <v>3265</v>
      </c>
      <c r="E731">
        <v>3266</v>
      </c>
      <c r="F731">
        <v>3265</v>
      </c>
      <c r="G731">
        <v>3266</v>
      </c>
      <c r="H731">
        <v>1900</v>
      </c>
    </row>
    <row r="732" spans="2:8">
      <c r="B732" t="s">
        <v>443</v>
      </c>
      <c r="C732" t="s">
        <v>231</v>
      </c>
      <c r="D732">
        <v>3265</v>
      </c>
      <c r="E732">
        <v>3265</v>
      </c>
      <c r="F732">
        <v>3259</v>
      </c>
      <c r="G732">
        <v>3261</v>
      </c>
      <c r="H732">
        <v>5000</v>
      </c>
    </row>
    <row r="733" spans="2:8">
      <c r="B733" t="s">
        <v>443</v>
      </c>
      <c r="C733" t="s">
        <v>232</v>
      </c>
      <c r="D733">
        <v>3260</v>
      </c>
      <c r="E733">
        <v>3267</v>
      </c>
      <c r="F733">
        <v>3258</v>
      </c>
      <c r="G733">
        <v>3267</v>
      </c>
      <c r="H733">
        <v>6900</v>
      </c>
    </row>
    <row r="734" spans="2:8">
      <c r="B734" t="s">
        <v>443</v>
      </c>
      <c r="C734" t="s">
        <v>233</v>
      </c>
      <c r="D734">
        <v>3267</v>
      </c>
      <c r="E734">
        <v>3271</v>
      </c>
      <c r="F734">
        <v>3267</v>
      </c>
      <c r="G734">
        <v>3269</v>
      </c>
      <c r="H734">
        <v>3900</v>
      </c>
    </row>
    <row r="735" spans="2:8">
      <c r="B735" t="s">
        <v>443</v>
      </c>
      <c r="C735" t="s">
        <v>234</v>
      </c>
      <c r="D735">
        <v>3271</v>
      </c>
      <c r="E735">
        <v>3272</v>
      </c>
      <c r="F735">
        <v>3270</v>
      </c>
      <c r="G735">
        <v>3271</v>
      </c>
      <c r="H735">
        <v>1900</v>
      </c>
    </row>
    <row r="736" spans="2:8">
      <c r="B736" t="s">
        <v>443</v>
      </c>
      <c r="C736" t="s">
        <v>235</v>
      </c>
      <c r="D736">
        <v>3269</v>
      </c>
      <c r="E736">
        <v>3274</v>
      </c>
      <c r="F736">
        <v>3269</v>
      </c>
      <c r="G736">
        <v>3273</v>
      </c>
      <c r="H736">
        <v>4400</v>
      </c>
    </row>
    <row r="737" spans="2:8">
      <c r="B737" t="s">
        <v>443</v>
      </c>
      <c r="C737" t="s">
        <v>236</v>
      </c>
      <c r="D737">
        <v>3272</v>
      </c>
      <c r="E737">
        <v>3272</v>
      </c>
      <c r="F737">
        <v>3267</v>
      </c>
      <c r="G737">
        <v>3267</v>
      </c>
      <c r="H737">
        <v>1900</v>
      </c>
    </row>
    <row r="738" spans="2:8">
      <c r="B738" t="s">
        <v>443</v>
      </c>
      <c r="C738" t="s">
        <v>237</v>
      </c>
      <c r="D738">
        <v>3267</v>
      </c>
      <c r="E738">
        <v>3269</v>
      </c>
      <c r="F738">
        <v>3267</v>
      </c>
      <c r="G738">
        <v>3269</v>
      </c>
      <c r="H738">
        <v>1600</v>
      </c>
    </row>
    <row r="739" spans="2:8">
      <c r="B739" t="s">
        <v>443</v>
      </c>
      <c r="C739" t="s">
        <v>238</v>
      </c>
      <c r="D739">
        <v>3268</v>
      </c>
      <c r="E739">
        <v>3268</v>
      </c>
      <c r="F739">
        <v>3266</v>
      </c>
      <c r="G739">
        <v>3266</v>
      </c>
      <c r="H739">
        <v>800</v>
      </c>
    </row>
    <row r="740" spans="2:8">
      <c r="B740" t="s">
        <v>443</v>
      </c>
      <c r="C740" t="s">
        <v>239</v>
      </c>
      <c r="D740">
        <v>3266</v>
      </c>
      <c r="E740">
        <v>3266</v>
      </c>
      <c r="F740">
        <v>3264</v>
      </c>
      <c r="G740">
        <v>3265</v>
      </c>
      <c r="H740">
        <v>1100</v>
      </c>
    </row>
    <row r="741" spans="2:8">
      <c r="B741" t="s">
        <v>443</v>
      </c>
      <c r="C741" t="s">
        <v>240</v>
      </c>
      <c r="D741">
        <v>3266</v>
      </c>
      <c r="E741">
        <v>3267</v>
      </c>
      <c r="F741">
        <v>3266</v>
      </c>
      <c r="G741">
        <v>3266</v>
      </c>
      <c r="H741">
        <v>800</v>
      </c>
    </row>
    <row r="742" spans="2:8">
      <c r="B742" t="s">
        <v>443</v>
      </c>
      <c r="C742" t="s">
        <v>241</v>
      </c>
      <c r="D742">
        <v>3266</v>
      </c>
      <c r="E742">
        <v>3266</v>
      </c>
      <c r="F742">
        <v>3260</v>
      </c>
      <c r="G742">
        <v>3260</v>
      </c>
      <c r="H742">
        <v>3200</v>
      </c>
    </row>
    <row r="743" spans="2:8">
      <c r="B743" t="s">
        <v>443</v>
      </c>
      <c r="C743" t="s">
        <v>242</v>
      </c>
      <c r="D743">
        <v>3260</v>
      </c>
      <c r="E743">
        <v>3261</v>
      </c>
      <c r="F743">
        <v>3260</v>
      </c>
      <c r="G743">
        <v>3260</v>
      </c>
      <c r="H743">
        <v>900</v>
      </c>
    </row>
    <row r="744" spans="2:8">
      <c r="B744" t="s">
        <v>443</v>
      </c>
      <c r="C744" t="s">
        <v>243</v>
      </c>
      <c r="D744">
        <v>3261</v>
      </c>
      <c r="E744">
        <v>3261</v>
      </c>
      <c r="F744">
        <v>3260</v>
      </c>
      <c r="G744">
        <v>3260</v>
      </c>
      <c r="H744">
        <v>1000</v>
      </c>
    </row>
    <row r="745" spans="2:8">
      <c r="B745" t="s">
        <v>443</v>
      </c>
      <c r="C745" t="s">
        <v>244</v>
      </c>
      <c r="D745">
        <v>3259</v>
      </c>
      <c r="E745">
        <v>3259</v>
      </c>
      <c r="F745">
        <v>3254</v>
      </c>
      <c r="G745">
        <v>3254</v>
      </c>
      <c r="H745">
        <v>3200</v>
      </c>
    </row>
    <row r="746" spans="2:8">
      <c r="B746" t="s">
        <v>443</v>
      </c>
      <c r="C746" t="s">
        <v>245</v>
      </c>
      <c r="D746">
        <v>3256</v>
      </c>
      <c r="E746">
        <v>3258</v>
      </c>
      <c r="F746">
        <v>3256</v>
      </c>
      <c r="G746">
        <v>3256</v>
      </c>
      <c r="H746">
        <v>2300</v>
      </c>
    </row>
    <row r="747" spans="2:8">
      <c r="B747" t="s">
        <v>443</v>
      </c>
      <c r="C747" t="s">
        <v>246</v>
      </c>
      <c r="D747">
        <v>3257</v>
      </c>
      <c r="E747">
        <v>3258</v>
      </c>
      <c r="F747">
        <v>3255</v>
      </c>
      <c r="G747">
        <v>3257</v>
      </c>
      <c r="H747">
        <v>1900</v>
      </c>
    </row>
    <row r="748" spans="2:8">
      <c r="B748" t="s">
        <v>443</v>
      </c>
      <c r="C748" t="s">
        <v>247</v>
      </c>
      <c r="D748">
        <v>3257</v>
      </c>
      <c r="E748">
        <v>3257</v>
      </c>
      <c r="F748">
        <v>3253</v>
      </c>
      <c r="G748">
        <v>3253</v>
      </c>
      <c r="H748">
        <v>2900</v>
      </c>
    </row>
    <row r="749" spans="2:8">
      <c r="B749" t="s">
        <v>443</v>
      </c>
      <c r="C749" t="s">
        <v>248</v>
      </c>
      <c r="D749">
        <v>3254</v>
      </c>
      <c r="E749">
        <v>3259</v>
      </c>
      <c r="F749">
        <v>3254</v>
      </c>
      <c r="G749">
        <v>3259</v>
      </c>
      <c r="H749">
        <v>3800</v>
      </c>
    </row>
    <row r="750" spans="2:8">
      <c r="B750" t="s">
        <v>443</v>
      </c>
      <c r="C750" t="s">
        <v>249</v>
      </c>
      <c r="D750">
        <v>3258</v>
      </c>
      <c r="E750">
        <v>3259</v>
      </c>
      <c r="F750">
        <v>3258</v>
      </c>
      <c r="G750">
        <v>3259</v>
      </c>
      <c r="H750">
        <v>500</v>
      </c>
    </row>
    <row r="751" spans="2:8">
      <c r="B751" t="s">
        <v>443</v>
      </c>
      <c r="C751" t="s">
        <v>250</v>
      </c>
      <c r="D751">
        <v>3260</v>
      </c>
      <c r="E751">
        <v>3261</v>
      </c>
      <c r="F751">
        <v>3260</v>
      </c>
      <c r="G751">
        <v>3261</v>
      </c>
      <c r="H751">
        <v>2100</v>
      </c>
    </row>
    <row r="752" spans="2:8">
      <c r="B752" t="s">
        <v>443</v>
      </c>
      <c r="C752" t="s">
        <v>251</v>
      </c>
      <c r="D752">
        <v>3260</v>
      </c>
      <c r="E752">
        <v>3260</v>
      </c>
      <c r="F752">
        <v>3258</v>
      </c>
      <c r="G752">
        <v>3260</v>
      </c>
      <c r="H752">
        <v>2700</v>
      </c>
    </row>
    <row r="753" spans="2:8">
      <c r="B753" t="s">
        <v>443</v>
      </c>
      <c r="C753" t="s">
        <v>252</v>
      </c>
      <c r="D753">
        <v>3259</v>
      </c>
      <c r="E753">
        <v>3260</v>
      </c>
      <c r="F753">
        <v>3259</v>
      </c>
      <c r="G753">
        <v>3260</v>
      </c>
      <c r="H753">
        <v>1300</v>
      </c>
    </row>
    <row r="754" spans="2:8">
      <c r="B754" t="s">
        <v>443</v>
      </c>
      <c r="C754" t="s">
        <v>253</v>
      </c>
      <c r="D754">
        <v>3261</v>
      </c>
      <c r="E754">
        <v>3263</v>
      </c>
      <c r="F754">
        <v>3261</v>
      </c>
      <c r="G754">
        <v>3261</v>
      </c>
      <c r="H754">
        <v>1500</v>
      </c>
    </row>
    <row r="755" spans="2:8">
      <c r="B755" t="s">
        <v>443</v>
      </c>
      <c r="C755" t="s">
        <v>254</v>
      </c>
      <c r="D755">
        <v>3260</v>
      </c>
      <c r="E755">
        <v>3260</v>
      </c>
      <c r="F755">
        <v>3260</v>
      </c>
      <c r="G755">
        <v>3260</v>
      </c>
      <c r="H755">
        <v>500</v>
      </c>
    </row>
    <row r="756" spans="2:8">
      <c r="B756" t="s">
        <v>443</v>
      </c>
      <c r="C756" t="s">
        <v>255</v>
      </c>
      <c r="D756">
        <v>3261</v>
      </c>
      <c r="E756">
        <v>3261</v>
      </c>
      <c r="F756">
        <v>3261</v>
      </c>
      <c r="G756">
        <v>3261</v>
      </c>
      <c r="H756">
        <v>800</v>
      </c>
    </row>
    <row r="757" spans="2:8">
      <c r="B757" t="s">
        <v>443</v>
      </c>
      <c r="C757" t="s">
        <v>256</v>
      </c>
      <c r="D757">
        <v>3261</v>
      </c>
      <c r="E757">
        <v>3265</v>
      </c>
      <c r="F757">
        <v>3260</v>
      </c>
      <c r="G757">
        <v>3262</v>
      </c>
      <c r="H757">
        <v>5500</v>
      </c>
    </row>
    <row r="758" spans="2:8">
      <c r="B758" t="s">
        <v>443</v>
      </c>
      <c r="C758" t="s">
        <v>257</v>
      </c>
      <c r="D758">
        <v>3261</v>
      </c>
      <c r="E758">
        <v>3263</v>
      </c>
      <c r="F758">
        <v>3261</v>
      </c>
      <c r="G758">
        <v>3262</v>
      </c>
      <c r="H758">
        <v>1400</v>
      </c>
    </row>
    <row r="759" spans="2:8">
      <c r="B759" t="s">
        <v>443</v>
      </c>
      <c r="C759" t="s">
        <v>258</v>
      </c>
      <c r="D759">
        <v>3263</v>
      </c>
      <c r="E759">
        <v>3263</v>
      </c>
      <c r="F759">
        <v>3262</v>
      </c>
      <c r="G759">
        <v>3262</v>
      </c>
      <c r="H759">
        <v>500</v>
      </c>
    </row>
    <row r="760" spans="2:8">
      <c r="B760" t="s">
        <v>443</v>
      </c>
      <c r="C760" t="s">
        <v>259</v>
      </c>
      <c r="D760">
        <v>3262</v>
      </c>
      <c r="E760">
        <v>3264</v>
      </c>
      <c r="F760">
        <v>3262</v>
      </c>
      <c r="G760">
        <v>3264</v>
      </c>
      <c r="H760">
        <v>1600</v>
      </c>
    </row>
    <row r="761" spans="2:8">
      <c r="B761" t="s">
        <v>443</v>
      </c>
      <c r="C761" t="s">
        <v>260</v>
      </c>
      <c r="D761">
        <v>3263</v>
      </c>
      <c r="E761">
        <v>3264</v>
      </c>
      <c r="F761">
        <v>3263</v>
      </c>
      <c r="G761">
        <v>3264</v>
      </c>
      <c r="H761">
        <v>1300</v>
      </c>
    </row>
    <row r="762" spans="2:8">
      <c r="B762" t="s">
        <v>443</v>
      </c>
      <c r="C762" t="s">
        <v>261</v>
      </c>
      <c r="D762">
        <v>3264</v>
      </c>
      <c r="E762">
        <v>3264</v>
      </c>
      <c r="F762">
        <v>3264</v>
      </c>
      <c r="G762">
        <v>3264</v>
      </c>
      <c r="H762">
        <v>700</v>
      </c>
    </row>
    <row r="763" spans="2:8">
      <c r="B763" t="s">
        <v>443</v>
      </c>
      <c r="C763" t="s">
        <v>262</v>
      </c>
      <c r="D763">
        <v>3264</v>
      </c>
      <c r="E763">
        <v>3287</v>
      </c>
      <c r="F763">
        <v>3262</v>
      </c>
      <c r="G763">
        <v>3281</v>
      </c>
      <c r="H763">
        <v>22700</v>
      </c>
    </row>
    <row r="764" spans="2:8">
      <c r="B764" t="s">
        <v>443</v>
      </c>
      <c r="C764" t="s">
        <v>263</v>
      </c>
      <c r="D764">
        <v>3281</v>
      </c>
      <c r="E764">
        <v>3282</v>
      </c>
      <c r="F764">
        <v>3275</v>
      </c>
      <c r="G764">
        <v>3275</v>
      </c>
      <c r="H764">
        <v>3300</v>
      </c>
    </row>
    <row r="765" spans="2:8">
      <c r="B765" t="s">
        <v>443</v>
      </c>
      <c r="C765" t="s">
        <v>264</v>
      </c>
      <c r="D765">
        <v>3275</v>
      </c>
      <c r="E765">
        <v>3275</v>
      </c>
      <c r="F765">
        <v>3274</v>
      </c>
      <c r="G765">
        <v>3274</v>
      </c>
      <c r="H765">
        <v>400</v>
      </c>
    </row>
    <row r="766" spans="2:8">
      <c r="B766" t="s">
        <v>443</v>
      </c>
      <c r="C766" t="s">
        <v>265</v>
      </c>
      <c r="D766">
        <v>3272</v>
      </c>
      <c r="E766">
        <v>3279</v>
      </c>
      <c r="F766">
        <v>3272</v>
      </c>
      <c r="G766">
        <v>3279</v>
      </c>
      <c r="H766">
        <v>2200</v>
      </c>
    </row>
    <row r="767" spans="2:8">
      <c r="B767" t="s">
        <v>443</v>
      </c>
      <c r="C767" t="s">
        <v>266</v>
      </c>
      <c r="D767">
        <v>3278</v>
      </c>
      <c r="E767">
        <v>3280</v>
      </c>
      <c r="F767">
        <v>3278</v>
      </c>
      <c r="G767">
        <v>3280</v>
      </c>
      <c r="H767">
        <v>1000</v>
      </c>
    </row>
    <row r="768" spans="2:8">
      <c r="B768" t="s">
        <v>443</v>
      </c>
      <c r="C768" t="s">
        <v>267</v>
      </c>
      <c r="D768">
        <v>3279</v>
      </c>
      <c r="E768">
        <v>3281</v>
      </c>
      <c r="F768">
        <v>3278</v>
      </c>
      <c r="G768">
        <v>3278</v>
      </c>
      <c r="H768">
        <v>2400</v>
      </c>
    </row>
    <row r="769" spans="2:8">
      <c r="B769" t="s">
        <v>443</v>
      </c>
      <c r="C769" t="s">
        <v>268</v>
      </c>
      <c r="D769">
        <v>3278</v>
      </c>
      <c r="E769">
        <v>3279</v>
      </c>
      <c r="F769">
        <v>3278</v>
      </c>
      <c r="G769">
        <v>3279</v>
      </c>
      <c r="H769">
        <v>400</v>
      </c>
    </row>
    <row r="770" spans="2:8">
      <c r="B770" t="s">
        <v>443</v>
      </c>
      <c r="C770" t="s">
        <v>269</v>
      </c>
      <c r="D770">
        <v>3278</v>
      </c>
      <c r="E770">
        <v>3280</v>
      </c>
      <c r="F770">
        <v>3278</v>
      </c>
      <c r="G770">
        <v>3278</v>
      </c>
      <c r="H770">
        <v>1700</v>
      </c>
    </row>
    <row r="771" spans="2:8">
      <c r="B771" t="s">
        <v>443</v>
      </c>
      <c r="C771" t="s">
        <v>270</v>
      </c>
      <c r="D771">
        <v>3279</v>
      </c>
      <c r="E771">
        <v>3280</v>
      </c>
      <c r="F771">
        <v>3279</v>
      </c>
      <c r="G771">
        <v>3280</v>
      </c>
      <c r="H771">
        <v>700</v>
      </c>
    </row>
    <row r="772" spans="2:8">
      <c r="B772" t="s">
        <v>443</v>
      </c>
      <c r="C772" t="s">
        <v>271</v>
      </c>
      <c r="D772">
        <v>3280</v>
      </c>
      <c r="E772">
        <v>3283</v>
      </c>
      <c r="F772">
        <v>3279</v>
      </c>
      <c r="G772">
        <v>3279</v>
      </c>
      <c r="H772">
        <v>5300</v>
      </c>
    </row>
    <row r="773" spans="2:8">
      <c r="B773" t="s">
        <v>443</v>
      </c>
      <c r="C773" t="s">
        <v>272</v>
      </c>
      <c r="D773">
        <v>3279</v>
      </c>
      <c r="E773">
        <v>3280</v>
      </c>
      <c r="F773">
        <v>3275</v>
      </c>
      <c r="G773">
        <v>3278</v>
      </c>
      <c r="H773">
        <v>2800</v>
      </c>
    </row>
    <row r="774" spans="2:8">
      <c r="B774" t="s">
        <v>443</v>
      </c>
      <c r="C774" t="s">
        <v>273</v>
      </c>
      <c r="D774">
        <v>3279</v>
      </c>
      <c r="E774">
        <v>3280</v>
      </c>
      <c r="F774">
        <v>3272</v>
      </c>
      <c r="G774">
        <v>3274</v>
      </c>
      <c r="H774">
        <v>6300</v>
      </c>
    </row>
    <row r="775" spans="2:8">
      <c r="B775" t="s">
        <v>443</v>
      </c>
      <c r="C775" t="s">
        <v>274</v>
      </c>
      <c r="D775">
        <v>3277</v>
      </c>
      <c r="E775">
        <v>3281</v>
      </c>
      <c r="F775">
        <v>3277</v>
      </c>
      <c r="G775">
        <v>3281</v>
      </c>
      <c r="H775">
        <v>1900</v>
      </c>
    </row>
    <row r="776" spans="2:8">
      <c r="B776" t="s">
        <v>443</v>
      </c>
      <c r="C776" t="s">
        <v>275</v>
      </c>
      <c r="D776">
        <v>3282</v>
      </c>
      <c r="E776">
        <v>3288</v>
      </c>
      <c r="F776">
        <v>3282</v>
      </c>
      <c r="G776">
        <v>3285</v>
      </c>
      <c r="H776">
        <v>6500</v>
      </c>
    </row>
    <row r="777" spans="2:8">
      <c r="B777" t="s">
        <v>443</v>
      </c>
      <c r="C777" t="s">
        <v>276</v>
      </c>
      <c r="D777">
        <v>3285</v>
      </c>
      <c r="E777">
        <v>3286</v>
      </c>
      <c r="F777">
        <v>3285</v>
      </c>
      <c r="G777">
        <v>3286</v>
      </c>
      <c r="H777">
        <v>1300</v>
      </c>
    </row>
    <row r="778" spans="2:8">
      <c r="B778" t="s">
        <v>443</v>
      </c>
      <c r="C778" t="s">
        <v>277</v>
      </c>
      <c r="D778">
        <v>3285</v>
      </c>
      <c r="E778">
        <v>3288</v>
      </c>
      <c r="F778">
        <v>3285</v>
      </c>
      <c r="G778">
        <v>3286</v>
      </c>
      <c r="H778">
        <v>1000</v>
      </c>
    </row>
    <row r="779" spans="2:8">
      <c r="B779" t="s">
        <v>443</v>
      </c>
      <c r="C779" t="s">
        <v>278</v>
      </c>
      <c r="D779">
        <v>3284</v>
      </c>
      <c r="E779">
        <v>3284</v>
      </c>
      <c r="F779">
        <v>3284</v>
      </c>
      <c r="G779">
        <v>3284</v>
      </c>
      <c r="H779">
        <v>900</v>
      </c>
    </row>
    <row r="780" spans="2:8">
      <c r="B780" t="s">
        <v>443</v>
      </c>
      <c r="C780" t="s">
        <v>279</v>
      </c>
      <c r="D780">
        <v>3285</v>
      </c>
      <c r="E780">
        <v>3285</v>
      </c>
      <c r="F780">
        <v>3281</v>
      </c>
      <c r="G780">
        <v>3284</v>
      </c>
      <c r="H780">
        <v>2700</v>
      </c>
    </row>
    <row r="781" spans="2:8">
      <c r="B781" t="s">
        <v>443</v>
      </c>
      <c r="C781" t="s">
        <v>280</v>
      </c>
      <c r="D781">
        <v>3284</v>
      </c>
      <c r="E781">
        <v>3288</v>
      </c>
      <c r="F781">
        <v>3284</v>
      </c>
      <c r="G781">
        <v>3288</v>
      </c>
      <c r="H781">
        <v>3500</v>
      </c>
    </row>
    <row r="782" spans="2:8">
      <c r="B782" t="s">
        <v>443</v>
      </c>
      <c r="C782" t="s">
        <v>281</v>
      </c>
      <c r="D782">
        <v>3288</v>
      </c>
      <c r="E782">
        <v>3288</v>
      </c>
      <c r="F782">
        <v>3286</v>
      </c>
      <c r="G782">
        <v>3286</v>
      </c>
      <c r="H782">
        <v>1500</v>
      </c>
    </row>
    <row r="783" spans="2:8">
      <c r="B783" t="s">
        <v>443</v>
      </c>
      <c r="C783" t="s">
        <v>282</v>
      </c>
      <c r="D783">
        <v>3286</v>
      </c>
      <c r="E783">
        <v>3286</v>
      </c>
      <c r="F783">
        <v>3284</v>
      </c>
      <c r="G783">
        <v>3285</v>
      </c>
      <c r="H783">
        <v>2600</v>
      </c>
    </row>
    <row r="784" spans="2:8">
      <c r="B784" t="s">
        <v>443</v>
      </c>
      <c r="C784" t="s">
        <v>283</v>
      </c>
      <c r="D784">
        <v>3285</v>
      </c>
      <c r="E784">
        <v>3286</v>
      </c>
      <c r="F784">
        <v>3283</v>
      </c>
      <c r="G784">
        <v>3283</v>
      </c>
      <c r="H784">
        <v>5400</v>
      </c>
    </row>
    <row r="785" spans="2:8">
      <c r="B785" t="s">
        <v>443</v>
      </c>
      <c r="C785" t="s">
        <v>284</v>
      </c>
      <c r="D785">
        <v>3283</v>
      </c>
      <c r="E785">
        <v>3283</v>
      </c>
      <c r="F785">
        <v>3280</v>
      </c>
      <c r="G785">
        <v>3280</v>
      </c>
      <c r="H785">
        <v>8900</v>
      </c>
    </row>
    <row r="786" spans="2:8">
      <c r="B786" t="s">
        <v>443</v>
      </c>
      <c r="C786" t="s">
        <v>285</v>
      </c>
      <c r="D786">
        <v>3279</v>
      </c>
      <c r="E786">
        <v>3288</v>
      </c>
      <c r="F786">
        <v>3278</v>
      </c>
      <c r="G786">
        <v>3286</v>
      </c>
      <c r="H786">
        <v>9000</v>
      </c>
    </row>
    <row r="787" spans="2:8">
      <c r="B787" t="s">
        <v>443</v>
      </c>
      <c r="C787" t="s">
        <v>286</v>
      </c>
      <c r="D787">
        <v>3285</v>
      </c>
      <c r="E787">
        <v>3290</v>
      </c>
      <c r="F787">
        <v>3285</v>
      </c>
      <c r="G787">
        <v>3286</v>
      </c>
      <c r="H787">
        <v>6200</v>
      </c>
    </row>
    <row r="788" spans="2:8">
      <c r="B788" t="s">
        <v>443</v>
      </c>
      <c r="C788" t="s">
        <v>287</v>
      </c>
      <c r="D788">
        <v>3285</v>
      </c>
      <c r="E788">
        <v>3285</v>
      </c>
      <c r="F788">
        <v>3283</v>
      </c>
      <c r="G788">
        <v>3283</v>
      </c>
      <c r="H788">
        <v>600</v>
      </c>
    </row>
    <row r="789" spans="2:8">
      <c r="B789" t="s">
        <v>443</v>
      </c>
      <c r="C789" t="s">
        <v>288</v>
      </c>
      <c r="D789">
        <v>3285</v>
      </c>
      <c r="E789">
        <v>3288</v>
      </c>
      <c r="F789">
        <v>3285</v>
      </c>
      <c r="G789">
        <v>3288</v>
      </c>
      <c r="H789">
        <v>700</v>
      </c>
    </row>
    <row r="790" spans="2:8">
      <c r="B790" t="s">
        <v>443</v>
      </c>
      <c r="C790" t="s">
        <v>289</v>
      </c>
      <c r="D790">
        <v>3285</v>
      </c>
      <c r="E790">
        <v>3285</v>
      </c>
      <c r="F790">
        <v>3284</v>
      </c>
      <c r="G790">
        <v>3284</v>
      </c>
      <c r="H790">
        <v>500</v>
      </c>
    </row>
    <row r="791" spans="2:8">
      <c r="B791" t="s">
        <v>443</v>
      </c>
      <c r="C791" t="s">
        <v>290</v>
      </c>
      <c r="D791">
        <v>3284</v>
      </c>
      <c r="E791">
        <v>3285</v>
      </c>
      <c r="F791">
        <v>3283</v>
      </c>
      <c r="G791">
        <v>3285</v>
      </c>
      <c r="H791">
        <v>2300</v>
      </c>
    </row>
    <row r="792" spans="2:8">
      <c r="B792" t="s">
        <v>443</v>
      </c>
      <c r="C792" t="s">
        <v>291</v>
      </c>
      <c r="D792">
        <v>3285</v>
      </c>
      <c r="E792">
        <v>3286</v>
      </c>
      <c r="F792">
        <v>3284</v>
      </c>
      <c r="G792">
        <v>3285</v>
      </c>
      <c r="H792">
        <v>1000</v>
      </c>
    </row>
    <row r="793" spans="2:8">
      <c r="B793" t="s">
        <v>443</v>
      </c>
      <c r="C793" t="s">
        <v>292</v>
      </c>
      <c r="D793">
        <v>3286</v>
      </c>
      <c r="E793">
        <v>3289</v>
      </c>
      <c r="F793">
        <v>3286</v>
      </c>
      <c r="G793">
        <v>3289</v>
      </c>
      <c r="H793">
        <v>2400</v>
      </c>
    </row>
    <row r="794" spans="2:8">
      <c r="B794" t="s">
        <v>443</v>
      </c>
      <c r="C794" t="s">
        <v>293</v>
      </c>
      <c r="D794">
        <v>3289</v>
      </c>
      <c r="E794">
        <v>3289</v>
      </c>
      <c r="F794">
        <v>3286</v>
      </c>
      <c r="G794">
        <v>3286</v>
      </c>
      <c r="H794">
        <v>3200</v>
      </c>
    </row>
    <row r="795" spans="2:8">
      <c r="B795" t="s">
        <v>443</v>
      </c>
      <c r="C795" t="s">
        <v>294</v>
      </c>
      <c r="D795">
        <v>3287</v>
      </c>
      <c r="E795">
        <v>3287</v>
      </c>
      <c r="F795">
        <v>3277</v>
      </c>
      <c r="G795">
        <v>3278</v>
      </c>
      <c r="H795">
        <v>6400</v>
      </c>
    </row>
    <row r="796" spans="2:8">
      <c r="B796" t="s">
        <v>443</v>
      </c>
      <c r="C796" t="s">
        <v>295</v>
      </c>
      <c r="D796">
        <v>3278</v>
      </c>
      <c r="E796">
        <v>3278</v>
      </c>
      <c r="F796">
        <v>3273</v>
      </c>
      <c r="G796">
        <v>3273</v>
      </c>
      <c r="H796">
        <v>1800</v>
      </c>
    </row>
    <row r="797" spans="2:8">
      <c r="B797" t="s">
        <v>443</v>
      </c>
      <c r="C797" t="s">
        <v>296</v>
      </c>
      <c r="D797">
        <v>3273</v>
      </c>
      <c r="E797">
        <v>3275</v>
      </c>
      <c r="F797">
        <v>3272</v>
      </c>
      <c r="G797">
        <v>3275</v>
      </c>
      <c r="H797">
        <v>1500</v>
      </c>
    </row>
    <row r="798" spans="2:8">
      <c r="B798" t="s">
        <v>443</v>
      </c>
      <c r="C798" t="s">
        <v>297</v>
      </c>
      <c r="D798">
        <v>3275</v>
      </c>
      <c r="E798">
        <v>3280</v>
      </c>
      <c r="F798">
        <v>3275</v>
      </c>
      <c r="G798">
        <v>3280</v>
      </c>
      <c r="H798">
        <v>1900</v>
      </c>
    </row>
    <row r="799" spans="2:8">
      <c r="B799" t="s">
        <v>443</v>
      </c>
      <c r="C799" t="s">
        <v>298</v>
      </c>
      <c r="D799">
        <v>3280</v>
      </c>
      <c r="E799">
        <v>3280</v>
      </c>
      <c r="F799">
        <v>3279</v>
      </c>
      <c r="G799">
        <v>3279</v>
      </c>
      <c r="H799">
        <v>800</v>
      </c>
    </row>
    <row r="800" spans="2:8">
      <c r="B800" t="s">
        <v>443</v>
      </c>
      <c r="C800" t="s">
        <v>299</v>
      </c>
      <c r="D800">
        <v>3278</v>
      </c>
      <c r="E800">
        <v>3281</v>
      </c>
      <c r="F800">
        <v>3276</v>
      </c>
      <c r="G800">
        <v>3281</v>
      </c>
      <c r="H800">
        <v>2100</v>
      </c>
    </row>
    <row r="801" spans="2:8">
      <c r="B801" t="s">
        <v>443</v>
      </c>
      <c r="C801" t="s">
        <v>300</v>
      </c>
      <c r="D801">
        <v>3280</v>
      </c>
      <c r="E801">
        <v>3280</v>
      </c>
      <c r="F801">
        <v>3278</v>
      </c>
      <c r="G801">
        <v>3278</v>
      </c>
      <c r="H801">
        <v>1300</v>
      </c>
    </row>
    <row r="802" spans="2:8">
      <c r="B802" t="s">
        <v>443</v>
      </c>
      <c r="C802" t="s">
        <v>301</v>
      </c>
      <c r="D802">
        <v>3278</v>
      </c>
      <c r="E802">
        <v>3278</v>
      </c>
      <c r="F802">
        <v>3276</v>
      </c>
      <c r="G802">
        <v>3278</v>
      </c>
      <c r="H802">
        <v>2100</v>
      </c>
    </row>
    <row r="803" spans="2:8">
      <c r="B803" t="s">
        <v>443</v>
      </c>
      <c r="C803" t="s">
        <v>302</v>
      </c>
      <c r="D803">
        <v>3275</v>
      </c>
      <c r="E803">
        <v>3275</v>
      </c>
      <c r="F803">
        <v>3275</v>
      </c>
      <c r="G803">
        <v>3275</v>
      </c>
      <c r="H803">
        <v>100</v>
      </c>
    </row>
    <row r="804" spans="2:8">
      <c r="B804" t="s">
        <v>443</v>
      </c>
      <c r="C804" t="s">
        <v>303</v>
      </c>
      <c r="D804">
        <v>3276</v>
      </c>
      <c r="E804">
        <v>3276</v>
      </c>
      <c r="F804">
        <v>3273</v>
      </c>
      <c r="G804">
        <v>3274</v>
      </c>
      <c r="H804">
        <v>1000</v>
      </c>
    </row>
    <row r="805" spans="2:8">
      <c r="B805" t="s">
        <v>443</v>
      </c>
      <c r="C805" t="s">
        <v>304</v>
      </c>
      <c r="D805">
        <v>3273</v>
      </c>
      <c r="E805">
        <v>3276</v>
      </c>
      <c r="F805">
        <v>3273</v>
      </c>
      <c r="G805">
        <v>3274</v>
      </c>
      <c r="H805">
        <v>2600</v>
      </c>
    </row>
    <row r="806" spans="2:8">
      <c r="B806" t="s">
        <v>443</v>
      </c>
      <c r="C806" t="s">
        <v>305</v>
      </c>
      <c r="D806">
        <v>3274</v>
      </c>
      <c r="E806">
        <v>3276</v>
      </c>
      <c r="F806">
        <v>3274</v>
      </c>
      <c r="G806">
        <v>3274</v>
      </c>
      <c r="H806">
        <v>1300</v>
      </c>
    </row>
    <row r="807" spans="2:8">
      <c r="B807" t="s">
        <v>443</v>
      </c>
      <c r="C807" t="s">
        <v>306</v>
      </c>
      <c r="D807">
        <v>3274</v>
      </c>
      <c r="E807">
        <v>3274</v>
      </c>
      <c r="F807">
        <v>3271</v>
      </c>
      <c r="G807">
        <v>3271</v>
      </c>
      <c r="H807">
        <v>2800</v>
      </c>
    </row>
    <row r="808" spans="2:8">
      <c r="B808" t="s">
        <v>443</v>
      </c>
      <c r="C808" t="s">
        <v>307</v>
      </c>
      <c r="D808">
        <v>3270</v>
      </c>
      <c r="E808">
        <v>3271</v>
      </c>
      <c r="F808">
        <v>3268</v>
      </c>
      <c r="G808">
        <v>3271</v>
      </c>
      <c r="H808">
        <v>3300</v>
      </c>
    </row>
    <row r="809" spans="2:8">
      <c r="B809" t="s">
        <v>443</v>
      </c>
      <c r="C809" t="s">
        <v>308</v>
      </c>
      <c r="D809">
        <v>3269</v>
      </c>
      <c r="E809">
        <v>3271</v>
      </c>
      <c r="F809">
        <v>3269</v>
      </c>
      <c r="G809">
        <v>3270</v>
      </c>
      <c r="H809">
        <v>900</v>
      </c>
    </row>
    <row r="810" spans="2:8">
      <c r="B810" t="s">
        <v>443</v>
      </c>
      <c r="C810" t="s">
        <v>309</v>
      </c>
      <c r="D810">
        <v>3271</v>
      </c>
      <c r="E810">
        <v>3271</v>
      </c>
      <c r="F810">
        <v>3270</v>
      </c>
      <c r="G810">
        <v>3270</v>
      </c>
      <c r="H810">
        <v>600</v>
      </c>
    </row>
    <row r="811" spans="2:8">
      <c r="B811" t="s">
        <v>443</v>
      </c>
      <c r="C811" t="s">
        <v>310</v>
      </c>
      <c r="D811">
        <v>3269</v>
      </c>
      <c r="E811">
        <v>3269</v>
      </c>
      <c r="F811">
        <v>3268</v>
      </c>
      <c r="G811">
        <v>3268</v>
      </c>
      <c r="H811">
        <v>1800</v>
      </c>
    </row>
    <row r="812" spans="2:8">
      <c r="B812" t="s">
        <v>443</v>
      </c>
      <c r="C812" t="s">
        <v>311</v>
      </c>
      <c r="D812">
        <v>3268</v>
      </c>
      <c r="E812">
        <v>3269</v>
      </c>
      <c r="F812">
        <v>3267</v>
      </c>
      <c r="G812">
        <v>3268</v>
      </c>
      <c r="H812">
        <v>3300</v>
      </c>
    </row>
    <row r="813" spans="2:8">
      <c r="B813" t="s">
        <v>443</v>
      </c>
      <c r="C813" t="s">
        <v>312</v>
      </c>
      <c r="D813">
        <v>3270</v>
      </c>
      <c r="E813">
        <v>3270</v>
      </c>
      <c r="F813">
        <v>3269</v>
      </c>
      <c r="G813">
        <v>3269</v>
      </c>
      <c r="H813">
        <v>800</v>
      </c>
    </row>
    <row r="814" spans="2:8">
      <c r="B814" t="s">
        <v>443</v>
      </c>
      <c r="C814" t="s">
        <v>313</v>
      </c>
      <c r="D814">
        <v>3270</v>
      </c>
      <c r="E814">
        <v>3270</v>
      </c>
      <c r="F814">
        <v>3269</v>
      </c>
      <c r="G814">
        <v>3270</v>
      </c>
      <c r="H814">
        <v>700</v>
      </c>
    </row>
    <row r="815" spans="2:8">
      <c r="B815" t="s">
        <v>443</v>
      </c>
      <c r="C815" t="s">
        <v>314</v>
      </c>
      <c r="D815">
        <v>3271</v>
      </c>
      <c r="E815">
        <v>3272</v>
      </c>
      <c r="F815">
        <v>3271</v>
      </c>
      <c r="G815">
        <v>3271</v>
      </c>
      <c r="H815">
        <v>1200</v>
      </c>
    </row>
    <row r="816" spans="2:8">
      <c r="B816" t="s">
        <v>443</v>
      </c>
      <c r="C816" t="s">
        <v>315</v>
      </c>
      <c r="D816">
        <v>3272</v>
      </c>
      <c r="E816">
        <v>3273</v>
      </c>
      <c r="F816">
        <v>3269</v>
      </c>
      <c r="G816">
        <v>3271</v>
      </c>
      <c r="H816">
        <v>1700</v>
      </c>
    </row>
    <row r="817" spans="2:8">
      <c r="B817" t="s">
        <v>443</v>
      </c>
      <c r="C817" t="s">
        <v>316</v>
      </c>
      <c r="D817">
        <v>3272</v>
      </c>
      <c r="E817">
        <v>3272</v>
      </c>
      <c r="F817">
        <v>3272</v>
      </c>
      <c r="G817">
        <v>3272</v>
      </c>
      <c r="H817">
        <v>400</v>
      </c>
    </row>
    <row r="818" spans="2:8">
      <c r="B818" t="s">
        <v>443</v>
      </c>
      <c r="C818" t="s">
        <v>317</v>
      </c>
      <c r="D818">
        <v>3272</v>
      </c>
      <c r="E818">
        <v>3272</v>
      </c>
      <c r="F818">
        <v>3260</v>
      </c>
      <c r="G818">
        <v>3265</v>
      </c>
      <c r="H818">
        <v>25300</v>
      </c>
    </row>
    <row r="819" spans="2:8">
      <c r="B819" t="s">
        <v>443</v>
      </c>
      <c r="C819" t="s">
        <v>318</v>
      </c>
      <c r="D819">
        <v>3266</v>
      </c>
      <c r="E819">
        <v>3268</v>
      </c>
      <c r="F819">
        <v>3266</v>
      </c>
      <c r="G819">
        <v>3268</v>
      </c>
      <c r="H819">
        <v>3000</v>
      </c>
    </row>
    <row r="820" spans="2:8">
      <c r="B820" t="s">
        <v>443</v>
      </c>
      <c r="C820" t="s">
        <v>319</v>
      </c>
      <c r="D820">
        <v>3268</v>
      </c>
      <c r="E820">
        <v>3268</v>
      </c>
      <c r="F820">
        <v>3264</v>
      </c>
      <c r="G820">
        <v>3266</v>
      </c>
      <c r="H820">
        <v>2300</v>
      </c>
    </row>
    <row r="821" spans="2:8">
      <c r="B821" t="s">
        <v>443</v>
      </c>
      <c r="C821" t="s">
        <v>320</v>
      </c>
      <c r="D821">
        <v>3264</v>
      </c>
      <c r="E821">
        <v>3270</v>
      </c>
      <c r="F821">
        <v>3264</v>
      </c>
      <c r="G821">
        <v>3270</v>
      </c>
      <c r="H821">
        <v>3600</v>
      </c>
    </row>
    <row r="822" spans="2:8">
      <c r="B822" t="s">
        <v>443</v>
      </c>
      <c r="C822" t="s">
        <v>321</v>
      </c>
      <c r="D822">
        <v>3268</v>
      </c>
      <c r="E822">
        <v>3271</v>
      </c>
      <c r="F822">
        <v>3268</v>
      </c>
      <c r="G822">
        <v>3271</v>
      </c>
      <c r="H822">
        <v>600</v>
      </c>
    </row>
    <row r="823" spans="2:8">
      <c r="B823" t="s">
        <v>443</v>
      </c>
      <c r="C823" t="s">
        <v>322</v>
      </c>
      <c r="D823">
        <v>3269</v>
      </c>
      <c r="E823">
        <v>3272</v>
      </c>
      <c r="F823">
        <v>3269</v>
      </c>
      <c r="G823">
        <v>3272</v>
      </c>
      <c r="H823">
        <v>3500</v>
      </c>
    </row>
    <row r="824" spans="2:8">
      <c r="B824" t="s">
        <v>443</v>
      </c>
      <c r="C824" t="s">
        <v>323</v>
      </c>
      <c r="D824">
        <v>3273</v>
      </c>
      <c r="E824">
        <v>3275</v>
      </c>
      <c r="F824">
        <v>3273</v>
      </c>
      <c r="G824">
        <v>3273</v>
      </c>
      <c r="H824">
        <v>2200</v>
      </c>
    </row>
    <row r="825" spans="2:8">
      <c r="B825" t="s">
        <v>443</v>
      </c>
      <c r="C825" t="s">
        <v>324</v>
      </c>
      <c r="D825">
        <v>3274</v>
      </c>
      <c r="E825">
        <v>3276</v>
      </c>
      <c r="F825">
        <v>3274</v>
      </c>
      <c r="G825">
        <v>3276</v>
      </c>
      <c r="H825">
        <v>5300</v>
      </c>
    </row>
    <row r="826" spans="2:8">
      <c r="B826" t="s">
        <v>443</v>
      </c>
      <c r="C826" t="s">
        <v>325</v>
      </c>
      <c r="D826">
        <v>3276</v>
      </c>
      <c r="E826">
        <v>3277</v>
      </c>
      <c r="F826">
        <v>3273</v>
      </c>
      <c r="G826">
        <v>3277</v>
      </c>
      <c r="H826">
        <v>2900</v>
      </c>
    </row>
    <row r="827" spans="2:8">
      <c r="B827" t="s">
        <v>443</v>
      </c>
      <c r="C827" t="s">
        <v>326</v>
      </c>
      <c r="D827">
        <v>3277</v>
      </c>
      <c r="E827">
        <v>3281</v>
      </c>
      <c r="F827">
        <v>3277</v>
      </c>
      <c r="G827">
        <v>3279</v>
      </c>
      <c r="H827">
        <v>4500</v>
      </c>
    </row>
    <row r="828" spans="2:8">
      <c r="B828" t="s">
        <v>443</v>
      </c>
      <c r="C828" t="s">
        <v>327</v>
      </c>
      <c r="D828">
        <v>3278</v>
      </c>
      <c r="E828">
        <v>3278</v>
      </c>
      <c r="F828">
        <v>3274</v>
      </c>
      <c r="G828">
        <v>3277</v>
      </c>
      <c r="H828">
        <v>2700</v>
      </c>
    </row>
    <row r="829" spans="2:8">
      <c r="B829" t="s">
        <v>443</v>
      </c>
      <c r="C829" t="s">
        <v>328</v>
      </c>
      <c r="D829">
        <v>3276</v>
      </c>
      <c r="E829">
        <v>3276</v>
      </c>
      <c r="F829">
        <v>3273</v>
      </c>
      <c r="G829">
        <v>3274</v>
      </c>
      <c r="H829">
        <v>2800</v>
      </c>
    </row>
    <row r="830" spans="2:8">
      <c r="B830" t="s">
        <v>443</v>
      </c>
      <c r="C830" t="s">
        <v>329</v>
      </c>
      <c r="D830">
        <v>3274</v>
      </c>
      <c r="E830">
        <v>3274</v>
      </c>
      <c r="F830">
        <v>3271</v>
      </c>
      <c r="G830">
        <v>3272</v>
      </c>
      <c r="H830">
        <v>2600</v>
      </c>
    </row>
    <row r="831" spans="2:8">
      <c r="B831" t="s">
        <v>443</v>
      </c>
      <c r="C831" t="s">
        <v>330</v>
      </c>
      <c r="D831">
        <v>3273</v>
      </c>
      <c r="E831">
        <v>3274</v>
      </c>
      <c r="F831">
        <v>3273</v>
      </c>
      <c r="G831">
        <v>3273</v>
      </c>
      <c r="H831">
        <v>700</v>
      </c>
    </row>
    <row r="832" spans="2:8">
      <c r="B832" t="s">
        <v>443</v>
      </c>
      <c r="C832" t="s">
        <v>331</v>
      </c>
      <c r="D832">
        <v>3274</v>
      </c>
      <c r="E832">
        <v>3278</v>
      </c>
      <c r="F832">
        <v>3273</v>
      </c>
      <c r="G832">
        <v>3278</v>
      </c>
      <c r="H832">
        <v>3600</v>
      </c>
    </row>
    <row r="833" spans="2:8">
      <c r="B833" t="s">
        <v>443</v>
      </c>
      <c r="C833" t="s">
        <v>332</v>
      </c>
      <c r="D833">
        <v>3278</v>
      </c>
      <c r="E833">
        <v>3280</v>
      </c>
      <c r="F833">
        <v>3278</v>
      </c>
      <c r="G833">
        <v>3280</v>
      </c>
      <c r="H833">
        <v>1000</v>
      </c>
    </row>
    <row r="834" spans="2:8">
      <c r="B834" t="s">
        <v>443</v>
      </c>
      <c r="C834" t="s">
        <v>333</v>
      </c>
      <c r="D834">
        <v>3279</v>
      </c>
      <c r="E834">
        <v>3280</v>
      </c>
      <c r="F834">
        <v>3275</v>
      </c>
      <c r="G834">
        <v>3280</v>
      </c>
      <c r="H834">
        <v>10600</v>
      </c>
    </row>
    <row r="835" spans="2:8">
      <c r="B835" t="s">
        <v>443</v>
      </c>
      <c r="C835" t="s">
        <v>334</v>
      </c>
      <c r="D835">
        <v>3279</v>
      </c>
      <c r="E835">
        <v>3279</v>
      </c>
      <c r="F835">
        <v>3276</v>
      </c>
      <c r="G835">
        <v>3278</v>
      </c>
      <c r="H835">
        <v>11100</v>
      </c>
    </row>
    <row r="836" spans="2:8">
      <c r="B836" t="s">
        <v>443</v>
      </c>
      <c r="C836" t="s">
        <v>335</v>
      </c>
      <c r="D836">
        <v>3278</v>
      </c>
      <c r="E836">
        <v>3278</v>
      </c>
      <c r="F836">
        <v>3275</v>
      </c>
      <c r="G836">
        <v>3278</v>
      </c>
      <c r="H836">
        <v>2200</v>
      </c>
    </row>
    <row r="837" spans="2:8">
      <c r="B837" t="s">
        <v>443</v>
      </c>
      <c r="C837" t="s">
        <v>336</v>
      </c>
      <c r="D837">
        <v>3276</v>
      </c>
      <c r="E837">
        <v>3280</v>
      </c>
      <c r="F837">
        <v>3276</v>
      </c>
      <c r="G837">
        <v>3279</v>
      </c>
      <c r="H837">
        <v>3800</v>
      </c>
    </row>
    <row r="838" spans="2:8">
      <c r="B838" t="s">
        <v>443</v>
      </c>
      <c r="C838" t="s">
        <v>337</v>
      </c>
      <c r="D838">
        <v>3279</v>
      </c>
      <c r="E838">
        <v>3279</v>
      </c>
      <c r="F838">
        <v>3275</v>
      </c>
      <c r="G838">
        <v>3275</v>
      </c>
      <c r="H838">
        <v>1500</v>
      </c>
    </row>
    <row r="839" spans="2:8">
      <c r="B839" t="s">
        <v>443</v>
      </c>
      <c r="C839" t="s">
        <v>338</v>
      </c>
      <c r="D839">
        <v>3275</v>
      </c>
      <c r="E839">
        <v>3275</v>
      </c>
      <c r="F839">
        <v>3274</v>
      </c>
      <c r="G839">
        <v>3275</v>
      </c>
      <c r="H839">
        <v>1300</v>
      </c>
    </row>
    <row r="840" spans="2:8">
      <c r="B840" t="s">
        <v>443</v>
      </c>
      <c r="C840" t="s">
        <v>339</v>
      </c>
      <c r="D840">
        <v>3276</v>
      </c>
      <c r="E840">
        <v>3279</v>
      </c>
      <c r="F840">
        <v>3276</v>
      </c>
      <c r="G840">
        <v>3277</v>
      </c>
      <c r="H840">
        <v>1800</v>
      </c>
    </row>
    <row r="841" spans="2:8">
      <c r="B841" t="s">
        <v>443</v>
      </c>
      <c r="C841" t="s">
        <v>340</v>
      </c>
      <c r="D841">
        <v>3277</v>
      </c>
      <c r="E841">
        <v>3279</v>
      </c>
      <c r="F841">
        <v>3277</v>
      </c>
      <c r="G841">
        <v>3278</v>
      </c>
      <c r="H841">
        <v>1300</v>
      </c>
    </row>
    <row r="842" spans="2:8">
      <c r="B842" t="s">
        <v>443</v>
      </c>
      <c r="C842" t="s">
        <v>341</v>
      </c>
      <c r="D842">
        <v>3279</v>
      </c>
      <c r="E842">
        <v>3279</v>
      </c>
      <c r="F842">
        <v>3278</v>
      </c>
      <c r="G842">
        <v>3279</v>
      </c>
      <c r="H842">
        <v>400</v>
      </c>
    </row>
    <row r="843" spans="2:8">
      <c r="B843" t="s">
        <v>443</v>
      </c>
      <c r="C843" t="s">
        <v>342</v>
      </c>
      <c r="D843">
        <v>3279</v>
      </c>
      <c r="E843">
        <v>3281</v>
      </c>
      <c r="F843">
        <v>3278</v>
      </c>
      <c r="G843">
        <v>3279</v>
      </c>
      <c r="H843">
        <v>4600</v>
      </c>
    </row>
    <row r="844" spans="2:8">
      <c r="B844" t="s">
        <v>443</v>
      </c>
      <c r="C844" t="s">
        <v>343</v>
      </c>
      <c r="D844">
        <v>3279</v>
      </c>
      <c r="E844">
        <v>3279</v>
      </c>
      <c r="F844">
        <v>3277</v>
      </c>
      <c r="G844">
        <v>3279</v>
      </c>
      <c r="H844">
        <v>2500</v>
      </c>
    </row>
    <row r="845" spans="2:8">
      <c r="B845" t="s">
        <v>443</v>
      </c>
      <c r="C845" t="s">
        <v>344</v>
      </c>
      <c r="D845">
        <v>3280</v>
      </c>
      <c r="E845">
        <v>3280</v>
      </c>
      <c r="F845">
        <v>3279</v>
      </c>
      <c r="G845">
        <v>3280</v>
      </c>
      <c r="H845">
        <v>1300</v>
      </c>
    </row>
    <row r="846" spans="2:8">
      <c r="B846" t="s">
        <v>443</v>
      </c>
      <c r="C846" t="s">
        <v>345</v>
      </c>
      <c r="D846">
        <v>3280</v>
      </c>
      <c r="E846">
        <v>3280</v>
      </c>
      <c r="F846">
        <v>3280</v>
      </c>
      <c r="G846">
        <v>3280</v>
      </c>
      <c r="H846">
        <v>300</v>
      </c>
    </row>
    <row r="847" spans="2:8">
      <c r="B847" t="s">
        <v>443</v>
      </c>
      <c r="C847" t="s">
        <v>346</v>
      </c>
      <c r="D847">
        <v>3279</v>
      </c>
      <c r="E847">
        <v>3279</v>
      </c>
      <c r="F847">
        <v>3277</v>
      </c>
      <c r="G847">
        <v>3277</v>
      </c>
      <c r="H847">
        <v>2200</v>
      </c>
    </row>
    <row r="848" spans="2:8">
      <c r="B848" t="s">
        <v>443</v>
      </c>
      <c r="C848" t="s">
        <v>347</v>
      </c>
      <c r="D848">
        <v>3277</v>
      </c>
      <c r="E848">
        <v>3277</v>
      </c>
      <c r="F848">
        <v>3277</v>
      </c>
      <c r="G848">
        <v>3277</v>
      </c>
      <c r="H848">
        <v>1400</v>
      </c>
    </row>
    <row r="849" spans="2:8">
      <c r="B849" t="s">
        <v>443</v>
      </c>
      <c r="C849" t="s">
        <v>348</v>
      </c>
      <c r="D849">
        <v>3276</v>
      </c>
      <c r="E849">
        <v>3276</v>
      </c>
      <c r="F849">
        <v>3274</v>
      </c>
      <c r="G849">
        <v>3274</v>
      </c>
      <c r="H849">
        <v>1700</v>
      </c>
    </row>
    <row r="850" spans="2:8">
      <c r="B850" t="s">
        <v>443</v>
      </c>
      <c r="C850" t="s">
        <v>349</v>
      </c>
      <c r="D850">
        <v>3276</v>
      </c>
      <c r="E850">
        <v>3276</v>
      </c>
      <c r="F850">
        <v>3276</v>
      </c>
      <c r="G850">
        <v>3276</v>
      </c>
      <c r="H850">
        <v>700</v>
      </c>
    </row>
    <row r="851" spans="2:8">
      <c r="B851" t="s">
        <v>443</v>
      </c>
      <c r="C851" t="s">
        <v>350</v>
      </c>
      <c r="D851">
        <v>3276</v>
      </c>
      <c r="E851">
        <v>3279</v>
      </c>
      <c r="F851">
        <v>3276</v>
      </c>
      <c r="G851">
        <v>3279</v>
      </c>
      <c r="H851">
        <v>2000</v>
      </c>
    </row>
    <row r="852" spans="2:8">
      <c r="B852" t="s">
        <v>443</v>
      </c>
      <c r="C852" t="s">
        <v>351</v>
      </c>
      <c r="D852">
        <v>3279</v>
      </c>
      <c r="E852">
        <v>3279</v>
      </c>
      <c r="F852">
        <v>3277</v>
      </c>
      <c r="G852">
        <v>3278</v>
      </c>
      <c r="H852">
        <v>2400</v>
      </c>
    </row>
    <row r="853" spans="2:8">
      <c r="B853" t="s">
        <v>443</v>
      </c>
      <c r="C853" t="s">
        <v>352</v>
      </c>
      <c r="D853">
        <v>3278</v>
      </c>
      <c r="E853">
        <v>3279</v>
      </c>
      <c r="F853">
        <v>3277</v>
      </c>
      <c r="G853">
        <v>3278</v>
      </c>
      <c r="H853">
        <v>700</v>
      </c>
    </row>
    <row r="854" spans="2:8">
      <c r="B854" t="s">
        <v>443</v>
      </c>
      <c r="C854" t="s">
        <v>353</v>
      </c>
      <c r="D854">
        <v>3278</v>
      </c>
      <c r="E854">
        <v>3279</v>
      </c>
      <c r="F854">
        <v>3278</v>
      </c>
      <c r="G854">
        <v>3278</v>
      </c>
      <c r="H854">
        <v>2600</v>
      </c>
    </row>
    <row r="855" spans="2:8">
      <c r="B855" t="s">
        <v>443</v>
      </c>
      <c r="C855" t="s">
        <v>354</v>
      </c>
      <c r="D855">
        <v>3277</v>
      </c>
      <c r="E855">
        <v>3279</v>
      </c>
      <c r="F855">
        <v>3277</v>
      </c>
      <c r="G855">
        <v>3278</v>
      </c>
      <c r="H855">
        <v>900</v>
      </c>
    </row>
    <row r="856" spans="2:8">
      <c r="B856" t="s">
        <v>443</v>
      </c>
      <c r="C856" t="s">
        <v>355</v>
      </c>
      <c r="D856">
        <v>3277</v>
      </c>
      <c r="E856">
        <v>3278</v>
      </c>
      <c r="F856">
        <v>3277</v>
      </c>
      <c r="G856">
        <v>3278</v>
      </c>
      <c r="H856">
        <v>200</v>
      </c>
    </row>
    <row r="857" spans="2:8">
      <c r="B857" t="s">
        <v>443</v>
      </c>
      <c r="C857" t="s">
        <v>356</v>
      </c>
      <c r="D857">
        <v>3278</v>
      </c>
      <c r="E857">
        <v>3279</v>
      </c>
      <c r="F857">
        <v>3278</v>
      </c>
      <c r="G857">
        <v>3279</v>
      </c>
      <c r="H857">
        <v>800</v>
      </c>
    </row>
    <row r="858" spans="2:8">
      <c r="B858" t="s">
        <v>443</v>
      </c>
      <c r="C858" t="s">
        <v>357</v>
      </c>
      <c r="D858">
        <v>3279</v>
      </c>
      <c r="E858">
        <v>3279</v>
      </c>
      <c r="F858">
        <v>3279</v>
      </c>
      <c r="G858">
        <v>3279</v>
      </c>
      <c r="H858">
        <v>800</v>
      </c>
    </row>
    <row r="859" spans="2:8">
      <c r="B859" t="s">
        <v>443</v>
      </c>
      <c r="C859" t="s">
        <v>358</v>
      </c>
      <c r="D859">
        <v>3278</v>
      </c>
      <c r="E859">
        <v>3278</v>
      </c>
      <c r="F859">
        <v>3277</v>
      </c>
      <c r="G859">
        <v>3277</v>
      </c>
      <c r="H859">
        <v>1200</v>
      </c>
    </row>
    <row r="860" spans="2:8">
      <c r="B860" t="s">
        <v>443</v>
      </c>
      <c r="C860" t="s">
        <v>359</v>
      </c>
      <c r="D860">
        <v>3277</v>
      </c>
      <c r="E860">
        <v>3279</v>
      </c>
      <c r="F860">
        <v>3276</v>
      </c>
      <c r="G860">
        <v>3279</v>
      </c>
      <c r="H860">
        <v>3000</v>
      </c>
    </row>
    <row r="861" spans="2:8">
      <c r="B861" t="s">
        <v>443</v>
      </c>
      <c r="C861" t="s">
        <v>360</v>
      </c>
      <c r="D861">
        <v>3279</v>
      </c>
      <c r="E861">
        <v>3280</v>
      </c>
      <c r="F861">
        <v>3275</v>
      </c>
      <c r="G861">
        <v>3279</v>
      </c>
      <c r="H861">
        <v>8900</v>
      </c>
    </row>
    <row r="862" spans="2:8">
      <c r="B862" t="s">
        <v>443</v>
      </c>
      <c r="C862" t="s">
        <v>361</v>
      </c>
      <c r="D862">
        <v>3281</v>
      </c>
      <c r="E862">
        <v>3303</v>
      </c>
      <c r="F862">
        <v>3281</v>
      </c>
      <c r="G862">
        <v>3302</v>
      </c>
      <c r="H862">
        <v>21600</v>
      </c>
    </row>
    <row r="863" spans="2:8">
      <c r="B863" t="s">
        <v>443</v>
      </c>
      <c r="C863" t="s">
        <v>362</v>
      </c>
      <c r="D863">
        <v>3301</v>
      </c>
      <c r="E863">
        <v>3302</v>
      </c>
      <c r="F863">
        <v>3299</v>
      </c>
      <c r="G863">
        <v>3302</v>
      </c>
      <c r="H863">
        <v>4900</v>
      </c>
    </row>
    <row r="864" spans="2:8">
      <c r="B864" t="s">
        <v>443</v>
      </c>
      <c r="C864" t="s">
        <v>363</v>
      </c>
      <c r="D864">
        <v>3301</v>
      </c>
      <c r="E864">
        <v>3306</v>
      </c>
      <c r="F864">
        <v>3301</v>
      </c>
      <c r="G864">
        <v>3305</v>
      </c>
      <c r="H864">
        <v>8200</v>
      </c>
    </row>
    <row r="865" spans="2:8">
      <c r="B865" t="s">
        <v>443</v>
      </c>
      <c r="C865" t="s">
        <v>364</v>
      </c>
      <c r="D865">
        <v>3305</v>
      </c>
      <c r="E865">
        <v>3309</v>
      </c>
      <c r="F865">
        <v>3303</v>
      </c>
      <c r="G865">
        <v>3308</v>
      </c>
      <c r="H865">
        <v>7900</v>
      </c>
    </row>
    <row r="866" spans="2:8">
      <c r="B866" t="s">
        <v>443</v>
      </c>
      <c r="C866" t="s">
        <v>365</v>
      </c>
      <c r="D866">
        <v>3308</v>
      </c>
      <c r="E866">
        <v>3308</v>
      </c>
      <c r="F866">
        <v>3302</v>
      </c>
      <c r="G866">
        <v>3303</v>
      </c>
      <c r="H866">
        <v>3800</v>
      </c>
    </row>
    <row r="867" spans="2:8">
      <c r="B867" t="s">
        <v>443</v>
      </c>
      <c r="C867" t="s">
        <v>366</v>
      </c>
      <c r="D867">
        <v>3303</v>
      </c>
      <c r="E867">
        <v>3303</v>
      </c>
      <c r="F867">
        <v>3299</v>
      </c>
      <c r="G867">
        <v>3301</v>
      </c>
      <c r="H867">
        <v>2100</v>
      </c>
    </row>
    <row r="868" spans="2:8">
      <c r="B868" t="s">
        <v>443</v>
      </c>
      <c r="C868" t="s">
        <v>367</v>
      </c>
      <c r="D868">
        <v>3300</v>
      </c>
      <c r="E868">
        <v>3301</v>
      </c>
      <c r="F868">
        <v>3300</v>
      </c>
      <c r="G868">
        <v>3301</v>
      </c>
      <c r="H868">
        <v>300</v>
      </c>
    </row>
    <row r="869" spans="2:8">
      <c r="B869" t="s">
        <v>443</v>
      </c>
      <c r="C869" t="s">
        <v>368</v>
      </c>
      <c r="D869">
        <v>3301</v>
      </c>
      <c r="E869">
        <v>3302</v>
      </c>
      <c r="F869">
        <v>3301</v>
      </c>
      <c r="G869">
        <v>3301</v>
      </c>
      <c r="H869">
        <v>500</v>
      </c>
    </row>
    <row r="870" spans="2:8">
      <c r="B870" t="s">
        <v>443</v>
      </c>
      <c r="C870" t="s">
        <v>369</v>
      </c>
      <c r="D870">
        <v>3300</v>
      </c>
      <c r="E870">
        <v>3305</v>
      </c>
      <c r="F870">
        <v>3300</v>
      </c>
      <c r="G870">
        <v>3305</v>
      </c>
      <c r="H870">
        <v>4800</v>
      </c>
    </row>
    <row r="871" spans="2:8">
      <c r="B871" t="s">
        <v>443</v>
      </c>
      <c r="C871" t="s">
        <v>370</v>
      </c>
      <c r="D871">
        <v>3305</v>
      </c>
      <c r="E871">
        <v>3305</v>
      </c>
      <c r="F871">
        <v>3302</v>
      </c>
      <c r="G871">
        <v>3302</v>
      </c>
      <c r="H871">
        <v>1500</v>
      </c>
    </row>
    <row r="872" spans="2:8">
      <c r="B872" t="s">
        <v>443</v>
      </c>
      <c r="C872" t="s">
        <v>371</v>
      </c>
      <c r="D872">
        <v>3301</v>
      </c>
      <c r="E872">
        <v>3302</v>
      </c>
      <c r="F872">
        <v>3301</v>
      </c>
      <c r="G872">
        <v>3301</v>
      </c>
      <c r="H872">
        <v>1100</v>
      </c>
    </row>
    <row r="873" spans="2:8">
      <c r="B873" t="s">
        <v>443</v>
      </c>
      <c r="C873" t="s">
        <v>372</v>
      </c>
      <c r="D873">
        <v>3300</v>
      </c>
      <c r="E873">
        <v>3301</v>
      </c>
      <c r="F873">
        <v>3297</v>
      </c>
      <c r="G873">
        <v>3298</v>
      </c>
      <c r="H873">
        <v>5400</v>
      </c>
    </row>
    <row r="874" spans="2:8">
      <c r="B874" t="s">
        <v>443</v>
      </c>
      <c r="C874" t="s">
        <v>373</v>
      </c>
      <c r="D874">
        <v>3299</v>
      </c>
      <c r="E874">
        <v>3299</v>
      </c>
      <c r="F874">
        <v>3299</v>
      </c>
      <c r="G874">
        <v>3299</v>
      </c>
      <c r="H874">
        <v>500</v>
      </c>
    </row>
    <row r="875" spans="2:8">
      <c r="B875" t="s">
        <v>443</v>
      </c>
      <c r="C875" t="s">
        <v>374</v>
      </c>
      <c r="D875">
        <v>3298</v>
      </c>
      <c r="E875">
        <v>3298</v>
      </c>
      <c r="F875">
        <v>3298</v>
      </c>
      <c r="G875">
        <v>3298</v>
      </c>
      <c r="H875">
        <v>500</v>
      </c>
    </row>
    <row r="876" spans="2:8">
      <c r="B876" t="s">
        <v>443</v>
      </c>
      <c r="C876" t="s">
        <v>375</v>
      </c>
      <c r="D876">
        <v>3297</v>
      </c>
      <c r="E876">
        <v>3297</v>
      </c>
      <c r="F876">
        <v>3297</v>
      </c>
      <c r="G876">
        <v>3297</v>
      </c>
      <c r="H876">
        <v>600</v>
      </c>
    </row>
    <row r="877" spans="2:8">
      <c r="B877" t="s">
        <v>443</v>
      </c>
      <c r="C877" t="s">
        <v>376</v>
      </c>
      <c r="D877">
        <v>3298</v>
      </c>
      <c r="E877">
        <v>3298</v>
      </c>
      <c r="F877">
        <v>3296</v>
      </c>
      <c r="G877">
        <v>3297</v>
      </c>
      <c r="H877">
        <v>1700</v>
      </c>
    </row>
    <row r="878" spans="2:8">
      <c r="B878" t="s">
        <v>443</v>
      </c>
      <c r="C878" t="s">
        <v>377</v>
      </c>
      <c r="D878">
        <v>3298</v>
      </c>
      <c r="E878">
        <v>3298</v>
      </c>
      <c r="F878">
        <v>3297</v>
      </c>
      <c r="G878">
        <v>3297</v>
      </c>
      <c r="H878">
        <v>1200</v>
      </c>
    </row>
    <row r="879" spans="2:8">
      <c r="B879" t="s">
        <v>443</v>
      </c>
      <c r="C879" t="s">
        <v>378</v>
      </c>
      <c r="D879">
        <v>3297</v>
      </c>
      <c r="E879">
        <v>3299</v>
      </c>
      <c r="F879">
        <v>3296</v>
      </c>
      <c r="G879">
        <v>3297</v>
      </c>
      <c r="H879">
        <v>4000</v>
      </c>
    </row>
    <row r="880" spans="2:8">
      <c r="B880" t="s">
        <v>443</v>
      </c>
      <c r="C880" t="s">
        <v>379</v>
      </c>
      <c r="D880">
        <v>3297</v>
      </c>
      <c r="E880">
        <v>3299</v>
      </c>
      <c r="F880">
        <v>3297</v>
      </c>
      <c r="G880">
        <v>3299</v>
      </c>
      <c r="H880">
        <v>1100</v>
      </c>
    </row>
    <row r="881" spans="2:8">
      <c r="B881" t="s">
        <v>443</v>
      </c>
      <c r="C881" t="s">
        <v>380</v>
      </c>
      <c r="D881">
        <v>3299</v>
      </c>
      <c r="E881">
        <v>3299</v>
      </c>
      <c r="F881">
        <v>3299</v>
      </c>
      <c r="G881">
        <v>3299</v>
      </c>
      <c r="H881">
        <v>700</v>
      </c>
    </row>
    <row r="882" spans="2:8">
      <c r="B882" t="s">
        <v>443</v>
      </c>
      <c r="C882" t="s">
        <v>381</v>
      </c>
      <c r="D882">
        <v>3299</v>
      </c>
      <c r="E882">
        <v>3299</v>
      </c>
      <c r="F882">
        <v>3298</v>
      </c>
      <c r="G882">
        <v>3298</v>
      </c>
      <c r="H882">
        <v>900</v>
      </c>
    </row>
    <row r="883" spans="2:8">
      <c r="B883" t="s">
        <v>443</v>
      </c>
      <c r="C883" t="s">
        <v>382</v>
      </c>
      <c r="D883">
        <v>3297</v>
      </c>
      <c r="E883">
        <v>3297</v>
      </c>
      <c r="F883">
        <v>3296</v>
      </c>
      <c r="G883">
        <v>3296</v>
      </c>
      <c r="H883">
        <v>600</v>
      </c>
    </row>
    <row r="884" spans="2:8">
      <c r="B884" t="s">
        <v>443</v>
      </c>
      <c r="C884" t="s">
        <v>383</v>
      </c>
      <c r="D884">
        <v>3296</v>
      </c>
      <c r="E884">
        <v>3298</v>
      </c>
      <c r="F884">
        <v>3296</v>
      </c>
      <c r="G884">
        <v>3298</v>
      </c>
      <c r="H884">
        <v>2000</v>
      </c>
    </row>
    <row r="885" spans="2:8">
      <c r="B885" t="s">
        <v>443</v>
      </c>
      <c r="C885" t="s">
        <v>384</v>
      </c>
      <c r="D885">
        <v>3298</v>
      </c>
      <c r="E885">
        <v>3299</v>
      </c>
      <c r="F885">
        <v>3297</v>
      </c>
      <c r="G885">
        <v>3297</v>
      </c>
      <c r="H885">
        <v>1500</v>
      </c>
    </row>
    <row r="886" spans="2:8">
      <c r="B886" t="s">
        <v>443</v>
      </c>
      <c r="C886" t="s">
        <v>385</v>
      </c>
      <c r="D886">
        <v>3297</v>
      </c>
      <c r="E886">
        <v>3298</v>
      </c>
      <c r="F886">
        <v>3297</v>
      </c>
      <c r="G886">
        <v>3298</v>
      </c>
      <c r="H886">
        <v>600</v>
      </c>
    </row>
    <row r="887" spans="2:8">
      <c r="B887" t="s">
        <v>443</v>
      </c>
      <c r="C887" t="s">
        <v>386</v>
      </c>
      <c r="D887">
        <v>3298</v>
      </c>
      <c r="E887">
        <v>3298</v>
      </c>
      <c r="F887">
        <v>3297</v>
      </c>
      <c r="G887">
        <v>3297</v>
      </c>
      <c r="H887">
        <v>300</v>
      </c>
    </row>
    <row r="888" spans="2:8">
      <c r="B888" t="s">
        <v>443</v>
      </c>
      <c r="C888" t="s">
        <v>387</v>
      </c>
      <c r="D888">
        <v>3297</v>
      </c>
      <c r="E888">
        <v>3297</v>
      </c>
      <c r="F888">
        <v>3297</v>
      </c>
      <c r="G888">
        <v>3297</v>
      </c>
      <c r="H888">
        <v>600</v>
      </c>
    </row>
    <row r="889" spans="2:8">
      <c r="B889" t="s">
        <v>443</v>
      </c>
      <c r="C889" t="s">
        <v>388</v>
      </c>
      <c r="D889">
        <v>3296</v>
      </c>
      <c r="E889">
        <v>3298</v>
      </c>
      <c r="F889">
        <v>3296</v>
      </c>
      <c r="G889">
        <v>3297</v>
      </c>
      <c r="H889">
        <v>1200</v>
      </c>
    </row>
    <row r="890" spans="2:8">
      <c r="B890" t="s">
        <v>443</v>
      </c>
      <c r="C890" t="s">
        <v>389</v>
      </c>
      <c r="D890">
        <v>3297</v>
      </c>
      <c r="E890">
        <v>3299</v>
      </c>
      <c r="F890">
        <v>3296</v>
      </c>
      <c r="G890">
        <v>3296</v>
      </c>
      <c r="H890">
        <v>7600</v>
      </c>
    </row>
    <row r="891" spans="2:8">
      <c r="B891" t="s">
        <v>443</v>
      </c>
      <c r="C891" t="s">
        <v>390</v>
      </c>
      <c r="D891">
        <v>3295</v>
      </c>
      <c r="E891">
        <v>3296</v>
      </c>
      <c r="F891">
        <v>3294</v>
      </c>
      <c r="G891">
        <v>3296</v>
      </c>
      <c r="H891">
        <v>2000</v>
      </c>
    </row>
    <row r="892" spans="2:8">
      <c r="B892" t="s">
        <v>443</v>
      </c>
      <c r="C892" t="s">
        <v>391</v>
      </c>
      <c r="D892">
        <v>3297</v>
      </c>
      <c r="E892">
        <v>3299</v>
      </c>
      <c r="F892">
        <v>3297</v>
      </c>
      <c r="G892">
        <v>3299</v>
      </c>
      <c r="H892">
        <v>1500</v>
      </c>
    </row>
    <row r="893" spans="2:8">
      <c r="B893" t="s">
        <v>443</v>
      </c>
      <c r="C893" t="s">
        <v>392</v>
      </c>
      <c r="D893">
        <v>3299</v>
      </c>
      <c r="E893">
        <v>3301</v>
      </c>
      <c r="F893">
        <v>3299</v>
      </c>
      <c r="G893">
        <v>3301</v>
      </c>
      <c r="H893">
        <v>4700</v>
      </c>
    </row>
    <row r="894" spans="2:8">
      <c r="B894" t="s">
        <v>443</v>
      </c>
      <c r="C894" t="s">
        <v>393</v>
      </c>
      <c r="D894">
        <v>3302</v>
      </c>
      <c r="E894">
        <v>3307</v>
      </c>
      <c r="F894">
        <v>3302</v>
      </c>
      <c r="G894">
        <v>3304</v>
      </c>
      <c r="H894">
        <v>8300</v>
      </c>
    </row>
    <row r="895" spans="2:8">
      <c r="B895" t="s">
        <v>443</v>
      </c>
      <c r="C895" t="s">
        <v>394</v>
      </c>
      <c r="D895">
        <v>3303</v>
      </c>
      <c r="E895">
        <v>3303</v>
      </c>
      <c r="F895">
        <v>3303</v>
      </c>
      <c r="G895">
        <v>3303</v>
      </c>
      <c r="H895">
        <v>2100</v>
      </c>
    </row>
    <row r="896" spans="2:8">
      <c r="B896" t="s">
        <v>443</v>
      </c>
      <c r="C896" t="s">
        <v>395</v>
      </c>
      <c r="D896">
        <v>3303</v>
      </c>
      <c r="E896">
        <v>3303</v>
      </c>
      <c r="F896">
        <v>3303</v>
      </c>
      <c r="G896">
        <v>3303</v>
      </c>
      <c r="H896">
        <v>800</v>
      </c>
    </row>
    <row r="897" spans="2:8">
      <c r="B897" t="s">
        <v>443</v>
      </c>
      <c r="C897" t="s">
        <v>396</v>
      </c>
      <c r="D897">
        <v>3304</v>
      </c>
      <c r="E897">
        <v>3306</v>
      </c>
      <c r="F897">
        <v>3304</v>
      </c>
      <c r="G897">
        <v>3306</v>
      </c>
      <c r="H897">
        <v>1700</v>
      </c>
    </row>
    <row r="898" spans="2:8">
      <c r="B898" t="s">
        <v>443</v>
      </c>
      <c r="C898" t="s">
        <v>397</v>
      </c>
      <c r="D898">
        <v>3307</v>
      </c>
      <c r="E898">
        <v>3309</v>
      </c>
      <c r="F898">
        <v>3307</v>
      </c>
      <c r="G898">
        <v>3309</v>
      </c>
      <c r="H898">
        <v>4500</v>
      </c>
    </row>
    <row r="899" spans="2:8">
      <c r="B899" t="s">
        <v>443</v>
      </c>
      <c r="C899" t="s">
        <v>398</v>
      </c>
      <c r="D899">
        <v>3308</v>
      </c>
      <c r="E899">
        <v>3308</v>
      </c>
      <c r="F899">
        <v>3306</v>
      </c>
      <c r="G899">
        <v>3306</v>
      </c>
      <c r="H899">
        <v>2200</v>
      </c>
    </row>
    <row r="900" spans="2:8">
      <c r="B900" t="s">
        <v>443</v>
      </c>
      <c r="C900" t="s">
        <v>399</v>
      </c>
      <c r="D900">
        <v>3305</v>
      </c>
      <c r="E900">
        <v>3313</v>
      </c>
      <c r="F900">
        <v>3305</v>
      </c>
      <c r="G900">
        <v>3313</v>
      </c>
      <c r="H900">
        <v>11200</v>
      </c>
    </row>
    <row r="901" spans="2:8">
      <c r="B901" t="s">
        <v>443</v>
      </c>
      <c r="C901" t="s">
        <v>400</v>
      </c>
      <c r="D901">
        <v>3313</v>
      </c>
      <c r="E901">
        <v>3313</v>
      </c>
      <c r="F901">
        <v>3311</v>
      </c>
      <c r="G901">
        <v>3311</v>
      </c>
      <c r="H901">
        <v>2300</v>
      </c>
    </row>
    <row r="902" spans="2:8">
      <c r="B902" t="s">
        <v>443</v>
      </c>
      <c r="C902" t="s">
        <v>401</v>
      </c>
      <c r="D902">
        <v>3311</v>
      </c>
      <c r="E902">
        <v>3311</v>
      </c>
      <c r="F902">
        <v>3310</v>
      </c>
      <c r="G902">
        <v>3310</v>
      </c>
      <c r="H902">
        <v>700</v>
      </c>
    </row>
    <row r="903" spans="2:8">
      <c r="B903" t="s">
        <v>443</v>
      </c>
      <c r="C903" t="s">
        <v>402</v>
      </c>
      <c r="D903">
        <v>3309</v>
      </c>
      <c r="E903">
        <v>3309</v>
      </c>
      <c r="F903">
        <v>3308</v>
      </c>
      <c r="G903">
        <v>3309</v>
      </c>
      <c r="H903">
        <v>1000</v>
      </c>
    </row>
    <row r="904" spans="2:8">
      <c r="B904" t="s">
        <v>443</v>
      </c>
      <c r="C904" t="s">
        <v>403</v>
      </c>
      <c r="D904">
        <v>3309</v>
      </c>
      <c r="E904">
        <v>3309</v>
      </c>
      <c r="F904">
        <v>3307</v>
      </c>
      <c r="G904">
        <v>3309</v>
      </c>
      <c r="H904">
        <v>2400</v>
      </c>
    </row>
    <row r="905" spans="2:8">
      <c r="B905" t="s">
        <v>443</v>
      </c>
      <c r="C905" t="s">
        <v>404</v>
      </c>
      <c r="D905">
        <v>3309</v>
      </c>
      <c r="E905">
        <v>3311</v>
      </c>
      <c r="F905">
        <v>3308</v>
      </c>
      <c r="G905">
        <v>3308</v>
      </c>
      <c r="H905">
        <v>4700</v>
      </c>
    </row>
    <row r="906" spans="2:8">
      <c r="B906" t="s">
        <v>443</v>
      </c>
      <c r="C906" t="s">
        <v>405</v>
      </c>
      <c r="D906">
        <v>3308</v>
      </c>
      <c r="E906">
        <v>3308</v>
      </c>
      <c r="F906">
        <v>3307</v>
      </c>
      <c r="G906">
        <v>3307</v>
      </c>
      <c r="H906">
        <v>1200</v>
      </c>
    </row>
    <row r="907" spans="2:8">
      <c r="B907" t="s">
        <v>443</v>
      </c>
      <c r="C907" t="s">
        <v>406</v>
      </c>
      <c r="D907">
        <v>3306</v>
      </c>
      <c r="E907">
        <v>3306</v>
      </c>
      <c r="F907">
        <v>3305</v>
      </c>
      <c r="G907">
        <v>3305</v>
      </c>
      <c r="H907">
        <v>3800</v>
      </c>
    </row>
    <row r="908" spans="2:8">
      <c r="B908" t="s">
        <v>443</v>
      </c>
      <c r="C908" t="s">
        <v>407</v>
      </c>
      <c r="D908">
        <v>3307</v>
      </c>
      <c r="E908">
        <v>3310</v>
      </c>
      <c r="F908">
        <v>3307</v>
      </c>
      <c r="G908">
        <v>3309</v>
      </c>
      <c r="H908">
        <v>4800</v>
      </c>
    </row>
    <row r="909" spans="2:8">
      <c r="B909" t="s">
        <v>443</v>
      </c>
      <c r="C909" t="s">
        <v>408</v>
      </c>
      <c r="D909">
        <v>3309</v>
      </c>
      <c r="E909">
        <v>3309</v>
      </c>
      <c r="F909">
        <v>3308</v>
      </c>
      <c r="G909">
        <v>3308</v>
      </c>
      <c r="H909">
        <v>600</v>
      </c>
    </row>
    <row r="910" spans="2:8">
      <c r="B910" t="s">
        <v>443</v>
      </c>
      <c r="C910" t="s">
        <v>409</v>
      </c>
      <c r="D910">
        <v>3309</v>
      </c>
      <c r="E910">
        <v>3310</v>
      </c>
      <c r="F910">
        <v>3309</v>
      </c>
      <c r="G910">
        <v>3310</v>
      </c>
      <c r="H910">
        <v>1100</v>
      </c>
    </row>
    <row r="911" spans="2:8">
      <c r="B911" t="s">
        <v>443</v>
      </c>
      <c r="C911" t="s">
        <v>410</v>
      </c>
      <c r="D911">
        <v>3310</v>
      </c>
      <c r="E911">
        <v>3310</v>
      </c>
      <c r="F911">
        <v>3308</v>
      </c>
      <c r="G911">
        <v>3309</v>
      </c>
      <c r="H911">
        <v>5000</v>
      </c>
    </row>
    <row r="912" spans="2:8">
      <c r="B912" t="s">
        <v>443</v>
      </c>
      <c r="C912" t="s">
        <v>411</v>
      </c>
      <c r="D912">
        <v>3309</v>
      </c>
      <c r="E912">
        <v>3310</v>
      </c>
      <c r="F912">
        <v>3308</v>
      </c>
      <c r="G912">
        <v>3310</v>
      </c>
      <c r="H912">
        <v>1400</v>
      </c>
    </row>
    <row r="913" spans="2:8">
      <c r="B913" t="s">
        <v>443</v>
      </c>
      <c r="C913" t="s">
        <v>412</v>
      </c>
      <c r="D913">
        <v>3310</v>
      </c>
      <c r="E913">
        <v>3310</v>
      </c>
      <c r="F913">
        <v>3306</v>
      </c>
      <c r="G913">
        <v>3306</v>
      </c>
      <c r="H913">
        <v>3800</v>
      </c>
    </row>
    <row r="914" spans="2:8">
      <c r="B914" t="s">
        <v>443</v>
      </c>
      <c r="C914" t="s">
        <v>413</v>
      </c>
      <c r="D914">
        <v>3306</v>
      </c>
      <c r="E914">
        <v>3310</v>
      </c>
      <c r="F914">
        <v>3306</v>
      </c>
      <c r="G914">
        <v>3310</v>
      </c>
      <c r="H914">
        <v>2300</v>
      </c>
    </row>
    <row r="915" spans="2:8">
      <c r="B915" t="s">
        <v>443</v>
      </c>
      <c r="C915" t="s">
        <v>414</v>
      </c>
      <c r="D915">
        <v>3310</v>
      </c>
      <c r="E915">
        <v>3312</v>
      </c>
      <c r="F915">
        <v>3310</v>
      </c>
      <c r="G915">
        <v>3312</v>
      </c>
      <c r="H915">
        <v>8000</v>
      </c>
    </row>
    <row r="916" spans="2:8">
      <c r="B916" t="s">
        <v>443</v>
      </c>
      <c r="C916" t="s">
        <v>415</v>
      </c>
      <c r="D916">
        <v>3312</v>
      </c>
      <c r="E916">
        <v>3312</v>
      </c>
      <c r="F916">
        <v>3311</v>
      </c>
      <c r="G916">
        <v>3311</v>
      </c>
      <c r="H916">
        <v>800</v>
      </c>
    </row>
    <row r="917" spans="2:8">
      <c r="B917" t="s">
        <v>443</v>
      </c>
      <c r="C917" t="s">
        <v>416</v>
      </c>
      <c r="D917">
        <v>3311</v>
      </c>
      <c r="E917">
        <v>3312</v>
      </c>
      <c r="F917">
        <v>3311</v>
      </c>
      <c r="G917">
        <v>3311</v>
      </c>
      <c r="H917">
        <v>5900</v>
      </c>
    </row>
    <row r="918" spans="2:8">
      <c r="B918" t="s">
        <v>443</v>
      </c>
      <c r="C918" t="s">
        <v>417</v>
      </c>
      <c r="D918">
        <v>3312</v>
      </c>
      <c r="E918">
        <v>3312</v>
      </c>
      <c r="F918">
        <v>3311</v>
      </c>
      <c r="G918">
        <v>3312</v>
      </c>
      <c r="H918">
        <v>1500</v>
      </c>
    </row>
    <row r="919" spans="2:8">
      <c r="B919" t="s">
        <v>443</v>
      </c>
      <c r="C919" t="s">
        <v>418</v>
      </c>
      <c r="D919">
        <v>3312</v>
      </c>
      <c r="E919">
        <v>3315</v>
      </c>
      <c r="F919">
        <v>3312</v>
      </c>
      <c r="G919">
        <v>3314</v>
      </c>
      <c r="H919">
        <v>14900</v>
      </c>
    </row>
    <row r="920" spans="2:8">
      <c r="B920" t="s">
        <v>443</v>
      </c>
      <c r="C920" t="s">
        <v>419</v>
      </c>
      <c r="D920">
        <v>3315</v>
      </c>
      <c r="E920">
        <v>3320</v>
      </c>
      <c r="F920">
        <v>3315</v>
      </c>
      <c r="G920">
        <v>3319</v>
      </c>
      <c r="H920">
        <v>19200</v>
      </c>
    </row>
    <row r="921" spans="2:8">
      <c r="B921" t="s">
        <v>443</v>
      </c>
      <c r="C921" t="s">
        <v>420</v>
      </c>
      <c r="D921">
        <v>3319</v>
      </c>
      <c r="E921">
        <v>3320</v>
      </c>
      <c r="F921">
        <v>3317</v>
      </c>
      <c r="G921">
        <v>3319</v>
      </c>
      <c r="H921">
        <v>5100</v>
      </c>
    </row>
    <row r="922" spans="2:8">
      <c r="B922" t="s">
        <v>443</v>
      </c>
      <c r="C922" t="s">
        <v>421</v>
      </c>
      <c r="D922">
        <v>3319</v>
      </c>
      <c r="E922">
        <v>3319</v>
      </c>
      <c r="F922">
        <v>3318</v>
      </c>
      <c r="G922">
        <v>3318</v>
      </c>
      <c r="H922">
        <v>1700</v>
      </c>
    </row>
    <row r="923" spans="2:8">
      <c r="B923" t="s">
        <v>443</v>
      </c>
      <c r="C923" t="s">
        <v>422</v>
      </c>
      <c r="D923">
        <v>3318</v>
      </c>
      <c r="E923">
        <v>3319</v>
      </c>
      <c r="F923">
        <v>3317</v>
      </c>
      <c r="G923">
        <v>3317</v>
      </c>
      <c r="H923">
        <v>2800</v>
      </c>
    </row>
    <row r="924" spans="2:8">
      <c r="B924" t="s">
        <v>443</v>
      </c>
      <c r="C924" t="s">
        <v>423</v>
      </c>
      <c r="D924">
        <v>3317</v>
      </c>
      <c r="E924">
        <v>3319</v>
      </c>
      <c r="F924">
        <v>3317</v>
      </c>
      <c r="G924">
        <v>3317</v>
      </c>
      <c r="H924">
        <v>2600</v>
      </c>
    </row>
    <row r="925" spans="2:8">
      <c r="B925" t="s">
        <v>443</v>
      </c>
      <c r="C925" t="s">
        <v>424</v>
      </c>
      <c r="D925">
        <v>3316</v>
      </c>
      <c r="E925">
        <v>3322</v>
      </c>
      <c r="F925">
        <v>3316</v>
      </c>
      <c r="G925">
        <v>3322</v>
      </c>
      <c r="H925">
        <v>5100</v>
      </c>
    </row>
    <row r="926" spans="2:8">
      <c r="B926" t="s">
        <v>443</v>
      </c>
      <c r="C926" t="s">
        <v>425</v>
      </c>
      <c r="D926">
        <v>3322</v>
      </c>
      <c r="E926">
        <v>3326</v>
      </c>
      <c r="F926">
        <v>3322</v>
      </c>
      <c r="G926">
        <v>3324</v>
      </c>
      <c r="H926">
        <v>11100</v>
      </c>
    </row>
    <row r="927" spans="2:8">
      <c r="B927" t="s">
        <v>443</v>
      </c>
      <c r="C927" t="s">
        <v>426</v>
      </c>
      <c r="D927">
        <v>3323</v>
      </c>
      <c r="E927">
        <v>3326</v>
      </c>
      <c r="F927">
        <v>3323</v>
      </c>
      <c r="G927">
        <v>3324</v>
      </c>
      <c r="H927">
        <v>2400</v>
      </c>
    </row>
    <row r="928" spans="2:8">
      <c r="B928" t="s">
        <v>443</v>
      </c>
      <c r="C928" t="s">
        <v>427</v>
      </c>
      <c r="D928">
        <v>3324</v>
      </c>
      <c r="E928">
        <v>3324</v>
      </c>
      <c r="F928">
        <v>3323</v>
      </c>
      <c r="G928">
        <v>3323</v>
      </c>
      <c r="H928">
        <v>1500</v>
      </c>
    </row>
    <row r="929" spans="2:8">
      <c r="B929" t="s">
        <v>443</v>
      </c>
      <c r="C929" t="s">
        <v>428</v>
      </c>
      <c r="D929">
        <v>3324</v>
      </c>
      <c r="E929">
        <v>3324</v>
      </c>
      <c r="F929">
        <v>3324</v>
      </c>
      <c r="G929">
        <v>3324</v>
      </c>
      <c r="H929">
        <v>1200</v>
      </c>
    </row>
    <row r="930" spans="2:8">
      <c r="B930" t="s">
        <v>443</v>
      </c>
      <c r="C930" t="s">
        <v>429</v>
      </c>
      <c r="D930">
        <v>3324</v>
      </c>
      <c r="E930">
        <v>3325</v>
      </c>
      <c r="F930">
        <v>3323</v>
      </c>
      <c r="G930">
        <v>3325</v>
      </c>
      <c r="H930">
        <v>2500</v>
      </c>
    </row>
    <row r="931" spans="2:8">
      <c r="B931" t="s">
        <v>443</v>
      </c>
      <c r="C931" t="s">
        <v>430</v>
      </c>
      <c r="D931">
        <v>3325</v>
      </c>
      <c r="E931">
        <v>3325</v>
      </c>
      <c r="F931">
        <v>3324</v>
      </c>
      <c r="G931">
        <v>3324</v>
      </c>
      <c r="H931">
        <v>1100</v>
      </c>
    </row>
    <row r="932" spans="2:8">
      <c r="B932" t="s">
        <v>443</v>
      </c>
      <c r="C932" t="s">
        <v>431</v>
      </c>
      <c r="D932">
        <v>3323</v>
      </c>
      <c r="E932">
        <v>3323</v>
      </c>
      <c r="F932">
        <v>3320</v>
      </c>
      <c r="G932">
        <v>3321</v>
      </c>
      <c r="H932">
        <v>3100</v>
      </c>
    </row>
    <row r="933" spans="2:8">
      <c r="B933" t="s">
        <v>443</v>
      </c>
      <c r="C933" t="s">
        <v>9</v>
      </c>
      <c r="D933">
        <v>3322</v>
      </c>
      <c r="E933">
        <v>3323</v>
      </c>
      <c r="F933">
        <v>3320</v>
      </c>
      <c r="G933">
        <v>3322</v>
      </c>
      <c r="H933">
        <v>2100</v>
      </c>
    </row>
    <row r="934" spans="2:8">
      <c r="B934" t="s">
        <v>443</v>
      </c>
      <c r="C934" t="s">
        <v>10</v>
      </c>
      <c r="D934">
        <v>3323</v>
      </c>
      <c r="E934">
        <v>3324</v>
      </c>
      <c r="F934">
        <v>3319</v>
      </c>
      <c r="G934">
        <v>3322</v>
      </c>
      <c r="H934">
        <v>4300</v>
      </c>
    </row>
    <row r="935" spans="2:8">
      <c r="B935" t="s">
        <v>443</v>
      </c>
      <c r="C935" t="s">
        <v>11</v>
      </c>
      <c r="D935">
        <v>3322</v>
      </c>
      <c r="E935">
        <v>3323</v>
      </c>
      <c r="F935">
        <v>3321</v>
      </c>
      <c r="G935">
        <v>3323</v>
      </c>
      <c r="H935">
        <v>2400</v>
      </c>
    </row>
    <row r="936" spans="2:8">
      <c r="B936" t="s">
        <v>443</v>
      </c>
      <c r="C936" t="s">
        <v>12</v>
      </c>
      <c r="D936">
        <v>3322</v>
      </c>
      <c r="E936">
        <v>3322</v>
      </c>
      <c r="F936">
        <v>3320</v>
      </c>
      <c r="G936">
        <v>3320</v>
      </c>
      <c r="H936">
        <v>1700</v>
      </c>
    </row>
    <row r="937" spans="2:8">
      <c r="B937" t="s">
        <v>443</v>
      </c>
      <c r="C937" t="s">
        <v>13</v>
      </c>
      <c r="D937">
        <v>3320</v>
      </c>
      <c r="E937">
        <v>3320</v>
      </c>
      <c r="F937">
        <v>3318</v>
      </c>
      <c r="G937">
        <v>3318</v>
      </c>
      <c r="H937">
        <v>4400</v>
      </c>
    </row>
    <row r="938" spans="2:8">
      <c r="B938" t="s">
        <v>443</v>
      </c>
      <c r="C938" t="s">
        <v>14</v>
      </c>
      <c r="D938">
        <v>3318</v>
      </c>
      <c r="E938">
        <v>3318</v>
      </c>
      <c r="F938">
        <v>3318</v>
      </c>
      <c r="G938">
        <v>3318</v>
      </c>
      <c r="H938">
        <v>400</v>
      </c>
    </row>
    <row r="939" spans="2:8">
      <c r="B939" t="s">
        <v>443</v>
      </c>
      <c r="C939" t="s">
        <v>15</v>
      </c>
      <c r="D939">
        <v>3317</v>
      </c>
      <c r="E939">
        <v>3320</v>
      </c>
      <c r="F939">
        <v>3317</v>
      </c>
      <c r="G939">
        <v>3319</v>
      </c>
      <c r="H939">
        <v>4300</v>
      </c>
    </row>
    <row r="940" spans="2:8">
      <c r="B940" t="s">
        <v>443</v>
      </c>
      <c r="C940" t="s">
        <v>16</v>
      </c>
      <c r="D940">
        <v>3319</v>
      </c>
      <c r="E940">
        <v>3322</v>
      </c>
      <c r="F940">
        <v>3319</v>
      </c>
      <c r="G940">
        <v>3322</v>
      </c>
      <c r="H940">
        <v>2000</v>
      </c>
    </row>
    <row r="941" spans="2:8">
      <c r="B941" t="s">
        <v>443</v>
      </c>
      <c r="C941" t="s">
        <v>17</v>
      </c>
      <c r="D941">
        <v>3322</v>
      </c>
      <c r="E941">
        <v>3322</v>
      </c>
      <c r="F941">
        <v>3322</v>
      </c>
      <c r="G941">
        <v>3322</v>
      </c>
      <c r="H941">
        <v>1300</v>
      </c>
    </row>
    <row r="942" spans="2:8">
      <c r="B942" t="s">
        <v>443</v>
      </c>
      <c r="C942" t="s">
        <v>18</v>
      </c>
      <c r="D942">
        <v>3322</v>
      </c>
      <c r="E942">
        <v>3324</v>
      </c>
      <c r="F942">
        <v>3322</v>
      </c>
      <c r="G942">
        <v>3322</v>
      </c>
      <c r="H942">
        <v>8600</v>
      </c>
    </row>
    <row r="943" spans="2:8">
      <c r="B943" t="s">
        <v>443</v>
      </c>
      <c r="C943" t="s">
        <v>19</v>
      </c>
      <c r="D943">
        <v>3322</v>
      </c>
      <c r="E943">
        <v>3323</v>
      </c>
      <c r="F943">
        <v>3318</v>
      </c>
      <c r="G943">
        <v>3323</v>
      </c>
      <c r="H943">
        <v>6700</v>
      </c>
    </row>
    <row r="944" spans="2:8">
      <c r="B944" t="s">
        <v>443</v>
      </c>
      <c r="C944" t="s">
        <v>20</v>
      </c>
      <c r="D944">
        <v>3322</v>
      </c>
      <c r="E944">
        <v>3322</v>
      </c>
      <c r="F944">
        <v>3321</v>
      </c>
      <c r="G944">
        <v>3321</v>
      </c>
      <c r="H944">
        <v>1500</v>
      </c>
    </row>
    <row r="945" spans="2:8">
      <c r="B945" t="s">
        <v>443</v>
      </c>
      <c r="C945" t="s">
        <v>21</v>
      </c>
      <c r="D945">
        <v>3321</v>
      </c>
      <c r="E945">
        <v>3323</v>
      </c>
      <c r="F945">
        <v>3320</v>
      </c>
      <c r="G945">
        <v>3323</v>
      </c>
      <c r="H945">
        <v>2300</v>
      </c>
    </row>
    <row r="946" spans="2:8">
      <c r="B946" t="s">
        <v>443</v>
      </c>
      <c r="C946" t="s">
        <v>22</v>
      </c>
      <c r="D946">
        <v>3324</v>
      </c>
      <c r="E946">
        <v>3325</v>
      </c>
      <c r="F946">
        <v>3324</v>
      </c>
      <c r="G946">
        <v>3324</v>
      </c>
      <c r="H946">
        <v>1900</v>
      </c>
    </row>
    <row r="947" spans="2:8">
      <c r="B947" t="s">
        <v>443</v>
      </c>
      <c r="C947" t="s">
        <v>23</v>
      </c>
      <c r="D947">
        <v>3325</v>
      </c>
      <c r="E947">
        <v>3325</v>
      </c>
      <c r="F947">
        <v>3324</v>
      </c>
      <c r="G947">
        <v>3325</v>
      </c>
      <c r="H947">
        <v>1500</v>
      </c>
    </row>
    <row r="948" spans="2:8">
      <c r="B948" t="s">
        <v>443</v>
      </c>
      <c r="C948" t="s">
        <v>24</v>
      </c>
      <c r="D948">
        <v>3324</v>
      </c>
      <c r="E948">
        <v>3324</v>
      </c>
      <c r="F948">
        <v>3323</v>
      </c>
      <c r="G948">
        <v>3323</v>
      </c>
      <c r="H948">
        <v>1800</v>
      </c>
    </row>
    <row r="949" spans="2:8">
      <c r="B949" t="s">
        <v>443</v>
      </c>
      <c r="C949" t="s">
        <v>25</v>
      </c>
      <c r="D949">
        <v>3323</v>
      </c>
      <c r="E949">
        <v>3325</v>
      </c>
      <c r="F949">
        <v>3323</v>
      </c>
      <c r="G949">
        <v>3323</v>
      </c>
      <c r="H949">
        <v>4300</v>
      </c>
    </row>
    <row r="950" spans="2:8">
      <c r="B950" t="s">
        <v>443</v>
      </c>
      <c r="C950" t="s">
        <v>26</v>
      </c>
      <c r="D950">
        <v>3323</v>
      </c>
      <c r="E950">
        <v>3323</v>
      </c>
      <c r="F950">
        <v>3322</v>
      </c>
      <c r="G950">
        <v>3322</v>
      </c>
      <c r="H950">
        <v>1800</v>
      </c>
    </row>
    <row r="951" spans="2:8">
      <c r="B951" t="s">
        <v>443</v>
      </c>
      <c r="C951" t="s">
        <v>27</v>
      </c>
      <c r="D951">
        <v>3322</v>
      </c>
      <c r="E951">
        <v>3322</v>
      </c>
      <c r="F951">
        <v>3322</v>
      </c>
      <c r="G951">
        <v>3322</v>
      </c>
      <c r="H951">
        <v>900</v>
      </c>
    </row>
    <row r="952" spans="2:8">
      <c r="B952" t="s">
        <v>443</v>
      </c>
      <c r="C952" t="s">
        <v>28</v>
      </c>
      <c r="D952">
        <v>3322</v>
      </c>
      <c r="E952">
        <v>3322</v>
      </c>
      <c r="F952">
        <v>3321</v>
      </c>
      <c r="G952">
        <v>3322</v>
      </c>
      <c r="H952">
        <v>2100</v>
      </c>
    </row>
    <row r="953" spans="2:8">
      <c r="B953" t="s">
        <v>443</v>
      </c>
      <c r="C953" t="s">
        <v>29</v>
      </c>
      <c r="D953">
        <v>3323</v>
      </c>
      <c r="E953">
        <v>3323</v>
      </c>
      <c r="F953">
        <v>3323</v>
      </c>
      <c r="G953">
        <v>3323</v>
      </c>
      <c r="H953">
        <v>200</v>
      </c>
    </row>
    <row r="954" spans="2:8">
      <c r="B954" t="s">
        <v>443</v>
      </c>
      <c r="C954" t="s">
        <v>30</v>
      </c>
      <c r="D954">
        <v>3322</v>
      </c>
      <c r="E954">
        <v>3322</v>
      </c>
      <c r="F954">
        <v>3321</v>
      </c>
      <c r="G954">
        <v>3321</v>
      </c>
      <c r="H954">
        <v>1600</v>
      </c>
    </row>
    <row r="955" spans="2:8">
      <c r="B955" t="s">
        <v>443</v>
      </c>
      <c r="C955" t="s">
        <v>31</v>
      </c>
      <c r="D955">
        <v>3322</v>
      </c>
      <c r="E955">
        <v>3322</v>
      </c>
      <c r="F955">
        <v>3309</v>
      </c>
      <c r="G955">
        <v>3310</v>
      </c>
      <c r="H955">
        <v>15800</v>
      </c>
    </row>
    <row r="956" spans="2:8">
      <c r="B956" t="s">
        <v>443</v>
      </c>
      <c r="C956" t="s">
        <v>32</v>
      </c>
      <c r="D956">
        <v>3310</v>
      </c>
      <c r="E956">
        <v>3314</v>
      </c>
      <c r="F956">
        <v>3310</v>
      </c>
      <c r="G956">
        <v>3314</v>
      </c>
      <c r="H956">
        <v>4100</v>
      </c>
    </row>
    <row r="957" spans="2:8">
      <c r="B957" t="s">
        <v>443</v>
      </c>
      <c r="C957" t="s">
        <v>33</v>
      </c>
      <c r="D957">
        <v>3315</v>
      </c>
      <c r="E957">
        <v>3316</v>
      </c>
      <c r="F957">
        <v>3313</v>
      </c>
      <c r="G957">
        <v>3315</v>
      </c>
      <c r="H957">
        <v>3200</v>
      </c>
    </row>
    <row r="958" spans="2:8">
      <c r="B958" t="s">
        <v>443</v>
      </c>
      <c r="C958" t="s">
        <v>34</v>
      </c>
      <c r="D958">
        <v>3316</v>
      </c>
      <c r="E958">
        <v>3318</v>
      </c>
      <c r="F958">
        <v>3314</v>
      </c>
      <c r="G958">
        <v>3314</v>
      </c>
      <c r="H958">
        <v>3300</v>
      </c>
    </row>
    <row r="959" spans="2:8">
      <c r="B959" t="s">
        <v>443</v>
      </c>
      <c r="C959" t="s">
        <v>35</v>
      </c>
      <c r="D959">
        <v>3315</v>
      </c>
      <c r="E959">
        <v>3315</v>
      </c>
      <c r="F959">
        <v>3311</v>
      </c>
      <c r="G959">
        <v>3313</v>
      </c>
      <c r="H959">
        <v>3500</v>
      </c>
    </row>
    <row r="960" spans="2:8">
      <c r="B960" t="s">
        <v>443</v>
      </c>
      <c r="C960" t="s">
        <v>36</v>
      </c>
      <c r="D960">
        <v>3312</v>
      </c>
      <c r="E960">
        <v>3312</v>
      </c>
      <c r="F960">
        <v>3309</v>
      </c>
      <c r="G960">
        <v>3309</v>
      </c>
      <c r="H960">
        <v>5000</v>
      </c>
    </row>
    <row r="961" spans="2:8">
      <c r="B961" t="s">
        <v>443</v>
      </c>
      <c r="C961" t="s">
        <v>37</v>
      </c>
      <c r="D961">
        <v>3311</v>
      </c>
      <c r="E961">
        <v>3313</v>
      </c>
      <c r="F961">
        <v>3310</v>
      </c>
      <c r="G961">
        <v>3313</v>
      </c>
      <c r="H961">
        <v>5300</v>
      </c>
    </row>
    <row r="962" spans="2:8">
      <c r="B962" t="s">
        <v>443</v>
      </c>
      <c r="C962" t="s">
        <v>38</v>
      </c>
      <c r="D962">
        <v>3313</v>
      </c>
      <c r="E962">
        <v>3313</v>
      </c>
      <c r="F962">
        <v>3311</v>
      </c>
      <c r="G962">
        <v>3311</v>
      </c>
      <c r="H962">
        <v>1600</v>
      </c>
    </row>
    <row r="963" spans="2:8">
      <c r="B963" t="s">
        <v>443</v>
      </c>
      <c r="C963" t="s">
        <v>39</v>
      </c>
      <c r="D963">
        <v>3312</v>
      </c>
      <c r="E963">
        <v>3312</v>
      </c>
      <c r="F963">
        <v>3311</v>
      </c>
      <c r="G963">
        <v>3311</v>
      </c>
      <c r="H963">
        <v>400</v>
      </c>
    </row>
    <row r="964" spans="2:8">
      <c r="B964" t="s">
        <v>443</v>
      </c>
      <c r="C964" t="s">
        <v>40</v>
      </c>
      <c r="D964">
        <v>3311</v>
      </c>
      <c r="E964">
        <v>3313</v>
      </c>
      <c r="F964">
        <v>3311</v>
      </c>
      <c r="G964">
        <v>3311</v>
      </c>
      <c r="H964">
        <v>4500</v>
      </c>
    </row>
    <row r="965" spans="2:8">
      <c r="B965" t="s">
        <v>443</v>
      </c>
      <c r="C965" t="s">
        <v>41</v>
      </c>
      <c r="D965">
        <v>3310</v>
      </c>
      <c r="E965">
        <v>3311</v>
      </c>
      <c r="F965">
        <v>3307</v>
      </c>
      <c r="G965">
        <v>3308</v>
      </c>
      <c r="H965">
        <v>2500</v>
      </c>
    </row>
    <row r="966" spans="2:8">
      <c r="B966" t="s">
        <v>443</v>
      </c>
      <c r="C966" t="s">
        <v>42</v>
      </c>
      <c r="D966">
        <v>3307</v>
      </c>
      <c r="E966">
        <v>3307</v>
      </c>
      <c r="F966">
        <v>3306</v>
      </c>
      <c r="G966">
        <v>3306</v>
      </c>
      <c r="H966">
        <v>1000</v>
      </c>
    </row>
    <row r="967" spans="2:8">
      <c r="B967" t="s">
        <v>443</v>
      </c>
      <c r="C967" t="s">
        <v>43</v>
      </c>
      <c r="D967">
        <v>3305</v>
      </c>
      <c r="E967">
        <v>3306</v>
      </c>
      <c r="F967">
        <v>3305</v>
      </c>
      <c r="G967">
        <v>3305</v>
      </c>
      <c r="H967">
        <v>2300</v>
      </c>
    </row>
    <row r="968" spans="2:8">
      <c r="B968" t="s">
        <v>443</v>
      </c>
      <c r="C968" t="s">
        <v>44</v>
      </c>
      <c r="D968">
        <v>3305</v>
      </c>
      <c r="E968">
        <v>3307</v>
      </c>
      <c r="F968">
        <v>3303</v>
      </c>
      <c r="G968">
        <v>3306</v>
      </c>
      <c r="H968">
        <v>9100</v>
      </c>
    </row>
    <row r="969" spans="2:8">
      <c r="B969" t="s">
        <v>443</v>
      </c>
      <c r="C969" t="s">
        <v>45</v>
      </c>
      <c r="D969">
        <v>3304</v>
      </c>
      <c r="E969">
        <v>3305</v>
      </c>
      <c r="F969">
        <v>3304</v>
      </c>
      <c r="G969">
        <v>3305</v>
      </c>
      <c r="H969">
        <v>1200</v>
      </c>
    </row>
    <row r="970" spans="2:8">
      <c r="B970" t="s">
        <v>443</v>
      </c>
      <c r="C970" t="s">
        <v>46</v>
      </c>
      <c r="D970">
        <v>3306</v>
      </c>
      <c r="E970">
        <v>3307</v>
      </c>
      <c r="F970">
        <v>3306</v>
      </c>
      <c r="G970">
        <v>3307</v>
      </c>
      <c r="H970">
        <v>2000</v>
      </c>
    </row>
    <row r="971" spans="2:8">
      <c r="B971" t="s">
        <v>443</v>
      </c>
      <c r="C971" t="s">
        <v>47</v>
      </c>
      <c r="D971">
        <v>3308</v>
      </c>
      <c r="E971">
        <v>3310</v>
      </c>
      <c r="F971">
        <v>3308</v>
      </c>
      <c r="G971">
        <v>3308</v>
      </c>
      <c r="H971">
        <v>7200</v>
      </c>
    </row>
    <row r="972" spans="2:8">
      <c r="B972" t="s">
        <v>443</v>
      </c>
      <c r="C972" t="s">
        <v>48</v>
      </c>
      <c r="D972">
        <v>3307</v>
      </c>
      <c r="E972">
        <v>3308</v>
      </c>
      <c r="F972">
        <v>3307</v>
      </c>
      <c r="G972">
        <v>3308</v>
      </c>
      <c r="H972">
        <v>1400</v>
      </c>
    </row>
    <row r="973" spans="2:8">
      <c r="B973" t="s">
        <v>443</v>
      </c>
      <c r="C973" t="s">
        <v>49</v>
      </c>
      <c r="D973">
        <v>3307</v>
      </c>
      <c r="E973">
        <v>3307</v>
      </c>
      <c r="F973">
        <v>3304</v>
      </c>
      <c r="G973">
        <v>3307</v>
      </c>
      <c r="H973">
        <v>5600</v>
      </c>
    </row>
    <row r="974" spans="2:8">
      <c r="B974" t="s">
        <v>443</v>
      </c>
      <c r="C974" t="s">
        <v>50</v>
      </c>
      <c r="D974">
        <v>3307</v>
      </c>
      <c r="E974">
        <v>3308</v>
      </c>
      <c r="F974">
        <v>3298</v>
      </c>
      <c r="G974">
        <v>3303</v>
      </c>
      <c r="H974">
        <v>23200</v>
      </c>
    </row>
    <row r="975" spans="2:8">
      <c r="B975" t="s">
        <v>443</v>
      </c>
      <c r="C975" t="s">
        <v>51</v>
      </c>
      <c r="D975">
        <v>3305</v>
      </c>
      <c r="E975">
        <v>3306</v>
      </c>
      <c r="F975">
        <v>3305</v>
      </c>
      <c r="G975">
        <v>3305</v>
      </c>
      <c r="H975">
        <v>2200</v>
      </c>
    </row>
    <row r="976" spans="2:8">
      <c r="B976" t="s">
        <v>443</v>
      </c>
      <c r="C976" t="s">
        <v>52</v>
      </c>
      <c r="D976">
        <v>3306</v>
      </c>
      <c r="E976">
        <v>3308</v>
      </c>
      <c r="F976">
        <v>3306</v>
      </c>
      <c r="G976">
        <v>3308</v>
      </c>
      <c r="H976">
        <v>3200</v>
      </c>
    </row>
    <row r="977" spans="2:8">
      <c r="B977" t="s">
        <v>443</v>
      </c>
      <c r="C977" t="s">
        <v>53</v>
      </c>
      <c r="D977">
        <v>3308</v>
      </c>
      <c r="E977">
        <v>3309</v>
      </c>
      <c r="F977">
        <v>3307</v>
      </c>
      <c r="G977">
        <v>3308</v>
      </c>
      <c r="H977">
        <v>1500</v>
      </c>
    </row>
    <row r="978" spans="2:8">
      <c r="B978" t="s">
        <v>443</v>
      </c>
      <c r="C978" t="s">
        <v>54</v>
      </c>
      <c r="D978">
        <v>3309</v>
      </c>
      <c r="E978">
        <v>3310</v>
      </c>
      <c r="F978">
        <v>3308</v>
      </c>
      <c r="G978">
        <v>3308</v>
      </c>
      <c r="H978">
        <v>8600</v>
      </c>
    </row>
    <row r="979" spans="2:8">
      <c r="B979" t="s">
        <v>443</v>
      </c>
      <c r="C979" t="s">
        <v>55</v>
      </c>
      <c r="D979">
        <v>3308</v>
      </c>
      <c r="E979">
        <v>3309</v>
      </c>
      <c r="F979">
        <v>3307</v>
      </c>
      <c r="G979">
        <v>3307</v>
      </c>
      <c r="H979">
        <v>5100</v>
      </c>
    </row>
    <row r="980" spans="2:8">
      <c r="B980" t="s">
        <v>443</v>
      </c>
      <c r="C980" t="s">
        <v>56</v>
      </c>
      <c r="D980">
        <v>3306</v>
      </c>
      <c r="E980">
        <v>3307</v>
      </c>
      <c r="F980">
        <v>3306</v>
      </c>
      <c r="G980">
        <v>3307</v>
      </c>
      <c r="H980">
        <v>1800</v>
      </c>
    </row>
    <row r="981" spans="2:8">
      <c r="B981" t="s">
        <v>443</v>
      </c>
      <c r="C981" t="s">
        <v>57</v>
      </c>
      <c r="D981">
        <v>3307</v>
      </c>
      <c r="E981">
        <v>3307</v>
      </c>
      <c r="F981">
        <v>3307</v>
      </c>
      <c r="G981">
        <v>3307</v>
      </c>
      <c r="H981">
        <v>400</v>
      </c>
    </row>
    <row r="982" spans="2:8">
      <c r="B982" t="s">
        <v>443</v>
      </c>
      <c r="C982" t="s">
        <v>58</v>
      </c>
      <c r="D982">
        <v>3307</v>
      </c>
      <c r="E982">
        <v>3307</v>
      </c>
      <c r="F982">
        <v>3306</v>
      </c>
      <c r="G982">
        <v>3307</v>
      </c>
      <c r="H982">
        <v>1700</v>
      </c>
    </row>
    <row r="983" spans="2:8">
      <c r="B983" t="s">
        <v>443</v>
      </c>
      <c r="C983" t="s">
        <v>59</v>
      </c>
      <c r="D983">
        <v>3306</v>
      </c>
      <c r="E983">
        <v>3307</v>
      </c>
      <c r="F983">
        <v>3306</v>
      </c>
      <c r="G983">
        <v>3306</v>
      </c>
      <c r="H983">
        <v>800</v>
      </c>
    </row>
    <row r="984" spans="2:8">
      <c r="B984" t="s">
        <v>443</v>
      </c>
      <c r="C984" t="s">
        <v>60</v>
      </c>
      <c r="D984">
        <v>3307</v>
      </c>
      <c r="E984">
        <v>3307</v>
      </c>
      <c r="F984">
        <v>3303</v>
      </c>
      <c r="G984">
        <v>3303</v>
      </c>
      <c r="H984">
        <v>12300</v>
      </c>
    </row>
    <row r="985" spans="2:8">
      <c r="B985" t="s">
        <v>443</v>
      </c>
      <c r="C985" t="s">
        <v>61</v>
      </c>
      <c r="D985">
        <v>3304</v>
      </c>
      <c r="E985">
        <v>3307</v>
      </c>
      <c r="F985">
        <v>3304</v>
      </c>
      <c r="G985">
        <v>3306</v>
      </c>
      <c r="H985">
        <v>11500</v>
      </c>
    </row>
    <row r="986" spans="2:8">
      <c r="B986" t="s">
        <v>443</v>
      </c>
      <c r="C986" t="s">
        <v>62</v>
      </c>
      <c r="D986">
        <v>3306</v>
      </c>
      <c r="E986">
        <v>3307</v>
      </c>
      <c r="F986">
        <v>3306</v>
      </c>
      <c r="G986">
        <v>3307</v>
      </c>
      <c r="H986">
        <v>3300</v>
      </c>
    </row>
    <row r="987" spans="2:8">
      <c r="B987" t="s">
        <v>443</v>
      </c>
      <c r="C987" t="s">
        <v>63</v>
      </c>
      <c r="D987">
        <v>3307</v>
      </c>
      <c r="E987">
        <v>3307</v>
      </c>
      <c r="F987">
        <v>3306</v>
      </c>
      <c r="G987">
        <v>3306</v>
      </c>
      <c r="H987">
        <v>800</v>
      </c>
    </row>
    <row r="988" spans="2:8">
      <c r="B988" t="s">
        <v>443</v>
      </c>
      <c r="C988" t="s">
        <v>64</v>
      </c>
      <c r="D988">
        <v>3307</v>
      </c>
      <c r="E988">
        <v>3308</v>
      </c>
      <c r="F988">
        <v>3306</v>
      </c>
      <c r="G988">
        <v>3307</v>
      </c>
      <c r="H988">
        <v>10200</v>
      </c>
    </row>
    <row r="989" spans="2:8">
      <c r="B989" t="s">
        <v>443</v>
      </c>
      <c r="C989" t="s">
        <v>65</v>
      </c>
      <c r="D989">
        <v>3307</v>
      </c>
      <c r="E989">
        <v>3311</v>
      </c>
      <c r="F989">
        <v>3307</v>
      </c>
      <c r="G989">
        <v>3311</v>
      </c>
      <c r="H989">
        <v>6200</v>
      </c>
    </row>
    <row r="990" spans="2:8">
      <c r="B990" t="s">
        <v>443</v>
      </c>
      <c r="C990" t="s">
        <v>66</v>
      </c>
      <c r="D990">
        <v>3312</v>
      </c>
      <c r="E990">
        <v>3312</v>
      </c>
      <c r="F990">
        <v>3309</v>
      </c>
      <c r="G990">
        <v>3310</v>
      </c>
      <c r="H990">
        <v>7000</v>
      </c>
    </row>
    <row r="991" spans="2:8">
      <c r="B991" t="s">
        <v>443</v>
      </c>
      <c r="C991" t="s">
        <v>164</v>
      </c>
      <c r="D991">
        <v>3310</v>
      </c>
      <c r="E991">
        <v>3313</v>
      </c>
      <c r="F991">
        <v>3310</v>
      </c>
      <c r="G991">
        <v>3310</v>
      </c>
      <c r="H991">
        <v>7000</v>
      </c>
    </row>
    <row r="992" spans="2:8">
      <c r="B992" t="s">
        <v>443</v>
      </c>
      <c r="C992" t="s">
        <v>165</v>
      </c>
      <c r="D992">
        <v>3311</v>
      </c>
      <c r="E992">
        <v>3315</v>
      </c>
      <c r="F992">
        <v>3308</v>
      </c>
      <c r="G992">
        <v>3309</v>
      </c>
      <c r="H992">
        <v>14500</v>
      </c>
    </row>
    <row r="993" spans="2:8">
      <c r="B993" t="s">
        <v>443</v>
      </c>
      <c r="C993" t="s">
        <v>67</v>
      </c>
      <c r="D993" t="s">
        <v>8</v>
      </c>
      <c r="E993" t="s">
        <v>8</v>
      </c>
      <c r="F993" t="s">
        <v>8</v>
      </c>
      <c r="G993" t="s">
        <v>8</v>
      </c>
      <c r="H993">
        <v>0</v>
      </c>
    </row>
    <row r="994" spans="2:8">
      <c r="B994" t="s">
        <v>443</v>
      </c>
      <c r="C994" t="s">
        <v>68</v>
      </c>
      <c r="D994" t="s">
        <v>8</v>
      </c>
      <c r="E994" t="s">
        <v>8</v>
      </c>
      <c r="F994" t="s">
        <v>8</v>
      </c>
      <c r="G994" t="s">
        <v>8</v>
      </c>
      <c r="H994">
        <v>0</v>
      </c>
    </row>
    <row r="995" spans="2:8">
      <c r="B995" t="s">
        <v>443</v>
      </c>
      <c r="C995" t="s">
        <v>69</v>
      </c>
      <c r="D995" t="s">
        <v>8</v>
      </c>
      <c r="E995" t="s">
        <v>8</v>
      </c>
      <c r="F995" t="s">
        <v>8</v>
      </c>
      <c r="G995" t="s">
        <v>8</v>
      </c>
      <c r="H995">
        <v>0</v>
      </c>
    </row>
    <row r="996" spans="2:8">
      <c r="B996" t="s">
        <v>443</v>
      </c>
      <c r="C996" t="s">
        <v>70</v>
      </c>
      <c r="D996" t="s">
        <v>8</v>
      </c>
      <c r="E996" t="s">
        <v>8</v>
      </c>
      <c r="F996" t="s">
        <v>8</v>
      </c>
      <c r="G996" t="s">
        <v>8</v>
      </c>
      <c r="H996">
        <v>0</v>
      </c>
    </row>
    <row r="997" spans="2:8">
      <c r="B997" t="s">
        <v>443</v>
      </c>
      <c r="C997" t="s">
        <v>71</v>
      </c>
      <c r="D997" t="s">
        <v>8</v>
      </c>
      <c r="E997" t="s">
        <v>8</v>
      </c>
      <c r="F997" t="s">
        <v>8</v>
      </c>
      <c r="G997" t="s">
        <v>8</v>
      </c>
      <c r="H997">
        <v>0</v>
      </c>
    </row>
    <row r="998" spans="2:8">
      <c r="B998" t="s">
        <v>443</v>
      </c>
      <c r="C998" t="s">
        <v>72</v>
      </c>
      <c r="D998">
        <v>3309</v>
      </c>
      <c r="E998">
        <v>3309</v>
      </c>
      <c r="F998">
        <v>3309</v>
      </c>
      <c r="G998">
        <v>3309</v>
      </c>
      <c r="H998">
        <v>342600</v>
      </c>
    </row>
    <row r="999" spans="2:8">
      <c r="B999" t="s">
        <v>463</v>
      </c>
      <c r="C999" t="s">
        <v>166</v>
      </c>
      <c r="D999">
        <v>3335</v>
      </c>
      <c r="E999">
        <v>3340</v>
      </c>
      <c r="F999">
        <v>3310</v>
      </c>
      <c r="G999">
        <v>3326</v>
      </c>
      <c r="H999">
        <v>40200</v>
      </c>
    </row>
    <row r="1000" spans="2:8">
      <c r="B1000" t="s">
        <v>463</v>
      </c>
      <c r="C1000" t="s">
        <v>167</v>
      </c>
      <c r="D1000">
        <v>3326</v>
      </c>
      <c r="E1000">
        <v>3339</v>
      </c>
      <c r="F1000">
        <v>3324</v>
      </c>
      <c r="G1000">
        <v>3335</v>
      </c>
      <c r="H1000">
        <v>9000</v>
      </c>
    </row>
    <row r="1001" spans="2:8">
      <c r="B1001" t="s">
        <v>463</v>
      </c>
      <c r="C1001" t="s">
        <v>168</v>
      </c>
      <c r="D1001">
        <v>3329</v>
      </c>
      <c r="E1001">
        <v>3329</v>
      </c>
      <c r="F1001">
        <v>3315</v>
      </c>
      <c r="G1001">
        <v>3315</v>
      </c>
      <c r="H1001">
        <v>2300</v>
      </c>
    </row>
    <row r="1002" spans="2:8">
      <c r="B1002" t="s">
        <v>463</v>
      </c>
      <c r="C1002" t="s">
        <v>169</v>
      </c>
      <c r="D1002">
        <v>3319</v>
      </c>
      <c r="E1002">
        <v>3322</v>
      </c>
      <c r="F1002">
        <v>3315</v>
      </c>
      <c r="G1002">
        <v>3322</v>
      </c>
      <c r="H1002">
        <v>3100</v>
      </c>
    </row>
    <row r="1003" spans="2:8">
      <c r="B1003" t="s">
        <v>463</v>
      </c>
      <c r="C1003" t="s">
        <v>170</v>
      </c>
      <c r="D1003">
        <v>3321</v>
      </c>
      <c r="E1003">
        <v>3326</v>
      </c>
      <c r="F1003">
        <v>3319</v>
      </c>
      <c r="G1003">
        <v>3324</v>
      </c>
      <c r="H1003">
        <v>2800</v>
      </c>
    </row>
    <row r="1004" spans="2:8">
      <c r="B1004" t="s">
        <v>463</v>
      </c>
      <c r="C1004" t="s">
        <v>171</v>
      </c>
      <c r="D1004">
        <v>3324</v>
      </c>
      <c r="E1004">
        <v>3329</v>
      </c>
      <c r="F1004">
        <v>3321</v>
      </c>
      <c r="G1004">
        <v>3321</v>
      </c>
      <c r="H1004">
        <v>5300</v>
      </c>
    </row>
    <row r="1005" spans="2:8">
      <c r="B1005" t="s">
        <v>463</v>
      </c>
      <c r="C1005" t="s">
        <v>172</v>
      </c>
      <c r="D1005">
        <v>3323</v>
      </c>
      <c r="E1005">
        <v>3329</v>
      </c>
      <c r="F1005">
        <v>3320</v>
      </c>
      <c r="G1005">
        <v>3324</v>
      </c>
      <c r="H1005">
        <v>3900</v>
      </c>
    </row>
    <row r="1006" spans="2:8">
      <c r="B1006" t="s">
        <v>463</v>
      </c>
      <c r="C1006" t="s">
        <v>173</v>
      </c>
      <c r="D1006">
        <v>3328</v>
      </c>
      <c r="E1006">
        <v>3328</v>
      </c>
      <c r="F1006">
        <v>3321</v>
      </c>
      <c r="G1006">
        <v>3325</v>
      </c>
      <c r="H1006">
        <v>1800</v>
      </c>
    </row>
    <row r="1007" spans="2:8">
      <c r="B1007" t="s">
        <v>463</v>
      </c>
      <c r="C1007" t="s">
        <v>174</v>
      </c>
      <c r="D1007">
        <v>3326</v>
      </c>
      <c r="E1007">
        <v>3327</v>
      </c>
      <c r="F1007">
        <v>3321</v>
      </c>
      <c r="G1007">
        <v>3326</v>
      </c>
      <c r="H1007">
        <v>4000</v>
      </c>
    </row>
    <row r="1008" spans="2:8">
      <c r="B1008" t="s">
        <v>463</v>
      </c>
      <c r="C1008" t="s">
        <v>175</v>
      </c>
      <c r="D1008">
        <v>3326</v>
      </c>
      <c r="E1008">
        <v>3327</v>
      </c>
      <c r="F1008">
        <v>3318</v>
      </c>
      <c r="G1008">
        <v>3321</v>
      </c>
      <c r="H1008">
        <v>6000</v>
      </c>
    </row>
    <row r="1009" spans="2:8">
      <c r="B1009" t="s">
        <v>463</v>
      </c>
      <c r="C1009" t="s">
        <v>176</v>
      </c>
      <c r="D1009">
        <v>3317</v>
      </c>
      <c r="E1009">
        <v>3321</v>
      </c>
      <c r="F1009">
        <v>3313</v>
      </c>
      <c r="G1009">
        <v>3321</v>
      </c>
      <c r="H1009">
        <v>2600</v>
      </c>
    </row>
    <row r="1010" spans="2:8">
      <c r="B1010" t="s">
        <v>463</v>
      </c>
      <c r="C1010" t="s">
        <v>177</v>
      </c>
      <c r="D1010">
        <v>3321</v>
      </c>
      <c r="E1010">
        <v>3324</v>
      </c>
      <c r="F1010">
        <v>3318</v>
      </c>
      <c r="G1010">
        <v>3319</v>
      </c>
      <c r="H1010">
        <v>3300</v>
      </c>
    </row>
    <row r="1011" spans="2:8">
      <c r="B1011" t="s">
        <v>463</v>
      </c>
      <c r="C1011" t="s">
        <v>178</v>
      </c>
      <c r="D1011">
        <v>3318</v>
      </c>
      <c r="E1011">
        <v>3324</v>
      </c>
      <c r="F1011">
        <v>3318</v>
      </c>
      <c r="G1011">
        <v>3321</v>
      </c>
      <c r="H1011">
        <v>1200</v>
      </c>
    </row>
    <row r="1012" spans="2:8">
      <c r="B1012" t="s">
        <v>463</v>
      </c>
      <c r="C1012" t="s">
        <v>179</v>
      </c>
      <c r="D1012">
        <v>3322</v>
      </c>
      <c r="E1012">
        <v>3325</v>
      </c>
      <c r="F1012">
        <v>3320</v>
      </c>
      <c r="G1012">
        <v>3323</v>
      </c>
      <c r="H1012">
        <v>2300</v>
      </c>
    </row>
    <row r="1013" spans="2:8">
      <c r="B1013" t="s">
        <v>463</v>
      </c>
      <c r="C1013" t="s">
        <v>180</v>
      </c>
      <c r="D1013">
        <v>3324</v>
      </c>
      <c r="E1013">
        <v>3327</v>
      </c>
      <c r="F1013">
        <v>3318</v>
      </c>
      <c r="G1013">
        <v>3318</v>
      </c>
      <c r="H1013">
        <v>7500</v>
      </c>
    </row>
    <row r="1014" spans="2:8">
      <c r="B1014" t="s">
        <v>463</v>
      </c>
      <c r="C1014" t="s">
        <v>181</v>
      </c>
      <c r="D1014">
        <v>3320</v>
      </c>
      <c r="E1014">
        <v>3328</v>
      </c>
      <c r="F1014">
        <v>3317</v>
      </c>
      <c r="G1014">
        <v>3320</v>
      </c>
      <c r="H1014">
        <v>3800</v>
      </c>
    </row>
    <row r="1015" spans="2:8">
      <c r="B1015" t="s">
        <v>463</v>
      </c>
      <c r="C1015" t="s">
        <v>182</v>
      </c>
      <c r="D1015">
        <v>3319</v>
      </c>
      <c r="E1015">
        <v>3324</v>
      </c>
      <c r="F1015">
        <v>3318</v>
      </c>
      <c r="G1015">
        <v>3322</v>
      </c>
      <c r="H1015">
        <v>4800</v>
      </c>
    </row>
    <row r="1016" spans="2:8">
      <c r="B1016" t="s">
        <v>463</v>
      </c>
      <c r="C1016" t="s">
        <v>183</v>
      </c>
      <c r="D1016">
        <v>3321</v>
      </c>
      <c r="E1016">
        <v>3324</v>
      </c>
      <c r="F1016">
        <v>3320</v>
      </c>
      <c r="G1016">
        <v>3322</v>
      </c>
      <c r="H1016">
        <v>2400</v>
      </c>
    </row>
    <row r="1017" spans="2:8">
      <c r="B1017" t="s">
        <v>463</v>
      </c>
      <c r="C1017" t="s">
        <v>184</v>
      </c>
      <c r="D1017">
        <v>3322</v>
      </c>
      <c r="E1017">
        <v>3322</v>
      </c>
      <c r="F1017">
        <v>3320</v>
      </c>
      <c r="G1017">
        <v>3320</v>
      </c>
      <c r="H1017">
        <v>3600</v>
      </c>
    </row>
    <row r="1018" spans="2:8">
      <c r="B1018" t="s">
        <v>463</v>
      </c>
      <c r="C1018" t="s">
        <v>185</v>
      </c>
      <c r="D1018">
        <v>3320</v>
      </c>
      <c r="E1018">
        <v>3325</v>
      </c>
      <c r="F1018">
        <v>3320</v>
      </c>
      <c r="G1018">
        <v>3325</v>
      </c>
      <c r="H1018">
        <v>3900</v>
      </c>
    </row>
    <row r="1019" spans="2:8">
      <c r="B1019" t="s">
        <v>463</v>
      </c>
      <c r="C1019" t="s">
        <v>186</v>
      </c>
      <c r="D1019">
        <v>3323</v>
      </c>
      <c r="E1019">
        <v>3325</v>
      </c>
      <c r="F1019">
        <v>3322</v>
      </c>
      <c r="G1019">
        <v>3322</v>
      </c>
      <c r="H1019">
        <v>1700</v>
      </c>
    </row>
    <row r="1020" spans="2:8">
      <c r="B1020" t="s">
        <v>463</v>
      </c>
      <c r="C1020" t="s">
        <v>187</v>
      </c>
      <c r="D1020">
        <v>3321</v>
      </c>
      <c r="E1020">
        <v>3321</v>
      </c>
      <c r="F1020">
        <v>3318</v>
      </c>
      <c r="G1020">
        <v>3320</v>
      </c>
      <c r="H1020">
        <v>5700</v>
      </c>
    </row>
    <row r="1021" spans="2:8">
      <c r="B1021" t="s">
        <v>463</v>
      </c>
      <c r="C1021" t="s">
        <v>188</v>
      </c>
      <c r="D1021">
        <v>3321</v>
      </c>
      <c r="E1021">
        <v>3326</v>
      </c>
      <c r="F1021">
        <v>3321</v>
      </c>
      <c r="G1021">
        <v>3326</v>
      </c>
      <c r="H1021">
        <v>4200</v>
      </c>
    </row>
    <row r="1022" spans="2:8">
      <c r="B1022" t="s">
        <v>463</v>
      </c>
      <c r="C1022" t="s">
        <v>189</v>
      </c>
      <c r="D1022">
        <v>3326</v>
      </c>
      <c r="E1022">
        <v>3328</v>
      </c>
      <c r="F1022">
        <v>3320</v>
      </c>
      <c r="G1022">
        <v>3323</v>
      </c>
      <c r="H1022">
        <v>8300</v>
      </c>
    </row>
    <row r="1023" spans="2:8">
      <c r="B1023" t="s">
        <v>463</v>
      </c>
      <c r="C1023" t="s">
        <v>190</v>
      </c>
      <c r="D1023">
        <v>3324</v>
      </c>
      <c r="E1023">
        <v>3326</v>
      </c>
      <c r="F1023">
        <v>3322</v>
      </c>
      <c r="G1023">
        <v>3325</v>
      </c>
      <c r="H1023">
        <v>3000</v>
      </c>
    </row>
    <row r="1024" spans="2:8">
      <c r="B1024" t="s">
        <v>463</v>
      </c>
      <c r="C1024" t="s">
        <v>191</v>
      </c>
      <c r="D1024">
        <v>3325</v>
      </c>
      <c r="E1024">
        <v>3330</v>
      </c>
      <c r="F1024">
        <v>3324</v>
      </c>
      <c r="G1024">
        <v>3328</v>
      </c>
      <c r="H1024">
        <v>12800</v>
      </c>
    </row>
    <row r="1025" spans="2:8">
      <c r="B1025" t="s">
        <v>463</v>
      </c>
      <c r="C1025" t="s">
        <v>192</v>
      </c>
      <c r="D1025">
        <v>3327</v>
      </c>
      <c r="E1025">
        <v>3327</v>
      </c>
      <c r="F1025">
        <v>3324</v>
      </c>
      <c r="G1025">
        <v>3326</v>
      </c>
      <c r="H1025">
        <v>1400</v>
      </c>
    </row>
    <row r="1026" spans="2:8">
      <c r="B1026" t="s">
        <v>463</v>
      </c>
      <c r="C1026" t="s">
        <v>193</v>
      </c>
      <c r="D1026">
        <v>3327</v>
      </c>
      <c r="E1026">
        <v>3328</v>
      </c>
      <c r="F1026">
        <v>3324</v>
      </c>
      <c r="G1026">
        <v>3328</v>
      </c>
      <c r="H1026">
        <v>3100</v>
      </c>
    </row>
    <row r="1027" spans="2:8">
      <c r="B1027" t="s">
        <v>463</v>
      </c>
      <c r="C1027" t="s">
        <v>194</v>
      </c>
      <c r="D1027">
        <v>3327</v>
      </c>
      <c r="E1027">
        <v>3327</v>
      </c>
      <c r="F1027">
        <v>3325</v>
      </c>
      <c r="G1027">
        <v>3325</v>
      </c>
      <c r="H1027">
        <v>1600</v>
      </c>
    </row>
    <row r="1028" spans="2:8">
      <c r="B1028" t="s">
        <v>463</v>
      </c>
      <c r="C1028" t="s">
        <v>195</v>
      </c>
      <c r="D1028">
        <v>3325</v>
      </c>
      <c r="E1028">
        <v>3325</v>
      </c>
      <c r="F1028">
        <v>3323</v>
      </c>
      <c r="G1028">
        <v>3323</v>
      </c>
      <c r="H1028">
        <v>1200</v>
      </c>
    </row>
    <row r="1029" spans="2:8">
      <c r="B1029" t="s">
        <v>463</v>
      </c>
      <c r="C1029" t="s">
        <v>196</v>
      </c>
      <c r="D1029">
        <v>3323</v>
      </c>
      <c r="E1029">
        <v>3331</v>
      </c>
      <c r="F1029">
        <v>3321</v>
      </c>
      <c r="G1029">
        <v>3330</v>
      </c>
      <c r="H1029">
        <v>8300</v>
      </c>
    </row>
    <row r="1030" spans="2:8">
      <c r="B1030" t="s">
        <v>463</v>
      </c>
      <c r="C1030" t="s">
        <v>197</v>
      </c>
      <c r="D1030">
        <v>3332</v>
      </c>
      <c r="E1030">
        <v>3336</v>
      </c>
      <c r="F1030">
        <v>3330</v>
      </c>
      <c r="G1030">
        <v>3334</v>
      </c>
      <c r="H1030">
        <v>11900</v>
      </c>
    </row>
    <row r="1031" spans="2:8">
      <c r="B1031" t="s">
        <v>463</v>
      </c>
      <c r="C1031" t="s">
        <v>198</v>
      </c>
      <c r="D1031">
        <v>3334</v>
      </c>
      <c r="E1031">
        <v>3334</v>
      </c>
      <c r="F1031">
        <v>3332</v>
      </c>
      <c r="G1031">
        <v>3332</v>
      </c>
      <c r="H1031">
        <v>2100</v>
      </c>
    </row>
    <row r="1032" spans="2:8">
      <c r="B1032" t="s">
        <v>463</v>
      </c>
      <c r="C1032" t="s">
        <v>199</v>
      </c>
      <c r="D1032">
        <v>3332</v>
      </c>
      <c r="E1032">
        <v>3334</v>
      </c>
      <c r="F1032">
        <v>3331</v>
      </c>
      <c r="G1032">
        <v>3333</v>
      </c>
      <c r="H1032">
        <v>2700</v>
      </c>
    </row>
    <row r="1033" spans="2:8">
      <c r="B1033" t="s">
        <v>463</v>
      </c>
      <c r="C1033" t="s">
        <v>200</v>
      </c>
      <c r="D1033">
        <v>3332</v>
      </c>
      <c r="E1033">
        <v>3333</v>
      </c>
      <c r="F1033">
        <v>3331</v>
      </c>
      <c r="G1033">
        <v>3331</v>
      </c>
      <c r="H1033">
        <v>2900</v>
      </c>
    </row>
    <row r="1034" spans="2:8">
      <c r="B1034" t="s">
        <v>463</v>
      </c>
      <c r="C1034" t="s">
        <v>201</v>
      </c>
      <c r="D1034">
        <v>3332</v>
      </c>
      <c r="E1034">
        <v>3333</v>
      </c>
      <c r="F1034">
        <v>3330</v>
      </c>
      <c r="G1034">
        <v>3330</v>
      </c>
      <c r="H1034">
        <v>1900</v>
      </c>
    </row>
    <row r="1035" spans="2:8">
      <c r="B1035" t="s">
        <v>463</v>
      </c>
      <c r="C1035" t="s">
        <v>202</v>
      </c>
      <c r="D1035">
        <v>3332</v>
      </c>
      <c r="E1035">
        <v>3339</v>
      </c>
      <c r="F1035">
        <v>3332</v>
      </c>
      <c r="G1035">
        <v>3336</v>
      </c>
      <c r="H1035">
        <v>12500</v>
      </c>
    </row>
    <row r="1036" spans="2:8">
      <c r="B1036" t="s">
        <v>463</v>
      </c>
      <c r="C1036" t="s">
        <v>203</v>
      </c>
      <c r="D1036">
        <v>3336</v>
      </c>
      <c r="E1036">
        <v>3337</v>
      </c>
      <c r="F1036">
        <v>3331</v>
      </c>
      <c r="G1036">
        <v>3332</v>
      </c>
      <c r="H1036">
        <v>4000</v>
      </c>
    </row>
    <row r="1037" spans="2:8">
      <c r="B1037" t="s">
        <v>463</v>
      </c>
      <c r="C1037" t="s">
        <v>204</v>
      </c>
      <c r="D1037">
        <v>3331</v>
      </c>
      <c r="E1037">
        <v>3332</v>
      </c>
      <c r="F1037">
        <v>3329</v>
      </c>
      <c r="G1037">
        <v>3330</v>
      </c>
      <c r="H1037">
        <v>2000</v>
      </c>
    </row>
    <row r="1038" spans="2:8">
      <c r="B1038" t="s">
        <v>463</v>
      </c>
      <c r="C1038" t="s">
        <v>205</v>
      </c>
      <c r="D1038">
        <v>3328</v>
      </c>
      <c r="E1038">
        <v>3332</v>
      </c>
      <c r="F1038">
        <v>3327</v>
      </c>
      <c r="G1038">
        <v>3332</v>
      </c>
      <c r="H1038">
        <v>1600</v>
      </c>
    </row>
    <row r="1039" spans="2:8">
      <c r="B1039" t="s">
        <v>463</v>
      </c>
      <c r="C1039" t="s">
        <v>206</v>
      </c>
      <c r="D1039">
        <v>3333</v>
      </c>
      <c r="E1039">
        <v>3337</v>
      </c>
      <c r="F1039">
        <v>3333</v>
      </c>
      <c r="G1039">
        <v>3334</v>
      </c>
      <c r="H1039">
        <v>2800</v>
      </c>
    </row>
    <row r="1040" spans="2:8">
      <c r="B1040" t="s">
        <v>463</v>
      </c>
      <c r="C1040" t="s">
        <v>207</v>
      </c>
      <c r="D1040">
        <v>3332</v>
      </c>
      <c r="E1040">
        <v>3341</v>
      </c>
      <c r="F1040">
        <v>3331</v>
      </c>
      <c r="G1040">
        <v>3338</v>
      </c>
      <c r="H1040">
        <v>17200</v>
      </c>
    </row>
    <row r="1041" spans="2:8">
      <c r="B1041" t="s">
        <v>463</v>
      </c>
      <c r="C1041" t="s">
        <v>208</v>
      </c>
      <c r="D1041">
        <v>3340</v>
      </c>
      <c r="E1041">
        <v>3348</v>
      </c>
      <c r="F1041">
        <v>3340</v>
      </c>
      <c r="G1041">
        <v>3341</v>
      </c>
      <c r="H1041">
        <v>6500</v>
      </c>
    </row>
    <row r="1042" spans="2:8">
      <c r="B1042" t="s">
        <v>463</v>
      </c>
      <c r="C1042" t="s">
        <v>209</v>
      </c>
      <c r="D1042">
        <v>3342</v>
      </c>
      <c r="E1042">
        <v>3343</v>
      </c>
      <c r="F1042">
        <v>3342</v>
      </c>
      <c r="G1042">
        <v>3342</v>
      </c>
      <c r="H1042">
        <v>1500</v>
      </c>
    </row>
    <row r="1043" spans="2:8">
      <c r="B1043" t="s">
        <v>463</v>
      </c>
      <c r="C1043" t="s">
        <v>210</v>
      </c>
      <c r="D1043">
        <v>3342</v>
      </c>
      <c r="E1043">
        <v>3342</v>
      </c>
      <c r="F1043">
        <v>3340</v>
      </c>
      <c r="G1043">
        <v>3341</v>
      </c>
      <c r="H1043">
        <v>3400</v>
      </c>
    </row>
    <row r="1044" spans="2:8">
      <c r="B1044" t="s">
        <v>463</v>
      </c>
      <c r="C1044" t="s">
        <v>211</v>
      </c>
      <c r="D1044">
        <v>3342</v>
      </c>
      <c r="E1044">
        <v>3347</v>
      </c>
      <c r="F1044">
        <v>3341</v>
      </c>
      <c r="G1044">
        <v>3342</v>
      </c>
      <c r="H1044">
        <v>8100</v>
      </c>
    </row>
    <row r="1045" spans="2:8">
      <c r="B1045" t="s">
        <v>463</v>
      </c>
      <c r="C1045" t="s">
        <v>212</v>
      </c>
      <c r="D1045">
        <v>3342</v>
      </c>
      <c r="E1045">
        <v>3342</v>
      </c>
      <c r="F1045">
        <v>3341</v>
      </c>
      <c r="G1045">
        <v>3341</v>
      </c>
      <c r="H1045">
        <v>1200</v>
      </c>
    </row>
    <row r="1046" spans="2:8">
      <c r="B1046" t="s">
        <v>463</v>
      </c>
      <c r="C1046" t="s">
        <v>213</v>
      </c>
      <c r="D1046">
        <v>3342</v>
      </c>
      <c r="E1046">
        <v>3345</v>
      </c>
      <c r="F1046">
        <v>3342</v>
      </c>
      <c r="G1046">
        <v>3343</v>
      </c>
      <c r="H1046">
        <v>3100</v>
      </c>
    </row>
    <row r="1047" spans="2:8">
      <c r="B1047" t="s">
        <v>463</v>
      </c>
      <c r="C1047" t="s">
        <v>214</v>
      </c>
      <c r="D1047">
        <v>3343</v>
      </c>
      <c r="E1047">
        <v>3343</v>
      </c>
      <c r="F1047">
        <v>3332</v>
      </c>
      <c r="G1047">
        <v>3336</v>
      </c>
      <c r="H1047">
        <v>7900</v>
      </c>
    </row>
    <row r="1048" spans="2:8">
      <c r="B1048" t="s">
        <v>463</v>
      </c>
      <c r="C1048" t="s">
        <v>215</v>
      </c>
      <c r="D1048">
        <v>3334</v>
      </c>
      <c r="E1048">
        <v>3336</v>
      </c>
      <c r="F1048">
        <v>3332</v>
      </c>
      <c r="G1048">
        <v>3335</v>
      </c>
      <c r="H1048">
        <v>3100</v>
      </c>
    </row>
    <row r="1049" spans="2:8">
      <c r="B1049" t="s">
        <v>463</v>
      </c>
      <c r="C1049" t="s">
        <v>216</v>
      </c>
      <c r="D1049">
        <v>3335</v>
      </c>
      <c r="E1049">
        <v>3337</v>
      </c>
      <c r="F1049">
        <v>3330</v>
      </c>
      <c r="G1049">
        <v>3330</v>
      </c>
      <c r="H1049">
        <v>2400</v>
      </c>
    </row>
    <row r="1050" spans="2:8">
      <c r="B1050" t="s">
        <v>463</v>
      </c>
      <c r="C1050" t="s">
        <v>217</v>
      </c>
      <c r="D1050">
        <v>3331</v>
      </c>
      <c r="E1050">
        <v>3333</v>
      </c>
      <c r="F1050">
        <v>3329</v>
      </c>
      <c r="G1050">
        <v>3332</v>
      </c>
      <c r="H1050">
        <v>1600</v>
      </c>
    </row>
    <row r="1051" spans="2:8">
      <c r="B1051" t="s">
        <v>463</v>
      </c>
      <c r="C1051" t="s">
        <v>218</v>
      </c>
      <c r="D1051">
        <v>3333</v>
      </c>
      <c r="E1051">
        <v>3336</v>
      </c>
      <c r="F1051">
        <v>3333</v>
      </c>
      <c r="G1051">
        <v>3336</v>
      </c>
      <c r="H1051">
        <v>1200</v>
      </c>
    </row>
    <row r="1052" spans="2:8">
      <c r="B1052" t="s">
        <v>463</v>
      </c>
      <c r="C1052" t="s">
        <v>219</v>
      </c>
      <c r="D1052">
        <v>3335</v>
      </c>
      <c r="E1052">
        <v>3335</v>
      </c>
      <c r="F1052">
        <v>3334</v>
      </c>
      <c r="G1052">
        <v>3334</v>
      </c>
      <c r="H1052">
        <v>500</v>
      </c>
    </row>
    <row r="1053" spans="2:8">
      <c r="B1053" t="s">
        <v>463</v>
      </c>
      <c r="C1053" t="s">
        <v>220</v>
      </c>
      <c r="D1053">
        <v>3334</v>
      </c>
      <c r="E1053">
        <v>3336</v>
      </c>
      <c r="F1053">
        <v>3334</v>
      </c>
      <c r="G1053">
        <v>3335</v>
      </c>
      <c r="H1053">
        <v>2000</v>
      </c>
    </row>
    <row r="1054" spans="2:8">
      <c r="B1054" t="s">
        <v>463</v>
      </c>
      <c r="C1054" t="s">
        <v>221</v>
      </c>
      <c r="D1054">
        <v>3335</v>
      </c>
      <c r="E1054">
        <v>3335</v>
      </c>
      <c r="F1054">
        <v>3333</v>
      </c>
      <c r="G1054">
        <v>3335</v>
      </c>
      <c r="H1054">
        <v>1800</v>
      </c>
    </row>
    <row r="1055" spans="2:8">
      <c r="B1055" t="s">
        <v>463</v>
      </c>
      <c r="C1055" t="s">
        <v>222</v>
      </c>
      <c r="D1055">
        <v>3333</v>
      </c>
      <c r="E1055">
        <v>3337</v>
      </c>
      <c r="F1055">
        <v>3332</v>
      </c>
      <c r="G1055">
        <v>3337</v>
      </c>
      <c r="H1055">
        <v>3200</v>
      </c>
    </row>
    <row r="1056" spans="2:8">
      <c r="B1056" t="s">
        <v>463</v>
      </c>
      <c r="C1056" t="s">
        <v>223</v>
      </c>
      <c r="D1056">
        <v>3338</v>
      </c>
      <c r="E1056">
        <v>3338</v>
      </c>
      <c r="F1056">
        <v>3338</v>
      </c>
      <c r="G1056">
        <v>3338</v>
      </c>
      <c r="H1056">
        <v>1800</v>
      </c>
    </row>
    <row r="1057" spans="2:8">
      <c r="B1057" t="s">
        <v>463</v>
      </c>
      <c r="C1057" t="s">
        <v>224</v>
      </c>
      <c r="D1057">
        <v>3339</v>
      </c>
      <c r="E1057">
        <v>3342</v>
      </c>
      <c r="F1057">
        <v>3338</v>
      </c>
      <c r="G1057">
        <v>3340</v>
      </c>
      <c r="H1057">
        <v>3200</v>
      </c>
    </row>
    <row r="1058" spans="2:8">
      <c r="B1058" t="s">
        <v>463</v>
      </c>
      <c r="C1058" t="s">
        <v>225</v>
      </c>
      <c r="D1058">
        <v>3342</v>
      </c>
      <c r="E1058">
        <v>3342</v>
      </c>
      <c r="F1058">
        <v>3339</v>
      </c>
      <c r="G1058">
        <v>3341</v>
      </c>
      <c r="H1058">
        <v>1300</v>
      </c>
    </row>
    <row r="1059" spans="2:8">
      <c r="B1059" t="s">
        <v>463</v>
      </c>
      <c r="C1059" t="s">
        <v>226</v>
      </c>
      <c r="D1059">
        <v>3339</v>
      </c>
      <c r="E1059">
        <v>3339</v>
      </c>
      <c r="F1059">
        <v>3330</v>
      </c>
      <c r="G1059">
        <v>3330</v>
      </c>
      <c r="H1059">
        <v>4400</v>
      </c>
    </row>
    <row r="1060" spans="2:8">
      <c r="B1060" t="s">
        <v>463</v>
      </c>
      <c r="C1060" t="s">
        <v>227</v>
      </c>
      <c r="D1060">
        <v>3331</v>
      </c>
      <c r="E1060">
        <v>3331</v>
      </c>
      <c r="F1060">
        <v>3325</v>
      </c>
      <c r="G1060">
        <v>3327</v>
      </c>
      <c r="H1060">
        <v>3000</v>
      </c>
    </row>
    <row r="1061" spans="2:8">
      <c r="B1061" t="s">
        <v>463</v>
      </c>
      <c r="C1061" t="s">
        <v>228</v>
      </c>
      <c r="D1061">
        <v>3326</v>
      </c>
      <c r="E1061">
        <v>3329</v>
      </c>
      <c r="F1061">
        <v>3326</v>
      </c>
      <c r="G1061">
        <v>3328</v>
      </c>
      <c r="H1061">
        <v>1400</v>
      </c>
    </row>
    <row r="1062" spans="2:8">
      <c r="B1062" t="s">
        <v>463</v>
      </c>
      <c r="C1062" t="s">
        <v>229</v>
      </c>
      <c r="D1062">
        <v>3328</v>
      </c>
      <c r="E1062">
        <v>3330</v>
      </c>
      <c r="F1062">
        <v>3326</v>
      </c>
      <c r="G1062">
        <v>3327</v>
      </c>
      <c r="H1062">
        <v>3900</v>
      </c>
    </row>
    <row r="1063" spans="2:8">
      <c r="B1063" t="s">
        <v>463</v>
      </c>
      <c r="C1063" t="s">
        <v>230</v>
      </c>
      <c r="D1063">
        <v>3328</v>
      </c>
      <c r="E1063">
        <v>3335</v>
      </c>
      <c r="F1063">
        <v>3328</v>
      </c>
      <c r="G1063">
        <v>3334</v>
      </c>
      <c r="H1063">
        <v>3000</v>
      </c>
    </row>
    <row r="1064" spans="2:8">
      <c r="B1064" t="s">
        <v>463</v>
      </c>
      <c r="C1064" t="s">
        <v>231</v>
      </c>
      <c r="D1064">
        <v>3337</v>
      </c>
      <c r="E1064">
        <v>3338</v>
      </c>
      <c r="F1064">
        <v>3333</v>
      </c>
      <c r="G1064">
        <v>3334</v>
      </c>
      <c r="H1064">
        <v>2500</v>
      </c>
    </row>
    <row r="1065" spans="2:8">
      <c r="B1065" t="s">
        <v>463</v>
      </c>
      <c r="C1065" t="s">
        <v>232</v>
      </c>
      <c r="D1065">
        <v>3334</v>
      </c>
      <c r="E1065">
        <v>3334</v>
      </c>
      <c r="F1065">
        <v>3332</v>
      </c>
      <c r="G1065">
        <v>3332</v>
      </c>
      <c r="H1065">
        <v>1400</v>
      </c>
    </row>
    <row r="1066" spans="2:8">
      <c r="B1066" t="s">
        <v>463</v>
      </c>
      <c r="C1066" t="s">
        <v>233</v>
      </c>
      <c r="D1066">
        <v>3333</v>
      </c>
      <c r="E1066">
        <v>3335</v>
      </c>
      <c r="F1066">
        <v>3333</v>
      </c>
      <c r="G1066">
        <v>3334</v>
      </c>
      <c r="H1066">
        <v>2600</v>
      </c>
    </row>
    <row r="1067" spans="2:8">
      <c r="B1067" t="s">
        <v>463</v>
      </c>
      <c r="C1067" t="s">
        <v>234</v>
      </c>
      <c r="D1067">
        <v>3334</v>
      </c>
      <c r="E1067">
        <v>3335</v>
      </c>
      <c r="F1067">
        <v>3334</v>
      </c>
      <c r="G1067">
        <v>3335</v>
      </c>
      <c r="H1067">
        <v>1900</v>
      </c>
    </row>
    <row r="1068" spans="2:8">
      <c r="B1068" t="s">
        <v>463</v>
      </c>
      <c r="C1068" t="s">
        <v>235</v>
      </c>
      <c r="D1068">
        <v>3334</v>
      </c>
      <c r="E1068">
        <v>3334</v>
      </c>
      <c r="F1068">
        <v>3325</v>
      </c>
      <c r="G1068">
        <v>3325</v>
      </c>
      <c r="H1068">
        <v>7900</v>
      </c>
    </row>
    <row r="1069" spans="2:8">
      <c r="B1069" t="s">
        <v>463</v>
      </c>
      <c r="C1069" t="s">
        <v>236</v>
      </c>
      <c r="D1069">
        <v>3325</v>
      </c>
      <c r="E1069">
        <v>3325</v>
      </c>
      <c r="F1069">
        <v>3322</v>
      </c>
      <c r="G1069">
        <v>3322</v>
      </c>
      <c r="H1069">
        <v>5400</v>
      </c>
    </row>
    <row r="1070" spans="2:8">
      <c r="B1070" t="s">
        <v>463</v>
      </c>
      <c r="C1070" t="s">
        <v>237</v>
      </c>
      <c r="D1070">
        <v>3324</v>
      </c>
      <c r="E1070">
        <v>3330</v>
      </c>
      <c r="F1070">
        <v>3324</v>
      </c>
      <c r="G1070">
        <v>3329</v>
      </c>
      <c r="H1070">
        <v>3500</v>
      </c>
    </row>
    <row r="1071" spans="2:8">
      <c r="B1071" t="s">
        <v>463</v>
      </c>
      <c r="C1071" t="s">
        <v>238</v>
      </c>
      <c r="D1071">
        <v>3329</v>
      </c>
      <c r="E1071">
        <v>3330</v>
      </c>
      <c r="F1071">
        <v>3328</v>
      </c>
      <c r="G1071">
        <v>3329</v>
      </c>
      <c r="H1071">
        <v>1600</v>
      </c>
    </row>
    <row r="1072" spans="2:8">
      <c r="B1072" t="s">
        <v>463</v>
      </c>
      <c r="C1072" t="s">
        <v>239</v>
      </c>
      <c r="D1072">
        <v>3328</v>
      </c>
      <c r="E1072">
        <v>3329</v>
      </c>
      <c r="F1072">
        <v>3326</v>
      </c>
      <c r="G1072">
        <v>3326</v>
      </c>
      <c r="H1072">
        <v>1900</v>
      </c>
    </row>
    <row r="1073" spans="2:8">
      <c r="B1073" t="s">
        <v>463</v>
      </c>
      <c r="C1073" t="s">
        <v>240</v>
      </c>
      <c r="D1073">
        <v>3325</v>
      </c>
      <c r="E1073">
        <v>3326</v>
      </c>
      <c r="F1073">
        <v>3324</v>
      </c>
      <c r="G1073">
        <v>3324</v>
      </c>
      <c r="H1073">
        <v>1900</v>
      </c>
    </row>
    <row r="1074" spans="2:8">
      <c r="B1074" t="s">
        <v>463</v>
      </c>
      <c r="C1074" t="s">
        <v>241</v>
      </c>
      <c r="D1074">
        <v>3325</v>
      </c>
      <c r="E1074">
        <v>3326</v>
      </c>
      <c r="F1074">
        <v>3325</v>
      </c>
      <c r="G1074">
        <v>3326</v>
      </c>
      <c r="H1074">
        <v>600</v>
      </c>
    </row>
    <row r="1075" spans="2:8">
      <c r="B1075" t="s">
        <v>463</v>
      </c>
      <c r="C1075" t="s">
        <v>242</v>
      </c>
      <c r="D1075">
        <v>3326</v>
      </c>
      <c r="E1075">
        <v>3327</v>
      </c>
      <c r="F1075">
        <v>3323</v>
      </c>
      <c r="G1075">
        <v>3326</v>
      </c>
      <c r="H1075">
        <v>3000</v>
      </c>
    </row>
    <row r="1076" spans="2:8">
      <c r="B1076" t="s">
        <v>463</v>
      </c>
      <c r="C1076" t="s">
        <v>243</v>
      </c>
      <c r="D1076">
        <v>3326</v>
      </c>
      <c r="E1076">
        <v>3331</v>
      </c>
      <c r="F1076">
        <v>3325</v>
      </c>
      <c r="G1076">
        <v>3326</v>
      </c>
      <c r="H1076">
        <v>5800</v>
      </c>
    </row>
    <row r="1077" spans="2:8">
      <c r="B1077" t="s">
        <v>463</v>
      </c>
      <c r="C1077" t="s">
        <v>244</v>
      </c>
      <c r="D1077">
        <v>3327</v>
      </c>
      <c r="E1077">
        <v>3327</v>
      </c>
      <c r="F1077">
        <v>3322</v>
      </c>
      <c r="G1077">
        <v>3325</v>
      </c>
      <c r="H1077">
        <v>3000</v>
      </c>
    </row>
    <row r="1078" spans="2:8">
      <c r="B1078" t="s">
        <v>463</v>
      </c>
      <c r="C1078" t="s">
        <v>245</v>
      </c>
      <c r="D1078">
        <v>3325</v>
      </c>
      <c r="E1078">
        <v>3325</v>
      </c>
      <c r="F1078">
        <v>3324</v>
      </c>
      <c r="G1078">
        <v>3324</v>
      </c>
      <c r="H1078">
        <v>300</v>
      </c>
    </row>
    <row r="1079" spans="2:8">
      <c r="B1079" t="s">
        <v>463</v>
      </c>
      <c r="C1079" t="s">
        <v>246</v>
      </c>
      <c r="D1079">
        <v>3324</v>
      </c>
      <c r="E1079">
        <v>3328</v>
      </c>
      <c r="F1079">
        <v>3324</v>
      </c>
      <c r="G1079">
        <v>3327</v>
      </c>
      <c r="H1079">
        <v>1300</v>
      </c>
    </row>
    <row r="1080" spans="2:8">
      <c r="B1080" t="s">
        <v>463</v>
      </c>
      <c r="C1080" t="s">
        <v>247</v>
      </c>
      <c r="D1080">
        <v>3327</v>
      </c>
      <c r="E1080">
        <v>3328</v>
      </c>
      <c r="F1080">
        <v>3326</v>
      </c>
      <c r="G1080">
        <v>3326</v>
      </c>
      <c r="H1080">
        <v>1400</v>
      </c>
    </row>
    <row r="1081" spans="2:8">
      <c r="B1081" t="s">
        <v>463</v>
      </c>
      <c r="C1081" t="s">
        <v>248</v>
      </c>
      <c r="D1081">
        <v>3326</v>
      </c>
      <c r="E1081">
        <v>3326</v>
      </c>
      <c r="F1081">
        <v>3322</v>
      </c>
      <c r="G1081">
        <v>3323</v>
      </c>
      <c r="H1081">
        <v>2500</v>
      </c>
    </row>
    <row r="1082" spans="2:8">
      <c r="B1082" t="s">
        <v>463</v>
      </c>
      <c r="C1082" t="s">
        <v>249</v>
      </c>
      <c r="D1082">
        <v>3323</v>
      </c>
      <c r="E1082">
        <v>3324</v>
      </c>
      <c r="F1082">
        <v>3321</v>
      </c>
      <c r="G1082">
        <v>3322</v>
      </c>
      <c r="H1082">
        <v>2200</v>
      </c>
    </row>
    <row r="1083" spans="2:8">
      <c r="B1083" t="s">
        <v>463</v>
      </c>
      <c r="C1083" t="s">
        <v>250</v>
      </c>
      <c r="D1083">
        <v>3322</v>
      </c>
      <c r="E1083">
        <v>3322</v>
      </c>
      <c r="F1083">
        <v>3318</v>
      </c>
      <c r="G1083">
        <v>3318</v>
      </c>
      <c r="H1083">
        <v>4900</v>
      </c>
    </row>
    <row r="1084" spans="2:8">
      <c r="B1084" t="s">
        <v>463</v>
      </c>
      <c r="C1084" t="s">
        <v>251</v>
      </c>
      <c r="D1084">
        <v>3317</v>
      </c>
      <c r="E1084">
        <v>3320</v>
      </c>
      <c r="F1084">
        <v>3317</v>
      </c>
      <c r="G1084">
        <v>3320</v>
      </c>
      <c r="H1084">
        <v>1500</v>
      </c>
    </row>
    <row r="1085" spans="2:8">
      <c r="B1085" t="s">
        <v>463</v>
      </c>
      <c r="C1085" t="s">
        <v>252</v>
      </c>
      <c r="D1085">
        <v>3319</v>
      </c>
      <c r="E1085">
        <v>3319</v>
      </c>
      <c r="F1085">
        <v>3314</v>
      </c>
      <c r="G1085">
        <v>3314</v>
      </c>
      <c r="H1085">
        <v>4600</v>
      </c>
    </row>
    <row r="1086" spans="2:8">
      <c r="B1086" t="s">
        <v>463</v>
      </c>
      <c r="C1086" t="s">
        <v>253</v>
      </c>
      <c r="D1086">
        <v>3313</v>
      </c>
      <c r="E1086">
        <v>3319</v>
      </c>
      <c r="F1086">
        <v>3313</v>
      </c>
      <c r="G1086">
        <v>3319</v>
      </c>
      <c r="H1086">
        <v>2400</v>
      </c>
    </row>
    <row r="1087" spans="2:8">
      <c r="B1087" t="s">
        <v>463</v>
      </c>
      <c r="C1087" t="s">
        <v>254</v>
      </c>
      <c r="D1087">
        <v>3318</v>
      </c>
      <c r="E1087">
        <v>3320</v>
      </c>
      <c r="F1087">
        <v>3317</v>
      </c>
      <c r="G1087">
        <v>3317</v>
      </c>
      <c r="H1087">
        <v>2200</v>
      </c>
    </row>
    <row r="1088" spans="2:8">
      <c r="B1088" t="s">
        <v>463</v>
      </c>
      <c r="C1088" t="s">
        <v>255</v>
      </c>
      <c r="D1088">
        <v>3315</v>
      </c>
      <c r="E1088">
        <v>3318</v>
      </c>
      <c r="F1088">
        <v>3314</v>
      </c>
      <c r="G1088">
        <v>3318</v>
      </c>
      <c r="H1088">
        <v>2000</v>
      </c>
    </row>
    <row r="1089" spans="2:8">
      <c r="B1089" t="s">
        <v>463</v>
      </c>
      <c r="C1089" t="s">
        <v>256</v>
      </c>
      <c r="D1089">
        <v>3318</v>
      </c>
      <c r="E1089">
        <v>3319</v>
      </c>
      <c r="F1089">
        <v>3317</v>
      </c>
      <c r="G1089">
        <v>3319</v>
      </c>
      <c r="H1089">
        <v>1000</v>
      </c>
    </row>
    <row r="1090" spans="2:8">
      <c r="B1090" t="s">
        <v>463</v>
      </c>
      <c r="C1090" t="s">
        <v>257</v>
      </c>
      <c r="D1090">
        <v>3319</v>
      </c>
      <c r="E1090">
        <v>3324</v>
      </c>
      <c r="F1090">
        <v>3316</v>
      </c>
      <c r="G1090">
        <v>3317</v>
      </c>
      <c r="H1090">
        <v>11700</v>
      </c>
    </row>
    <row r="1091" spans="2:8">
      <c r="B1091" t="s">
        <v>463</v>
      </c>
      <c r="C1091" t="s">
        <v>258</v>
      </c>
      <c r="D1091">
        <v>3318</v>
      </c>
      <c r="E1091">
        <v>3326</v>
      </c>
      <c r="F1091">
        <v>3318</v>
      </c>
      <c r="G1091">
        <v>3326</v>
      </c>
      <c r="H1091">
        <v>8900</v>
      </c>
    </row>
    <row r="1092" spans="2:8">
      <c r="B1092" t="s">
        <v>463</v>
      </c>
      <c r="C1092" t="s">
        <v>259</v>
      </c>
      <c r="D1092">
        <v>3325</v>
      </c>
      <c r="E1092">
        <v>3331</v>
      </c>
      <c r="F1092">
        <v>3325</v>
      </c>
      <c r="G1092">
        <v>3327</v>
      </c>
      <c r="H1092">
        <v>4000</v>
      </c>
    </row>
    <row r="1093" spans="2:8">
      <c r="B1093" t="s">
        <v>463</v>
      </c>
      <c r="C1093" t="s">
        <v>260</v>
      </c>
      <c r="D1093">
        <v>3327</v>
      </c>
      <c r="E1093">
        <v>3330</v>
      </c>
      <c r="F1093">
        <v>3327</v>
      </c>
      <c r="G1093">
        <v>3330</v>
      </c>
      <c r="H1093">
        <v>2800</v>
      </c>
    </row>
    <row r="1094" spans="2:8">
      <c r="B1094" t="s">
        <v>463</v>
      </c>
      <c r="C1094" t="s">
        <v>261</v>
      </c>
      <c r="D1094">
        <v>3329</v>
      </c>
      <c r="E1094">
        <v>3330</v>
      </c>
      <c r="F1094">
        <v>3328</v>
      </c>
      <c r="G1094">
        <v>3330</v>
      </c>
      <c r="H1094">
        <v>1700</v>
      </c>
    </row>
    <row r="1095" spans="2:8">
      <c r="B1095" t="s">
        <v>463</v>
      </c>
      <c r="C1095" t="s">
        <v>262</v>
      </c>
      <c r="D1095">
        <v>3330</v>
      </c>
      <c r="E1095">
        <v>3330</v>
      </c>
      <c r="F1095">
        <v>3329</v>
      </c>
      <c r="G1095">
        <v>3329</v>
      </c>
      <c r="H1095">
        <v>400</v>
      </c>
    </row>
    <row r="1096" spans="2:8">
      <c r="B1096" t="s">
        <v>463</v>
      </c>
      <c r="C1096" t="s">
        <v>263</v>
      </c>
      <c r="D1096">
        <v>3329</v>
      </c>
      <c r="E1096">
        <v>3330</v>
      </c>
      <c r="F1096">
        <v>3329</v>
      </c>
      <c r="G1096">
        <v>3329</v>
      </c>
      <c r="H1096">
        <v>600</v>
      </c>
    </row>
    <row r="1097" spans="2:8">
      <c r="B1097" t="s">
        <v>463</v>
      </c>
      <c r="C1097" t="s">
        <v>264</v>
      </c>
      <c r="D1097">
        <v>3329</v>
      </c>
      <c r="E1097">
        <v>3329</v>
      </c>
      <c r="F1097">
        <v>3326</v>
      </c>
      <c r="G1097">
        <v>3328</v>
      </c>
      <c r="H1097">
        <v>1400</v>
      </c>
    </row>
    <row r="1098" spans="2:8">
      <c r="B1098" t="s">
        <v>463</v>
      </c>
      <c r="C1098" t="s">
        <v>265</v>
      </c>
      <c r="D1098">
        <v>3327</v>
      </c>
      <c r="E1098">
        <v>3329</v>
      </c>
      <c r="F1098">
        <v>3326</v>
      </c>
      <c r="G1098">
        <v>3328</v>
      </c>
      <c r="H1098">
        <v>1600</v>
      </c>
    </row>
    <row r="1099" spans="2:8">
      <c r="B1099" t="s">
        <v>463</v>
      </c>
      <c r="C1099" t="s">
        <v>266</v>
      </c>
      <c r="D1099">
        <v>3327</v>
      </c>
      <c r="E1099">
        <v>3327</v>
      </c>
      <c r="F1099">
        <v>3325</v>
      </c>
      <c r="G1099">
        <v>3325</v>
      </c>
      <c r="H1099">
        <v>2400</v>
      </c>
    </row>
    <row r="1100" spans="2:8">
      <c r="B1100" t="s">
        <v>463</v>
      </c>
      <c r="C1100" t="s">
        <v>267</v>
      </c>
      <c r="D1100">
        <v>3325</v>
      </c>
      <c r="E1100">
        <v>3326</v>
      </c>
      <c r="F1100">
        <v>3324</v>
      </c>
      <c r="G1100">
        <v>3325</v>
      </c>
      <c r="H1100">
        <v>2200</v>
      </c>
    </row>
    <row r="1101" spans="2:8">
      <c r="B1101" t="s">
        <v>463</v>
      </c>
      <c r="C1101" t="s">
        <v>268</v>
      </c>
      <c r="D1101">
        <v>3326</v>
      </c>
      <c r="E1101">
        <v>3327</v>
      </c>
      <c r="F1101">
        <v>3326</v>
      </c>
      <c r="G1101">
        <v>3327</v>
      </c>
      <c r="H1101">
        <v>1000</v>
      </c>
    </row>
    <row r="1102" spans="2:8">
      <c r="B1102" t="s">
        <v>463</v>
      </c>
      <c r="C1102" t="s">
        <v>269</v>
      </c>
      <c r="D1102">
        <v>3327</v>
      </c>
      <c r="E1102">
        <v>3334</v>
      </c>
      <c r="F1102">
        <v>3327</v>
      </c>
      <c r="G1102">
        <v>3329</v>
      </c>
      <c r="H1102">
        <v>8300</v>
      </c>
    </row>
    <row r="1103" spans="2:8">
      <c r="B1103" t="s">
        <v>463</v>
      </c>
      <c r="C1103" t="s">
        <v>270</v>
      </c>
      <c r="D1103">
        <v>3328</v>
      </c>
      <c r="E1103">
        <v>3329</v>
      </c>
      <c r="F1103">
        <v>3328</v>
      </c>
      <c r="G1103">
        <v>3329</v>
      </c>
      <c r="H1103">
        <v>900</v>
      </c>
    </row>
    <row r="1104" spans="2:8">
      <c r="B1104" t="s">
        <v>463</v>
      </c>
      <c r="C1104" t="s">
        <v>271</v>
      </c>
      <c r="D1104">
        <v>3329</v>
      </c>
      <c r="E1104">
        <v>3330</v>
      </c>
      <c r="F1104">
        <v>3328</v>
      </c>
      <c r="G1104">
        <v>3328</v>
      </c>
      <c r="H1104">
        <v>1400</v>
      </c>
    </row>
    <row r="1105" spans="2:8">
      <c r="B1105" t="s">
        <v>463</v>
      </c>
      <c r="C1105" t="s">
        <v>272</v>
      </c>
      <c r="D1105">
        <v>3329</v>
      </c>
      <c r="E1105">
        <v>3329</v>
      </c>
      <c r="F1105">
        <v>3329</v>
      </c>
      <c r="G1105">
        <v>3329</v>
      </c>
      <c r="H1105">
        <v>500</v>
      </c>
    </row>
    <row r="1106" spans="2:8">
      <c r="B1106" t="s">
        <v>463</v>
      </c>
      <c r="C1106" t="s">
        <v>273</v>
      </c>
      <c r="D1106">
        <v>3328</v>
      </c>
      <c r="E1106">
        <v>3334</v>
      </c>
      <c r="F1106">
        <v>3327</v>
      </c>
      <c r="G1106">
        <v>3334</v>
      </c>
      <c r="H1106">
        <v>3200</v>
      </c>
    </row>
    <row r="1107" spans="2:8">
      <c r="B1107" t="s">
        <v>463</v>
      </c>
      <c r="C1107" t="s">
        <v>274</v>
      </c>
      <c r="D1107">
        <v>3333</v>
      </c>
      <c r="E1107">
        <v>3333</v>
      </c>
      <c r="F1107">
        <v>3330</v>
      </c>
      <c r="G1107">
        <v>3331</v>
      </c>
      <c r="H1107">
        <v>1500</v>
      </c>
    </row>
    <row r="1108" spans="2:8">
      <c r="B1108" t="s">
        <v>463</v>
      </c>
      <c r="C1108" t="s">
        <v>275</v>
      </c>
      <c r="D1108">
        <v>3332</v>
      </c>
      <c r="E1108">
        <v>3332</v>
      </c>
      <c r="F1108">
        <v>3326</v>
      </c>
      <c r="G1108">
        <v>3326</v>
      </c>
      <c r="H1108">
        <v>1800</v>
      </c>
    </row>
    <row r="1109" spans="2:8">
      <c r="B1109" t="s">
        <v>463</v>
      </c>
      <c r="C1109" t="s">
        <v>276</v>
      </c>
      <c r="D1109">
        <v>3325</v>
      </c>
      <c r="E1109">
        <v>3325</v>
      </c>
      <c r="F1109">
        <v>3322</v>
      </c>
      <c r="G1109">
        <v>3323</v>
      </c>
      <c r="H1109">
        <v>2400</v>
      </c>
    </row>
    <row r="1110" spans="2:8">
      <c r="B1110" t="s">
        <v>463</v>
      </c>
      <c r="C1110" t="s">
        <v>277</v>
      </c>
      <c r="D1110">
        <v>3322</v>
      </c>
      <c r="E1110">
        <v>3322</v>
      </c>
      <c r="F1110">
        <v>3321</v>
      </c>
      <c r="G1110">
        <v>3321</v>
      </c>
      <c r="H1110">
        <v>2000</v>
      </c>
    </row>
    <row r="1111" spans="2:8">
      <c r="B1111" t="s">
        <v>463</v>
      </c>
      <c r="C1111" t="s">
        <v>278</v>
      </c>
      <c r="D1111">
        <v>3321</v>
      </c>
      <c r="E1111">
        <v>3321</v>
      </c>
      <c r="F1111">
        <v>3321</v>
      </c>
      <c r="G1111">
        <v>3321</v>
      </c>
      <c r="H1111">
        <v>400</v>
      </c>
    </row>
    <row r="1112" spans="2:8">
      <c r="B1112" t="s">
        <v>463</v>
      </c>
      <c r="C1112" t="s">
        <v>279</v>
      </c>
      <c r="D1112">
        <v>3320</v>
      </c>
      <c r="E1112">
        <v>3320</v>
      </c>
      <c r="F1112">
        <v>3319</v>
      </c>
      <c r="G1112">
        <v>3320</v>
      </c>
      <c r="H1112">
        <v>1300</v>
      </c>
    </row>
    <row r="1113" spans="2:8">
      <c r="B1113" t="s">
        <v>463</v>
      </c>
      <c r="C1113" t="s">
        <v>280</v>
      </c>
      <c r="D1113">
        <v>3320</v>
      </c>
      <c r="E1113">
        <v>3322</v>
      </c>
      <c r="F1113">
        <v>3320</v>
      </c>
      <c r="G1113">
        <v>3322</v>
      </c>
      <c r="H1113">
        <v>1600</v>
      </c>
    </row>
    <row r="1114" spans="2:8">
      <c r="B1114" t="s">
        <v>463</v>
      </c>
      <c r="C1114" t="s">
        <v>281</v>
      </c>
      <c r="D1114">
        <v>3322</v>
      </c>
      <c r="E1114">
        <v>3322</v>
      </c>
      <c r="F1114">
        <v>3320</v>
      </c>
      <c r="G1114">
        <v>3322</v>
      </c>
      <c r="H1114">
        <v>2200</v>
      </c>
    </row>
    <row r="1115" spans="2:8">
      <c r="B1115" t="s">
        <v>463</v>
      </c>
      <c r="C1115" t="s">
        <v>282</v>
      </c>
      <c r="D1115">
        <v>3321</v>
      </c>
      <c r="E1115">
        <v>3321</v>
      </c>
      <c r="F1115">
        <v>3319</v>
      </c>
      <c r="G1115">
        <v>3319</v>
      </c>
      <c r="H1115">
        <v>1800</v>
      </c>
    </row>
    <row r="1116" spans="2:8">
      <c r="B1116" t="s">
        <v>463</v>
      </c>
      <c r="C1116" t="s">
        <v>283</v>
      </c>
      <c r="D1116">
        <v>3319</v>
      </c>
      <c r="E1116">
        <v>3322</v>
      </c>
      <c r="F1116">
        <v>3319</v>
      </c>
      <c r="G1116">
        <v>3321</v>
      </c>
      <c r="H1116">
        <v>1800</v>
      </c>
    </row>
    <row r="1117" spans="2:8">
      <c r="B1117" t="s">
        <v>463</v>
      </c>
      <c r="C1117" t="s">
        <v>284</v>
      </c>
      <c r="D1117">
        <v>3321</v>
      </c>
      <c r="E1117">
        <v>3322</v>
      </c>
      <c r="F1117">
        <v>3321</v>
      </c>
      <c r="G1117">
        <v>3322</v>
      </c>
      <c r="H1117">
        <v>900</v>
      </c>
    </row>
    <row r="1118" spans="2:8">
      <c r="B1118" t="s">
        <v>463</v>
      </c>
      <c r="C1118" t="s">
        <v>285</v>
      </c>
      <c r="D1118">
        <v>3323</v>
      </c>
      <c r="E1118">
        <v>3327</v>
      </c>
      <c r="F1118">
        <v>3321</v>
      </c>
      <c r="G1118">
        <v>3323</v>
      </c>
      <c r="H1118">
        <v>7000</v>
      </c>
    </row>
    <row r="1119" spans="2:8">
      <c r="B1119" t="s">
        <v>463</v>
      </c>
      <c r="C1119" t="s">
        <v>286</v>
      </c>
      <c r="D1119">
        <v>3321</v>
      </c>
      <c r="E1119">
        <v>3325</v>
      </c>
      <c r="F1119">
        <v>3321</v>
      </c>
      <c r="G1119">
        <v>3325</v>
      </c>
      <c r="H1119">
        <v>900</v>
      </c>
    </row>
    <row r="1120" spans="2:8">
      <c r="B1120" t="s">
        <v>463</v>
      </c>
      <c r="C1120" t="s">
        <v>287</v>
      </c>
      <c r="D1120">
        <v>3325</v>
      </c>
      <c r="E1120">
        <v>3325</v>
      </c>
      <c r="F1120">
        <v>3325</v>
      </c>
      <c r="G1120">
        <v>3325</v>
      </c>
      <c r="H1120">
        <v>400</v>
      </c>
    </row>
    <row r="1121" spans="2:8">
      <c r="B1121" t="s">
        <v>463</v>
      </c>
      <c r="C1121" t="s">
        <v>288</v>
      </c>
      <c r="D1121">
        <v>3324</v>
      </c>
      <c r="E1121">
        <v>3330</v>
      </c>
      <c r="F1121">
        <v>3324</v>
      </c>
      <c r="G1121">
        <v>3329</v>
      </c>
      <c r="H1121">
        <v>6800</v>
      </c>
    </row>
    <row r="1122" spans="2:8">
      <c r="B1122" t="s">
        <v>463</v>
      </c>
      <c r="C1122" t="s">
        <v>289</v>
      </c>
      <c r="D1122">
        <v>3329</v>
      </c>
      <c r="E1122">
        <v>3330</v>
      </c>
      <c r="F1122">
        <v>3328</v>
      </c>
      <c r="G1122">
        <v>3330</v>
      </c>
      <c r="H1122">
        <v>2300</v>
      </c>
    </row>
    <row r="1123" spans="2:8">
      <c r="B1123" t="s">
        <v>463</v>
      </c>
      <c r="C1123" t="s">
        <v>290</v>
      </c>
      <c r="D1123">
        <v>3329</v>
      </c>
      <c r="E1123">
        <v>3329</v>
      </c>
      <c r="F1123">
        <v>3328</v>
      </c>
      <c r="G1123">
        <v>3329</v>
      </c>
      <c r="H1123">
        <v>1800</v>
      </c>
    </row>
    <row r="1124" spans="2:8">
      <c r="B1124" t="s">
        <v>463</v>
      </c>
      <c r="C1124" t="s">
        <v>291</v>
      </c>
      <c r="D1124">
        <v>3328</v>
      </c>
      <c r="E1124">
        <v>3332</v>
      </c>
      <c r="F1124">
        <v>3328</v>
      </c>
      <c r="G1124">
        <v>3332</v>
      </c>
      <c r="H1124">
        <v>900</v>
      </c>
    </row>
    <row r="1125" spans="2:8">
      <c r="B1125" t="s">
        <v>463</v>
      </c>
      <c r="C1125" t="s">
        <v>292</v>
      </c>
      <c r="D1125">
        <v>3332</v>
      </c>
      <c r="E1125">
        <v>3333</v>
      </c>
      <c r="F1125">
        <v>3331</v>
      </c>
      <c r="G1125">
        <v>3331</v>
      </c>
      <c r="H1125">
        <v>1000</v>
      </c>
    </row>
    <row r="1126" spans="2:8">
      <c r="B1126" t="s">
        <v>463</v>
      </c>
      <c r="C1126" t="s">
        <v>293</v>
      </c>
      <c r="D1126">
        <v>3332</v>
      </c>
      <c r="E1126">
        <v>3333</v>
      </c>
      <c r="F1126">
        <v>3329</v>
      </c>
      <c r="G1126">
        <v>3329</v>
      </c>
      <c r="H1126">
        <v>4500</v>
      </c>
    </row>
    <row r="1127" spans="2:8">
      <c r="B1127" t="s">
        <v>463</v>
      </c>
      <c r="C1127" t="s">
        <v>294</v>
      </c>
      <c r="D1127" t="s">
        <v>8</v>
      </c>
      <c r="E1127" t="s">
        <v>8</v>
      </c>
      <c r="F1127" t="s">
        <v>8</v>
      </c>
      <c r="G1127" t="s">
        <v>8</v>
      </c>
      <c r="H1127">
        <v>0</v>
      </c>
    </row>
    <row r="1128" spans="2:8">
      <c r="B1128" t="s">
        <v>463</v>
      </c>
      <c r="C1128" t="s">
        <v>295</v>
      </c>
      <c r="D1128">
        <v>3330</v>
      </c>
      <c r="E1128">
        <v>3331</v>
      </c>
      <c r="F1128">
        <v>3328</v>
      </c>
      <c r="G1128">
        <v>3331</v>
      </c>
      <c r="H1128">
        <v>3100</v>
      </c>
    </row>
    <row r="1129" spans="2:8">
      <c r="B1129" t="s">
        <v>463</v>
      </c>
      <c r="C1129" t="s">
        <v>296</v>
      </c>
      <c r="D1129">
        <v>3331</v>
      </c>
      <c r="E1129">
        <v>3337</v>
      </c>
      <c r="F1129">
        <v>3331</v>
      </c>
      <c r="G1129">
        <v>3332</v>
      </c>
      <c r="H1129">
        <v>8800</v>
      </c>
    </row>
    <row r="1130" spans="2:8">
      <c r="B1130" t="s">
        <v>463</v>
      </c>
      <c r="C1130" t="s">
        <v>297</v>
      </c>
      <c r="D1130">
        <v>3333</v>
      </c>
      <c r="E1130">
        <v>3333</v>
      </c>
      <c r="F1130">
        <v>3333</v>
      </c>
      <c r="G1130">
        <v>3333</v>
      </c>
      <c r="H1130">
        <v>600</v>
      </c>
    </row>
    <row r="1131" spans="2:8">
      <c r="B1131" t="s">
        <v>463</v>
      </c>
      <c r="C1131" t="s">
        <v>298</v>
      </c>
      <c r="D1131">
        <v>3333</v>
      </c>
      <c r="E1131">
        <v>3337</v>
      </c>
      <c r="F1131">
        <v>3333</v>
      </c>
      <c r="G1131">
        <v>3337</v>
      </c>
      <c r="H1131">
        <v>1000</v>
      </c>
    </row>
    <row r="1132" spans="2:8">
      <c r="B1132" t="s">
        <v>463</v>
      </c>
      <c r="C1132" t="s">
        <v>299</v>
      </c>
      <c r="D1132">
        <v>3336</v>
      </c>
      <c r="E1132">
        <v>3342</v>
      </c>
      <c r="F1132">
        <v>3335</v>
      </c>
      <c r="G1132">
        <v>3337</v>
      </c>
      <c r="H1132">
        <v>13400</v>
      </c>
    </row>
    <row r="1133" spans="2:8">
      <c r="B1133" t="s">
        <v>463</v>
      </c>
      <c r="C1133" t="s">
        <v>300</v>
      </c>
      <c r="D1133">
        <v>3338</v>
      </c>
      <c r="E1133">
        <v>3342</v>
      </c>
      <c r="F1133">
        <v>3338</v>
      </c>
      <c r="G1133">
        <v>3342</v>
      </c>
      <c r="H1133">
        <v>2000</v>
      </c>
    </row>
    <row r="1134" spans="2:8">
      <c r="B1134" t="s">
        <v>463</v>
      </c>
      <c r="C1134" t="s">
        <v>301</v>
      </c>
      <c r="D1134">
        <v>3341</v>
      </c>
      <c r="E1134">
        <v>3343</v>
      </c>
      <c r="F1134">
        <v>3340</v>
      </c>
      <c r="G1134">
        <v>3343</v>
      </c>
      <c r="H1134">
        <v>2300</v>
      </c>
    </row>
    <row r="1135" spans="2:8">
      <c r="B1135" t="s">
        <v>463</v>
      </c>
      <c r="C1135" t="s">
        <v>302</v>
      </c>
      <c r="D1135">
        <v>3343</v>
      </c>
      <c r="E1135">
        <v>3343</v>
      </c>
      <c r="F1135">
        <v>3337</v>
      </c>
      <c r="G1135">
        <v>3338</v>
      </c>
      <c r="H1135">
        <v>3900</v>
      </c>
    </row>
    <row r="1136" spans="2:8">
      <c r="B1136" t="s">
        <v>463</v>
      </c>
      <c r="C1136" t="s">
        <v>303</v>
      </c>
      <c r="D1136">
        <v>3337</v>
      </c>
      <c r="E1136">
        <v>3337</v>
      </c>
      <c r="F1136">
        <v>3335</v>
      </c>
      <c r="G1136">
        <v>3336</v>
      </c>
      <c r="H1136">
        <v>1400</v>
      </c>
    </row>
    <row r="1137" spans="2:8">
      <c r="B1137" t="s">
        <v>463</v>
      </c>
      <c r="C1137" t="s">
        <v>304</v>
      </c>
      <c r="D1137">
        <v>3337</v>
      </c>
      <c r="E1137">
        <v>3338</v>
      </c>
      <c r="F1137">
        <v>3336</v>
      </c>
      <c r="G1137">
        <v>3337</v>
      </c>
      <c r="H1137">
        <v>1900</v>
      </c>
    </row>
    <row r="1138" spans="2:8">
      <c r="B1138" t="s">
        <v>463</v>
      </c>
      <c r="C1138" t="s">
        <v>305</v>
      </c>
      <c r="D1138">
        <v>3336</v>
      </c>
      <c r="E1138">
        <v>3336</v>
      </c>
      <c r="F1138">
        <v>3333</v>
      </c>
      <c r="G1138">
        <v>3336</v>
      </c>
      <c r="H1138">
        <v>1700</v>
      </c>
    </row>
    <row r="1139" spans="2:8">
      <c r="B1139" t="s">
        <v>463</v>
      </c>
      <c r="C1139" t="s">
        <v>306</v>
      </c>
      <c r="D1139">
        <v>3337</v>
      </c>
      <c r="E1139">
        <v>3339</v>
      </c>
      <c r="F1139">
        <v>3336</v>
      </c>
      <c r="G1139">
        <v>3339</v>
      </c>
      <c r="H1139">
        <v>1500</v>
      </c>
    </row>
    <row r="1140" spans="2:8">
      <c r="B1140" t="s">
        <v>463</v>
      </c>
      <c r="C1140" t="s">
        <v>307</v>
      </c>
      <c r="D1140">
        <v>3338</v>
      </c>
      <c r="E1140">
        <v>3339</v>
      </c>
      <c r="F1140">
        <v>3337</v>
      </c>
      <c r="G1140">
        <v>3339</v>
      </c>
      <c r="H1140">
        <v>1100</v>
      </c>
    </row>
    <row r="1141" spans="2:8">
      <c r="B1141" t="s">
        <v>463</v>
      </c>
      <c r="C1141" t="s">
        <v>308</v>
      </c>
      <c r="D1141">
        <v>3340</v>
      </c>
      <c r="E1141">
        <v>3344</v>
      </c>
      <c r="F1141">
        <v>3338</v>
      </c>
      <c r="G1141">
        <v>3340</v>
      </c>
      <c r="H1141">
        <v>6200</v>
      </c>
    </row>
    <row r="1142" spans="2:8">
      <c r="B1142" t="s">
        <v>463</v>
      </c>
      <c r="C1142" t="s">
        <v>309</v>
      </c>
      <c r="D1142">
        <v>3340</v>
      </c>
      <c r="E1142">
        <v>3341</v>
      </c>
      <c r="F1142">
        <v>3339</v>
      </c>
      <c r="G1142">
        <v>3340</v>
      </c>
      <c r="H1142">
        <v>1300</v>
      </c>
    </row>
    <row r="1143" spans="2:8">
      <c r="B1143" t="s">
        <v>463</v>
      </c>
      <c r="C1143" t="s">
        <v>310</v>
      </c>
      <c r="D1143">
        <v>3341</v>
      </c>
      <c r="E1143">
        <v>3344</v>
      </c>
      <c r="F1143">
        <v>3341</v>
      </c>
      <c r="G1143">
        <v>3343</v>
      </c>
      <c r="H1143">
        <v>3200</v>
      </c>
    </row>
    <row r="1144" spans="2:8">
      <c r="B1144" t="s">
        <v>463</v>
      </c>
      <c r="C1144" t="s">
        <v>311</v>
      </c>
      <c r="D1144">
        <v>3344</v>
      </c>
      <c r="E1144">
        <v>3345</v>
      </c>
      <c r="F1144">
        <v>3344</v>
      </c>
      <c r="G1144">
        <v>3344</v>
      </c>
      <c r="H1144">
        <v>800</v>
      </c>
    </row>
    <row r="1145" spans="2:8">
      <c r="B1145" t="s">
        <v>463</v>
      </c>
      <c r="C1145" t="s">
        <v>312</v>
      </c>
      <c r="D1145">
        <v>3344</v>
      </c>
      <c r="E1145">
        <v>3351</v>
      </c>
      <c r="F1145">
        <v>3343</v>
      </c>
      <c r="G1145">
        <v>3348</v>
      </c>
      <c r="H1145">
        <v>35000</v>
      </c>
    </row>
    <row r="1146" spans="2:8">
      <c r="B1146" t="s">
        <v>463</v>
      </c>
      <c r="C1146" t="s">
        <v>313</v>
      </c>
      <c r="D1146">
        <v>3348</v>
      </c>
      <c r="E1146">
        <v>3351</v>
      </c>
      <c r="F1146">
        <v>3348</v>
      </c>
      <c r="G1146">
        <v>3348</v>
      </c>
      <c r="H1146">
        <v>4100</v>
      </c>
    </row>
    <row r="1147" spans="2:8">
      <c r="B1147" t="s">
        <v>463</v>
      </c>
      <c r="C1147" t="s">
        <v>314</v>
      </c>
      <c r="D1147">
        <v>3349</v>
      </c>
      <c r="E1147">
        <v>3350</v>
      </c>
      <c r="F1147">
        <v>3348</v>
      </c>
      <c r="G1147">
        <v>3350</v>
      </c>
      <c r="H1147">
        <v>1800</v>
      </c>
    </row>
    <row r="1148" spans="2:8">
      <c r="B1148" t="s">
        <v>463</v>
      </c>
      <c r="C1148" t="s">
        <v>315</v>
      </c>
      <c r="D1148">
        <v>3350</v>
      </c>
      <c r="E1148">
        <v>3352</v>
      </c>
      <c r="F1148">
        <v>3346</v>
      </c>
      <c r="G1148">
        <v>3348</v>
      </c>
      <c r="H1148">
        <v>5500</v>
      </c>
    </row>
    <row r="1149" spans="2:8">
      <c r="B1149" t="s">
        <v>463</v>
      </c>
      <c r="C1149" t="s">
        <v>316</v>
      </c>
      <c r="D1149">
        <v>3349</v>
      </c>
      <c r="E1149">
        <v>3349</v>
      </c>
      <c r="F1149">
        <v>3349</v>
      </c>
      <c r="G1149">
        <v>3349</v>
      </c>
      <c r="H1149">
        <v>1200</v>
      </c>
    </row>
    <row r="1150" spans="2:8">
      <c r="B1150" t="s">
        <v>463</v>
      </c>
      <c r="C1150" t="s">
        <v>317</v>
      </c>
      <c r="D1150">
        <v>3347</v>
      </c>
      <c r="E1150">
        <v>3347</v>
      </c>
      <c r="F1150">
        <v>3341</v>
      </c>
      <c r="G1150">
        <v>3343</v>
      </c>
      <c r="H1150">
        <v>15200</v>
      </c>
    </row>
    <row r="1151" spans="2:8">
      <c r="B1151" t="s">
        <v>463</v>
      </c>
      <c r="C1151" t="s">
        <v>318</v>
      </c>
      <c r="D1151">
        <v>3343</v>
      </c>
      <c r="E1151">
        <v>3348</v>
      </c>
      <c r="F1151">
        <v>3340</v>
      </c>
      <c r="G1151">
        <v>3347</v>
      </c>
      <c r="H1151">
        <v>7800</v>
      </c>
    </row>
    <row r="1152" spans="2:8">
      <c r="B1152" t="s">
        <v>463</v>
      </c>
      <c r="C1152" t="s">
        <v>319</v>
      </c>
      <c r="D1152">
        <v>3347</v>
      </c>
      <c r="E1152">
        <v>3370</v>
      </c>
      <c r="F1152">
        <v>3347</v>
      </c>
      <c r="G1152">
        <v>3369</v>
      </c>
      <c r="H1152">
        <v>34500</v>
      </c>
    </row>
    <row r="1153" spans="2:8">
      <c r="B1153" t="s">
        <v>463</v>
      </c>
      <c r="C1153" t="s">
        <v>320</v>
      </c>
      <c r="D1153">
        <v>3368</v>
      </c>
      <c r="E1153">
        <v>3379</v>
      </c>
      <c r="F1153">
        <v>3368</v>
      </c>
      <c r="G1153">
        <v>3376</v>
      </c>
      <c r="H1153">
        <v>13600</v>
      </c>
    </row>
    <row r="1154" spans="2:8">
      <c r="B1154" t="s">
        <v>463</v>
      </c>
      <c r="C1154" t="s">
        <v>321</v>
      </c>
      <c r="D1154">
        <v>3376</v>
      </c>
      <c r="E1154">
        <v>3378</v>
      </c>
      <c r="F1154">
        <v>3374</v>
      </c>
      <c r="G1154">
        <v>3376</v>
      </c>
      <c r="H1154">
        <v>6500</v>
      </c>
    </row>
    <row r="1155" spans="2:8">
      <c r="B1155" t="s">
        <v>463</v>
      </c>
      <c r="C1155" t="s">
        <v>322</v>
      </c>
      <c r="D1155">
        <v>3376</v>
      </c>
      <c r="E1155">
        <v>3378</v>
      </c>
      <c r="F1155">
        <v>3376</v>
      </c>
      <c r="G1155">
        <v>3377</v>
      </c>
      <c r="H1155">
        <v>4700</v>
      </c>
    </row>
    <row r="1156" spans="2:8">
      <c r="B1156" t="s">
        <v>463</v>
      </c>
      <c r="C1156" t="s">
        <v>323</v>
      </c>
      <c r="D1156">
        <v>3377</v>
      </c>
      <c r="E1156">
        <v>3378</v>
      </c>
      <c r="F1156">
        <v>3376</v>
      </c>
      <c r="G1156">
        <v>3377</v>
      </c>
      <c r="H1156">
        <v>5100</v>
      </c>
    </row>
    <row r="1157" spans="2:8">
      <c r="B1157" t="s">
        <v>463</v>
      </c>
      <c r="C1157" t="s">
        <v>324</v>
      </c>
      <c r="D1157">
        <v>3377</v>
      </c>
      <c r="E1157">
        <v>3385</v>
      </c>
      <c r="F1157">
        <v>3377</v>
      </c>
      <c r="G1157">
        <v>3384</v>
      </c>
      <c r="H1157">
        <v>13100</v>
      </c>
    </row>
    <row r="1158" spans="2:8">
      <c r="B1158" t="s">
        <v>463</v>
      </c>
      <c r="C1158" t="s">
        <v>325</v>
      </c>
      <c r="D1158">
        <v>3384</v>
      </c>
      <c r="E1158">
        <v>3388</v>
      </c>
      <c r="F1158">
        <v>3383</v>
      </c>
      <c r="G1158">
        <v>3388</v>
      </c>
      <c r="H1158">
        <v>10400</v>
      </c>
    </row>
    <row r="1159" spans="2:8">
      <c r="B1159" t="s">
        <v>463</v>
      </c>
      <c r="C1159" t="s">
        <v>326</v>
      </c>
      <c r="D1159">
        <v>3386</v>
      </c>
      <c r="E1159">
        <v>3386</v>
      </c>
      <c r="F1159">
        <v>3368</v>
      </c>
      <c r="G1159">
        <v>3368</v>
      </c>
      <c r="H1159">
        <v>18800</v>
      </c>
    </row>
    <row r="1160" spans="2:8">
      <c r="B1160" t="s">
        <v>463</v>
      </c>
      <c r="C1160" t="s">
        <v>327</v>
      </c>
      <c r="D1160">
        <v>3369</v>
      </c>
      <c r="E1160">
        <v>3369</v>
      </c>
      <c r="F1160">
        <v>3361</v>
      </c>
      <c r="G1160">
        <v>3364</v>
      </c>
      <c r="H1160">
        <v>6400</v>
      </c>
    </row>
    <row r="1161" spans="2:8">
      <c r="B1161" t="s">
        <v>463</v>
      </c>
      <c r="C1161" t="s">
        <v>328</v>
      </c>
      <c r="D1161">
        <v>3363</v>
      </c>
      <c r="E1161">
        <v>3367</v>
      </c>
      <c r="F1161">
        <v>3360</v>
      </c>
      <c r="G1161">
        <v>3367</v>
      </c>
      <c r="H1161">
        <v>9100</v>
      </c>
    </row>
    <row r="1162" spans="2:8">
      <c r="B1162" t="s">
        <v>463</v>
      </c>
      <c r="C1162" t="s">
        <v>329</v>
      </c>
      <c r="D1162">
        <v>3367</v>
      </c>
      <c r="E1162">
        <v>3368</v>
      </c>
      <c r="F1162">
        <v>3356</v>
      </c>
      <c r="G1162">
        <v>3357</v>
      </c>
      <c r="H1162">
        <v>11200</v>
      </c>
    </row>
    <row r="1163" spans="2:8">
      <c r="B1163" t="s">
        <v>463</v>
      </c>
      <c r="C1163" t="s">
        <v>330</v>
      </c>
      <c r="D1163">
        <v>3357</v>
      </c>
      <c r="E1163">
        <v>3358</v>
      </c>
      <c r="F1163">
        <v>3352</v>
      </c>
      <c r="G1163">
        <v>3354</v>
      </c>
      <c r="H1163">
        <v>9400</v>
      </c>
    </row>
    <row r="1164" spans="2:8">
      <c r="B1164" t="s">
        <v>463</v>
      </c>
      <c r="C1164" t="s">
        <v>331</v>
      </c>
      <c r="D1164">
        <v>3355</v>
      </c>
      <c r="E1164">
        <v>3363</v>
      </c>
      <c r="F1164">
        <v>3355</v>
      </c>
      <c r="G1164">
        <v>3358</v>
      </c>
      <c r="H1164">
        <v>9900</v>
      </c>
    </row>
    <row r="1165" spans="2:8">
      <c r="B1165" t="s">
        <v>463</v>
      </c>
      <c r="C1165" t="s">
        <v>332</v>
      </c>
      <c r="D1165">
        <v>3358</v>
      </c>
      <c r="E1165">
        <v>3361</v>
      </c>
      <c r="F1165">
        <v>3356</v>
      </c>
      <c r="G1165">
        <v>3358</v>
      </c>
      <c r="H1165">
        <v>8300</v>
      </c>
    </row>
    <row r="1166" spans="2:8">
      <c r="B1166" t="s">
        <v>463</v>
      </c>
      <c r="C1166" t="s">
        <v>333</v>
      </c>
      <c r="D1166">
        <v>3359</v>
      </c>
      <c r="E1166">
        <v>3364</v>
      </c>
      <c r="F1166">
        <v>3359</v>
      </c>
      <c r="G1166">
        <v>3360</v>
      </c>
      <c r="H1166">
        <v>3900</v>
      </c>
    </row>
    <row r="1167" spans="2:8">
      <c r="B1167" t="s">
        <v>463</v>
      </c>
      <c r="C1167" t="s">
        <v>334</v>
      </c>
      <c r="D1167">
        <v>3361</v>
      </c>
      <c r="E1167">
        <v>3362</v>
      </c>
      <c r="F1167">
        <v>3360</v>
      </c>
      <c r="G1167">
        <v>3361</v>
      </c>
      <c r="H1167">
        <v>1800</v>
      </c>
    </row>
    <row r="1168" spans="2:8">
      <c r="B1168" t="s">
        <v>463</v>
      </c>
      <c r="C1168" t="s">
        <v>335</v>
      </c>
      <c r="D1168">
        <v>3362</v>
      </c>
      <c r="E1168">
        <v>3368</v>
      </c>
      <c r="F1168">
        <v>3362</v>
      </c>
      <c r="G1168">
        <v>3363</v>
      </c>
      <c r="H1168">
        <v>8400</v>
      </c>
    </row>
    <row r="1169" spans="2:8">
      <c r="B1169" t="s">
        <v>463</v>
      </c>
      <c r="C1169" t="s">
        <v>336</v>
      </c>
      <c r="D1169">
        <v>3364</v>
      </c>
      <c r="E1169">
        <v>3369</v>
      </c>
      <c r="F1169">
        <v>3364</v>
      </c>
      <c r="G1169">
        <v>3365</v>
      </c>
      <c r="H1169">
        <v>8200</v>
      </c>
    </row>
    <row r="1170" spans="2:8">
      <c r="B1170" t="s">
        <v>463</v>
      </c>
      <c r="C1170" t="s">
        <v>337</v>
      </c>
      <c r="D1170">
        <v>3363</v>
      </c>
      <c r="E1170">
        <v>3363</v>
      </c>
      <c r="F1170">
        <v>3359</v>
      </c>
      <c r="G1170">
        <v>3359</v>
      </c>
      <c r="H1170">
        <v>4600</v>
      </c>
    </row>
    <row r="1171" spans="2:8">
      <c r="B1171" t="s">
        <v>463</v>
      </c>
      <c r="C1171" t="s">
        <v>338</v>
      </c>
      <c r="D1171">
        <v>3360</v>
      </c>
      <c r="E1171">
        <v>3360</v>
      </c>
      <c r="F1171">
        <v>3354</v>
      </c>
      <c r="G1171">
        <v>3354</v>
      </c>
      <c r="H1171">
        <v>8800</v>
      </c>
    </row>
    <row r="1172" spans="2:8">
      <c r="B1172" t="s">
        <v>463</v>
      </c>
      <c r="C1172" t="s">
        <v>339</v>
      </c>
      <c r="D1172">
        <v>3354</v>
      </c>
      <c r="E1172">
        <v>3354</v>
      </c>
      <c r="F1172">
        <v>3351</v>
      </c>
      <c r="G1172">
        <v>3353</v>
      </c>
      <c r="H1172">
        <v>2000</v>
      </c>
    </row>
    <row r="1173" spans="2:8">
      <c r="B1173" t="s">
        <v>463</v>
      </c>
      <c r="C1173" t="s">
        <v>340</v>
      </c>
      <c r="D1173">
        <v>3353</v>
      </c>
      <c r="E1173">
        <v>3354</v>
      </c>
      <c r="F1173">
        <v>3353</v>
      </c>
      <c r="G1173">
        <v>3354</v>
      </c>
      <c r="H1173">
        <v>4300</v>
      </c>
    </row>
    <row r="1174" spans="2:8">
      <c r="B1174" t="s">
        <v>463</v>
      </c>
      <c r="C1174" t="s">
        <v>341</v>
      </c>
      <c r="D1174">
        <v>3354</v>
      </c>
      <c r="E1174">
        <v>3356</v>
      </c>
      <c r="F1174">
        <v>3353</v>
      </c>
      <c r="G1174">
        <v>3356</v>
      </c>
      <c r="H1174">
        <v>5900</v>
      </c>
    </row>
    <row r="1175" spans="2:8">
      <c r="B1175" t="s">
        <v>463</v>
      </c>
      <c r="C1175" t="s">
        <v>342</v>
      </c>
      <c r="D1175">
        <v>3357</v>
      </c>
      <c r="E1175">
        <v>3357</v>
      </c>
      <c r="F1175">
        <v>3355</v>
      </c>
      <c r="G1175">
        <v>3356</v>
      </c>
      <c r="H1175">
        <v>1600</v>
      </c>
    </row>
    <row r="1176" spans="2:8">
      <c r="B1176" t="s">
        <v>463</v>
      </c>
      <c r="C1176" t="s">
        <v>343</v>
      </c>
      <c r="D1176">
        <v>3355</v>
      </c>
      <c r="E1176">
        <v>3355</v>
      </c>
      <c r="F1176">
        <v>3354</v>
      </c>
      <c r="G1176">
        <v>3355</v>
      </c>
      <c r="H1176">
        <v>2700</v>
      </c>
    </row>
    <row r="1177" spans="2:8">
      <c r="B1177" t="s">
        <v>463</v>
      </c>
      <c r="C1177" t="s">
        <v>344</v>
      </c>
      <c r="D1177">
        <v>3355</v>
      </c>
      <c r="E1177">
        <v>3355</v>
      </c>
      <c r="F1177">
        <v>3352</v>
      </c>
      <c r="G1177">
        <v>3352</v>
      </c>
      <c r="H1177">
        <v>2700</v>
      </c>
    </row>
    <row r="1178" spans="2:8">
      <c r="B1178" t="s">
        <v>463</v>
      </c>
      <c r="C1178" t="s">
        <v>345</v>
      </c>
      <c r="D1178">
        <v>3352</v>
      </c>
      <c r="E1178">
        <v>3352</v>
      </c>
      <c r="F1178">
        <v>3350</v>
      </c>
      <c r="G1178">
        <v>3350</v>
      </c>
      <c r="H1178">
        <v>1800</v>
      </c>
    </row>
    <row r="1179" spans="2:8">
      <c r="B1179" t="s">
        <v>463</v>
      </c>
      <c r="C1179" t="s">
        <v>346</v>
      </c>
      <c r="D1179">
        <v>3350</v>
      </c>
      <c r="E1179">
        <v>3352</v>
      </c>
      <c r="F1179">
        <v>3350</v>
      </c>
      <c r="G1179">
        <v>3350</v>
      </c>
      <c r="H1179">
        <v>2900</v>
      </c>
    </row>
    <row r="1180" spans="2:8">
      <c r="B1180" t="s">
        <v>463</v>
      </c>
      <c r="C1180" t="s">
        <v>347</v>
      </c>
      <c r="D1180">
        <v>3351</v>
      </c>
      <c r="E1180">
        <v>3351</v>
      </c>
      <c r="F1180">
        <v>3344</v>
      </c>
      <c r="G1180">
        <v>3344</v>
      </c>
      <c r="H1180">
        <v>8800</v>
      </c>
    </row>
    <row r="1181" spans="2:8">
      <c r="B1181" t="s">
        <v>463</v>
      </c>
      <c r="C1181" t="s">
        <v>348</v>
      </c>
      <c r="D1181">
        <v>3345</v>
      </c>
      <c r="E1181">
        <v>3356</v>
      </c>
      <c r="F1181">
        <v>3345</v>
      </c>
      <c r="G1181">
        <v>3356</v>
      </c>
      <c r="H1181">
        <v>9500</v>
      </c>
    </row>
    <row r="1182" spans="2:8">
      <c r="B1182" t="s">
        <v>463</v>
      </c>
      <c r="C1182" t="s">
        <v>349</v>
      </c>
      <c r="D1182">
        <v>3357</v>
      </c>
      <c r="E1182">
        <v>3357</v>
      </c>
      <c r="F1182">
        <v>3356</v>
      </c>
      <c r="G1182">
        <v>3357</v>
      </c>
      <c r="H1182">
        <v>2200</v>
      </c>
    </row>
    <row r="1183" spans="2:8">
      <c r="B1183" t="s">
        <v>463</v>
      </c>
      <c r="C1183" t="s">
        <v>350</v>
      </c>
      <c r="D1183">
        <v>3357</v>
      </c>
      <c r="E1183">
        <v>3357</v>
      </c>
      <c r="F1183">
        <v>3357</v>
      </c>
      <c r="G1183">
        <v>3357</v>
      </c>
      <c r="H1183">
        <v>800</v>
      </c>
    </row>
    <row r="1184" spans="2:8">
      <c r="B1184" t="s">
        <v>463</v>
      </c>
      <c r="C1184" t="s">
        <v>351</v>
      </c>
      <c r="D1184">
        <v>3356</v>
      </c>
      <c r="E1184">
        <v>3356</v>
      </c>
      <c r="F1184">
        <v>3353</v>
      </c>
      <c r="G1184">
        <v>3353</v>
      </c>
      <c r="H1184">
        <v>3200</v>
      </c>
    </row>
    <row r="1185" spans="2:8">
      <c r="B1185" t="s">
        <v>463</v>
      </c>
      <c r="C1185" t="s">
        <v>352</v>
      </c>
      <c r="D1185">
        <v>3354</v>
      </c>
      <c r="E1185">
        <v>3355</v>
      </c>
      <c r="F1185">
        <v>3351</v>
      </c>
      <c r="G1185">
        <v>3355</v>
      </c>
      <c r="H1185">
        <v>3000</v>
      </c>
    </row>
    <row r="1186" spans="2:8">
      <c r="B1186" t="s">
        <v>463</v>
      </c>
      <c r="C1186" t="s">
        <v>353</v>
      </c>
      <c r="D1186">
        <v>3355</v>
      </c>
      <c r="E1186">
        <v>3359</v>
      </c>
      <c r="F1186">
        <v>3355</v>
      </c>
      <c r="G1186">
        <v>3359</v>
      </c>
      <c r="H1186">
        <v>5600</v>
      </c>
    </row>
    <row r="1187" spans="2:8">
      <c r="B1187" t="s">
        <v>463</v>
      </c>
      <c r="C1187" t="s">
        <v>354</v>
      </c>
      <c r="D1187">
        <v>3360</v>
      </c>
      <c r="E1187">
        <v>3360</v>
      </c>
      <c r="F1187">
        <v>3357</v>
      </c>
      <c r="G1187">
        <v>3357</v>
      </c>
      <c r="H1187">
        <v>4100</v>
      </c>
    </row>
    <row r="1188" spans="2:8">
      <c r="B1188" t="s">
        <v>463</v>
      </c>
      <c r="C1188" t="s">
        <v>355</v>
      </c>
      <c r="D1188">
        <v>3358</v>
      </c>
      <c r="E1188">
        <v>3358</v>
      </c>
      <c r="F1188">
        <v>3357</v>
      </c>
      <c r="G1188">
        <v>3358</v>
      </c>
      <c r="H1188">
        <v>1800</v>
      </c>
    </row>
    <row r="1189" spans="2:8">
      <c r="B1189" t="s">
        <v>463</v>
      </c>
      <c r="C1189" t="s">
        <v>356</v>
      </c>
      <c r="D1189">
        <v>3358</v>
      </c>
      <c r="E1189">
        <v>3359</v>
      </c>
      <c r="F1189">
        <v>3358</v>
      </c>
      <c r="G1189">
        <v>3358</v>
      </c>
      <c r="H1189">
        <v>2200</v>
      </c>
    </row>
    <row r="1190" spans="2:8">
      <c r="B1190" t="s">
        <v>463</v>
      </c>
      <c r="C1190" t="s">
        <v>357</v>
      </c>
      <c r="D1190">
        <v>3359</v>
      </c>
      <c r="E1190">
        <v>3359</v>
      </c>
      <c r="F1190">
        <v>3356</v>
      </c>
      <c r="G1190">
        <v>3356</v>
      </c>
      <c r="H1190">
        <v>2300</v>
      </c>
    </row>
    <row r="1191" spans="2:8">
      <c r="B1191" t="s">
        <v>463</v>
      </c>
      <c r="C1191" t="s">
        <v>358</v>
      </c>
      <c r="D1191">
        <v>3355</v>
      </c>
      <c r="E1191">
        <v>3355</v>
      </c>
      <c r="F1191">
        <v>3355</v>
      </c>
      <c r="G1191">
        <v>3355</v>
      </c>
      <c r="H1191">
        <v>800</v>
      </c>
    </row>
    <row r="1192" spans="2:8">
      <c r="B1192" t="s">
        <v>463</v>
      </c>
      <c r="C1192" t="s">
        <v>359</v>
      </c>
      <c r="D1192">
        <v>3356</v>
      </c>
      <c r="E1192">
        <v>3356</v>
      </c>
      <c r="F1192">
        <v>3355</v>
      </c>
      <c r="G1192">
        <v>3356</v>
      </c>
      <c r="H1192">
        <v>1800</v>
      </c>
    </row>
    <row r="1193" spans="2:8">
      <c r="B1193" t="s">
        <v>463</v>
      </c>
      <c r="C1193" t="s">
        <v>360</v>
      </c>
      <c r="D1193">
        <v>3356</v>
      </c>
      <c r="E1193">
        <v>3361</v>
      </c>
      <c r="F1193">
        <v>3355</v>
      </c>
      <c r="G1193">
        <v>3356</v>
      </c>
      <c r="H1193">
        <v>13600</v>
      </c>
    </row>
    <row r="1194" spans="2:8">
      <c r="B1194" t="s">
        <v>463</v>
      </c>
      <c r="C1194" t="s">
        <v>361</v>
      </c>
      <c r="D1194">
        <v>3356</v>
      </c>
      <c r="E1194">
        <v>3356</v>
      </c>
      <c r="F1194">
        <v>3355</v>
      </c>
      <c r="G1194">
        <v>3355</v>
      </c>
      <c r="H1194">
        <v>1600</v>
      </c>
    </row>
    <row r="1195" spans="2:8">
      <c r="B1195" t="s">
        <v>463</v>
      </c>
      <c r="C1195" t="s">
        <v>362</v>
      </c>
      <c r="D1195">
        <v>3355</v>
      </c>
      <c r="E1195">
        <v>3355</v>
      </c>
      <c r="F1195">
        <v>3350</v>
      </c>
      <c r="G1195">
        <v>3350</v>
      </c>
      <c r="H1195">
        <v>3700</v>
      </c>
    </row>
    <row r="1196" spans="2:8">
      <c r="B1196" t="s">
        <v>463</v>
      </c>
      <c r="C1196" t="s">
        <v>363</v>
      </c>
      <c r="D1196">
        <v>3349</v>
      </c>
      <c r="E1196">
        <v>3349</v>
      </c>
      <c r="F1196">
        <v>3345</v>
      </c>
      <c r="G1196">
        <v>3345</v>
      </c>
      <c r="H1196">
        <v>3600</v>
      </c>
    </row>
    <row r="1197" spans="2:8">
      <c r="B1197" t="s">
        <v>463</v>
      </c>
      <c r="C1197" t="s">
        <v>364</v>
      </c>
      <c r="D1197">
        <v>3346</v>
      </c>
      <c r="E1197">
        <v>3346</v>
      </c>
      <c r="F1197">
        <v>3346</v>
      </c>
      <c r="G1197">
        <v>3346</v>
      </c>
      <c r="H1197">
        <v>1600</v>
      </c>
    </row>
    <row r="1198" spans="2:8">
      <c r="B1198" t="s">
        <v>463</v>
      </c>
      <c r="C1198" t="s">
        <v>365</v>
      </c>
      <c r="D1198">
        <v>3347</v>
      </c>
      <c r="E1198">
        <v>3348</v>
      </c>
      <c r="F1198">
        <v>3347</v>
      </c>
      <c r="G1198">
        <v>3348</v>
      </c>
      <c r="H1198">
        <v>2500</v>
      </c>
    </row>
    <row r="1199" spans="2:8">
      <c r="B1199" t="s">
        <v>463</v>
      </c>
      <c r="C1199" t="s">
        <v>366</v>
      </c>
      <c r="D1199">
        <v>3348</v>
      </c>
      <c r="E1199">
        <v>3348</v>
      </c>
      <c r="F1199">
        <v>3348</v>
      </c>
      <c r="G1199">
        <v>3348</v>
      </c>
      <c r="H1199">
        <v>800</v>
      </c>
    </row>
    <row r="1200" spans="2:8">
      <c r="B1200" t="s">
        <v>463</v>
      </c>
      <c r="C1200" t="s">
        <v>367</v>
      </c>
      <c r="D1200">
        <v>3348</v>
      </c>
      <c r="E1200">
        <v>3352</v>
      </c>
      <c r="F1200">
        <v>3347</v>
      </c>
      <c r="G1200">
        <v>3348</v>
      </c>
      <c r="H1200">
        <v>13900</v>
      </c>
    </row>
    <row r="1201" spans="2:8">
      <c r="B1201" t="s">
        <v>463</v>
      </c>
      <c r="C1201" t="s">
        <v>368</v>
      </c>
      <c r="D1201">
        <v>3349</v>
      </c>
      <c r="E1201">
        <v>3349</v>
      </c>
      <c r="F1201">
        <v>3349</v>
      </c>
      <c r="G1201">
        <v>3349</v>
      </c>
      <c r="H1201">
        <v>800</v>
      </c>
    </row>
    <row r="1202" spans="2:8">
      <c r="B1202" t="s">
        <v>463</v>
      </c>
      <c r="C1202" t="s">
        <v>369</v>
      </c>
      <c r="D1202">
        <v>3349</v>
      </c>
      <c r="E1202">
        <v>3351</v>
      </c>
      <c r="F1202">
        <v>3349</v>
      </c>
      <c r="G1202">
        <v>3350</v>
      </c>
      <c r="H1202">
        <v>1400</v>
      </c>
    </row>
    <row r="1203" spans="2:8">
      <c r="B1203" t="s">
        <v>463</v>
      </c>
      <c r="C1203" t="s">
        <v>370</v>
      </c>
      <c r="D1203">
        <v>3351</v>
      </c>
      <c r="E1203">
        <v>3351</v>
      </c>
      <c r="F1203">
        <v>3348</v>
      </c>
      <c r="G1203">
        <v>3351</v>
      </c>
      <c r="H1203">
        <v>3900</v>
      </c>
    </row>
    <row r="1204" spans="2:8">
      <c r="B1204" t="s">
        <v>463</v>
      </c>
      <c r="C1204" t="s">
        <v>371</v>
      </c>
      <c r="D1204">
        <v>3351</v>
      </c>
      <c r="E1204">
        <v>3351</v>
      </c>
      <c r="F1204">
        <v>3351</v>
      </c>
      <c r="G1204">
        <v>3351</v>
      </c>
      <c r="H1204">
        <v>1800</v>
      </c>
    </row>
    <row r="1205" spans="2:8">
      <c r="B1205" t="s">
        <v>463</v>
      </c>
      <c r="C1205" t="s">
        <v>372</v>
      </c>
      <c r="D1205">
        <v>3350</v>
      </c>
      <c r="E1205">
        <v>3351</v>
      </c>
      <c r="F1205">
        <v>3348</v>
      </c>
      <c r="G1205">
        <v>3348</v>
      </c>
      <c r="H1205">
        <v>3300</v>
      </c>
    </row>
    <row r="1206" spans="2:8">
      <c r="B1206" t="s">
        <v>463</v>
      </c>
      <c r="C1206" t="s">
        <v>373</v>
      </c>
      <c r="D1206">
        <v>3347</v>
      </c>
      <c r="E1206">
        <v>3347</v>
      </c>
      <c r="F1206">
        <v>3341</v>
      </c>
      <c r="G1206">
        <v>3341</v>
      </c>
      <c r="H1206">
        <v>4400</v>
      </c>
    </row>
    <row r="1207" spans="2:8">
      <c r="B1207" t="s">
        <v>463</v>
      </c>
      <c r="C1207" t="s">
        <v>374</v>
      </c>
      <c r="D1207">
        <v>3341</v>
      </c>
      <c r="E1207">
        <v>3341</v>
      </c>
      <c r="F1207">
        <v>3336</v>
      </c>
      <c r="G1207">
        <v>3338</v>
      </c>
      <c r="H1207">
        <v>5500</v>
      </c>
    </row>
    <row r="1208" spans="2:8">
      <c r="B1208" t="s">
        <v>463</v>
      </c>
      <c r="C1208" t="s">
        <v>375</v>
      </c>
      <c r="D1208">
        <v>3338</v>
      </c>
      <c r="E1208">
        <v>3341</v>
      </c>
      <c r="F1208">
        <v>3338</v>
      </c>
      <c r="G1208">
        <v>3340</v>
      </c>
      <c r="H1208">
        <v>4600</v>
      </c>
    </row>
    <row r="1209" spans="2:8">
      <c r="B1209" t="s">
        <v>463</v>
      </c>
      <c r="C1209" t="s">
        <v>376</v>
      </c>
      <c r="D1209">
        <v>3341</v>
      </c>
      <c r="E1209">
        <v>3347</v>
      </c>
      <c r="F1209">
        <v>3341</v>
      </c>
      <c r="G1209">
        <v>3344</v>
      </c>
      <c r="H1209">
        <v>7300</v>
      </c>
    </row>
    <row r="1210" spans="2:8">
      <c r="B1210" t="s">
        <v>463</v>
      </c>
      <c r="C1210" t="s">
        <v>377</v>
      </c>
      <c r="D1210">
        <v>3344</v>
      </c>
      <c r="E1210">
        <v>3344</v>
      </c>
      <c r="F1210">
        <v>3343</v>
      </c>
      <c r="G1210">
        <v>3344</v>
      </c>
      <c r="H1210">
        <v>4700</v>
      </c>
    </row>
    <row r="1211" spans="2:8">
      <c r="B1211" t="s">
        <v>463</v>
      </c>
      <c r="C1211" t="s">
        <v>378</v>
      </c>
      <c r="D1211">
        <v>3343</v>
      </c>
      <c r="E1211">
        <v>3344</v>
      </c>
      <c r="F1211">
        <v>3342</v>
      </c>
      <c r="G1211">
        <v>3344</v>
      </c>
      <c r="H1211">
        <v>2900</v>
      </c>
    </row>
    <row r="1212" spans="2:8">
      <c r="B1212" t="s">
        <v>463</v>
      </c>
      <c r="C1212" t="s">
        <v>379</v>
      </c>
      <c r="D1212">
        <v>3344</v>
      </c>
      <c r="E1212">
        <v>3344</v>
      </c>
      <c r="F1212">
        <v>3340</v>
      </c>
      <c r="G1212">
        <v>3340</v>
      </c>
      <c r="H1212">
        <v>2000</v>
      </c>
    </row>
    <row r="1213" spans="2:8">
      <c r="B1213" t="s">
        <v>463</v>
      </c>
      <c r="C1213" t="s">
        <v>380</v>
      </c>
      <c r="D1213">
        <v>3340</v>
      </c>
      <c r="E1213">
        <v>3345</v>
      </c>
      <c r="F1213">
        <v>3340</v>
      </c>
      <c r="G1213">
        <v>3344</v>
      </c>
      <c r="H1213">
        <v>4700</v>
      </c>
    </row>
    <row r="1214" spans="2:8">
      <c r="B1214" t="s">
        <v>463</v>
      </c>
      <c r="C1214" t="s">
        <v>381</v>
      </c>
      <c r="D1214">
        <v>3344</v>
      </c>
      <c r="E1214">
        <v>3346</v>
      </c>
      <c r="F1214">
        <v>3344</v>
      </c>
      <c r="G1214">
        <v>3346</v>
      </c>
      <c r="H1214">
        <v>2400</v>
      </c>
    </row>
    <row r="1215" spans="2:8">
      <c r="B1215" t="s">
        <v>463</v>
      </c>
      <c r="C1215" t="s">
        <v>382</v>
      </c>
      <c r="D1215">
        <v>3346</v>
      </c>
      <c r="E1215">
        <v>3346</v>
      </c>
      <c r="F1215">
        <v>3346</v>
      </c>
      <c r="G1215">
        <v>3346</v>
      </c>
      <c r="H1215">
        <v>1500</v>
      </c>
    </row>
    <row r="1216" spans="2:8">
      <c r="B1216" t="s">
        <v>463</v>
      </c>
      <c r="C1216" t="s">
        <v>383</v>
      </c>
      <c r="D1216">
        <v>3345</v>
      </c>
      <c r="E1216">
        <v>3345</v>
      </c>
      <c r="F1216">
        <v>3344</v>
      </c>
      <c r="G1216">
        <v>3345</v>
      </c>
      <c r="H1216">
        <v>1700</v>
      </c>
    </row>
    <row r="1217" spans="2:8">
      <c r="B1217" t="s">
        <v>463</v>
      </c>
      <c r="C1217" t="s">
        <v>384</v>
      </c>
      <c r="D1217">
        <v>3344</v>
      </c>
      <c r="E1217">
        <v>3344</v>
      </c>
      <c r="F1217">
        <v>3343</v>
      </c>
      <c r="G1217">
        <v>3343</v>
      </c>
      <c r="H1217">
        <v>2200</v>
      </c>
    </row>
    <row r="1218" spans="2:8">
      <c r="B1218" t="s">
        <v>463</v>
      </c>
      <c r="C1218" t="s">
        <v>385</v>
      </c>
      <c r="D1218">
        <v>3344</v>
      </c>
      <c r="E1218">
        <v>3344</v>
      </c>
      <c r="F1218">
        <v>3344</v>
      </c>
      <c r="G1218">
        <v>3344</v>
      </c>
      <c r="H1218">
        <v>1900</v>
      </c>
    </row>
    <row r="1219" spans="2:8">
      <c r="B1219" t="s">
        <v>463</v>
      </c>
      <c r="C1219" t="s">
        <v>386</v>
      </c>
      <c r="D1219">
        <v>3344</v>
      </c>
      <c r="E1219">
        <v>3346</v>
      </c>
      <c r="F1219">
        <v>3344</v>
      </c>
      <c r="G1219">
        <v>3346</v>
      </c>
      <c r="H1219">
        <v>3200</v>
      </c>
    </row>
    <row r="1220" spans="2:8">
      <c r="B1220" t="s">
        <v>463</v>
      </c>
      <c r="C1220" t="s">
        <v>387</v>
      </c>
      <c r="D1220">
        <v>3346</v>
      </c>
      <c r="E1220">
        <v>3349</v>
      </c>
      <c r="F1220">
        <v>3346</v>
      </c>
      <c r="G1220">
        <v>3348</v>
      </c>
      <c r="H1220">
        <v>5200</v>
      </c>
    </row>
    <row r="1221" spans="2:8">
      <c r="B1221" t="s">
        <v>463</v>
      </c>
      <c r="C1221" t="s">
        <v>388</v>
      </c>
      <c r="D1221">
        <v>3348</v>
      </c>
      <c r="E1221">
        <v>3348</v>
      </c>
      <c r="F1221">
        <v>3347</v>
      </c>
      <c r="G1221">
        <v>3348</v>
      </c>
      <c r="H1221">
        <v>700</v>
      </c>
    </row>
    <row r="1222" spans="2:8">
      <c r="B1222" t="s">
        <v>463</v>
      </c>
      <c r="C1222" t="s">
        <v>389</v>
      </c>
      <c r="D1222">
        <v>3348</v>
      </c>
      <c r="E1222">
        <v>3348</v>
      </c>
      <c r="F1222">
        <v>3347</v>
      </c>
      <c r="G1222">
        <v>3348</v>
      </c>
      <c r="H1222">
        <v>3200</v>
      </c>
    </row>
    <row r="1223" spans="2:8">
      <c r="B1223" t="s">
        <v>463</v>
      </c>
      <c r="C1223" t="s">
        <v>390</v>
      </c>
      <c r="D1223">
        <v>3348</v>
      </c>
      <c r="E1223">
        <v>3348</v>
      </c>
      <c r="F1223">
        <v>3348</v>
      </c>
      <c r="G1223">
        <v>3348</v>
      </c>
      <c r="H1223">
        <v>600</v>
      </c>
    </row>
    <row r="1224" spans="2:8">
      <c r="B1224" t="s">
        <v>463</v>
      </c>
      <c r="C1224" t="s">
        <v>391</v>
      </c>
      <c r="D1224">
        <v>3348</v>
      </c>
      <c r="E1224">
        <v>3349</v>
      </c>
      <c r="F1224">
        <v>3348</v>
      </c>
      <c r="G1224">
        <v>3349</v>
      </c>
      <c r="H1224">
        <v>5800</v>
      </c>
    </row>
    <row r="1225" spans="2:8">
      <c r="B1225" t="s">
        <v>463</v>
      </c>
      <c r="C1225" t="s">
        <v>392</v>
      </c>
      <c r="D1225">
        <v>3349</v>
      </c>
      <c r="E1225">
        <v>3352</v>
      </c>
      <c r="F1225">
        <v>3349</v>
      </c>
      <c r="G1225">
        <v>3351</v>
      </c>
      <c r="H1225">
        <v>6900</v>
      </c>
    </row>
    <row r="1226" spans="2:8">
      <c r="B1226" t="s">
        <v>463</v>
      </c>
      <c r="C1226" t="s">
        <v>393</v>
      </c>
      <c r="D1226">
        <v>3351</v>
      </c>
      <c r="E1226">
        <v>3351</v>
      </c>
      <c r="F1226">
        <v>3351</v>
      </c>
      <c r="G1226">
        <v>3351</v>
      </c>
      <c r="H1226">
        <v>1800</v>
      </c>
    </row>
    <row r="1227" spans="2:8">
      <c r="B1227" t="s">
        <v>463</v>
      </c>
      <c r="C1227" t="s">
        <v>394</v>
      </c>
      <c r="D1227">
        <v>3350</v>
      </c>
      <c r="E1227">
        <v>3350</v>
      </c>
      <c r="F1227">
        <v>3348</v>
      </c>
      <c r="G1227">
        <v>3348</v>
      </c>
      <c r="H1227">
        <v>4200</v>
      </c>
    </row>
    <row r="1228" spans="2:8">
      <c r="B1228" t="s">
        <v>463</v>
      </c>
      <c r="C1228" t="s">
        <v>395</v>
      </c>
      <c r="D1228">
        <v>3348</v>
      </c>
      <c r="E1228">
        <v>3350</v>
      </c>
      <c r="F1228">
        <v>3348</v>
      </c>
      <c r="G1228">
        <v>3350</v>
      </c>
      <c r="H1228">
        <v>2400</v>
      </c>
    </row>
    <row r="1229" spans="2:8">
      <c r="B1229" t="s">
        <v>463</v>
      </c>
      <c r="C1229" t="s">
        <v>396</v>
      </c>
      <c r="D1229">
        <v>3351</v>
      </c>
      <c r="E1229">
        <v>3352</v>
      </c>
      <c r="F1229">
        <v>3349</v>
      </c>
      <c r="G1229">
        <v>3350</v>
      </c>
      <c r="H1229">
        <v>4700</v>
      </c>
    </row>
    <row r="1230" spans="2:8">
      <c r="B1230" t="s">
        <v>463</v>
      </c>
      <c r="C1230" t="s">
        <v>397</v>
      </c>
      <c r="D1230">
        <v>3350</v>
      </c>
      <c r="E1230">
        <v>3350</v>
      </c>
      <c r="F1230">
        <v>3349</v>
      </c>
      <c r="G1230">
        <v>3349</v>
      </c>
      <c r="H1230">
        <v>1100</v>
      </c>
    </row>
    <row r="1231" spans="2:8">
      <c r="B1231" t="s">
        <v>463</v>
      </c>
      <c r="C1231" t="s">
        <v>398</v>
      </c>
      <c r="D1231">
        <v>3348</v>
      </c>
      <c r="E1231">
        <v>3348</v>
      </c>
      <c r="F1231">
        <v>3345</v>
      </c>
      <c r="G1231">
        <v>3345</v>
      </c>
      <c r="H1231">
        <v>1600</v>
      </c>
    </row>
    <row r="1232" spans="2:8">
      <c r="B1232" t="s">
        <v>463</v>
      </c>
      <c r="C1232" t="s">
        <v>399</v>
      </c>
      <c r="D1232">
        <v>3346</v>
      </c>
      <c r="E1232">
        <v>3349</v>
      </c>
      <c r="F1232">
        <v>3346</v>
      </c>
      <c r="G1232">
        <v>3349</v>
      </c>
      <c r="H1232">
        <v>4500</v>
      </c>
    </row>
    <row r="1233" spans="2:8">
      <c r="B1233" t="s">
        <v>463</v>
      </c>
      <c r="C1233" t="s">
        <v>400</v>
      </c>
      <c r="D1233">
        <v>3350</v>
      </c>
      <c r="E1233">
        <v>3350</v>
      </c>
      <c r="F1233">
        <v>3349</v>
      </c>
      <c r="G1233">
        <v>3349</v>
      </c>
      <c r="H1233">
        <v>2100</v>
      </c>
    </row>
    <row r="1234" spans="2:8">
      <c r="B1234" t="s">
        <v>463</v>
      </c>
      <c r="C1234" t="s">
        <v>401</v>
      </c>
      <c r="D1234">
        <v>3348</v>
      </c>
      <c r="E1234">
        <v>3350</v>
      </c>
      <c r="F1234">
        <v>3348</v>
      </c>
      <c r="G1234">
        <v>3350</v>
      </c>
      <c r="H1234">
        <v>900</v>
      </c>
    </row>
    <row r="1235" spans="2:8">
      <c r="B1235" t="s">
        <v>463</v>
      </c>
      <c r="C1235" t="s">
        <v>402</v>
      </c>
      <c r="D1235">
        <v>3350</v>
      </c>
      <c r="E1235">
        <v>3351</v>
      </c>
      <c r="F1235">
        <v>3349</v>
      </c>
      <c r="G1235">
        <v>3350</v>
      </c>
      <c r="H1235">
        <v>2900</v>
      </c>
    </row>
    <row r="1236" spans="2:8">
      <c r="B1236" t="s">
        <v>463</v>
      </c>
      <c r="C1236" t="s">
        <v>403</v>
      </c>
      <c r="D1236">
        <v>3349</v>
      </c>
      <c r="E1236">
        <v>3350</v>
      </c>
      <c r="F1236">
        <v>3349</v>
      </c>
      <c r="G1236">
        <v>3350</v>
      </c>
      <c r="H1236">
        <v>1400</v>
      </c>
    </row>
    <row r="1237" spans="2:8">
      <c r="B1237" t="s">
        <v>463</v>
      </c>
      <c r="C1237" t="s">
        <v>404</v>
      </c>
      <c r="D1237">
        <v>3351</v>
      </c>
      <c r="E1237">
        <v>3356</v>
      </c>
      <c r="F1237">
        <v>3351</v>
      </c>
      <c r="G1237">
        <v>3356</v>
      </c>
      <c r="H1237">
        <v>8700</v>
      </c>
    </row>
    <row r="1238" spans="2:8">
      <c r="B1238" t="s">
        <v>463</v>
      </c>
      <c r="C1238" t="s">
        <v>405</v>
      </c>
      <c r="D1238">
        <v>3356</v>
      </c>
      <c r="E1238">
        <v>3356</v>
      </c>
      <c r="F1238">
        <v>3356</v>
      </c>
      <c r="G1238">
        <v>3356</v>
      </c>
      <c r="H1238">
        <v>400</v>
      </c>
    </row>
    <row r="1239" spans="2:8">
      <c r="B1239" t="s">
        <v>463</v>
      </c>
      <c r="C1239" t="s">
        <v>406</v>
      </c>
      <c r="D1239">
        <v>3356</v>
      </c>
      <c r="E1239">
        <v>3357</v>
      </c>
      <c r="F1239">
        <v>3356</v>
      </c>
      <c r="G1239">
        <v>3357</v>
      </c>
      <c r="H1239">
        <v>2200</v>
      </c>
    </row>
    <row r="1240" spans="2:8">
      <c r="B1240" t="s">
        <v>463</v>
      </c>
      <c r="C1240" t="s">
        <v>407</v>
      </c>
      <c r="D1240">
        <v>3357</v>
      </c>
      <c r="E1240">
        <v>3358</v>
      </c>
      <c r="F1240">
        <v>3356</v>
      </c>
      <c r="G1240">
        <v>3358</v>
      </c>
      <c r="H1240">
        <v>2500</v>
      </c>
    </row>
    <row r="1241" spans="2:8">
      <c r="B1241" t="s">
        <v>463</v>
      </c>
      <c r="C1241" t="s">
        <v>408</v>
      </c>
      <c r="D1241">
        <v>3358</v>
      </c>
      <c r="E1241">
        <v>3363</v>
      </c>
      <c r="F1241">
        <v>3358</v>
      </c>
      <c r="G1241">
        <v>3360</v>
      </c>
      <c r="H1241">
        <v>8300</v>
      </c>
    </row>
    <row r="1242" spans="2:8">
      <c r="B1242" t="s">
        <v>463</v>
      </c>
      <c r="C1242" t="s">
        <v>409</v>
      </c>
      <c r="D1242">
        <v>3360</v>
      </c>
      <c r="E1242">
        <v>3361</v>
      </c>
      <c r="F1242">
        <v>3360</v>
      </c>
      <c r="G1242">
        <v>3361</v>
      </c>
      <c r="H1242">
        <v>1600</v>
      </c>
    </row>
    <row r="1243" spans="2:8">
      <c r="B1243" t="s">
        <v>463</v>
      </c>
      <c r="C1243" t="s">
        <v>410</v>
      </c>
      <c r="D1243">
        <v>3361</v>
      </c>
      <c r="E1243">
        <v>3373</v>
      </c>
      <c r="F1243">
        <v>3361</v>
      </c>
      <c r="G1243">
        <v>3371</v>
      </c>
      <c r="H1243">
        <v>14200</v>
      </c>
    </row>
    <row r="1244" spans="2:8">
      <c r="B1244" t="s">
        <v>463</v>
      </c>
      <c r="C1244" t="s">
        <v>411</v>
      </c>
      <c r="D1244">
        <v>3371</v>
      </c>
      <c r="E1244">
        <v>3377</v>
      </c>
      <c r="F1244">
        <v>3371</v>
      </c>
      <c r="G1244">
        <v>3376</v>
      </c>
      <c r="H1244">
        <v>11300</v>
      </c>
    </row>
    <row r="1245" spans="2:8">
      <c r="B1245" t="s">
        <v>463</v>
      </c>
      <c r="C1245" t="s">
        <v>412</v>
      </c>
      <c r="D1245">
        <v>3375</v>
      </c>
      <c r="E1245">
        <v>3376</v>
      </c>
      <c r="F1245">
        <v>3375</v>
      </c>
      <c r="G1245">
        <v>3376</v>
      </c>
      <c r="H1245">
        <v>1500</v>
      </c>
    </row>
    <row r="1246" spans="2:8">
      <c r="B1246" t="s">
        <v>463</v>
      </c>
      <c r="C1246" t="s">
        <v>413</v>
      </c>
      <c r="D1246">
        <v>3376</v>
      </c>
      <c r="E1246">
        <v>3380</v>
      </c>
      <c r="F1246">
        <v>3375</v>
      </c>
      <c r="G1246">
        <v>3378</v>
      </c>
      <c r="H1246">
        <v>15400</v>
      </c>
    </row>
    <row r="1247" spans="2:8">
      <c r="B1247" t="s">
        <v>463</v>
      </c>
      <c r="C1247" t="s">
        <v>414</v>
      </c>
      <c r="D1247">
        <v>3377</v>
      </c>
      <c r="E1247">
        <v>3378</v>
      </c>
      <c r="F1247">
        <v>3377</v>
      </c>
      <c r="G1247">
        <v>3378</v>
      </c>
      <c r="H1247">
        <v>2300</v>
      </c>
    </row>
    <row r="1248" spans="2:8">
      <c r="B1248" t="s">
        <v>463</v>
      </c>
      <c r="C1248" t="s">
        <v>415</v>
      </c>
      <c r="D1248">
        <v>3378</v>
      </c>
      <c r="E1248">
        <v>3379</v>
      </c>
      <c r="F1248">
        <v>3373</v>
      </c>
      <c r="G1248">
        <v>3378</v>
      </c>
      <c r="H1248">
        <v>17400</v>
      </c>
    </row>
    <row r="1249" spans="2:8">
      <c r="B1249" t="s">
        <v>463</v>
      </c>
      <c r="C1249" t="s">
        <v>416</v>
      </c>
      <c r="D1249">
        <v>3377</v>
      </c>
      <c r="E1249">
        <v>3381</v>
      </c>
      <c r="F1249">
        <v>3377</v>
      </c>
      <c r="G1249">
        <v>3380</v>
      </c>
      <c r="H1249">
        <v>4900</v>
      </c>
    </row>
    <row r="1250" spans="2:8">
      <c r="B1250" t="s">
        <v>463</v>
      </c>
      <c r="C1250" t="s">
        <v>417</v>
      </c>
      <c r="D1250">
        <v>3382</v>
      </c>
      <c r="E1250">
        <v>3382</v>
      </c>
      <c r="F1250">
        <v>3380</v>
      </c>
      <c r="G1250">
        <v>3382</v>
      </c>
      <c r="H1250">
        <v>3100</v>
      </c>
    </row>
    <row r="1251" spans="2:8">
      <c r="B1251" t="s">
        <v>463</v>
      </c>
      <c r="C1251" t="s">
        <v>418</v>
      </c>
      <c r="D1251">
        <v>3383</v>
      </c>
      <c r="E1251">
        <v>3383</v>
      </c>
      <c r="F1251">
        <v>3379</v>
      </c>
      <c r="G1251">
        <v>3379</v>
      </c>
      <c r="H1251">
        <v>2700</v>
      </c>
    </row>
    <row r="1252" spans="2:8">
      <c r="B1252" t="s">
        <v>463</v>
      </c>
      <c r="C1252" t="s">
        <v>419</v>
      </c>
      <c r="D1252">
        <v>3378</v>
      </c>
      <c r="E1252">
        <v>3380</v>
      </c>
      <c r="F1252">
        <v>3377</v>
      </c>
      <c r="G1252">
        <v>3377</v>
      </c>
      <c r="H1252">
        <v>2400</v>
      </c>
    </row>
    <row r="1253" spans="2:8">
      <c r="B1253" t="s">
        <v>463</v>
      </c>
      <c r="C1253" t="s">
        <v>420</v>
      </c>
      <c r="D1253">
        <v>3378</v>
      </c>
      <c r="E1253">
        <v>3378</v>
      </c>
      <c r="F1253">
        <v>3377</v>
      </c>
      <c r="G1253">
        <v>3377</v>
      </c>
      <c r="H1253">
        <v>2500</v>
      </c>
    </row>
    <row r="1254" spans="2:8">
      <c r="B1254" t="s">
        <v>463</v>
      </c>
      <c r="C1254" t="s">
        <v>421</v>
      </c>
      <c r="D1254">
        <v>3379</v>
      </c>
      <c r="E1254">
        <v>3381</v>
      </c>
      <c r="F1254">
        <v>3376</v>
      </c>
      <c r="G1254">
        <v>3376</v>
      </c>
      <c r="H1254">
        <v>5700</v>
      </c>
    </row>
    <row r="1255" spans="2:8">
      <c r="B1255" t="s">
        <v>463</v>
      </c>
      <c r="C1255" t="s">
        <v>422</v>
      </c>
      <c r="D1255">
        <v>3377</v>
      </c>
      <c r="E1255">
        <v>3377</v>
      </c>
      <c r="F1255">
        <v>3373</v>
      </c>
      <c r="G1255">
        <v>3375</v>
      </c>
      <c r="H1255">
        <v>3700</v>
      </c>
    </row>
    <row r="1256" spans="2:8">
      <c r="B1256" t="s">
        <v>463</v>
      </c>
      <c r="C1256" t="s">
        <v>423</v>
      </c>
      <c r="D1256">
        <v>3376</v>
      </c>
      <c r="E1256">
        <v>3379</v>
      </c>
      <c r="F1256">
        <v>3376</v>
      </c>
      <c r="G1256">
        <v>3379</v>
      </c>
      <c r="H1256">
        <v>3700</v>
      </c>
    </row>
    <row r="1257" spans="2:8">
      <c r="B1257" t="s">
        <v>463</v>
      </c>
      <c r="C1257" t="s">
        <v>424</v>
      </c>
      <c r="D1257">
        <v>3380</v>
      </c>
      <c r="E1257">
        <v>3386</v>
      </c>
      <c r="F1257">
        <v>3379</v>
      </c>
      <c r="G1257">
        <v>3384</v>
      </c>
      <c r="H1257">
        <v>9800</v>
      </c>
    </row>
    <row r="1258" spans="2:8">
      <c r="B1258" t="s">
        <v>463</v>
      </c>
      <c r="C1258" t="s">
        <v>425</v>
      </c>
      <c r="D1258">
        <v>3385</v>
      </c>
      <c r="E1258">
        <v>3387</v>
      </c>
      <c r="F1258">
        <v>3383</v>
      </c>
      <c r="G1258">
        <v>3383</v>
      </c>
      <c r="H1258">
        <v>2000</v>
      </c>
    </row>
    <row r="1259" spans="2:8">
      <c r="B1259" t="s">
        <v>463</v>
      </c>
      <c r="C1259" t="s">
        <v>426</v>
      </c>
      <c r="D1259">
        <v>3383</v>
      </c>
      <c r="E1259">
        <v>3385</v>
      </c>
      <c r="F1259">
        <v>3382</v>
      </c>
      <c r="G1259">
        <v>3385</v>
      </c>
      <c r="H1259">
        <v>4500</v>
      </c>
    </row>
    <row r="1260" spans="2:8">
      <c r="B1260" t="s">
        <v>463</v>
      </c>
      <c r="C1260" t="s">
        <v>427</v>
      </c>
      <c r="D1260">
        <v>3384</v>
      </c>
      <c r="E1260">
        <v>3384</v>
      </c>
      <c r="F1260">
        <v>3380</v>
      </c>
      <c r="G1260">
        <v>3381</v>
      </c>
      <c r="H1260">
        <v>3400</v>
      </c>
    </row>
    <row r="1261" spans="2:8">
      <c r="B1261" t="s">
        <v>463</v>
      </c>
      <c r="C1261" t="s">
        <v>428</v>
      </c>
      <c r="D1261">
        <v>3380</v>
      </c>
      <c r="E1261">
        <v>3381</v>
      </c>
      <c r="F1261">
        <v>3379</v>
      </c>
      <c r="G1261">
        <v>3379</v>
      </c>
      <c r="H1261">
        <v>2600</v>
      </c>
    </row>
    <row r="1262" spans="2:8">
      <c r="B1262" t="s">
        <v>463</v>
      </c>
      <c r="C1262" t="s">
        <v>429</v>
      </c>
      <c r="D1262">
        <v>3380</v>
      </c>
      <c r="E1262">
        <v>3383</v>
      </c>
      <c r="F1262">
        <v>3379</v>
      </c>
      <c r="G1262">
        <v>3381</v>
      </c>
      <c r="H1262">
        <v>10200</v>
      </c>
    </row>
    <row r="1263" spans="2:8">
      <c r="B1263" t="s">
        <v>463</v>
      </c>
      <c r="C1263" t="s">
        <v>430</v>
      </c>
      <c r="D1263">
        <v>3382</v>
      </c>
      <c r="E1263">
        <v>3382</v>
      </c>
      <c r="F1263">
        <v>3381</v>
      </c>
      <c r="G1263">
        <v>3381</v>
      </c>
      <c r="H1263">
        <v>800</v>
      </c>
    </row>
    <row r="1264" spans="2:8">
      <c r="B1264" t="s">
        <v>463</v>
      </c>
      <c r="C1264" t="s">
        <v>431</v>
      </c>
      <c r="D1264">
        <v>3381</v>
      </c>
      <c r="E1264">
        <v>3381</v>
      </c>
      <c r="F1264">
        <v>3379</v>
      </c>
      <c r="G1264">
        <v>3379</v>
      </c>
      <c r="H1264">
        <v>2500</v>
      </c>
    </row>
    <row r="1265" spans="2:8">
      <c r="B1265" t="s">
        <v>463</v>
      </c>
      <c r="C1265" t="s">
        <v>9</v>
      </c>
      <c r="D1265">
        <v>3379</v>
      </c>
      <c r="E1265">
        <v>3379</v>
      </c>
      <c r="F1265">
        <v>3374</v>
      </c>
      <c r="G1265">
        <v>3375</v>
      </c>
      <c r="H1265">
        <v>6500</v>
      </c>
    </row>
    <row r="1266" spans="2:8">
      <c r="B1266" t="s">
        <v>463</v>
      </c>
      <c r="C1266" t="s">
        <v>10</v>
      </c>
      <c r="D1266">
        <v>3375</v>
      </c>
      <c r="E1266">
        <v>3379</v>
      </c>
      <c r="F1266">
        <v>3375</v>
      </c>
      <c r="G1266">
        <v>3379</v>
      </c>
      <c r="H1266">
        <v>5400</v>
      </c>
    </row>
    <row r="1267" spans="2:8">
      <c r="B1267" t="s">
        <v>463</v>
      </c>
      <c r="C1267" t="s">
        <v>11</v>
      </c>
      <c r="D1267">
        <v>3379</v>
      </c>
      <c r="E1267">
        <v>3379</v>
      </c>
      <c r="F1267">
        <v>3377</v>
      </c>
      <c r="G1267">
        <v>3378</v>
      </c>
      <c r="H1267">
        <v>1500</v>
      </c>
    </row>
    <row r="1268" spans="2:8">
      <c r="B1268" t="s">
        <v>463</v>
      </c>
      <c r="C1268" t="s">
        <v>12</v>
      </c>
      <c r="D1268">
        <v>3378</v>
      </c>
      <c r="E1268">
        <v>3379</v>
      </c>
      <c r="F1268">
        <v>3378</v>
      </c>
      <c r="G1268">
        <v>3379</v>
      </c>
      <c r="H1268">
        <v>3700</v>
      </c>
    </row>
    <row r="1269" spans="2:8">
      <c r="B1269" t="s">
        <v>463</v>
      </c>
      <c r="C1269" t="s">
        <v>13</v>
      </c>
      <c r="D1269">
        <v>3378</v>
      </c>
      <c r="E1269">
        <v>3381</v>
      </c>
      <c r="F1269">
        <v>3378</v>
      </c>
      <c r="G1269">
        <v>3381</v>
      </c>
      <c r="H1269">
        <v>6100</v>
      </c>
    </row>
    <row r="1270" spans="2:8">
      <c r="B1270" t="s">
        <v>463</v>
      </c>
      <c r="C1270" t="s">
        <v>14</v>
      </c>
      <c r="D1270">
        <v>3380</v>
      </c>
      <c r="E1270">
        <v>3380</v>
      </c>
      <c r="F1270">
        <v>3379</v>
      </c>
      <c r="G1270">
        <v>3379</v>
      </c>
      <c r="H1270">
        <v>2900</v>
      </c>
    </row>
    <row r="1271" spans="2:8">
      <c r="B1271" t="s">
        <v>463</v>
      </c>
      <c r="C1271" t="s">
        <v>15</v>
      </c>
      <c r="D1271">
        <v>3379</v>
      </c>
      <c r="E1271">
        <v>3385</v>
      </c>
      <c r="F1271">
        <v>3377</v>
      </c>
      <c r="G1271">
        <v>3385</v>
      </c>
      <c r="H1271">
        <v>14900</v>
      </c>
    </row>
    <row r="1272" spans="2:8">
      <c r="B1272" t="s">
        <v>463</v>
      </c>
      <c r="C1272" t="s">
        <v>16</v>
      </c>
      <c r="D1272">
        <v>3384</v>
      </c>
      <c r="E1272">
        <v>3384</v>
      </c>
      <c r="F1272">
        <v>3384</v>
      </c>
      <c r="G1272">
        <v>3384</v>
      </c>
      <c r="H1272">
        <v>3900</v>
      </c>
    </row>
    <row r="1273" spans="2:8">
      <c r="B1273" t="s">
        <v>463</v>
      </c>
      <c r="C1273" t="s">
        <v>17</v>
      </c>
      <c r="D1273">
        <v>3384</v>
      </c>
      <c r="E1273">
        <v>3385</v>
      </c>
      <c r="F1273">
        <v>3383</v>
      </c>
      <c r="G1273">
        <v>3384</v>
      </c>
      <c r="H1273">
        <v>7800</v>
      </c>
    </row>
    <row r="1274" spans="2:8">
      <c r="B1274" t="s">
        <v>463</v>
      </c>
      <c r="C1274" t="s">
        <v>18</v>
      </c>
      <c r="D1274">
        <v>3385</v>
      </c>
      <c r="E1274">
        <v>3391</v>
      </c>
      <c r="F1274">
        <v>3385</v>
      </c>
      <c r="G1274">
        <v>3387</v>
      </c>
      <c r="H1274">
        <v>25300</v>
      </c>
    </row>
    <row r="1275" spans="2:8">
      <c r="B1275" t="s">
        <v>463</v>
      </c>
      <c r="C1275" t="s">
        <v>19</v>
      </c>
      <c r="D1275">
        <v>3386</v>
      </c>
      <c r="E1275">
        <v>3390</v>
      </c>
      <c r="F1275">
        <v>3386</v>
      </c>
      <c r="G1275">
        <v>3390</v>
      </c>
      <c r="H1275">
        <v>3100</v>
      </c>
    </row>
    <row r="1276" spans="2:8">
      <c r="B1276" t="s">
        <v>463</v>
      </c>
      <c r="C1276" t="s">
        <v>20</v>
      </c>
      <c r="D1276">
        <v>3390</v>
      </c>
      <c r="E1276">
        <v>3391</v>
      </c>
      <c r="F1276">
        <v>3389</v>
      </c>
      <c r="G1276">
        <v>3390</v>
      </c>
      <c r="H1276">
        <v>2300</v>
      </c>
    </row>
    <row r="1277" spans="2:8">
      <c r="B1277" t="s">
        <v>463</v>
      </c>
      <c r="C1277" t="s">
        <v>21</v>
      </c>
      <c r="D1277">
        <v>3388</v>
      </c>
      <c r="E1277">
        <v>3388</v>
      </c>
      <c r="F1277">
        <v>3388</v>
      </c>
      <c r="G1277">
        <v>3388</v>
      </c>
      <c r="H1277">
        <v>200</v>
      </c>
    </row>
    <row r="1278" spans="2:8">
      <c r="B1278" t="s">
        <v>463</v>
      </c>
      <c r="C1278" t="s">
        <v>22</v>
      </c>
      <c r="D1278">
        <v>3388</v>
      </c>
      <c r="E1278">
        <v>3388</v>
      </c>
      <c r="F1278">
        <v>3383</v>
      </c>
      <c r="G1278">
        <v>3384</v>
      </c>
      <c r="H1278">
        <v>4200</v>
      </c>
    </row>
    <row r="1279" spans="2:8">
      <c r="B1279" t="s">
        <v>463</v>
      </c>
      <c r="C1279" t="s">
        <v>23</v>
      </c>
      <c r="D1279">
        <v>3383</v>
      </c>
      <c r="E1279">
        <v>3386</v>
      </c>
      <c r="F1279">
        <v>3383</v>
      </c>
      <c r="G1279">
        <v>3386</v>
      </c>
      <c r="H1279">
        <v>2600</v>
      </c>
    </row>
    <row r="1280" spans="2:8">
      <c r="B1280" t="s">
        <v>463</v>
      </c>
      <c r="C1280" t="s">
        <v>24</v>
      </c>
      <c r="D1280">
        <v>3385</v>
      </c>
      <c r="E1280">
        <v>3387</v>
      </c>
      <c r="F1280">
        <v>3385</v>
      </c>
      <c r="G1280">
        <v>3387</v>
      </c>
      <c r="H1280">
        <v>3200</v>
      </c>
    </row>
    <row r="1281" spans="2:8">
      <c r="B1281" t="s">
        <v>463</v>
      </c>
      <c r="C1281" t="s">
        <v>25</v>
      </c>
      <c r="D1281">
        <v>3387</v>
      </c>
      <c r="E1281">
        <v>3389</v>
      </c>
      <c r="F1281">
        <v>3387</v>
      </c>
      <c r="G1281">
        <v>3387</v>
      </c>
      <c r="H1281">
        <v>5100</v>
      </c>
    </row>
    <row r="1282" spans="2:8">
      <c r="B1282" t="s">
        <v>463</v>
      </c>
      <c r="C1282" t="s">
        <v>26</v>
      </c>
      <c r="D1282">
        <v>3387</v>
      </c>
      <c r="E1282">
        <v>3388</v>
      </c>
      <c r="F1282">
        <v>3387</v>
      </c>
      <c r="G1282">
        <v>3387</v>
      </c>
      <c r="H1282">
        <v>4200</v>
      </c>
    </row>
    <row r="1283" spans="2:8">
      <c r="B1283" t="s">
        <v>463</v>
      </c>
      <c r="C1283" t="s">
        <v>27</v>
      </c>
      <c r="D1283">
        <v>3387</v>
      </c>
      <c r="E1283">
        <v>3387</v>
      </c>
      <c r="F1283">
        <v>3384</v>
      </c>
      <c r="G1283">
        <v>3384</v>
      </c>
      <c r="H1283">
        <v>1900</v>
      </c>
    </row>
    <row r="1284" spans="2:8">
      <c r="B1284" t="s">
        <v>463</v>
      </c>
      <c r="C1284" t="s">
        <v>28</v>
      </c>
      <c r="D1284">
        <v>3384</v>
      </c>
      <c r="E1284">
        <v>3384</v>
      </c>
      <c r="F1284">
        <v>3383</v>
      </c>
      <c r="G1284">
        <v>3384</v>
      </c>
      <c r="H1284">
        <v>5500</v>
      </c>
    </row>
    <row r="1285" spans="2:8">
      <c r="B1285" t="s">
        <v>463</v>
      </c>
      <c r="C1285" t="s">
        <v>29</v>
      </c>
      <c r="D1285">
        <v>3384</v>
      </c>
      <c r="E1285">
        <v>3386</v>
      </c>
      <c r="F1285">
        <v>3383</v>
      </c>
      <c r="G1285">
        <v>3385</v>
      </c>
      <c r="H1285">
        <v>5400</v>
      </c>
    </row>
    <row r="1286" spans="2:8">
      <c r="B1286" t="s">
        <v>463</v>
      </c>
      <c r="C1286" t="s">
        <v>30</v>
      </c>
      <c r="D1286">
        <v>3385</v>
      </c>
      <c r="E1286">
        <v>3386</v>
      </c>
      <c r="F1286">
        <v>3383</v>
      </c>
      <c r="G1286">
        <v>3386</v>
      </c>
      <c r="H1286">
        <v>4200</v>
      </c>
    </row>
    <row r="1287" spans="2:8">
      <c r="B1287" t="s">
        <v>463</v>
      </c>
      <c r="C1287" t="s">
        <v>31</v>
      </c>
      <c r="D1287">
        <v>3385</v>
      </c>
      <c r="E1287">
        <v>3386</v>
      </c>
      <c r="F1287">
        <v>3383</v>
      </c>
      <c r="G1287">
        <v>3383</v>
      </c>
      <c r="H1287">
        <v>2100</v>
      </c>
    </row>
    <row r="1288" spans="2:8">
      <c r="B1288" t="s">
        <v>463</v>
      </c>
      <c r="C1288" t="s">
        <v>32</v>
      </c>
      <c r="D1288">
        <v>3384</v>
      </c>
      <c r="E1288">
        <v>3384</v>
      </c>
      <c r="F1288">
        <v>3384</v>
      </c>
      <c r="G1288">
        <v>3384</v>
      </c>
      <c r="H1288">
        <v>1600</v>
      </c>
    </row>
    <row r="1289" spans="2:8">
      <c r="B1289" t="s">
        <v>463</v>
      </c>
      <c r="C1289" t="s">
        <v>33</v>
      </c>
      <c r="D1289">
        <v>3383</v>
      </c>
      <c r="E1289">
        <v>3389</v>
      </c>
      <c r="F1289">
        <v>3382</v>
      </c>
      <c r="G1289">
        <v>3387</v>
      </c>
      <c r="H1289">
        <v>15800</v>
      </c>
    </row>
    <row r="1290" spans="2:8">
      <c r="B1290" t="s">
        <v>463</v>
      </c>
      <c r="C1290" t="s">
        <v>34</v>
      </c>
      <c r="D1290">
        <v>3386</v>
      </c>
      <c r="E1290">
        <v>3386</v>
      </c>
      <c r="F1290">
        <v>3384</v>
      </c>
      <c r="G1290">
        <v>3384</v>
      </c>
      <c r="H1290">
        <v>2200</v>
      </c>
    </row>
    <row r="1291" spans="2:8">
      <c r="B1291" t="s">
        <v>463</v>
      </c>
      <c r="C1291" t="s">
        <v>35</v>
      </c>
      <c r="D1291">
        <v>3386</v>
      </c>
      <c r="E1291">
        <v>3388</v>
      </c>
      <c r="F1291">
        <v>3384</v>
      </c>
      <c r="G1291">
        <v>3387</v>
      </c>
      <c r="H1291">
        <v>5100</v>
      </c>
    </row>
    <row r="1292" spans="2:8">
      <c r="B1292" t="s">
        <v>463</v>
      </c>
      <c r="C1292" t="s">
        <v>36</v>
      </c>
      <c r="D1292">
        <v>3388</v>
      </c>
      <c r="E1292">
        <v>3388</v>
      </c>
      <c r="F1292">
        <v>3386</v>
      </c>
      <c r="G1292">
        <v>3386</v>
      </c>
      <c r="H1292">
        <v>1500</v>
      </c>
    </row>
    <row r="1293" spans="2:8">
      <c r="B1293" t="s">
        <v>463</v>
      </c>
      <c r="C1293" t="s">
        <v>37</v>
      </c>
      <c r="D1293">
        <v>3388</v>
      </c>
      <c r="E1293">
        <v>3388</v>
      </c>
      <c r="F1293">
        <v>3380</v>
      </c>
      <c r="G1293">
        <v>3380</v>
      </c>
      <c r="H1293">
        <v>13500</v>
      </c>
    </row>
    <row r="1294" spans="2:8">
      <c r="B1294" t="s">
        <v>463</v>
      </c>
      <c r="C1294" t="s">
        <v>38</v>
      </c>
      <c r="D1294">
        <v>3379</v>
      </c>
      <c r="E1294">
        <v>3379</v>
      </c>
      <c r="F1294">
        <v>3374</v>
      </c>
      <c r="G1294">
        <v>3374</v>
      </c>
      <c r="H1294">
        <v>7200</v>
      </c>
    </row>
    <row r="1295" spans="2:8">
      <c r="B1295" t="s">
        <v>463</v>
      </c>
      <c r="C1295" t="s">
        <v>39</v>
      </c>
      <c r="D1295">
        <v>3374</v>
      </c>
      <c r="E1295">
        <v>3383</v>
      </c>
      <c r="F1295">
        <v>3374</v>
      </c>
      <c r="G1295">
        <v>3383</v>
      </c>
      <c r="H1295">
        <v>10900</v>
      </c>
    </row>
    <row r="1296" spans="2:8">
      <c r="B1296" t="s">
        <v>463</v>
      </c>
      <c r="C1296" t="s">
        <v>40</v>
      </c>
      <c r="D1296">
        <v>3382</v>
      </c>
      <c r="E1296">
        <v>3383</v>
      </c>
      <c r="F1296">
        <v>3381</v>
      </c>
      <c r="G1296">
        <v>3383</v>
      </c>
      <c r="H1296">
        <v>4100</v>
      </c>
    </row>
    <row r="1297" spans="2:8">
      <c r="B1297" t="s">
        <v>463</v>
      </c>
      <c r="C1297" t="s">
        <v>41</v>
      </c>
      <c r="D1297">
        <v>3382</v>
      </c>
      <c r="E1297">
        <v>3384</v>
      </c>
      <c r="F1297">
        <v>3381</v>
      </c>
      <c r="G1297">
        <v>3382</v>
      </c>
      <c r="H1297">
        <v>5900</v>
      </c>
    </row>
    <row r="1298" spans="2:8">
      <c r="B1298" t="s">
        <v>463</v>
      </c>
      <c r="C1298" t="s">
        <v>42</v>
      </c>
      <c r="D1298">
        <v>3383</v>
      </c>
      <c r="E1298">
        <v>3387</v>
      </c>
      <c r="F1298">
        <v>3376</v>
      </c>
      <c r="G1298">
        <v>3376</v>
      </c>
      <c r="H1298">
        <v>18900</v>
      </c>
    </row>
    <row r="1299" spans="2:8">
      <c r="B1299" t="s">
        <v>463</v>
      </c>
      <c r="C1299" t="s">
        <v>43</v>
      </c>
      <c r="D1299">
        <v>3377</v>
      </c>
      <c r="E1299">
        <v>3377</v>
      </c>
      <c r="F1299">
        <v>3374</v>
      </c>
      <c r="G1299">
        <v>3375</v>
      </c>
      <c r="H1299">
        <v>6700</v>
      </c>
    </row>
    <row r="1300" spans="2:8">
      <c r="B1300" t="s">
        <v>463</v>
      </c>
      <c r="C1300" t="s">
        <v>44</v>
      </c>
      <c r="D1300">
        <v>3374</v>
      </c>
      <c r="E1300">
        <v>3377</v>
      </c>
      <c r="F1300">
        <v>3371</v>
      </c>
      <c r="G1300">
        <v>3375</v>
      </c>
      <c r="H1300">
        <v>11700</v>
      </c>
    </row>
    <row r="1301" spans="2:8">
      <c r="B1301" t="s">
        <v>463</v>
      </c>
      <c r="C1301" t="s">
        <v>45</v>
      </c>
      <c r="D1301">
        <v>3375</v>
      </c>
      <c r="E1301">
        <v>3380</v>
      </c>
      <c r="F1301">
        <v>3375</v>
      </c>
      <c r="G1301">
        <v>3380</v>
      </c>
      <c r="H1301">
        <v>9100</v>
      </c>
    </row>
    <row r="1302" spans="2:8">
      <c r="B1302" t="s">
        <v>463</v>
      </c>
      <c r="C1302" t="s">
        <v>46</v>
      </c>
      <c r="D1302">
        <v>3380</v>
      </c>
      <c r="E1302">
        <v>3384</v>
      </c>
      <c r="F1302">
        <v>3376</v>
      </c>
      <c r="G1302">
        <v>3382</v>
      </c>
      <c r="H1302">
        <v>13800</v>
      </c>
    </row>
    <row r="1303" spans="2:8">
      <c r="B1303" t="s">
        <v>463</v>
      </c>
      <c r="C1303" t="s">
        <v>47</v>
      </c>
      <c r="D1303">
        <v>3382</v>
      </c>
      <c r="E1303">
        <v>3383</v>
      </c>
      <c r="F1303">
        <v>3381</v>
      </c>
      <c r="G1303">
        <v>3382</v>
      </c>
      <c r="H1303">
        <v>3400</v>
      </c>
    </row>
    <row r="1304" spans="2:8">
      <c r="B1304" t="s">
        <v>463</v>
      </c>
      <c r="C1304" t="s">
        <v>48</v>
      </c>
      <c r="D1304">
        <v>3382</v>
      </c>
      <c r="E1304">
        <v>3382</v>
      </c>
      <c r="F1304">
        <v>3381</v>
      </c>
      <c r="G1304">
        <v>3381</v>
      </c>
      <c r="H1304">
        <v>3100</v>
      </c>
    </row>
    <row r="1305" spans="2:8">
      <c r="B1305" t="s">
        <v>463</v>
      </c>
      <c r="C1305" t="s">
        <v>49</v>
      </c>
      <c r="D1305">
        <v>3383</v>
      </c>
      <c r="E1305">
        <v>3384</v>
      </c>
      <c r="F1305">
        <v>3382</v>
      </c>
      <c r="G1305">
        <v>3383</v>
      </c>
      <c r="H1305">
        <v>5600</v>
      </c>
    </row>
    <row r="1306" spans="2:8">
      <c r="B1306" t="s">
        <v>463</v>
      </c>
      <c r="C1306" t="s">
        <v>50</v>
      </c>
      <c r="D1306">
        <v>3383</v>
      </c>
      <c r="E1306">
        <v>3385</v>
      </c>
      <c r="F1306">
        <v>3383</v>
      </c>
      <c r="G1306">
        <v>3385</v>
      </c>
      <c r="H1306">
        <v>8800</v>
      </c>
    </row>
    <row r="1307" spans="2:8">
      <c r="B1307" t="s">
        <v>463</v>
      </c>
      <c r="C1307" t="s">
        <v>51</v>
      </c>
      <c r="D1307">
        <v>3385</v>
      </c>
      <c r="E1307">
        <v>3385</v>
      </c>
      <c r="F1307">
        <v>3381</v>
      </c>
      <c r="G1307">
        <v>3381</v>
      </c>
      <c r="H1307">
        <v>4800</v>
      </c>
    </row>
    <row r="1308" spans="2:8">
      <c r="B1308" t="s">
        <v>463</v>
      </c>
      <c r="C1308" t="s">
        <v>52</v>
      </c>
      <c r="D1308">
        <v>3381</v>
      </c>
      <c r="E1308">
        <v>3381</v>
      </c>
      <c r="F1308">
        <v>3378</v>
      </c>
      <c r="G1308">
        <v>3378</v>
      </c>
      <c r="H1308">
        <v>6400</v>
      </c>
    </row>
    <row r="1309" spans="2:8">
      <c r="B1309" t="s">
        <v>463</v>
      </c>
      <c r="C1309" t="s">
        <v>53</v>
      </c>
      <c r="D1309">
        <v>3378</v>
      </c>
      <c r="E1309">
        <v>3383</v>
      </c>
      <c r="F1309">
        <v>3378</v>
      </c>
      <c r="G1309">
        <v>3380</v>
      </c>
      <c r="H1309">
        <v>8900</v>
      </c>
    </row>
    <row r="1310" spans="2:8">
      <c r="B1310" t="s">
        <v>463</v>
      </c>
      <c r="C1310" t="s">
        <v>54</v>
      </c>
      <c r="D1310">
        <v>3381</v>
      </c>
      <c r="E1310">
        <v>3384</v>
      </c>
      <c r="F1310">
        <v>3379</v>
      </c>
      <c r="G1310">
        <v>3380</v>
      </c>
      <c r="H1310">
        <v>6400</v>
      </c>
    </row>
    <row r="1311" spans="2:8">
      <c r="B1311" t="s">
        <v>463</v>
      </c>
      <c r="C1311" t="s">
        <v>55</v>
      </c>
      <c r="D1311">
        <v>3378</v>
      </c>
      <c r="E1311">
        <v>3382</v>
      </c>
      <c r="F1311">
        <v>3378</v>
      </c>
      <c r="G1311">
        <v>3381</v>
      </c>
      <c r="H1311">
        <v>4000</v>
      </c>
    </row>
    <row r="1312" spans="2:8">
      <c r="B1312" t="s">
        <v>463</v>
      </c>
      <c r="C1312" t="s">
        <v>56</v>
      </c>
      <c r="D1312">
        <v>3380</v>
      </c>
      <c r="E1312">
        <v>3380</v>
      </c>
      <c r="F1312">
        <v>3378</v>
      </c>
      <c r="G1312">
        <v>3378</v>
      </c>
      <c r="H1312">
        <v>3100</v>
      </c>
    </row>
    <row r="1313" spans="2:8">
      <c r="B1313" t="s">
        <v>463</v>
      </c>
      <c r="C1313" t="s">
        <v>57</v>
      </c>
      <c r="D1313">
        <v>3379</v>
      </c>
      <c r="E1313">
        <v>3386</v>
      </c>
      <c r="F1313">
        <v>3379</v>
      </c>
      <c r="G1313">
        <v>3385</v>
      </c>
      <c r="H1313">
        <v>11200</v>
      </c>
    </row>
    <row r="1314" spans="2:8">
      <c r="B1314" t="s">
        <v>463</v>
      </c>
      <c r="C1314" t="s">
        <v>58</v>
      </c>
      <c r="D1314">
        <v>3386</v>
      </c>
      <c r="E1314">
        <v>3389</v>
      </c>
      <c r="F1314">
        <v>3386</v>
      </c>
      <c r="G1314">
        <v>3388</v>
      </c>
      <c r="H1314">
        <v>9800</v>
      </c>
    </row>
    <row r="1315" spans="2:8">
      <c r="B1315" t="s">
        <v>463</v>
      </c>
      <c r="C1315" t="s">
        <v>59</v>
      </c>
      <c r="D1315">
        <v>3388</v>
      </c>
      <c r="E1315">
        <v>3393</v>
      </c>
      <c r="F1315">
        <v>3387</v>
      </c>
      <c r="G1315">
        <v>3391</v>
      </c>
      <c r="H1315">
        <v>18000</v>
      </c>
    </row>
    <row r="1316" spans="2:8">
      <c r="B1316" t="s">
        <v>463</v>
      </c>
      <c r="C1316" t="s">
        <v>60</v>
      </c>
      <c r="D1316">
        <v>3391</v>
      </c>
      <c r="E1316">
        <v>3394</v>
      </c>
      <c r="F1316">
        <v>3390</v>
      </c>
      <c r="G1316">
        <v>3394</v>
      </c>
      <c r="H1316">
        <v>11900</v>
      </c>
    </row>
    <row r="1317" spans="2:8">
      <c r="B1317" t="s">
        <v>463</v>
      </c>
      <c r="C1317" t="s">
        <v>61</v>
      </c>
      <c r="D1317">
        <v>3394</v>
      </c>
      <c r="E1317">
        <v>3400</v>
      </c>
      <c r="F1317">
        <v>3393</v>
      </c>
      <c r="G1317">
        <v>3397</v>
      </c>
      <c r="H1317">
        <v>29000</v>
      </c>
    </row>
    <row r="1318" spans="2:8">
      <c r="B1318" t="s">
        <v>463</v>
      </c>
      <c r="C1318" t="s">
        <v>62</v>
      </c>
      <c r="D1318">
        <v>3397</v>
      </c>
      <c r="E1318">
        <v>3398</v>
      </c>
      <c r="F1318">
        <v>3396</v>
      </c>
      <c r="G1318">
        <v>3397</v>
      </c>
      <c r="H1318">
        <v>4700</v>
      </c>
    </row>
    <row r="1319" spans="2:8">
      <c r="B1319" t="s">
        <v>463</v>
      </c>
      <c r="C1319" t="s">
        <v>63</v>
      </c>
      <c r="D1319">
        <v>3397</v>
      </c>
      <c r="E1319">
        <v>3398</v>
      </c>
      <c r="F1319">
        <v>3396</v>
      </c>
      <c r="G1319">
        <v>3397</v>
      </c>
      <c r="H1319">
        <v>3900</v>
      </c>
    </row>
    <row r="1320" spans="2:8">
      <c r="B1320" t="s">
        <v>463</v>
      </c>
      <c r="C1320" t="s">
        <v>64</v>
      </c>
      <c r="D1320">
        <v>3397</v>
      </c>
      <c r="E1320">
        <v>3398</v>
      </c>
      <c r="F1320">
        <v>3396</v>
      </c>
      <c r="G1320">
        <v>3398</v>
      </c>
      <c r="H1320">
        <v>4800</v>
      </c>
    </row>
    <row r="1321" spans="2:8">
      <c r="B1321" t="s">
        <v>463</v>
      </c>
      <c r="C1321" t="s">
        <v>65</v>
      </c>
      <c r="D1321">
        <v>3399</v>
      </c>
      <c r="E1321">
        <v>3404</v>
      </c>
      <c r="F1321">
        <v>3398</v>
      </c>
      <c r="G1321">
        <v>3399</v>
      </c>
      <c r="H1321">
        <v>35000</v>
      </c>
    </row>
    <row r="1322" spans="2:8">
      <c r="B1322" t="s">
        <v>463</v>
      </c>
      <c r="C1322" t="s">
        <v>66</v>
      </c>
      <c r="D1322">
        <v>3400</v>
      </c>
      <c r="E1322">
        <v>3400</v>
      </c>
      <c r="F1322">
        <v>3394</v>
      </c>
      <c r="G1322">
        <v>3395</v>
      </c>
      <c r="H1322">
        <v>13000</v>
      </c>
    </row>
    <row r="1323" spans="2:8">
      <c r="B1323" t="s">
        <v>463</v>
      </c>
      <c r="C1323" t="s">
        <v>164</v>
      </c>
      <c r="D1323">
        <v>3396</v>
      </c>
      <c r="E1323">
        <v>3399</v>
      </c>
      <c r="F1323">
        <v>3394</v>
      </c>
      <c r="G1323">
        <v>3397</v>
      </c>
      <c r="H1323">
        <v>13600</v>
      </c>
    </row>
    <row r="1324" spans="2:8">
      <c r="B1324" t="s">
        <v>463</v>
      </c>
      <c r="C1324" t="s">
        <v>165</v>
      </c>
      <c r="D1324">
        <v>3396</v>
      </c>
      <c r="E1324">
        <v>3403</v>
      </c>
      <c r="F1324">
        <v>3391</v>
      </c>
      <c r="G1324">
        <v>3401</v>
      </c>
      <c r="H1324">
        <v>24600</v>
      </c>
    </row>
    <row r="1325" spans="2:8">
      <c r="B1325" t="s">
        <v>463</v>
      </c>
      <c r="C1325" t="s">
        <v>67</v>
      </c>
      <c r="D1325" t="s">
        <v>8</v>
      </c>
      <c r="E1325" t="s">
        <v>8</v>
      </c>
      <c r="F1325" t="s">
        <v>8</v>
      </c>
      <c r="G1325" t="s">
        <v>8</v>
      </c>
      <c r="H1325">
        <v>0</v>
      </c>
    </row>
    <row r="1326" spans="2:8">
      <c r="B1326" t="s">
        <v>463</v>
      </c>
      <c r="C1326" t="s">
        <v>68</v>
      </c>
      <c r="D1326" t="s">
        <v>8</v>
      </c>
      <c r="E1326" t="s">
        <v>8</v>
      </c>
      <c r="F1326" t="s">
        <v>8</v>
      </c>
      <c r="G1326" t="s">
        <v>8</v>
      </c>
      <c r="H1326">
        <v>0</v>
      </c>
    </row>
    <row r="1327" spans="2:8">
      <c r="B1327" t="s">
        <v>463</v>
      </c>
      <c r="C1327" t="s">
        <v>69</v>
      </c>
      <c r="D1327" t="s">
        <v>8</v>
      </c>
      <c r="E1327" t="s">
        <v>8</v>
      </c>
      <c r="F1327" t="s">
        <v>8</v>
      </c>
      <c r="G1327" t="s">
        <v>8</v>
      </c>
      <c r="H1327">
        <v>0</v>
      </c>
    </row>
    <row r="1328" spans="2:8">
      <c r="B1328" t="s">
        <v>463</v>
      </c>
      <c r="C1328" t="s">
        <v>70</v>
      </c>
      <c r="D1328" t="s">
        <v>8</v>
      </c>
      <c r="E1328" t="s">
        <v>8</v>
      </c>
      <c r="F1328" t="s">
        <v>8</v>
      </c>
      <c r="G1328" t="s">
        <v>8</v>
      </c>
      <c r="H1328">
        <v>0</v>
      </c>
    </row>
    <row r="1329" spans="2:8">
      <c r="B1329" t="s">
        <v>463</v>
      </c>
      <c r="C1329" t="s">
        <v>71</v>
      </c>
      <c r="D1329" t="s">
        <v>8</v>
      </c>
      <c r="E1329" t="s">
        <v>8</v>
      </c>
      <c r="F1329" t="s">
        <v>8</v>
      </c>
      <c r="G1329" t="s">
        <v>8</v>
      </c>
      <c r="H1329">
        <v>0</v>
      </c>
    </row>
    <row r="1330" spans="2:8">
      <c r="B1330" t="s">
        <v>463</v>
      </c>
      <c r="C1330" t="s">
        <v>72</v>
      </c>
      <c r="D1330">
        <v>3409</v>
      </c>
      <c r="E1330">
        <v>3409</v>
      </c>
      <c r="F1330">
        <v>3409</v>
      </c>
      <c r="G1330">
        <v>3409</v>
      </c>
      <c r="H1330">
        <v>445400</v>
      </c>
    </row>
    <row r="1331" spans="2:8">
      <c r="B1331" t="s">
        <v>587</v>
      </c>
      <c r="C1331" t="s">
        <v>166</v>
      </c>
      <c r="D1331" t="s">
        <v>8</v>
      </c>
      <c r="E1331" t="s">
        <v>8</v>
      </c>
      <c r="F1331" t="s">
        <v>8</v>
      </c>
      <c r="G1331" t="s">
        <v>8</v>
      </c>
      <c r="H1331">
        <v>0</v>
      </c>
    </row>
    <row r="1332" spans="2:8">
      <c r="B1332" t="s">
        <v>587</v>
      </c>
      <c r="C1332" t="s">
        <v>167</v>
      </c>
      <c r="D1332" t="s">
        <v>8</v>
      </c>
      <c r="E1332" t="s">
        <v>8</v>
      </c>
      <c r="F1332" t="s">
        <v>8</v>
      </c>
      <c r="G1332" t="s">
        <v>8</v>
      </c>
      <c r="H1332">
        <v>0</v>
      </c>
    </row>
    <row r="1333" spans="2:8">
      <c r="B1333" t="s">
        <v>587</v>
      </c>
      <c r="C1333" t="s">
        <v>168</v>
      </c>
      <c r="D1333" t="s">
        <v>8</v>
      </c>
      <c r="E1333" t="s">
        <v>8</v>
      </c>
      <c r="F1333" t="s">
        <v>8</v>
      </c>
      <c r="G1333" t="s">
        <v>8</v>
      </c>
      <c r="H1333">
        <v>0</v>
      </c>
    </row>
    <row r="1334" spans="2:8">
      <c r="B1334" t="s">
        <v>587</v>
      </c>
      <c r="C1334" t="s">
        <v>169</v>
      </c>
      <c r="D1334" t="s">
        <v>8</v>
      </c>
      <c r="E1334" t="s">
        <v>8</v>
      </c>
      <c r="F1334" t="s">
        <v>8</v>
      </c>
      <c r="G1334" t="s">
        <v>8</v>
      </c>
      <c r="H1334">
        <v>0</v>
      </c>
    </row>
    <row r="1335" spans="2:8">
      <c r="B1335" t="s">
        <v>587</v>
      </c>
      <c r="C1335" t="s">
        <v>170</v>
      </c>
      <c r="D1335" t="s">
        <v>8</v>
      </c>
      <c r="E1335" t="s">
        <v>8</v>
      </c>
      <c r="F1335" t="s">
        <v>8</v>
      </c>
      <c r="G1335" t="s">
        <v>8</v>
      </c>
      <c r="H1335">
        <v>0</v>
      </c>
    </row>
    <row r="1336" spans="2:8">
      <c r="B1336" t="s">
        <v>587</v>
      </c>
      <c r="C1336" t="s">
        <v>171</v>
      </c>
      <c r="D1336" t="s">
        <v>8</v>
      </c>
      <c r="E1336" t="s">
        <v>8</v>
      </c>
      <c r="F1336" t="s">
        <v>8</v>
      </c>
      <c r="G1336" t="s">
        <v>8</v>
      </c>
      <c r="H1336">
        <v>0</v>
      </c>
    </row>
    <row r="1337" spans="2:8">
      <c r="B1337" t="s">
        <v>587</v>
      </c>
      <c r="C1337" t="s">
        <v>172</v>
      </c>
      <c r="D1337" t="s">
        <v>8</v>
      </c>
      <c r="E1337" t="s">
        <v>8</v>
      </c>
      <c r="F1337" t="s">
        <v>8</v>
      </c>
      <c r="G1337" t="s">
        <v>8</v>
      </c>
      <c r="H1337">
        <v>0</v>
      </c>
    </row>
    <row r="1338" spans="2:8">
      <c r="B1338" t="s">
        <v>587</v>
      </c>
      <c r="C1338" t="s">
        <v>173</v>
      </c>
      <c r="D1338" t="s">
        <v>8</v>
      </c>
      <c r="E1338" t="s">
        <v>8</v>
      </c>
      <c r="F1338" t="s">
        <v>8</v>
      </c>
      <c r="G1338" t="s">
        <v>8</v>
      </c>
      <c r="H1338">
        <v>0</v>
      </c>
    </row>
    <row r="1339" spans="2:8">
      <c r="B1339" t="s">
        <v>587</v>
      </c>
      <c r="C1339" t="s">
        <v>174</v>
      </c>
      <c r="D1339" t="s">
        <v>8</v>
      </c>
      <c r="E1339" t="s">
        <v>8</v>
      </c>
      <c r="F1339" t="s">
        <v>8</v>
      </c>
      <c r="G1339" t="s">
        <v>8</v>
      </c>
      <c r="H1339">
        <v>0</v>
      </c>
    </row>
    <row r="1340" spans="2:8">
      <c r="B1340" t="s">
        <v>587</v>
      </c>
      <c r="C1340" t="s">
        <v>175</v>
      </c>
      <c r="D1340" t="s">
        <v>8</v>
      </c>
      <c r="E1340" t="s">
        <v>8</v>
      </c>
      <c r="F1340" t="s">
        <v>8</v>
      </c>
      <c r="G1340" t="s">
        <v>8</v>
      </c>
      <c r="H1340">
        <v>0</v>
      </c>
    </row>
    <row r="1341" spans="2:8">
      <c r="B1341" t="s">
        <v>587</v>
      </c>
      <c r="C1341" t="s">
        <v>176</v>
      </c>
      <c r="D1341" t="s">
        <v>8</v>
      </c>
      <c r="E1341" t="s">
        <v>8</v>
      </c>
      <c r="F1341" t="s">
        <v>8</v>
      </c>
      <c r="G1341" t="s">
        <v>8</v>
      </c>
      <c r="H1341">
        <v>0</v>
      </c>
    </row>
    <row r="1342" spans="2:8">
      <c r="B1342" t="s">
        <v>587</v>
      </c>
      <c r="C1342" t="s">
        <v>177</v>
      </c>
      <c r="D1342" t="s">
        <v>8</v>
      </c>
      <c r="E1342" t="s">
        <v>8</v>
      </c>
      <c r="F1342" t="s">
        <v>8</v>
      </c>
      <c r="G1342" t="s">
        <v>8</v>
      </c>
      <c r="H1342">
        <v>0</v>
      </c>
    </row>
    <row r="1343" spans="2:8">
      <c r="B1343" t="s">
        <v>587</v>
      </c>
      <c r="C1343" t="s">
        <v>178</v>
      </c>
      <c r="D1343">
        <v>3059</v>
      </c>
      <c r="E1343">
        <v>3069</v>
      </c>
      <c r="F1343">
        <v>3031</v>
      </c>
      <c r="G1343">
        <v>3038</v>
      </c>
      <c r="H1343">
        <v>449500</v>
      </c>
    </row>
    <row r="1344" spans="2:8">
      <c r="B1344" t="s">
        <v>587</v>
      </c>
      <c r="C1344" t="s">
        <v>179</v>
      </c>
      <c r="D1344">
        <v>3037</v>
      </c>
      <c r="E1344">
        <v>3043</v>
      </c>
      <c r="F1344">
        <v>3006</v>
      </c>
      <c r="G1344">
        <v>3031</v>
      </c>
      <c r="H1344">
        <v>248700</v>
      </c>
    </row>
    <row r="1345" spans="2:8">
      <c r="B1345" t="s">
        <v>587</v>
      </c>
      <c r="C1345" t="s">
        <v>180</v>
      </c>
      <c r="D1345">
        <v>3030</v>
      </c>
      <c r="E1345">
        <v>3030</v>
      </c>
      <c r="F1345">
        <v>2993</v>
      </c>
      <c r="G1345">
        <v>3004</v>
      </c>
      <c r="H1345">
        <v>154300</v>
      </c>
    </row>
    <row r="1346" spans="2:8">
      <c r="B1346" t="s">
        <v>587</v>
      </c>
      <c r="C1346" t="s">
        <v>181</v>
      </c>
      <c r="D1346">
        <v>3002</v>
      </c>
      <c r="E1346">
        <v>3002</v>
      </c>
      <c r="F1346">
        <v>2987.5</v>
      </c>
      <c r="G1346">
        <v>2988</v>
      </c>
      <c r="H1346">
        <v>76800</v>
      </c>
    </row>
    <row r="1347" spans="2:8">
      <c r="B1347" t="s">
        <v>587</v>
      </c>
      <c r="C1347" t="s">
        <v>182</v>
      </c>
      <c r="D1347">
        <v>2987.5</v>
      </c>
      <c r="E1347">
        <v>2987.5</v>
      </c>
      <c r="F1347">
        <v>2950.5</v>
      </c>
      <c r="G1347">
        <v>2955</v>
      </c>
      <c r="H1347">
        <v>130400</v>
      </c>
    </row>
    <row r="1348" spans="2:8">
      <c r="B1348" t="s">
        <v>587</v>
      </c>
      <c r="C1348" t="s">
        <v>183</v>
      </c>
      <c r="D1348">
        <v>2952.5</v>
      </c>
      <c r="E1348">
        <v>2963</v>
      </c>
      <c r="F1348">
        <v>2943</v>
      </c>
      <c r="G1348">
        <v>2952.5</v>
      </c>
      <c r="H1348">
        <v>185300</v>
      </c>
    </row>
    <row r="1349" spans="2:8">
      <c r="B1349" t="s">
        <v>587</v>
      </c>
      <c r="C1349" t="s">
        <v>184</v>
      </c>
      <c r="D1349">
        <v>2952.5</v>
      </c>
      <c r="E1349">
        <v>2966</v>
      </c>
      <c r="F1349">
        <v>2943</v>
      </c>
      <c r="G1349">
        <v>2943.5</v>
      </c>
      <c r="H1349">
        <v>100800</v>
      </c>
    </row>
    <row r="1350" spans="2:8">
      <c r="B1350" t="s">
        <v>587</v>
      </c>
      <c r="C1350" t="s">
        <v>185</v>
      </c>
      <c r="D1350">
        <v>2942.5</v>
      </c>
      <c r="E1350">
        <v>2943.5</v>
      </c>
      <c r="F1350">
        <v>2922</v>
      </c>
      <c r="G1350">
        <v>2939.5</v>
      </c>
      <c r="H1350">
        <v>106200</v>
      </c>
    </row>
    <row r="1351" spans="2:8">
      <c r="B1351" t="s">
        <v>587</v>
      </c>
      <c r="C1351" t="s">
        <v>186</v>
      </c>
      <c r="D1351">
        <v>2939.5</v>
      </c>
      <c r="E1351">
        <v>2953</v>
      </c>
      <c r="F1351">
        <v>2936.5</v>
      </c>
      <c r="G1351">
        <v>2936.5</v>
      </c>
      <c r="H1351">
        <v>53900</v>
      </c>
    </row>
    <row r="1352" spans="2:8">
      <c r="B1352" t="s">
        <v>587</v>
      </c>
      <c r="C1352" t="s">
        <v>187</v>
      </c>
      <c r="D1352">
        <v>2938</v>
      </c>
      <c r="E1352">
        <v>2953.5</v>
      </c>
      <c r="F1352">
        <v>2936.5</v>
      </c>
      <c r="G1352">
        <v>2953.5</v>
      </c>
      <c r="H1352">
        <v>66000</v>
      </c>
    </row>
    <row r="1353" spans="2:8">
      <c r="B1353" t="s">
        <v>587</v>
      </c>
      <c r="C1353" t="s">
        <v>188</v>
      </c>
      <c r="D1353">
        <v>2953.5</v>
      </c>
      <c r="E1353">
        <v>2963</v>
      </c>
      <c r="F1353">
        <v>2935.5</v>
      </c>
      <c r="G1353">
        <v>2935.5</v>
      </c>
      <c r="H1353">
        <v>56900</v>
      </c>
    </row>
    <row r="1354" spans="2:8">
      <c r="B1354" t="s">
        <v>587</v>
      </c>
      <c r="C1354" t="s">
        <v>189</v>
      </c>
      <c r="D1354">
        <v>2936</v>
      </c>
      <c r="E1354">
        <v>2946.5</v>
      </c>
      <c r="F1354">
        <v>2934</v>
      </c>
      <c r="G1354">
        <v>2940</v>
      </c>
      <c r="H1354">
        <v>48500</v>
      </c>
    </row>
    <row r="1355" spans="2:8">
      <c r="B1355" t="s">
        <v>587</v>
      </c>
      <c r="C1355" t="s">
        <v>190</v>
      </c>
      <c r="D1355">
        <v>2940.5</v>
      </c>
      <c r="E1355">
        <v>2943.5</v>
      </c>
      <c r="F1355">
        <v>2935</v>
      </c>
      <c r="G1355">
        <v>2943.5</v>
      </c>
      <c r="H1355">
        <v>38800</v>
      </c>
    </row>
    <row r="1356" spans="2:8">
      <c r="B1356" t="s">
        <v>587</v>
      </c>
      <c r="C1356" t="s">
        <v>191</v>
      </c>
      <c r="D1356">
        <v>2942</v>
      </c>
      <c r="E1356">
        <v>2943.5</v>
      </c>
      <c r="F1356">
        <v>2937</v>
      </c>
      <c r="G1356">
        <v>2940</v>
      </c>
      <c r="H1356">
        <v>35900</v>
      </c>
    </row>
    <row r="1357" spans="2:8">
      <c r="B1357" t="s">
        <v>587</v>
      </c>
      <c r="C1357" t="s">
        <v>192</v>
      </c>
      <c r="D1357">
        <v>2940</v>
      </c>
      <c r="E1357">
        <v>2943.5</v>
      </c>
      <c r="F1357">
        <v>2938</v>
      </c>
      <c r="G1357">
        <v>2940</v>
      </c>
      <c r="H1357">
        <v>31600</v>
      </c>
    </row>
    <row r="1358" spans="2:8">
      <c r="B1358" t="s">
        <v>587</v>
      </c>
      <c r="C1358" t="s">
        <v>193</v>
      </c>
      <c r="D1358">
        <v>2939.5</v>
      </c>
      <c r="E1358">
        <v>2951</v>
      </c>
      <c r="F1358">
        <v>2937.5</v>
      </c>
      <c r="G1358">
        <v>2942</v>
      </c>
      <c r="H1358">
        <v>52800</v>
      </c>
    </row>
    <row r="1359" spans="2:8">
      <c r="B1359" t="s">
        <v>587</v>
      </c>
      <c r="C1359" t="s">
        <v>194</v>
      </c>
      <c r="D1359">
        <v>2942.5</v>
      </c>
      <c r="E1359">
        <v>2949.5</v>
      </c>
      <c r="F1359">
        <v>2930.5</v>
      </c>
      <c r="G1359">
        <v>2931.5</v>
      </c>
      <c r="H1359">
        <v>62700</v>
      </c>
    </row>
    <row r="1360" spans="2:8">
      <c r="B1360" t="s">
        <v>587</v>
      </c>
      <c r="C1360" t="s">
        <v>195</v>
      </c>
      <c r="D1360">
        <v>2931.5</v>
      </c>
      <c r="E1360">
        <v>2940.5</v>
      </c>
      <c r="F1360">
        <v>2931.5</v>
      </c>
      <c r="G1360">
        <v>2940.5</v>
      </c>
      <c r="H1360">
        <v>52600</v>
      </c>
    </row>
    <row r="1361" spans="2:8">
      <c r="B1361" t="s">
        <v>587</v>
      </c>
      <c r="C1361" t="s">
        <v>196</v>
      </c>
      <c r="D1361">
        <v>2940.5</v>
      </c>
      <c r="E1361">
        <v>2972.5</v>
      </c>
      <c r="F1361">
        <v>2939</v>
      </c>
      <c r="G1361">
        <v>2972</v>
      </c>
      <c r="H1361">
        <v>64500</v>
      </c>
    </row>
    <row r="1362" spans="2:8">
      <c r="B1362" t="s">
        <v>587</v>
      </c>
      <c r="C1362" t="s">
        <v>197</v>
      </c>
      <c r="D1362">
        <v>2973</v>
      </c>
      <c r="E1362">
        <v>2990.5</v>
      </c>
      <c r="F1362">
        <v>2966.5</v>
      </c>
      <c r="G1362">
        <v>2987</v>
      </c>
      <c r="H1362">
        <v>79300</v>
      </c>
    </row>
    <row r="1363" spans="2:8">
      <c r="B1363" t="s">
        <v>587</v>
      </c>
      <c r="C1363" t="s">
        <v>198</v>
      </c>
      <c r="D1363">
        <v>2987</v>
      </c>
      <c r="E1363">
        <v>3010</v>
      </c>
      <c r="F1363">
        <v>2985</v>
      </c>
      <c r="G1363">
        <v>3005</v>
      </c>
      <c r="H1363">
        <v>70400</v>
      </c>
    </row>
    <row r="1364" spans="2:8">
      <c r="B1364" t="s">
        <v>587</v>
      </c>
      <c r="C1364" t="s">
        <v>199</v>
      </c>
      <c r="D1364">
        <v>3005</v>
      </c>
      <c r="E1364">
        <v>3019</v>
      </c>
      <c r="F1364">
        <v>3003</v>
      </c>
      <c r="G1364">
        <v>3015</v>
      </c>
      <c r="H1364">
        <v>90200</v>
      </c>
    </row>
    <row r="1365" spans="2:8">
      <c r="B1365" t="s">
        <v>587</v>
      </c>
      <c r="C1365" t="s">
        <v>200</v>
      </c>
      <c r="D1365">
        <v>3015</v>
      </c>
      <c r="E1365">
        <v>3032</v>
      </c>
      <c r="F1365">
        <v>3009</v>
      </c>
      <c r="G1365">
        <v>3029</v>
      </c>
      <c r="H1365">
        <v>57700</v>
      </c>
    </row>
    <row r="1366" spans="2:8">
      <c r="B1366" t="s">
        <v>587</v>
      </c>
      <c r="C1366" t="s">
        <v>201</v>
      </c>
      <c r="D1366">
        <v>3029</v>
      </c>
      <c r="E1366">
        <v>3038</v>
      </c>
      <c r="F1366">
        <v>3027</v>
      </c>
      <c r="G1366">
        <v>3037</v>
      </c>
      <c r="H1366">
        <v>40200</v>
      </c>
    </row>
    <row r="1367" spans="2:8">
      <c r="B1367" t="s">
        <v>587</v>
      </c>
      <c r="C1367" t="s">
        <v>202</v>
      </c>
      <c r="D1367">
        <v>3037</v>
      </c>
      <c r="E1367">
        <v>3042</v>
      </c>
      <c r="F1367">
        <v>3032</v>
      </c>
      <c r="G1367">
        <v>3041</v>
      </c>
      <c r="H1367">
        <v>59700</v>
      </c>
    </row>
    <row r="1368" spans="2:8">
      <c r="B1368" t="s">
        <v>587</v>
      </c>
      <c r="C1368" t="s">
        <v>203</v>
      </c>
      <c r="D1368">
        <v>3041</v>
      </c>
      <c r="E1368">
        <v>3049</v>
      </c>
      <c r="F1368">
        <v>3035</v>
      </c>
      <c r="G1368">
        <v>3042</v>
      </c>
      <c r="H1368">
        <v>65600</v>
      </c>
    </row>
    <row r="1369" spans="2:8">
      <c r="B1369" t="s">
        <v>587</v>
      </c>
      <c r="C1369" t="s">
        <v>204</v>
      </c>
      <c r="D1369">
        <v>3042</v>
      </c>
      <c r="E1369">
        <v>3063</v>
      </c>
      <c r="F1369">
        <v>3042</v>
      </c>
      <c r="G1369">
        <v>3060</v>
      </c>
      <c r="H1369">
        <v>41800</v>
      </c>
    </row>
    <row r="1370" spans="2:8">
      <c r="B1370" t="s">
        <v>587</v>
      </c>
      <c r="C1370" t="s">
        <v>205</v>
      </c>
      <c r="D1370">
        <v>3060</v>
      </c>
      <c r="E1370">
        <v>3064</v>
      </c>
      <c r="F1370">
        <v>3055</v>
      </c>
      <c r="G1370">
        <v>3056</v>
      </c>
      <c r="H1370">
        <v>34800</v>
      </c>
    </row>
    <row r="1371" spans="2:8">
      <c r="B1371" t="s">
        <v>587</v>
      </c>
      <c r="C1371" t="s">
        <v>206</v>
      </c>
      <c r="D1371">
        <v>3057</v>
      </c>
      <c r="E1371">
        <v>3096</v>
      </c>
      <c r="F1371">
        <v>3057</v>
      </c>
      <c r="G1371">
        <v>3071</v>
      </c>
      <c r="H1371">
        <v>101700</v>
      </c>
    </row>
    <row r="1372" spans="2:8">
      <c r="B1372" t="s">
        <v>587</v>
      </c>
      <c r="C1372" t="s">
        <v>207</v>
      </c>
      <c r="D1372">
        <v>3072</v>
      </c>
      <c r="E1372">
        <v>3075</v>
      </c>
      <c r="F1372">
        <v>3060</v>
      </c>
      <c r="G1372">
        <v>3063</v>
      </c>
      <c r="H1372">
        <v>68200</v>
      </c>
    </row>
    <row r="1373" spans="2:8">
      <c r="B1373" t="s">
        <v>587</v>
      </c>
      <c r="C1373" t="s">
        <v>208</v>
      </c>
      <c r="D1373">
        <v>3063</v>
      </c>
      <c r="E1373">
        <v>3066</v>
      </c>
      <c r="F1373">
        <v>3033</v>
      </c>
      <c r="G1373">
        <v>3042</v>
      </c>
      <c r="H1373">
        <v>73400</v>
      </c>
    </row>
    <row r="1374" spans="2:8">
      <c r="B1374" t="s">
        <v>587</v>
      </c>
      <c r="C1374" t="s">
        <v>209</v>
      </c>
      <c r="D1374">
        <v>3044</v>
      </c>
      <c r="E1374">
        <v>3051</v>
      </c>
      <c r="F1374">
        <v>3040</v>
      </c>
      <c r="G1374">
        <v>3041</v>
      </c>
      <c r="H1374">
        <v>35000</v>
      </c>
    </row>
    <row r="1375" spans="2:8">
      <c r="B1375" t="s">
        <v>587</v>
      </c>
      <c r="C1375" t="s">
        <v>210</v>
      </c>
      <c r="D1375">
        <v>3040</v>
      </c>
      <c r="E1375">
        <v>3046</v>
      </c>
      <c r="F1375">
        <v>3033</v>
      </c>
      <c r="G1375">
        <v>3040</v>
      </c>
      <c r="H1375">
        <v>35100</v>
      </c>
    </row>
    <row r="1376" spans="2:8">
      <c r="B1376" t="s">
        <v>587</v>
      </c>
      <c r="C1376" t="s">
        <v>211</v>
      </c>
      <c r="D1376">
        <v>3040</v>
      </c>
      <c r="E1376">
        <v>3057</v>
      </c>
      <c r="F1376">
        <v>3031</v>
      </c>
      <c r="G1376">
        <v>3054</v>
      </c>
      <c r="H1376">
        <v>42100</v>
      </c>
    </row>
    <row r="1377" spans="2:8">
      <c r="B1377" t="s">
        <v>587</v>
      </c>
      <c r="C1377" t="s">
        <v>212</v>
      </c>
      <c r="D1377">
        <v>3054</v>
      </c>
      <c r="E1377">
        <v>3079</v>
      </c>
      <c r="F1377">
        <v>3047</v>
      </c>
      <c r="G1377">
        <v>3077</v>
      </c>
      <c r="H1377">
        <v>45200</v>
      </c>
    </row>
    <row r="1378" spans="2:8">
      <c r="B1378" t="s">
        <v>587</v>
      </c>
      <c r="C1378" t="s">
        <v>213</v>
      </c>
      <c r="D1378">
        <v>3077</v>
      </c>
      <c r="E1378">
        <v>3077</v>
      </c>
      <c r="F1378">
        <v>3057</v>
      </c>
      <c r="G1378">
        <v>3066</v>
      </c>
      <c r="H1378">
        <v>25900</v>
      </c>
    </row>
    <row r="1379" spans="2:8">
      <c r="B1379" t="s">
        <v>587</v>
      </c>
      <c r="C1379" t="s">
        <v>214</v>
      </c>
      <c r="D1379">
        <v>3066</v>
      </c>
      <c r="E1379">
        <v>3090</v>
      </c>
      <c r="F1379">
        <v>3066</v>
      </c>
      <c r="G1379">
        <v>3088</v>
      </c>
      <c r="H1379">
        <v>53200</v>
      </c>
    </row>
    <row r="1380" spans="2:8">
      <c r="B1380" t="s">
        <v>587</v>
      </c>
      <c r="C1380" t="s">
        <v>215</v>
      </c>
      <c r="D1380">
        <v>3089</v>
      </c>
      <c r="E1380">
        <v>3089</v>
      </c>
      <c r="F1380">
        <v>3055</v>
      </c>
      <c r="G1380">
        <v>3059</v>
      </c>
      <c r="H1380">
        <v>35500</v>
      </c>
    </row>
    <row r="1381" spans="2:8">
      <c r="B1381" t="s">
        <v>587</v>
      </c>
      <c r="C1381" t="s">
        <v>216</v>
      </c>
      <c r="D1381">
        <v>3057</v>
      </c>
      <c r="E1381">
        <v>3057</v>
      </c>
      <c r="F1381">
        <v>3032</v>
      </c>
      <c r="G1381">
        <v>3032</v>
      </c>
      <c r="H1381">
        <v>39300</v>
      </c>
    </row>
    <row r="1382" spans="2:8">
      <c r="B1382" t="s">
        <v>587</v>
      </c>
      <c r="C1382" t="s">
        <v>217</v>
      </c>
      <c r="D1382">
        <v>3033</v>
      </c>
      <c r="E1382">
        <v>3041</v>
      </c>
      <c r="F1382">
        <v>3024</v>
      </c>
      <c r="G1382">
        <v>3028</v>
      </c>
      <c r="H1382">
        <v>51100</v>
      </c>
    </row>
    <row r="1383" spans="2:8">
      <c r="B1383" t="s">
        <v>587</v>
      </c>
      <c r="C1383" t="s">
        <v>218</v>
      </c>
      <c r="D1383">
        <v>3027</v>
      </c>
      <c r="E1383">
        <v>3031</v>
      </c>
      <c r="F1383">
        <v>3014</v>
      </c>
      <c r="G1383">
        <v>3017</v>
      </c>
      <c r="H1383">
        <v>32900</v>
      </c>
    </row>
    <row r="1384" spans="2:8">
      <c r="B1384" t="s">
        <v>587</v>
      </c>
      <c r="C1384" t="s">
        <v>219</v>
      </c>
      <c r="D1384">
        <v>3016</v>
      </c>
      <c r="E1384">
        <v>3016</v>
      </c>
      <c r="F1384">
        <v>3007</v>
      </c>
      <c r="G1384">
        <v>3010</v>
      </c>
      <c r="H1384">
        <v>27900</v>
      </c>
    </row>
    <row r="1385" spans="2:8">
      <c r="B1385" t="s">
        <v>587</v>
      </c>
      <c r="C1385" t="s">
        <v>220</v>
      </c>
      <c r="D1385">
        <v>3010</v>
      </c>
      <c r="E1385">
        <v>3010</v>
      </c>
      <c r="F1385">
        <v>2997</v>
      </c>
      <c r="G1385">
        <v>3003</v>
      </c>
      <c r="H1385">
        <v>52400</v>
      </c>
    </row>
    <row r="1386" spans="2:8">
      <c r="B1386" t="s">
        <v>587</v>
      </c>
      <c r="C1386" t="s">
        <v>221</v>
      </c>
      <c r="D1386">
        <v>3002</v>
      </c>
      <c r="E1386">
        <v>3006</v>
      </c>
      <c r="F1386">
        <v>2998.5</v>
      </c>
      <c r="G1386">
        <v>3000</v>
      </c>
      <c r="H1386">
        <v>38000</v>
      </c>
    </row>
    <row r="1387" spans="2:8">
      <c r="B1387" t="s">
        <v>587</v>
      </c>
      <c r="C1387" t="s">
        <v>222</v>
      </c>
      <c r="D1387">
        <v>2999.5</v>
      </c>
      <c r="E1387">
        <v>3006</v>
      </c>
      <c r="F1387">
        <v>2999.5</v>
      </c>
      <c r="G1387">
        <v>3006</v>
      </c>
      <c r="H1387">
        <v>21500</v>
      </c>
    </row>
    <row r="1388" spans="2:8">
      <c r="B1388" t="s">
        <v>587</v>
      </c>
      <c r="C1388" t="s">
        <v>223</v>
      </c>
      <c r="D1388">
        <v>3006</v>
      </c>
      <c r="E1388">
        <v>3006</v>
      </c>
      <c r="F1388">
        <v>2997</v>
      </c>
      <c r="G1388">
        <v>2997</v>
      </c>
      <c r="H1388">
        <v>18800</v>
      </c>
    </row>
    <row r="1389" spans="2:8">
      <c r="B1389" t="s">
        <v>587</v>
      </c>
      <c r="C1389" t="s">
        <v>224</v>
      </c>
      <c r="D1389">
        <v>2996</v>
      </c>
      <c r="E1389">
        <v>2996</v>
      </c>
      <c r="F1389">
        <v>2981.5</v>
      </c>
      <c r="G1389">
        <v>2983</v>
      </c>
      <c r="H1389">
        <v>45500</v>
      </c>
    </row>
    <row r="1390" spans="2:8">
      <c r="B1390" t="s">
        <v>587</v>
      </c>
      <c r="C1390" t="s">
        <v>225</v>
      </c>
      <c r="D1390">
        <v>2982.5</v>
      </c>
      <c r="E1390">
        <v>2998.5</v>
      </c>
      <c r="F1390">
        <v>2980.5</v>
      </c>
      <c r="G1390">
        <v>2995</v>
      </c>
      <c r="H1390">
        <v>32300</v>
      </c>
    </row>
    <row r="1391" spans="2:8">
      <c r="B1391" t="s">
        <v>587</v>
      </c>
      <c r="C1391" t="s">
        <v>226</v>
      </c>
      <c r="D1391">
        <v>2994</v>
      </c>
      <c r="E1391">
        <v>2999</v>
      </c>
      <c r="F1391">
        <v>2992.5</v>
      </c>
      <c r="G1391">
        <v>2994.5</v>
      </c>
      <c r="H1391">
        <v>20400</v>
      </c>
    </row>
    <row r="1392" spans="2:8">
      <c r="B1392" t="s">
        <v>587</v>
      </c>
      <c r="C1392" t="s">
        <v>227</v>
      </c>
      <c r="D1392">
        <v>2995</v>
      </c>
      <c r="E1392">
        <v>3010</v>
      </c>
      <c r="F1392">
        <v>2994.5</v>
      </c>
      <c r="G1392">
        <v>3007</v>
      </c>
      <c r="H1392">
        <v>26700</v>
      </c>
    </row>
    <row r="1393" spans="2:8">
      <c r="B1393" t="s">
        <v>587</v>
      </c>
      <c r="C1393" t="s">
        <v>228</v>
      </c>
      <c r="D1393">
        <v>3006</v>
      </c>
      <c r="E1393">
        <v>3019</v>
      </c>
      <c r="F1393">
        <v>3005</v>
      </c>
      <c r="G1393">
        <v>3019</v>
      </c>
      <c r="H1393">
        <v>15100</v>
      </c>
    </row>
    <row r="1394" spans="2:8">
      <c r="B1394" t="s">
        <v>587</v>
      </c>
      <c r="C1394" t="s">
        <v>229</v>
      </c>
      <c r="D1394">
        <v>3018</v>
      </c>
      <c r="E1394">
        <v>3025</v>
      </c>
      <c r="F1394">
        <v>3016</v>
      </c>
      <c r="G1394">
        <v>3025</v>
      </c>
      <c r="H1394">
        <v>27400</v>
      </c>
    </row>
    <row r="1395" spans="2:8">
      <c r="B1395" t="s">
        <v>587</v>
      </c>
      <c r="C1395" t="s">
        <v>230</v>
      </c>
      <c r="D1395">
        <v>3024</v>
      </c>
      <c r="E1395">
        <v>3025</v>
      </c>
      <c r="F1395">
        <v>3021</v>
      </c>
      <c r="G1395">
        <v>3025</v>
      </c>
      <c r="H1395">
        <v>10900</v>
      </c>
    </row>
    <row r="1396" spans="2:8">
      <c r="B1396" t="s">
        <v>587</v>
      </c>
      <c r="C1396" t="s">
        <v>231</v>
      </c>
      <c r="D1396">
        <v>3025</v>
      </c>
      <c r="E1396">
        <v>3025</v>
      </c>
      <c r="F1396">
        <v>3017</v>
      </c>
      <c r="G1396">
        <v>3022</v>
      </c>
      <c r="H1396">
        <v>28600</v>
      </c>
    </row>
    <row r="1397" spans="2:8">
      <c r="B1397" t="s">
        <v>587</v>
      </c>
      <c r="C1397" t="s">
        <v>232</v>
      </c>
      <c r="D1397">
        <v>3021</v>
      </c>
      <c r="E1397">
        <v>3024</v>
      </c>
      <c r="F1397">
        <v>3008</v>
      </c>
      <c r="G1397">
        <v>3013</v>
      </c>
      <c r="H1397">
        <v>30600</v>
      </c>
    </row>
    <row r="1398" spans="2:8">
      <c r="B1398" t="s">
        <v>587</v>
      </c>
      <c r="C1398" t="s">
        <v>233</v>
      </c>
      <c r="D1398">
        <v>3013</v>
      </c>
      <c r="E1398">
        <v>3017</v>
      </c>
      <c r="F1398">
        <v>2998.5</v>
      </c>
      <c r="G1398">
        <v>3002</v>
      </c>
      <c r="H1398">
        <v>46200</v>
      </c>
    </row>
    <row r="1399" spans="2:8">
      <c r="B1399" t="s">
        <v>587</v>
      </c>
      <c r="C1399" t="s">
        <v>234</v>
      </c>
      <c r="D1399">
        <v>3002</v>
      </c>
      <c r="E1399">
        <v>3003</v>
      </c>
      <c r="F1399">
        <v>2996</v>
      </c>
      <c r="G1399">
        <v>2997.5</v>
      </c>
      <c r="H1399">
        <v>22600</v>
      </c>
    </row>
    <row r="1400" spans="2:8">
      <c r="B1400" t="s">
        <v>587</v>
      </c>
      <c r="C1400" t="s">
        <v>235</v>
      </c>
      <c r="D1400">
        <v>2997</v>
      </c>
      <c r="E1400">
        <v>2998</v>
      </c>
      <c r="F1400">
        <v>2990.5</v>
      </c>
      <c r="G1400">
        <v>2994</v>
      </c>
      <c r="H1400">
        <v>26400</v>
      </c>
    </row>
    <row r="1401" spans="2:8">
      <c r="B1401" t="s">
        <v>587</v>
      </c>
      <c r="C1401" t="s">
        <v>236</v>
      </c>
      <c r="D1401">
        <v>2994</v>
      </c>
      <c r="E1401">
        <v>2998</v>
      </c>
      <c r="F1401">
        <v>2993.5</v>
      </c>
      <c r="G1401">
        <v>2996.5</v>
      </c>
      <c r="H1401">
        <v>15900</v>
      </c>
    </row>
    <row r="1402" spans="2:8">
      <c r="B1402" t="s">
        <v>587</v>
      </c>
      <c r="C1402" t="s">
        <v>237</v>
      </c>
      <c r="D1402">
        <v>2996.5</v>
      </c>
      <c r="E1402">
        <v>2999</v>
      </c>
      <c r="F1402">
        <v>2994.5</v>
      </c>
      <c r="G1402">
        <v>2997.5</v>
      </c>
      <c r="H1402">
        <v>9200</v>
      </c>
    </row>
    <row r="1403" spans="2:8">
      <c r="B1403" t="s">
        <v>587</v>
      </c>
      <c r="C1403" t="s">
        <v>238</v>
      </c>
      <c r="D1403">
        <v>2997.5</v>
      </c>
      <c r="E1403">
        <v>3006</v>
      </c>
      <c r="F1403">
        <v>2997.5</v>
      </c>
      <c r="G1403">
        <v>3004</v>
      </c>
      <c r="H1403">
        <v>12900</v>
      </c>
    </row>
    <row r="1404" spans="2:8">
      <c r="B1404" t="s">
        <v>587</v>
      </c>
      <c r="C1404" t="s">
        <v>239</v>
      </c>
      <c r="D1404">
        <v>3002</v>
      </c>
      <c r="E1404">
        <v>3006</v>
      </c>
      <c r="F1404">
        <v>3001</v>
      </c>
      <c r="G1404">
        <v>3005</v>
      </c>
      <c r="H1404">
        <v>8400</v>
      </c>
    </row>
    <row r="1405" spans="2:8">
      <c r="B1405" t="s">
        <v>587</v>
      </c>
      <c r="C1405" t="s">
        <v>240</v>
      </c>
      <c r="D1405">
        <v>3005</v>
      </c>
      <c r="E1405">
        <v>3010</v>
      </c>
      <c r="F1405">
        <v>3005</v>
      </c>
      <c r="G1405">
        <v>3008</v>
      </c>
      <c r="H1405">
        <v>9200</v>
      </c>
    </row>
    <row r="1406" spans="2:8">
      <c r="B1406" t="s">
        <v>587</v>
      </c>
      <c r="C1406" t="s">
        <v>241</v>
      </c>
      <c r="D1406">
        <v>3009</v>
      </c>
      <c r="E1406">
        <v>3018</v>
      </c>
      <c r="F1406">
        <v>3007</v>
      </c>
      <c r="G1406">
        <v>3015</v>
      </c>
      <c r="H1406">
        <v>25100</v>
      </c>
    </row>
    <row r="1407" spans="2:8">
      <c r="B1407" t="s">
        <v>587</v>
      </c>
      <c r="C1407" t="s">
        <v>242</v>
      </c>
      <c r="D1407">
        <v>3016</v>
      </c>
      <c r="E1407">
        <v>3021</v>
      </c>
      <c r="F1407">
        <v>3013</v>
      </c>
      <c r="G1407">
        <v>3013</v>
      </c>
      <c r="H1407">
        <v>17500</v>
      </c>
    </row>
    <row r="1408" spans="2:8">
      <c r="B1408" t="s">
        <v>587</v>
      </c>
      <c r="C1408" t="s">
        <v>243</v>
      </c>
      <c r="D1408">
        <v>3013</v>
      </c>
      <c r="E1408">
        <v>3014</v>
      </c>
      <c r="F1408">
        <v>3010</v>
      </c>
      <c r="G1408">
        <v>3014</v>
      </c>
      <c r="H1408">
        <v>15100</v>
      </c>
    </row>
    <row r="1409" spans="2:8">
      <c r="B1409" t="s">
        <v>587</v>
      </c>
      <c r="C1409" t="s">
        <v>244</v>
      </c>
      <c r="D1409">
        <v>3013</v>
      </c>
      <c r="E1409">
        <v>3013</v>
      </c>
      <c r="F1409">
        <v>3007</v>
      </c>
      <c r="G1409">
        <v>3007</v>
      </c>
      <c r="H1409">
        <v>7100</v>
      </c>
    </row>
    <row r="1410" spans="2:8">
      <c r="B1410" t="s">
        <v>587</v>
      </c>
      <c r="C1410" t="s">
        <v>245</v>
      </c>
      <c r="D1410">
        <v>3007</v>
      </c>
      <c r="E1410">
        <v>3009</v>
      </c>
      <c r="F1410">
        <v>3001</v>
      </c>
      <c r="G1410">
        <v>3004</v>
      </c>
      <c r="H1410">
        <v>9400</v>
      </c>
    </row>
    <row r="1411" spans="2:8">
      <c r="B1411" t="s">
        <v>587</v>
      </c>
      <c r="C1411" t="s">
        <v>246</v>
      </c>
      <c r="D1411">
        <v>3003</v>
      </c>
      <c r="E1411">
        <v>3012</v>
      </c>
      <c r="F1411">
        <v>3003</v>
      </c>
      <c r="G1411">
        <v>3008</v>
      </c>
      <c r="H1411">
        <v>17400</v>
      </c>
    </row>
    <row r="1412" spans="2:8">
      <c r="B1412" t="s">
        <v>587</v>
      </c>
      <c r="C1412" t="s">
        <v>247</v>
      </c>
      <c r="D1412">
        <v>3005</v>
      </c>
      <c r="E1412">
        <v>3013</v>
      </c>
      <c r="F1412">
        <v>3005</v>
      </c>
      <c r="G1412">
        <v>3010</v>
      </c>
      <c r="H1412">
        <v>9600</v>
      </c>
    </row>
    <row r="1413" spans="2:8">
      <c r="B1413" t="s">
        <v>587</v>
      </c>
      <c r="C1413" t="s">
        <v>248</v>
      </c>
      <c r="D1413">
        <v>3009</v>
      </c>
      <c r="E1413">
        <v>3009</v>
      </c>
      <c r="F1413">
        <v>3006</v>
      </c>
      <c r="G1413">
        <v>3006</v>
      </c>
      <c r="H1413">
        <v>2900</v>
      </c>
    </row>
    <row r="1414" spans="2:8">
      <c r="B1414" t="s">
        <v>587</v>
      </c>
      <c r="C1414" t="s">
        <v>249</v>
      </c>
      <c r="D1414">
        <v>3005</v>
      </c>
      <c r="E1414">
        <v>3007</v>
      </c>
      <c r="F1414">
        <v>3003</v>
      </c>
      <c r="G1414">
        <v>3004</v>
      </c>
      <c r="H1414">
        <v>8700</v>
      </c>
    </row>
    <row r="1415" spans="2:8">
      <c r="B1415" t="s">
        <v>587</v>
      </c>
      <c r="C1415" t="s">
        <v>250</v>
      </c>
      <c r="D1415">
        <v>3004</v>
      </c>
      <c r="E1415">
        <v>3004</v>
      </c>
      <c r="F1415">
        <v>3000</v>
      </c>
      <c r="G1415">
        <v>3001</v>
      </c>
      <c r="H1415">
        <v>12600</v>
      </c>
    </row>
    <row r="1416" spans="2:8">
      <c r="B1416" t="s">
        <v>587</v>
      </c>
      <c r="C1416" t="s">
        <v>251</v>
      </c>
      <c r="D1416">
        <v>3000</v>
      </c>
      <c r="E1416">
        <v>3004</v>
      </c>
      <c r="F1416">
        <v>2995.5</v>
      </c>
      <c r="G1416">
        <v>2996</v>
      </c>
      <c r="H1416">
        <v>29200</v>
      </c>
    </row>
    <row r="1417" spans="2:8">
      <c r="B1417" t="s">
        <v>587</v>
      </c>
      <c r="C1417" t="s">
        <v>252</v>
      </c>
      <c r="D1417">
        <v>2996.5</v>
      </c>
      <c r="E1417">
        <v>3001</v>
      </c>
      <c r="F1417">
        <v>2996.5</v>
      </c>
      <c r="G1417">
        <v>3000</v>
      </c>
      <c r="H1417">
        <v>11100</v>
      </c>
    </row>
    <row r="1418" spans="2:8">
      <c r="B1418" t="s">
        <v>587</v>
      </c>
      <c r="C1418" t="s">
        <v>253</v>
      </c>
      <c r="D1418">
        <v>3001</v>
      </c>
      <c r="E1418">
        <v>3005</v>
      </c>
      <c r="F1418">
        <v>3000</v>
      </c>
      <c r="G1418">
        <v>3005</v>
      </c>
      <c r="H1418">
        <v>9100</v>
      </c>
    </row>
    <row r="1419" spans="2:8">
      <c r="B1419" t="s">
        <v>587</v>
      </c>
      <c r="C1419" t="s">
        <v>254</v>
      </c>
      <c r="D1419">
        <v>3004</v>
      </c>
      <c r="E1419">
        <v>3004</v>
      </c>
      <c r="F1419">
        <v>2998.5</v>
      </c>
      <c r="G1419">
        <v>3000</v>
      </c>
      <c r="H1419">
        <v>14500</v>
      </c>
    </row>
    <row r="1420" spans="2:8">
      <c r="B1420" t="s">
        <v>587</v>
      </c>
      <c r="C1420" t="s">
        <v>255</v>
      </c>
      <c r="D1420">
        <v>3001</v>
      </c>
      <c r="E1420">
        <v>3002</v>
      </c>
      <c r="F1420">
        <v>2998.5</v>
      </c>
      <c r="G1420">
        <v>3000</v>
      </c>
      <c r="H1420">
        <v>12300</v>
      </c>
    </row>
    <row r="1421" spans="2:8">
      <c r="B1421" t="s">
        <v>587</v>
      </c>
      <c r="C1421" t="s">
        <v>256</v>
      </c>
      <c r="D1421">
        <v>3000</v>
      </c>
      <c r="E1421">
        <v>3001</v>
      </c>
      <c r="F1421">
        <v>2998.5</v>
      </c>
      <c r="G1421">
        <v>2999</v>
      </c>
      <c r="H1421">
        <v>6300</v>
      </c>
    </row>
    <row r="1422" spans="2:8">
      <c r="B1422" t="s">
        <v>587</v>
      </c>
      <c r="C1422" t="s">
        <v>257</v>
      </c>
      <c r="D1422">
        <v>2998</v>
      </c>
      <c r="E1422">
        <v>3002</v>
      </c>
      <c r="F1422">
        <v>2996</v>
      </c>
      <c r="G1422">
        <v>3001</v>
      </c>
      <c r="H1422">
        <v>28100</v>
      </c>
    </row>
    <row r="1423" spans="2:8">
      <c r="B1423" t="s">
        <v>587</v>
      </c>
      <c r="C1423" t="s">
        <v>258</v>
      </c>
      <c r="D1423">
        <v>3001</v>
      </c>
      <c r="E1423">
        <v>3002</v>
      </c>
      <c r="F1423">
        <v>2999.5</v>
      </c>
      <c r="G1423">
        <v>3001</v>
      </c>
      <c r="H1423">
        <v>9300</v>
      </c>
    </row>
    <row r="1424" spans="2:8">
      <c r="B1424" t="s">
        <v>587</v>
      </c>
      <c r="C1424" t="s">
        <v>259</v>
      </c>
      <c r="D1424">
        <v>3001</v>
      </c>
      <c r="E1424">
        <v>3005</v>
      </c>
      <c r="F1424">
        <v>2999.5</v>
      </c>
      <c r="G1424">
        <v>3004</v>
      </c>
      <c r="H1424">
        <v>16900</v>
      </c>
    </row>
    <row r="1425" spans="2:8">
      <c r="B1425" t="s">
        <v>587</v>
      </c>
      <c r="C1425" t="s">
        <v>260</v>
      </c>
      <c r="D1425">
        <v>3004</v>
      </c>
      <c r="E1425">
        <v>3004</v>
      </c>
      <c r="F1425">
        <v>3001</v>
      </c>
      <c r="G1425">
        <v>3002</v>
      </c>
      <c r="H1425">
        <v>8800</v>
      </c>
    </row>
    <row r="1426" spans="2:8">
      <c r="B1426" t="s">
        <v>587</v>
      </c>
      <c r="C1426" t="s">
        <v>261</v>
      </c>
      <c r="D1426">
        <v>3001</v>
      </c>
      <c r="E1426">
        <v>3004</v>
      </c>
      <c r="F1426">
        <v>3000</v>
      </c>
      <c r="G1426">
        <v>3001</v>
      </c>
      <c r="H1426">
        <v>9200</v>
      </c>
    </row>
    <row r="1427" spans="2:8">
      <c r="B1427" t="s">
        <v>587</v>
      </c>
      <c r="C1427" t="s">
        <v>262</v>
      </c>
      <c r="D1427">
        <v>3000</v>
      </c>
      <c r="E1427">
        <v>3000</v>
      </c>
      <c r="F1427">
        <v>2995.5</v>
      </c>
      <c r="G1427">
        <v>2997</v>
      </c>
      <c r="H1427">
        <v>27400</v>
      </c>
    </row>
    <row r="1428" spans="2:8">
      <c r="B1428" t="s">
        <v>587</v>
      </c>
      <c r="C1428" t="s">
        <v>263</v>
      </c>
      <c r="D1428">
        <v>2997</v>
      </c>
      <c r="E1428">
        <v>3009</v>
      </c>
      <c r="F1428">
        <v>2996.5</v>
      </c>
      <c r="G1428">
        <v>3009</v>
      </c>
      <c r="H1428">
        <v>24000</v>
      </c>
    </row>
    <row r="1429" spans="2:8">
      <c r="B1429" t="s">
        <v>587</v>
      </c>
      <c r="C1429" t="s">
        <v>264</v>
      </c>
      <c r="D1429">
        <v>3009</v>
      </c>
      <c r="E1429">
        <v>3010</v>
      </c>
      <c r="F1429">
        <v>3003</v>
      </c>
      <c r="G1429">
        <v>3004</v>
      </c>
      <c r="H1429">
        <v>10800</v>
      </c>
    </row>
    <row r="1430" spans="2:8">
      <c r="B1430" t="s">
        <v>587</v>
      </c>
      <c r="C1430" t="s">
        <v>265</v>
      </c>
      <c r="D1430">
        <v>3004</v>
      </c>
      <c r="E1430">
        <v>3005</v>
      </c>
      <c r="F1430">
        <v>3004</v>
      </c>
      <c r="G1430">
        <v>3005</v>
      </c>
      <c r="H1430">
        <v>2700</v>
      </c>
    </row>
    <row r="1431" spans="2:8">
      <c r="B1431" t="s">
        <v>587</v>
      </c>
      <c r="C1431" t="s">
        <v>266</v>
      </c>
      <c r="D1431">
        <v>3004</v>
      </c>
      <c r="E1431">
        <v>3007</v>
      </c>
      <c r="F1431">
        <v>3003</v>
      </c>
      <c r="G1431">
        <v>3006</v>
      </c>
      <c r="H1431">
        <v>10300</v>
      </c>
    </row>
    <row r="1432" spans="2:8">
      <c r="B1432" t="s">
        <v>587</v>
      </c>
      <c r="C1432" t="s">
        <v>267</v>
      </c>
      <c r="D1432">
        <v>3005</v>
      </c>
      <c r="E1432">
        <v>3008</v>
      </c>
      <c r="F1432">
        <v>3005</v>
      </c>
      <c r="G1432">
        <v>3007</v>
      </c>
      <c r="H1432">
        <v>6600</v>
      </c>
    </row>
    <row r="1433" spans="2:8">
      <c r="B1433" t="s">
        <v>587</v>
      </c>
      <c r="C1433" t="s">
        <v>268</v>
      </c>
      <c r="D1433">
        <v>3007</v>
      </c>
      <c r="E1433">
        <v>3009</v>
      </c>
      <c r="F1433">
        <v>3007</v>
      </c>
      <c r="G1433">
        <v>3009</v>
      </c>
      <c r="H1433">
        <v>6000</v>
      </c>
    </row>
    <row r="1434" spans="2:8">
      <c r="B1434" t="s">
        <v>587</v>
      </c>
      <c r="C1434" t="s">
        <v>269</v>
      </c>
      <c r="D1434">
        <v>3009</v>
      </c>
      <c r="E1434">
        <v>3018</v>
      </c>
      <c r="F1434">
        <v>3009</v>
      </c>
      <c r="G1434">
        <v>3018</v>
      </c>
      <c r="H1434">
        <v>11900</v>
      </c>
    </row>
    <row r="1435" spans="2:8">
      <c r="B1435" t="s">
        <v>587</v>
      </c>
      <c r="C1435" t="s">
        <v>270</v>
      </c>
      <c r="D1435">
        <v>3017</v>
      </c>
      <c r="E1435">
        <v>3018</v>
      </c>
      <c r="F1435">
        <v>3016</v>
      </c>
      <c r="G1435">
        <v>3016</v>
      </c>
      <c r="H1435">
        <v>7800</v>
      </c>
    </row>
    <row r="1436" spans="2:8">
      <c r="B1436" t="s">
        <v>587</v>
      </c>
      <c r="C1436" t="s">
        <v>271</v>
      </c>
      <c r="D1436">
        <v>3016</v>
      </c>
      <c r="E1436">
        <v>3019</v>
      </c>
      <c r="F1436">
        <v>3013</v>
      </c>
      <c r="G1436">
        <v>3019</v>
      </c>
      <c r="H1436">
        <v>10600</v>
      </c>
    </row>
    <row r="1437" spans="2:8">
      <c r="B1437" t="s">
        <v>587</v>
      </c>
      <c r="C1437" t="s">
        <v>272</v>
      </c>
      <c r="D1437">
        <v>3019</v>
      </c>
      <c r="E1437">
        <v>3026</v>
      </c>
      <c r="F1437">
        <v>3018</v>
      </c>
      <c r="G1437">
        <v>3026</v>
      </c>
      <c r="H1437">
        <v>15700</v>
      </c>
    </row>
    <row r="1438" spans="2:8">
      <c r="B1438" t="s">
        <v>587</v>
      </c>
      <c r="C1438" t="s">
        <v>273</v>
      </c>
      <c r="D1438">
        <v>3025</v>
      </c>
      <c r="E1438">
        <v>3025</v>
      </c>
      <c r="F1438">
        <v>3022</v>
      </c>
      <c r="G1438">
        <v>3022</v>
      </c>
      <c r="H1438">
        <v>9400</v>
      </c>
    </row>
    <row r="1439" spans="2:8">
      <c r="B1439" t="s">
        <v>587</v>
      </c>
      <c r="C1439" t="s">
        <v>274</v>
      </c>
      <c r="D1439">
        <v>3022</v>
      </c>
      <c r="E1439">
        <v>3030</v>
      </c>
      <c r="F1439">
        <v>3022</v>
      </c>
      <c r="G1439">
        <v>3030</v>
      </c>
      <c r="H1439">
        <v>11500</v>
      </c>
    </row>
    <row r="1440" spans="2:8">
      <c r="B1440" t="s">
        <v>587</v>
      </c>
      <c r="C1440" t="s">
        <v>275</v>
      </c>
      <c r="D1440">
        <v>3030</v>
      </c>
      <c r="E1440">
        <v>3034</v>
      </c>
      <c r="F1440">
        <v>3030</v>
      </c>
      <c r="G1440">
        <v>3031</v>
      </c>
      <c r="H1440">
        <v>12000</v>
      </c>
    </row>
    <row r="1441" spans="2:8">
      <c r="B1441" t="s">
        <v>587</v>
      </c>
      <c r="C1441" t="s">
        <v>276</v>
      </c>
      <c r="D1441">
        <v>3032</v>
      </c>
      <c r="E1441">
        <v>3039</v>
      </c>
      <c r="F1441">
        <v>3032</v>
      </c>
      <c r="G1441">
        <v>3035</v>
      </c>
      <c r="H1441">
        <v>14700</v>
      </c>
    </row>
    <row r="1442" spans="2:8">
      <c r="B1442" t="s">
        <v>587</v>
      </c>
      <c r="C1442" t="s">
        <v>277</v>
      </c>
      <c r="D1442">
        <v>3034</v>
      </c>
      <c r="E1442">
        <v>3035</v>
      </c>
      <c r="F1442">
        <v>3030</v>
      </c>
      <c r="G1442">
        <v>3034</v>
      </c>
      <c r="H1442">
        <v>12700</v>
      </c>
    </row>
    <row r="1443" spans="2:8">
      <c r="B1443" t="s">
        <v>587</v>
      </c>
      <c r="C1443" t="s">
        <v>278</v>
      </c>
      <c r="D1443">
        <v>3034</v>
      </c>
      <c r="E1443">
        <v>3038</v>
      </c>
      <c r="F1443">
        <v>3034</v>
      </c>
      <c r="G1443">
        <v>3038</v>
      </c>
      <c r="H1443">
        <v>8300</v>
      </c>
    </row>
    <row r="1444" spans="2:8">
      <c r="B1444" t="s">
        <v>587</v>
      </c>
      <c r="C1444" t="s">
        <v>279</v>
      </c>
      <c r="D1444">
        <v>3038</v>
      </c>
      <c r="E1444">
        <v>3044</v>
      </c>
      <c r="F1444">
        <v>3037</v>
      </c>
      <c r="G1444">
        <v>3040</v>
      </c>
      <c r="H1444">
        <v>19400</v>
      </c>
    </row>
    <row r="1445" spans="2:8">
      <c r="B1445" t="s">
        <v>587</v>
      </c>
      <c r="C1445" t="s">
        <v>280</v>
      </c>
      <c r="D1445">
        <v>3040</v>
      </c>
      <c r="E1445">
        <v>3041</v>
      </c>
      <c r="F1445">
        <v>3039</v>
      </c>
      <c r="G1445">
        <v>3040</v>
      </c>
      <c r="H1445">
        <v>6400</v>
      </c>
    </row>
    <row r="1446" spans="2:8">
      <c r="B1446" t="s">
        <v>587</v>
      </c>
      <c r="C1446" t="s">
        <v>281</v>
      </c>
      <c r="D1446">
        <v>3040</v>
      </c>
      <c r="E1446">
        <v>3042</v>
      </c>
      <c r="F1446">
        <v>3035</v>
      </c>
      <c r="G1446">
        <v>3036</v>
      </c>
      <c r="H1446">
        <v>16400</v>
      </c>
    </row>
    <row r="1447" spans="2:8">
      <c r="B1447" t="s">
        <v>587</v>
      </c>
      <c r="C1447" t="s">
        <v>282</v>
      </c>
      <c r="D1447">
        <v>3035</v>
      </c>
      <c r="E1447">
        <v>3039</v>
      </c>
      <c r="F1447">
        <v>3034</v>
      </c>
      <c r="G1447">
        <v>3039</v>
      </c>
      <c r="H1447">
        <v>8600</v>
      </c>
    </row>
    <row r="1448" spans="2:8">
      <c r="B1448" t="s">
        <v>587</v>
      </c>
      <c r="C1448" t="s">
        <v>283</v>
      </c>
      <c r="D1448">
        <v>3040</v>
      </c>
      <c r="E1448">
        <v>3041</v>
      </c>
      <c r="F1448">
        <v>3036</v>
      </c>
      <c r="G1448">
        <v>3039</v>
      </c>
      <c r="H1448">
        <v>9800</v>
      </c>
    </row>
    <row r="1449" spans="2:8">
      <c r="B1449" t="s">
        <v>587</v>
      </c>
      <c r="C1449" t="s">
        <v>284</v>
      </c>
      <c r="D1449">
        <v>3038</v>
      </c>
      <c r="E1449">
        <v>3041</v>
      </c>
      <c r="F1449">
        <v>3037</v>
      </c>
      <c r="G1449">
        <v>3041</v>
      </c>
      <c r="H1449">
        <v>8600</v>
      </c>
    </row>
    <row r="1450" spans="2:8">
      <c r="B1450" t="s">
        <v>587</v>
      </c>
      <c r="C1450" t="s">
        <v>285</v>
      </c>
      <c r="D1450">
        <v>3041</v>
      </c>
      <c r="E1450">
        <v>3041</v>
      </c>
      <c r="F1450">
        <v>3037</v>
      </c>
      <c r="G1450">
        <v>3040</v>
      </c>
      <c r="H1450">
        <v>14200</v>
      </c>
    </row>
    <row r="1451" spans="2:8">
      <c r="B1451" t="s">
        <v>587</v>
      </c>
      <c r="C1451" t="s">
        <v>286</v>
      </c>
      <c r="D1451">
        <v>3040</v>
      </c>
      <c r="E1451">
        <v>3040</v>
      </c>
      <c r="F1451">
        <v>3036</v>
      </c>
      <c r="G1451">
        <v>3038</v>
      </c>
      <c r="H1451">
        <v>10300</v>
      </c>
    </row>
    <row r="1452" spans="2:8">
      <c r="B1452" t="s">
        <v>587</v>
      </c>
      <c r="C1452" t="s">
        <v>287</v>
      </c>
      <c r="D1452">
        <v>3038</v>
      </c>
      <c r="E1452">
        <v>3041</v>
      </c>
      <c r="F1452">
        <v>3037</v>
      </c>
      <c r="G1452">
        <v>3041</v>
      </c>
      <c r="H1452">
        <v>9700</v>
      </c>
    </row>
    <row r="1453" spans="2:8">
      <c r="B1453" t="s">
        <v>587</v>
      </c>
      <c r="C1453" t="s">
        <v>288</v>
      </c>
      <c r="D1453">
        <v>3040</v>
      </c>
      <c r="E1453">
        <v>3040</v>
      </c>
      <c r="F1453">
        <v>3039</v>
      </c>
      <c r="G1453">
        <v>3040</v>
      </c>
      <c r="H1453">
        <v>7000</v>
      </c>
    </row>
    <row r="1454" spans="2:8">
      <c r="B1454" t="s">
        <v>587</v>
      </c>
      <c r="C1454" t="s">
        <v>289</v>
      </c>
      <c r="D1454">
        <v>3040</v>
      </c>
      <c r="E1454">
        <v>3047</v>
      </c>
      <c r="F1454">
        <v>3039</v>
      </c>
      <c r="G1454">
        <v>3047</v>
      </c>
      <c r="H1454">
        <v>8200</v>
      </c>
    </row>
    <row r="1455" spans="2:8">
      <c r="B1455" t="s">
        <v>587</v>
      </c>
      <c r="C1455" t="s">
        <v>290</v>
      </c>
      <c r="D1455">
        <v>3046</v>
      </c>
      <c r="E1455">
        <v>3053</v>
      </c>
      <c r="F1455">
        <v>3044</v>
      </c>
      <c r="G1455">
        <v>3053</v>
      </c>
      <c r="H1455">
        <v>17900</v>
      </c>
    </row>
    <row r="1456" spans="2:8">
      <c r="B1456" t="s">
        <v>587</v>
      </c>
      <c r="C1456" t="s">
        <v>291</v>
      </c>
      <c r="D1456">
        <v>3053</v>
      </c>
      <c r="E1456">
        <v>3056</v>
      </c>
      <c r="F1456">
        <v>3051</v>
      </c>
      <c r="G1456">
        <v>3056</v>
      </c>
      <c r="H1456">
        <v>10300</v>
      </c>
    </row>
    <row r="1457" spans="2:8">
      <c r="B1457" t="s">
        <v>587</v>
      </c>
      <c r="C1457" t="s">
        <v>292</v>
      </c>
      <c r="D1457">
        <v>3055</v>
      </c>
      <c r="E1457">
        <v>3055</v>
      </c>
      <c r="F1457">
        <v>3050</v>
      </c>
      <c r="G1457">
        <v>3053</v>
      </c>
      <c r="H1457">
        <v>9300</v>
      </c>
    </row>
    <row r="1458" spans="2:8">
      <c r="B1458" t="s">
        <v>587</v>
      </c>
      <c r="C1458" t="s">
        <v>293</v>
      </c>
      <c r="D1458">
        <v>3051</v>
      </c>
      <c r="E1458">
        <v>3053</v>
      </c>
      <c r="F1458">
        <v>3050</v>
      </c>
      <c r="G1458">
        <v>3051</v>
      </c>
      <c r="H1458">
        <v>7600</v>
      </c>
    </row>
    <row r="1459" spans="2:8">
      <c r="B1459" t="s">
        <v>587</v>
      </c>
      <c r="C1459" t="s">
        <v>294</v>
      </c>
      <c r="D1459">
        <v>3052</v>
      </c>
      <c r="E1459">
        <v>3052</v>
      </c>
      <c r="F1459">
        <v>3048</v>
      </c>
      <c r="G1459">
        <v>3048</v>
      </c>
      <c r="H1459">
        <v>10700</v>
      </c>
    </row>
    <row r="1460" spans="2:8">
      <c r="B1460" t="s">
        <v>587</v>
      </c>
      <c r="C1460" t="s">
        <v>295</v>
      </c>
      <c r="D1460">
        <v>3048</v>
      </c>
      <c r="E1460">
        <v>3048</v>
      </c>
      <c r="F1460">
        <v>3043</v>
      </c>
      <c r="G1460">
        <v>3044</v>
      </c>
      <c r="H1460">
        <v>8400</v>
      </c>
    </row>
    <row r="1461" spans="2:8">
      <c r="B1461" t="s">
        <v>587</v>
      </c>
      <c r="C1461" t="s">
        <v>296</v>
      </c>
      <c r="D1461">
        <v>3043</v>
      </c>
      <c r="E1461">
        <v>3050</v>
      </c>
      <c r="F1461">
        <v>3043</v>
      </c>
      <c r="G1461">
        <v>3048</v>
      </c>
      <c r="H1461">
        <v>11600</v>
      </c>
    </row>
    <row r="1462" spans="2:8">
      <c r="B1462" t="s">
        <v>587</v>
      </c>
      <c r="C1462" t="s">
        <v>297</v>
      </c>
      <c r="D1462">
        <v>3049</v>
      </c>
      <c r="E1462">
        <v>3055</v>
      </c>
      <c r="F1462">
        <v>3049</v>
      </c>
      <c r="G1462">
        <v>3055</v>
      </c>
      <c r="H1462">
        <v>17900</v>
      </c>
    </row>
    <row r="1463" spans="2:8">
      <c r="B1463" t="s">
        <v>587</v>
      </c>
      <c r="C1463" t="s">
        <v>298</v>
      </c>
      <c r="D1463">
        <v>3054</v>
      </c>
      <c r="E1463">
        <v>3060</v>
      </c>
      <c r="F1463">
        <v>3053</v>
      </c>
      <c r="G1463">
        <v>3059</v>
      </c>
      <c r="H1463">
        <v>15200</v>
      </c>
    </row>
    <row r="1464" spans="2:8">
      <c r="B1464" t="s">
        <v>587</v>
      </c>
      <c r="C1464" t="s">
        <v>299</v>
      </c>
      <c r="D1464">
        <v>3056</v>
      </c>
      <c r="E1464">
        <v>3056</v>
      </c>
      <c r="F1464">
        <v>3048</v>
      </c>
      <c r="G1464">
        <v>3048</v>
      </c>
      <c r="H1464">
        <v>11400</v>
      </c>
    </row>
    <row r="1465" spans="2:8">
      <c r="B1465" t="s">
        <v>587</v>
      </c>
      <c r="C1465" t="s">
        <v>300</v>
      </c>
      <c r="D1465">
        <v>3049</v>
      </c>
      <c r="E1465">
        <v>3054</v>
      </c>
      <c r="F1465">
        <v>3049</v>
      </c>
      <c r="G1465">
        <v>3050</v>
      </c>
      <c r="H1465">
        <v>11700</v>
      </c>
    </row>
    <row r="1466" spans="2:8">
      <c r="B1466" t="s">
        <v>587</v>
      </c>
      <c r="C1466" t="s">
        <v>301</v>
      </c>
      <c r="D1466">
        <v>3051</v>
      </c>
      <c r="E1466">
        <v>3051</v>
      </c>
      <c r="F1466">
        <v>3045</v>
      </c>
      <c r="G1466">
        <v>3051</v>
      </c>
      <c r="H1466">
        <v>17700</v>
      </c>
    </row>
    <row r="1467" spans="2:8">
      <c r="B1467" t="s">
        <v>587</v>
      </c>
      <c r="C1467" t="s">
        <v>302</v>
      </c>
      <c r="D1467">
        <v>3052</v>
      </c>
      <c r="E1467">
        <v>3057</v>
      </c>
      <c r="F1467">
        <v>3051</v>
      </c>
      <c r="G1467">
        <v>3056</v>
      </c>
      <c r="H1467">
        <v>6800</v>
      </c>
    </row>
    <row r="1468" spans="2:8">
      <c r="B1468" t="s">
        <v>587</v>
      </c>
      <c r="C1468" t="s">
        <v>303</v>
      </c>
      <c r="D1468">
        <v>3056</v>
      </c>
      <c r="E1468">
        <v>3056</v>
      </c>
      <c r="F1468">
        <v>3054</v>
      </c>
      <c r="G1468">
        <v>3054</v>
      </c>
      <c r="H1468">
        <v>10200</v>
      </c>
    </row>
    <row r="1469" spans="2:8">
      <c r="B1469" t="s">
        <v>587</v>
      </c>
      <c r="C1469" t="s">
        <v>304</v>
      </c>
      <c r="D1469">
        <v>3055</v>
      </c>
      <c r="E1469">
        <v>3067</v>
      </c>
      <c r="F1469">
        <v>3055</v>
      </c>
      <c r="G1469">
        <v>3064</v>
      </c>
      <c r="H1469">
        <v>27000</v>
      </c>
    </row>
    <row r="1470" spans="2:8">
      <c r="B1470" t="s">
        <v>587</v>
      </c>
      <c r="C1470" t="s">
        <v>305</v>
      </c>
      <c r="D1470">
        <v>3066</v>
      </c>
      <c r="E1470">
        <v>3074</v>
      </c>
      <c r="F1470">
        <v>3066</v>
      </c>
      <c r="G1470">
        <v>3073</v>
      </c>
      <c r="H1470">
        <v>16600</v>
      </c>
    </row>
    <row r="1471" spans="2:8">
      <c r="B1471" t="s">
        <v>587</v>
      </c>
      <c r="C1471" t="s">
        <v>306</v>
      </c>
      <c r="D1471">
        <v>3073</v>
      </c>
      <c r="E1471">
        <v>3073</v>
      </c>
      <c r="F1471">
        <v>3065</v>
      </c>
      <c r="G1471">
        <v>3066</v>
      </c>
      <c r="H1471">
        <v>10000</v>
      </c>
    </row>
    <row r="1472" spans="2:8">
      <c r="B1472" t="s">
        <v>587</v>
      </c>
      <c r="C1472" t="s">
        <v>307</v>
      </c>
      <c r="D1472">
        <v>3066</v>
      </c>
      <c r="E1472">
        <v>3066</v>
      </c>
      <c r="F1472">
        <v>3063</v>
      </c>
      <c r="G1472">
        <v>3064</v>
      </c>
      <c r="H1472">
        <v>4100</v>
      </c>
    </row>
    <row r="1473" spans="2:8">
      <c r="B1473" t="s">
        <v>587</v>
      </c>
      <c r="C1473" t="s">
        <v>308</v>
      </c>
      <c r="D1473">
        <v>3062</v>
      </c>
      <c r="E1473">
        <v>3062</v>
      </c>
      <c r="F1473">
        <v>3059</v>
      </c>
      <c r="G1473">
        <v>3059</v>
      </c>
      <c r="H1473">
        <v>3700</v>
      </c>
    </row>
    <row r="1474" spans="2:8">
      <c r="B1474" t="s">
        <v>587</v>
      </c>
      <c r="C1474" t="s">
        <v>309</v>
      </c>
      <c r="D1474">
        <v>3060</v>
      </c>
      <c r="E1474">
        <v>3063</v>
      </c>
      <c r="F1474">
        <v>3059</v>
      </c>
      <c r="G1474">
        <v>3062</v>
      </c>
      <c r="H1474">
        <v>14200</v>
      </c>
    </row>
    <row r="1475" spans="2:8">
      <c r="B1475" t="s">
        <v>587</v>
      </c>
      <c r="C1475" t="s">
        <v>310</v>
      </c>
      <c r="D1475">
        <v>3061</v>
      </c>
      <c r="E1475">
        <v>3066</v>
      </c>
      <c r="F1475">
        <v>3060</v>
      </c>
      <c r="G1475">
        <v>3065</v>
      </c>
      <c r="H1475">
        <v>8100</v>
      </c>
    </row>
    <row r="1476" spans="2:8">
      <c r="B1476" t="s">
        <v>587</v>
      </c>
      <c r="C1476" t="s">
        <v>311</v>
      </c>
      <c r="D1476">
        <v>3063</v>
      </c>
      <c r="E1476">
        <v>3067</v>
      </c>
      <c r="F1476">
        <v>3063</v>
      </c>
      <c r="G1476">
        <v>3066</v>
      </c>
      <c r="H1476">
        <v>8200</v>
      </c>
    </row>
    <row r="1477" spans="2:8">
      <c r="B1477" t="s">
        <v>587</v>
      </c>
      <c r="C1477" t="s">
        <v>312</v>
      </c>
      <c r="D1477">
        <v>3066</v>
      </c>
      <c r="E1477">
        <v>3067</v>
      </c>
      <c r="F1477">
        <v>3064</v>
      </c>
      <c r="G1477">
        <v>3064</v>
      </c>
      <c r="H1477">
        <v>6400</v>
      </c>
    </row>
    <row r="1478" spans="2:8">
      <c r="B1478" t="s">
        <v>587</v>
      </c>
      <c r="C1478" t="s">
        <v>313</v>
      </c>
      <c r="D1478">
        <v>3064</v>
      </c>
      <c r="E1478">
        <v>3064</v>
      </c>
      <c r="F1478">
        <v>3062</v>
      </c>
      <c r="G1478">
        <v>3064</v>
      </c>
      <c r="H1478">
        <v>6400</v>
      </c>
    </row>
    <row r="1479" spans="2:8">
      <c r="B1479" t="s">
        <v>587</v>
      </c>
      <c r="C1479" t="s">
        <v>314</v>
      </c>
      <c r="D1479">
        <v>3065</v>
      </c>
      <c r="E1479">
        <v>3069</v>
      </c>
      <c r="F1479">
        <v>3065</v>
      </c>
      <c r="G1479">
        <v>3069</v>
      </c>
      <c r="H1479">
        <v>7700</v>
      </c>
    </row>
    <row r="1480" spans="2:8">
      <c r="B1480" t="s">
        <v>587</v>
      </c>
      <c r="C1480" t="s">
        <v>315</v>
      </c>
      <c r="D1480">
        <v>3067</v>
      </c>
      <c r="E1480">
        <v>3075</v>
      </c>
      <c r="F1480">
        <v>3067</v>
      </c>
      <c r="G1480">
        <v>3073</v>
      </c>
      <c r="H1480">
        <v>8200</v>
      </c>
    </row>
    <row r="1481" spans="2:8">
      <c r="B1481" t="s">
        <v>587</v>
      </c>
      <c r="C1481" t="s">
        <v>316</v>
      </c>
      <c r="D1481">
        <v>3075</v>
      </c>
      <c r="E1481">
        <v>3075</v>
      </c>
      <c r="F1481">
        <v>3075</v>
      </c>
      <c r="G1481">
        <v>3075</v>
      </c>
      <c r="H1481">
        <v>3600</v>
      </c>
    </row>
    <row r="1482" spans="2:8">
      <c r="B1482" t="s">
        <v>587</v>
      </c>
      <c r="C1482" t="s">
        <v>317</v>
      </c>
      <c r="D1482">
        <v>3090</v>
      </c>
      <c r="E1482">
        <v>3091</v>
      </c>
      <c r="F1482">
        <v>3062</v>
      </c>
      <c r="G1482">
        <v>3064</v>
      </c>
      <c r="H1482">
        <v>167100</v>
      </c>
    </row>
    <row r="1483" spans="2:8">
      <c r="B1483" t="s">
        <v>587</v>
      </c>
      <c r="C1483" t="s">
        <v>318</v>
      </c>
      <c r="D1483">
        <v>3065</v>
      </c>
      <c r="E1483">
        <v>3072</v>
      </c>
      <c r="F1483">
        <v>3064</v>
      </c>
      <c r="G1483">
        <v>3071</v>
      </c>
      <c r="H1483">
        <v>22000</v>
      </c>
    </row>
    <row r="1484" spans="2:8">
      <c r="B1484" t="s">
        <v>587</v>
      </c>
      <c r="C1484" t="s">
        <v>319</v>
      </c>
      <c r="D1484">
        <v>3072</v>
      </c>
      <c r="E1484">
        <v>3080</v>
      </c>
      <c r="F1484">
        <v>3072</v>
      </c>
      <c r="G1484">
        <v>3076</v>
      </c>
      <c r="H1484">
        <v>18300</v>
      </c>
    </row>
    <row r="1485" spans="2:8">
      <c r="B1485" t="s">
        <v>587</v>
      </c>
      <c r="C1485" t="s">
        <v>320</v>
      </c>
      <c r="D1485">
        <v>3076</v>
      </c>
      <c r="E1485">
        <v>3086</v>
      </c>
      <c r="F1485">
        <v>3076</v>
      </c>
      <c r="G1485">
        <v>3086</v>
      </c>
      <c r="H1485">
        <v>18500</v>
      </c>
    </row>
    <row r="1486" spans="2:8">
      <c r="B1486" t="s">
        <v>587</v>
      </c>
      <c r="C1486" t="s">
        <v>321</v>
      </c>
      <c r="D1486">
        <v>3086</v>
      </c>
      <c r="E1486">
        <v>3086</v>
      </c>
      <c r="F1486">
        <v>3073</v>
      </c>
      <c r="G1486">
        <v>3081</v>
      </c>
      <c r="H1486">
        <v>38000</v>
      </c>
    </row>
    <row r="1487" spans="2:8">
      <c r="B1487" t="s">
        <v>587</v>
      </c>
      <c r="C1487" t="s">
        <v>322</v>
      </c>
      <c r="D1487">
        <v>3081</v>
      </c>
      <c r="E1487">
        <v>3085</v>
      </c>
      <c r="F1487">
        <v>3072</v>
      </c>
      <c r="G1487">
        <v>3082</v>
      </c>
      <c r="H1487">
        <v>27600</v>
      </c>
    </row>
    <row r="1488" spans="2:8">
      <c r="B1488" t="s">
        <v>587</v>
      </c>
      <c r="C1488" t="s">
        <v>323</v>
      </c>
      <c r="D1488">
        <v>3082</v>
      </c>
      <c r="E1488">
        <v>3087</v>
      </c>
      <c r="F1488">
        <v>3082</v>
      </c>
      <c r="G1488">
        <v>3085</v>
      </c>
      <c r="H1488">
        <v>18300</v>
      </c>
    </row>
    <row r="1489" spans="2:8">
      <c r="B1489" t="s">
        <v>587</v>
      </c>
      <c r="C1489" t="s">
        <v>324</v>
      </c>
      <c r="D1489">
        <v>3085</v>
      </c>
      <c r="E1489">
        <v>3087</v>
      </c>
      <c r="F1489">
        <v>3080</v>
      </c>
      <c r="G1489">
        <v>3084</v>
      </c>
      <c r="H1489">
        <v>23200</v>
      </c>
    </row>
    <row r="1490" spans="2:8">
      <c r="B1490" t="s">
        <v>587</v>
      </c>
      <c r="C1490" t="s">
        <v>325</v>
      </c>
      <c r="D1490">
        <v>3084</v>
      </c>
      <c r="E1490">
        <v>3085</v>
      </c>
      <c r="F1490">
        <v>3082</v>
      </c>
      <c r="G1490">
        <v>3084</v>
      </c>
      <c r="H1490">
        <v>18100</v>
      </c>
    </row>
    <row r="1491" spans="2:8">
      <c r="B1491" t="s">
        <v>587</v>
      </c>
      <c r="C1491" t="s">
        <v>326</v>
      </c>
      <c r="D1491">
        <v>3085</v>
      </c>
      <c r="E1491">
        <v>3095</v>
      </c>
      <c r="F1491">
        <v>3084</v>
      </c>
      <c r="G1491">
        <v>3095</v>
      </c>
      <c r="H1491">
        <v>29500</v>
      </c>
    </row>
    <row r="1492" spans="2:8">
      <c r="B1492" t="s">
        <v>587</v>
      </c>
      <c r="C1492" t="s">
        <v>327</v>
      </c>
      <c r="D1492">
        <v>3094</v>
      </c>
      <c r="E1492">
        <v>3094</v>
      </c>
      <c r="F1492">
        <v>3091</v>
      </c>
      <c r="G1492">
        <v>3092</v>
      </c>
      <c r="H1492">
        <v>10800</v>
      </c>
    </row>
    <row r="1493" spans="2:8">
      <c r="B1493" t="s">
        <v>587</v>
      </c>
      <c r="C1493" t="s">
        <v>328</v>
      </c>
      <c r="D1493">
        <v>3093</v>
      </c>
      <c r="E1493">
        <v>3095</v>
      </c>
      <c r="F1493">
        <v>3091</v>
      </c>
      <c r="G1493">
        <v>3095</v>
      </c>
      <c r="H1493">
        <v>16200</v>
      </c>
    </row>
    <row r="1494" spans="2:8">
      <c r="B1494" t="s">
        <v>587</v>
      </c>
      <c r="C1494" t="s">
        <v>329</v>
      </c>
      <c r="D1494">
        <v>3095</v>
      </c>
      <c r="E1494">
        <v>3098</v>
      </c>
      <c r="F1494">
        <v>3091</v>
      </c>
      <c r="G1494">
        <v>3092</v>
      </c>
      <c r="H1494">
        <v>27400</v>
      </c>
    </row>
    <row r="1495" spans="2:8">
      <c r="B1495" t="s">
        <v>587</v>
      </c>
      <c r="C1495" t="s">
        <v>330</v>
      </c>
      <c r="D1495">
        <v>3093</v>
      </c>
      <c r="E1495">
        <v>3098</v>
      </c>
      <c r="F1495">
        <v>3091</v>
      </c>
      <c r="G1495">
        <v>3096</v>
      </c>
      <c r="H1495">
        <v>22400</v>
      </c>
    </row>
    <row r="1496" spans="2:8">
      <c r="B1496" t="s">
        <v>587</v>
      </c>
      <c r="C1496" t="s">
        <v>331</v>
      </c>
      <c r="D1496">
        <v>3096</v>
      </c>
      <c r="E1496">
        <v>3097</v>
      </c>
      <c r="F1496">
        <v>3095</v>
      </c>
      <c r="G1496">
        <v>3097</v>
      </c>
      <c r="H1496">
        <v>11000</v>
      </c>
    </row>
    <row r="1497" spans="2:8">
      <c r="B1497" t="s">
        <v>587</v>
      </c>
      <c r="C1497" t="s">
        <v>332</v>
      </c>
      <c r="D1497">
        <v>3095</v>
      </c>
      <c r="E1497">
        <v>3097</v>
      </c>
      <c r="F1497">
        <v>3090</v>
      </c>
      <c r="G1497">
        <v>3094</v>
      </c>
      <c r="H1497">
        <v>22500</v>
      </c>
    </row>
    <row r="1498" spans="2:8">
      <c r="B1498" t="s">
        <v>587</v>
      </c>
      <c r="C1498" t="s">
        <v>333</v>
      </c>
      <c r="D1498">
        <v>3095</v>
      </c>
      <c r="E1498">
        <v>3118</v>
      </c>
      <c r="F1498">
        <v>3095</v>
      </c>
      <c r="G1498">
        <v>3116</v>
      </c>
      <c r="H1498">
        <v>59800</v>
      </c>
    </row>
    <row r="1499" spans="2:8">
      <c r="B1499" t="s">
        <v>587</v>
      </c>
      <c r="C1499" t="s">
        <v>334</v>
      </c>
      <c r="D1499">
        <v>3116</v>
      </c>
      <c r="E1499">
        <v>3118</v>
      </c>
      <c r="F1499">
        <v>3111</v>
      </c>
      <c r="G1499">
        <v>3116</v>
      </c>
      <c r="H1499">
        <v>20700</v>
      </c>
    </row>
    <row r="1500" spans="2:8">
      <c r="B1500" t="s">
        <v>587</v>
      </c>
      <c r="C1500" t="s">
        <v>335</v>
      </c>
      <c r="D1500">
        <v>3114</v>
      </c>
      <c r="E1500">
        <v>3116</v>
      </c>
      <c r="F1500">
        <v>3113</v>
      </c>
      <c r="G1500">
        <v>3115</v>
      </c>
      <c r="H1500">
        <v>15400</v>
      </c>
    </row>
    <row r="1501" spans="2:8">
      <c r="B1501" t="s">
        <v>587</v>
      </c>
      <c r="C1501" t="s">
        <v>336</v>
      </c>
      <c r="D1501">
        <v>3115</v>
      </c>
      <c r="E1501">
        <v>3116</v>
      </c>
      <c r="F1501">
        <v>3113</v>
      </c>
      <c r="G1501">
        <v>3116</v>
      </c>
      <c r="H1501">
        <v>28400</v>
      </c>
    </row>
    <row r="1502" spans="2:8">
      <c r="B1502" t="s">
        <v>587</v>
      </c>
      <c r="C1502" t="s">
        <v>337</v>
      </c>
      <c r="D1502">
        <v>3115</v>
      </c>
      <c r="E1502">
        <v>3118</v>
      </c>
      <c r="F1502">
        <v>3103</v>
      </c>
      <c r="G1502">
        <v>3103</v>
      </c>
      <c r="H1502">
        <v>41000</v>
      </c>
    </row>
    <row r="1503" spans="2:8">
      <c r="B1503" t="s">
        <v>587</v>
      </c>
      <c r="C1503" t="s">
        <v>338</v>
      </c>
      <c r="D1503">
        <v>3103</v>
      </c>
      <c r="E1503">
        <v>3103</v>
      </c>
      <c r="F1503">
        <v>3098</v>
      </c>
      <c r="G1503">
        <v>3098</v>
      </c>
      <c r="H1503">
        <v>12500</v>
      </c>
    </row>
    <row r="1504" spans="2:8">
      <c r="B1504" t="s">
        <v>587</v>
      </c>
      <c r="C1504" t="s">
        <v>339</v>
      </c>
      <c r="D1504">
        <v>3098</v>
      </c>
      <c r="E1504">
        <v>3098</v>
      </c>
      <c r="F1504">
        <v>3096</v>
      </c>
      <c r="G1504">
        <v>3097</v>
      </c>
      <c r="H1504">
        <v>5900</v>
      </c>
    </row>
    <row r="1505" spans="2:8">
      <c r="B1505" t="s">
        <v>587</v>
      </c>
      <c r="C1505" t="s">
        <v>340</v>
      </c>
      <c r="D1505">
        <v>3096</v>
      </c>
      <c r="E1505">
        <v>3097</v>
      </c>
      <c r="F1505">
        <v>3095</v>
      </c>
      <c r="G1505">
        <v>3096</v>
      </c>
      <c r="H1505">
        <v>14600</v>
      </c>
    </row>
    <row r="1506" spans="2:8">
      <c r="B1506" t="s">
        <v>587</v>
      </c>
      <c r="C1506" t="s">
        <v>341</v>
      </c>
      <c r="D1506">
        <v>3096</v>
      </c>
      <c r="E1506">
        <v>3097</v>
      </c>
      <c r="F1506">
        <v>3095</v>
      </c>
      <c r="G1506">
        <v>3096</v>
      </c>
      <c r="H1506">
        <v>4600</v>
      </c>
    </row>
    <row r="1507" spans="2:8">
      <c r="B1507" t="s">
        <v>587</v>
      </c>
      <c r="C1507" t="s">
        <v>342</v>
      </c>
      <c r="D1507">
        <v>3097</v>
      </c>
      <c r="E1507">
        <v>3099</v>
      </c>
      <c r="F1507">
        <v>3092</v>
      </c>
      <c r="G1507">
        <v>3093</v>
      </c>
      <c r="H1507">
        <v>21700</v>
      </c>
    </row>
    <row r="1508" spans="2:8">
      <c r="B1508" t="s">
        <v>587</v>
      </c>
      <c r="C1508" t="s">
        <v>343</v>
      </c>
      <c r="D1508">
        <v>3092</v>
      </c>
      <c r="E1508">
        <v>3093</v>
      </c>
      <c r="F1508">
        <v>3090</v>
      </c>
      <c r="G1508">
        <v>3090</v>
      </c>
      <c r="H1508">
        <v>19400</v>
      </c>
    </row>
    <row r="1509" spans="2:8">
      <c r="B1509" t="s">
        <v>587</v>
      </c>
      <c r="C1509" t="s">
        <v>344</v>
      </c>
      <c r="D1509">
        <v>3090</v>
      </c>
      <c r="E1509">
        <v>3092</v>
      </c>
      <c r="F1509">
        <v>3085</v>
      </c>
      <c r="G1509">
        <v>3085</v>
      </c>
      <c r="H1509">
        <v>20200</v>
      </c>
    </row>
    <row r="1510" spans="2:8">
      <c r="B1510" t="s">
        <v>587</v>
      </c>
      <c r="C1510" t="s">
        <v>345</v>
      </c>
      <c r="D1510">
        <v>3086</v>
      </c>
      <c r="E1510">
        <v>3086</v>
      </c>
      <c r="F1510">
        <v>3079</v>
      </c>
      <c r="G1510">
        <v>3079</v>
      </c>
      <c r="H1510">
        <v>12900</v>
      </c>
    </row>
    <row r="1511" spans="2:8">
      <c r="B1511" t="s">
        <v>587</v>
      </c>
      <c r="C1511" t="s">
        <v>346</v>
      </c>
      <c r="D1511">
        <v>3078</v>
      </c>
      <c r="E1511">
        <v>3079</v>
      </c>
      <c r="F1511">
        <v>3075</v>
      </c>
      <c r="G1511">
        <v>3077</v>
      </c>
      <c r="H1511">
        <v>20100</v>
      </c>
    </row>
    <row r="1512" spans="2:8">
      <c r="B1512" t="s">
        <v>587</v>
      </c>
      <c r="C1512" t="s">
        <v>347</v>
      </c>
      <c r="D1512">
        <v>3076</v>
      </c>
      <c r="E1512">
        <v>3082</v>
      </c>
      <c r="F1512">
        <v>3073</v>
      </c>
      <c r="G1512">
        <v>3081</v>
      </c>
      <c r="H1512">
        <v>14000</v>
      </c>
    </row>
    <row r="1513" spans="2:8">
      <c r="B1513" t="s">
        <v>587</v>
      </c>
      <c r="C1513" t="s">
        <v>348</v>
      </c>
      <c r="D1513">
        <v>3082</v>
      </c>
      <c r="E1513">
        <v>3090</v>
      </c>
      <c r="F1513">
        <v>3082</v>
      </c>
      <c r="G1513">
        <v>3090</v>
      </c>
      <c r="H1513">
        <v>15500</v>
      </c>
    </row>
    <row r="1514" spans="2:8">
      <c r="B1514" t="s">
        <v>587</v>
      </c>
      <c r="C1514" t="s">
        <v>349</v>
      </c>
      <c r="D1514">
        <v>3090</v>
      </c>
      <c r="E1514">
        <v>3097</v>
      </c>
      <c r="F1514">
        <v>3089</v>
      </c>
      <c r="G1514">
        <v>3093</v>
      </c>
      <c r="H1514">
        <v>18000</v>
      </c>
    </row>
    <row r="1515" spans="2:8">
      <c r="B1515" t="s">
        <v>587</v>
      </c>
      <c r="C1515" t="s">
        <v>350</v>
      </c>
      <c r="D1515">
        <v>3092</v>
      </c>
      <c r="E1515">
        <v>3093</v>
      </c>
      <c r="F1515">
        <v>3089</v>
      </c>
      <c r="G1515">
        <v>3090</v>
      </c>
      <c r="H1515">
        <v>4600</v>
      </c>
    </row>
    <row r="1516" spans="2:8">
      <c r="B1516" t="s">
        <v>587</v>
      </c>
      <c r="C1516" t="s">
        <v>351</v>
      </c>
      <c r="D1516">
        <v>3090</v>
      </c>
      <c r="E1516">
        <v>3091</v>
      </c>
      <c r="F1516">
        <v>3086</v>
      </c>
      <c r="G1516">
        <v>3090</v>
      </c>
      <c r="H1516">
        <v>11700</v>
      </c>
    </row>
    <row r="1517" spans="2:8">
      <c r="B1517" t="s">
        <v>587</v>
      </c>
      <c r="C1517" t="s">
        <v>352</v>
      </c>
      <c r="D1517">
        <v>3091</v>
      </c>
      <c r="E1517">
        <v>3095</v>
      </c>
      <c r="F1517">
        <v>3089</v>
      </c>
      <c r="G1517">
        <v>3095</v>
      </c>
      <c r="H1517">
        <v>8900</v>
      </c>
    </row>
    <row r="1518" spans="2:8">
      <c r="B1518" t="s">
        <v>587</v>
      </c>
      <c r="C1518" t="s">
        <v>353</v>
      </c>
      <c r="D1518">
        <v>3096</v>
      </c>
      <c r="E1518">
        <v>3099</v>
      </c>
      <c r="F1518">
        <v>3095</v>
      </c>
      <c r="G1518">
        <v>3098</v>
      </c>
      <c r="H1518">
        <v>4800</v>
      </c>
    </row>
    <row r="1519" spans="2:8">
      <c r="B1519" t="s">
        <v>587</v>
      </c>
      <c r="C1519" t="s">
        <v>354</v>
      </c>
      <c r="D1519">
        <v>3099</v>
      </c>
      <c r="E1519">
        <v>3107</v>
      </c>
      <c r="F1519">
        <v>3099</v>
      </c>
      <c r="G1519">
        <v>3104</v>
      </c>
      <c r="H1519">
        <v>18800</v>
      </c>
    </row>
    <row r="1520" spans="2:8">
      <c r="B1520" t="s">
        <v>587</v>
      </c>
      <c r="C1520" t="s">
        <v>355</v>
      </c>
      <c r="D1520">
        <v>3105</v>
      </c>
      <c r="E1520">
        <v>3108</v>
      </c>
      <c r="F1520">
        <v>3103</v>
      </c>
      <c r="G1520">
        <v>3107</v>
      </c>
      <c r="H1520">
        <v>8000</v>
      </c>
    </row>
    <row r="1521" spans="2:8">
      <c r="B1521" t="s">
        <v>587</v>
      </c>
      <c r="C1521" t="s">
        <v>356</v>
      </c>
      <c r="D1521">
        <v>3108</v>
      </c>
      <c r="E1521">
        <v>3108</v>
      </c>
      <c r="F1521">
        <v>3101</v>
      </c>
      <c r="G1521">
        <v>3101</v>
      </c>
      <c r="H1521">
        <v>6700</v>
      </c>
    </row>
    <row r="1522" spans="2:8">
      <c r="B1522" t="s">
        <v>587</v>
      </c>
      <c r="C1522" t="s">
        <v>357</v>
      </c>
      <c r="D1522">
        <v>3101</v>
      </c>
      <c r="E1522">
        <v>3104</v>
      </c>
      <c r="F1522">
        <v>3101</v>
      </c>
      <c r="G1522">
        <v>3104</v>
      </c>
      <c r="H1522">
        <v>7400</v>
      </c>
    </row>
    <row r="1523" spans="2:8">
      <c r="B1523" t="s">
        <v>587</v>
      </c>
      <c r="C1523" t="s">
        <v>358</v>
      </c>
      <c r="D1523">
        <v>3105</v>
      </c>
      <c r="E1523">
        <v>3106</v>
      </c>
      <c r="F1523">
        <v>3104</v>
      </c>
      <c r="G1523">
        <v>3104</v>
      </c>
      <c r="H1523">
        <v>4800</v>
      </c>
    </row>
    <row r="1524" spans="2:8">
      <c r="B1524" t="s">
        <v>587</v>
      </c>
      <c r="C1524" t="s">
        <v>359</v>
      </c>
      <c r="D1524">
        <v>3105</v>
      </c>
      <c r="E1524">
        <v>3117</v>
      </c>
      <c r="F1524">
        <v>3105</v>
      </c>
      <c r="G1524">
        <v>3115</v>
      </c>
      <c r="H1524">
        <v>17200</v>
      </c>
    </row>
    <row r="1525" spans="2:8">
      <c r="B1525" t="s">
        <v>587</v>
      </c>
      <c r="C1525" t="s">
        <v>360</v>
      </c>
      <c r="D1525">
        <v>3115</v>
      </c>
      <c r="E1525">
        <v>3120</v>
      </c>
      <c r="F1525">
        <v>3114</v>
      </c>
      <c r="G1525">
        <v>3120</v>
      </c>
      <c r="H1525">
        <v>11800</v>
      </c>
    </row>
    <row r="1526" spans="2:8">
      <c r="B1526" t="s">
        <v>587</v>
      </c>
      <c r="C1526" t="s">
        <v>361</v>
      </c>
      <c r="D1526">
        <v>3120</v>
      </c>
      <c r="E1526">
        <v>3123</v>
      </c>
      <c r="F1526">
        <v>3119</v>
      </c>
      <c r="G1526">
        <v>3123</v>
      </c>
      <c r="H1526">
        <v>6700</v>
      </c>
    </row>
    <row r="1527" spans="2:8">
      <c r="B1527" t="s">
        <v>587</v>
      </c>
      <c r="C1527" t="s">
        <v>362</v>
      </c>
      <c r="D1527">
        <v>3122</v>
      </c>
      <c r="E1527">
        <v>3124</v>
      </c>
      <c r="F1527">
        <v>3115</v>
      </c>
      <c r="G1527">
        <v>3119</v>
      </c>
      <c r="H1527">
        <v>18200</v>
      </c>
    </row>
    <row r="1528" spans="2:8">
      <c r="B1528" t="s">
        <v>587</v>
      </c>
      <c r="C1528" t="s">
        <v>363</v>
      </c>
      <c r="D1528">
        <v>3118</v>
      </c>
      <c r="E1528">
        <v>3120</v>
      </c>
      <c r="F1528">
        <v>3112</v>
      </c>
      <c r="G1528">
        <v>3114</v>
      </c>
      <c r="H1528">
        <v>15200</v>
      </c>
    </row>
    <row r="1529" spans="2:8">
      <c r="B1529" t="s">
        <v>587</v>
      </c>
      <c r="C1529" t="s">
        <v>364</v>
      </c>
      <c r="D1529">
        <v>3113</v>
      </c>
      <c r="E1529">
        <v>3117</v>
      </c>
      <c r="F1529">
        <v>3112</v>
      </c>
      <c r="G1529">
        <v>3115</v>
      </c>
      <c r="H1529">
        <v>8300</v>
      </c>
    </row>
    <row r="1530" spans="2:8">
      <c r="B1530" t="s">
        <v>587</v>
      </c>
      <c r="C1530" t="s">
        <v>365</v>
      </c>
      <c r="D1530">
        <v>3116</v>
      </c>
      <c r="E1530">
        <v>3120</v>
      </c>
      <c r="F1530">
        <v>3116</v>
      </c>
      <c r="G1530">
        <v>3117</v>
      </c>
      <c r="H1530">
        <v>6300</v>
      </c>
    </row>
    <row r="1531" spans="2:8">
      <c r="B1531" t="s">
        <v>587</v>
      </c>
      <c r="C1531" t="s">
        <v>366</v>
      </c>
      <c r="D1531">
        <v>3118</v>
      </c>
      <c r="E1531">
        <v>3119</v>
      </c>
      <c r="F1531">
        <v>3116</v>
      </c>
      <c r="G1531">
        <v>3116</v>
      </c>
      <c r="H1531">
        <v>10900</v>
      </c>
    </row>
    <row r="1532" spans="2:8">
      <c r="B1532" t="s">
        <v>587</v>
      </c>
      <c r="C1532" t="s">
        <v>367</v>
      </c>
      <c r="D1532">
        <v>3115</v>
      </c>
      <c r="E1532">
        <v>3115</v>
      </c>
      <c r="F1532">
        <v>3113</v>
      </c>
      <c r="G1532">
        <v>3113</v>
      </c>
      <c r="H1532">
        <v>7700</v>
      </c>
    </row>
    <row r="1533" spans="2:8">
      <c r="B1533" t="s">
        <v>587</v>
      </c>
      <c r="C1533" t="s">
        <v>368</v>
      </c>
      <c r="D1533">
        <v>3112</v>
      </c>
      <c r="E1533">
        <v>3117</v>
      </c>
      <c r="F1533">
        <v>3111</v>
      </c>
      <c r="G1533">
        <v>3114</v>
      </c>
      <c r="H1533">
        <v>20400</v>
      </c>
    </row>
    <row r="1534" spans="2:8">
      <c r="B1534" t="s">
        <v>587</v>
      </c>
      <c r="C1534" t="s">
        <v>369</v>
      </c>
      <c r="D1534">
        <v>3113</v>
      </c>
      <c r="E1534">
        <v>3113</v>
      </c>
      <c r="F1534">
        <v>3113</v>
      </c>
      <c r="G1534">
        <v>3113</v>
      </c>
      <c r="H1534">
        <v>700</v>
      </c>
    </row>
    <row r="1535" spans="2:8">
      <c r="B1535" t="s">
        <v>587</v>
      </c>
      <c r="C1535" t="s">
        <v>370</v>
      </c>
      <c r="D1535">
        <v>3114</v>
      </c>
      <c r="E1535">
        <v>3115</v>
      </c>
      <c r="F1535">
        <v>3112</v>
      </c>
      <c r="G1535">
        <v>3114</v>
      </c>
      <c r="H1535">
        <v>5700</v>
      </c>
    </row>
    <row r="1536" spans="2:8">
      <c r="B1536" t="s">
        <v>587</v>
      </c>
      <c r="C1536" t="s">
        <v>371</v>
      </c>
      <c r="D1536">
        <v>3114</v>
      </c>
      <c r="E1536">
        <v>3116</v>
      </c>
      <c r="F1536">
        <v>3114</v>
      </c>
      <c r="G1536">
        <v>3115</v>
      </c>
      <c r="H1536">
        <v>6200</v>
      </c>
    </row>
    <row r="1537" spans="2:8">
      <c r="B1537" t="s">
        <v>587</v>
      </c>
      <c r="C1537" t="s">
        <v>372</v>
      </c>
      <c r="D1537">
        <v>3115</v>
      </c>
      <c r="E1537">
        <v>3116</v>
      </c>
      <c r="F1537">
        <v>3108</v>
      </c>
      <c r="G1537">
        <v>3112</v>
      </c>
      <c r="H1537">
        <v>19800</v>
      </c>
    </row>
    <row r="1538" spans="2:8">
      <c r="B1538" t="s">
        <v>587</v>
      </c>
      <c r="C1538" t="s">
        <v>373</v>
      </c>
      <c r="D1538">
        <v>3112</v>
      </c>
      <c r="E1538">
        <v>3124</v>
      </c>
      <c r="F1538">
        <v>3112</v>
      </c>
      <c r="G1538">
        <v>3115</v>
      </c>
      <c r="H1538">
        <v>24700</v>
      </c>
    </row>
    <row r="1539" spans="2:8">
      <c r="B1539" t="s">
        <v>587</v>
      </c>
      <c r="C1539" t="s">
        <v>374</v>
      </c>
      <c r="D1539">
        <v>3114</v>
      </c>
      <c r="E1539">
        <v>3119</v>
      </c>
      <c r="F1539">
        <v>3114</v>
      </c>
      <c r="G1539">
        <v>3119</v>
      </c>
      <c r="H1539">
        <v>5200</v>
      </c>
    </row>
    <row r="1540" spans="2:8">
      <c r="B1540" t="s">
        <v>587</v>
      </c>
      <c r="C1540" t="s">
        <v>375</v>
      </c>
      <c r="D1540">
        <v>3119</v>
      </c>
      <c r="E1540">
        <v>3120</v>
      </c>
      <c r="F1540">
        <v>3118</v>
      </c>
      <c r="G1540">
        <v>3119</v>
      </c>
      <c r="H1540">
        <v>6200</v>
      </c>
    </row>
    <row r="1541" spans="2:8">
      <c r="B1541" t="s">
        <v>587</v>
      </c>
      <c r="C1541" t="s">
        <v>376</v>
      </c>
      <c r="D1541">
        <v>3119</v>
      </c>
      <c r="E1541">
        <v>3129</v>
      </c>
      <c r="F1541">
        <v>3119</v>
      </c>
      <c r="G1541">
        <v>3126</v>
      </c>
      <c r="H1541">
        <v>36800</v>
      </c>
    </row>
    <row r="1542" spans="2:8">
      <c r="B1542" t="s">
        <v>587</v>
      </c>
      <c r="C1542" t="s">
        <v>377</v>
      </c>
      <c r="D1542">
        <v>3126</v>
      </c>
      <c r="E1542">
        <v>3134</v>
      </c>
      <c r="F1542">
        <v>3124</v>
      </c>
      <c r="G1542">
        <v>3131</v>
      </c>
      <c r="H1542">
        <v>22200</v>
      </c>
    </row>
    <row r="1543" spans="2:8">
      <c r="B1543" t="s">
        <v>587</v>
      </c>
      <c r="C1543" t="s">
        <v>378</v>
      </c>
      <c r="D1543">
        <v>3131</v>
      </c>
      <c r="E1543">
        <v>3135</v>
      </c>
      <c r="F1543">
        <v>3131</v>
      </c>
      <c r="G1543">
        <v>3132</v>
      </c>
      <c r="H1543">
        <v>13900</v>
      </c>
    </row>
    <row r="1544" spans="2:8">
      <c r="B1544" t="s">
        <v>587</v>
      </c>
      <c r="C1544" t="s">
        <v>379</v>
      </c>
      <c r="D1544">
        <v>3133</v>
      </c>
      <c r="E1544">
        <v>3135</v>
      </c>
      <c r="F1544">
        <v>3131</v>
      </c>
      <c r="G1544">
        <v>3132</v>
      </c>
      <c r="H1544">
        <v>11700</v>
      </c>
    </row>
    <row r="1545" spans="2:8">
      <c r="B1545" t="s">
        <v>587</v>
      </c>
      <c r="C1545" t="s">
        <v>380</v>
      </c>
      <c r="D1545">
        <v>3131</v>
      </c>
      <c r="E1545">
        <v>3135</v>
      </c>
      <c r="F1545">
        <v>3131</v>
      </c>
      <c r="G1545">
        <v>3133</v>
      </c>
      <c r="H1545">
        <v>14800</v>
      </c>
    </row>
    <row r="1546" spans="2:8">
      <c r="B1546" t="s">
        <v>587</v>
      </c>
      <c r="C1546" t="s">
        <v>381</v>
      </c>
      <c r="D1546">
        <v>3133</v>
      </c>
      <c r="E1546">
        <v>3134</v>
      </c>
      <c r="F1546">
        <v>3130</v>
      </c>
      <c r="G1546">
        <v>3131</v>
      </c>
      <c r="H1546">
        <v>10200</v>
      </c>
    </row>
    <row r="1547" spans="2:8">
      <c r="B1547" t="s">
        <v>587</v>
      </c>
      <c r="C1547" t="s">
        <v>382</v>
      </c>
      <c r="D1547">
        <v>3131</v>
      </c>
      <c r="E1547">
        <v>3134</v>
      </c>
      <c r="F1547">
        <v>3131</v>
      </c>
      <c r="G1547">
        <v>3131</v>
      </c>
      <c r="H1547">
        <v>12100</v>
      </c>
    </row>
    <row r="1548" spans="2:8">
      <c r="B1548" t="s">
        <v>587</v>
      </c>
      <c r="C1548" t="s">
        <v>383</v>
      </c>
      <c r="D1548">
        <v>3132</v>
      </c>
      <c r="E1548">
        <v>3134</v>
      </c>
      <c r="F1548">
        <v>3132</v>
      </c>
      <c r="G1548">
        <v>3132</v>
      </c>
      <c r="H1548">
        <v>4100</v>
      </c>
    </row>
    <row r="1549" spans="2:8">
      <c r="B1549" t="s">
        <v>587</v>
      </c>
      <c r="C1549" t="s">
        <v>384</v>
      </c>
      <c r="D1549">
        <v>3132</v>
      </c>
      <c r="E1549">
        <v>3133</v>
      </c>
      <c r="F1549">
        <v>3127</v>
      </c>
      <c r="G1549">
        <v>3130</v>
      </c>
      <c r="H1549">
        <v>21000</v>
      </c>
    </row>
    <row r="1550" spans="2:8">
      <c r="B1550" t="s">
        <v>587</v>
      </c>
      <c r="C1550" t="s">
        <v>385</v>
      </c>
      <c r="D1550">
        <v>3129</v>
      </c>
      <c r="E1550">
        <v>3129</v>
      </c>
      <c r="F1550">
        <v>3126</v>
      </c>
      <c r="G1550">
        <v>3126</v>
      </c>
      <c r="H1550">
        <v>2900</v>
      </c>
    </row>
    <row r="1551" spans="2:8">
      <c r="B1551" t="s">
        <v>587</v>
      </c>
      <c r="C1551" t="s">
        <v>386</v>
      </c>
      <c r="D1551">
        <v>3126</v>
      </c>
      <c r="E1551">
        <v>3126</v>
      </c>
      <c r="F1551">
        <v>3120</v>
      </c>
      <c r="G1551">
        <v>3120</v>
      </c>
      <c r="H1551">
        <v>5000</v>
      </c>
    </row>
    <row r="1552" spans="2:8">
      <c r="B1552" t="s">
        <v>587</v>
      </c>
      <c r="C1552" t="s">
        <v>387</v>
      </c>
      <c r="D1552">
        <v>3121</v>
      </c>
      <c r="E1552">
        <v>3123</v>
      </c>
      <c r="F1552">
        <v>3121</v>
      </c>
      <c r="G1552">
        <v>3122</v>
      </c>
      <c r="H1552">
        <v>11700</v>
      </c>
    </row>
    <row r="1553" spans="2:8">
      <c r="B1553" t="s">
        <v>587</v>
      </c>
      <c r="C1553" t="s">
        <v>388</v>
      </c>
      <c r="D1553">
        <v>3122</v>
      </c>
      <c r="E1553">
        <v>3123</v>
      </c>
      <c r="F1553">
        <v>3120</v>
      </c>
      <c r="G1553">
        <v>3121</v>
      </c>
      <c r="H1553">
        <v>5100</v>
      </c>
    </row>
    <row r="1554" spans="2:8">
      <c r="B1554" t="s">
        <v>587</v>
      </c>
      <c r="C1554" t="s">
        <v>389</v>
      </c>
      <c r="D1554">
        <v>3121</v>
      </c>
      <c r="E1554">
        <v>3122</v>
      </c>
      <c r="F1554">
        <v>3120</v>
      </c>
      <c r="G1554">
        <v>3122</v>
      </c>
      <c r="H1554">
        <v>17400</v>
      </c>
    </row>
    <row r="1555" spans="2:8">
      <c r="B1555" t="s">
        <v>587</v>
      </c>
      <c r="C1555" t="s">
        <v>390</v>
      </c>
      <c r="D1555">
        <v>3121</v>
      </c>
      <c r="E1555">
        <v>3126</v>
      </c>
      <c r="F1555">
        <v>3121</v>
      </c>
      <c r="G1555">
        <v>3125</v>
      </c>
      <c r="H1555">
        <v>14900</v>
      </c>
    </row>
    <row r="1556" spans="2:8">
      <c r="B1556" t="s">
        <v>587</v>
      </c>
      <c r="C1556" t="s">
        <v>391</v>
      </c>
      <c r="D1556">
        <v>3125</v>
      </c>
      <c r="E1556">
        <v>3127</v>
      </c>
      <c r="F1556">
        <v>3123</v>
      </c>
      <c r="G1556">
        <v>3125</v>
      </c>
      <c r="H1556">
        <v>11600</v>
      </c>
    </row>
    <row r="1557" spans="2:8">
      <c r="B1557" t="s">
        <v>587</v>
      </c>
      <c r="C1557" t="s">
        <v>392</v>
      </c>
      <c r="D1557">
        <v>3124</v>
      </c>
      <c r="E1557">
        <v>3125</v>
      </c>
      <c r="F1557">
        <v>3124</v>
      </c>
      <c r="G1557">
        <v>3124</v>
      </c>
      <c r="H1557">
        <v>5200</v>
      </c>
    </row>
    <row r="1558" spans="2:8">
      <c r="B1558" t="s">
        <v>587</v>
      </c>
      <c r="C1558" t="s">
        <v>393</v>
      </c>
      <c r="D1558">
        <v>3125</v>
      </c>
      <c r="E1558">
        <v>3125</v>
      </c>
      <c r="F1558">
        <v>3123</v>
      </c>
      <c r="G1558">
        <v>3123</v>
      </c>
      <c r="H1558">
        <v>1900</v>
      </c>
    </row>
    <row r="1559" spans="2:8">
      <c r="B1559" t="s">
        <v>587</v>
      </c>
      <c r="C1559" t="s">
        <v>394</v>
      </c>
      <c r="D1559">
        <v>3123</v>
      </c>
      <c r="E1559">
        <v>3123</v>
      </c>
      <c r="F1559">
        <v>3119</v>
      </c>
      <c r="G1559">
        <v>3122</v>
      </c>
      <c r="H1559">
        <v>14700</v>
      </c>
    </row>
    <row r="1560" spans="2:8">
      <c r="B1560" t="s">
        <v>587</v>
      </c>
      <c r="C1560" t="s">
        <v>395</v>
      </c>
      <c r="D1560">
        <v>3120</v>
      </c>
      <c r="E1560">
        <v>3121</v>
      </c>
      <c r="F1560">
        <v>3116</v>
      </c>
      <c r="G1560">
        <v>3116</v>
      </c>
      <c r="H1560">
        <v>7900</v>
      </c>
    </row>
    <row r="1561" spans="2:8">
      <c r="B1561" t="s">
        <v>587</v>
      </c>
      <c r="C1561" t="s">
        <v>396</v>
      </c>
      <c r="D1561">
        <v>3116</v>
      </c>
      <c r="E1561">
        <v>3121</v>
      </c>
      <c r="F1561">
        <v>3115</v>
      </c>
      <c r="G1561">
        <v>3115</v>
      </c>
      <c r="H1561">
        <v>24100</v>
      </c>
    </row>
    <row r="1562" spans="2:8">
      <c r="B1562" t="s">
        <v>587</v>
      </c>
      <c r="C1562" t="s">
        <v>397</v>
      </c>
      <c r="D1562">
        <v>3116</v>
      </c>
      <c r="E1562">
        <v>3130</v>
      </c>
      <c r="F1562">
        <v>3115</v>
      </c>
      <c r="G1562">
        <v>3128</v>
      </c>
      <c r="H1562">
        <v>27800</v>
      </c>
    </row>
    <row r="1563" spans="2:8">
      <c r="B1563" t="s">
        <v>587</v>
      </c>
      <c r="C1563" t="s">
        <v>398</v>
      </c>
      <c r="D1563">
        <v>3127</v>
      </c>
      <c r="E1563">
        <v>3128</v>
      </c>
      <c r="F1563">
        <v>3126</v>
      </c>
      <c r="G1563">
        <v>3127</v>
      </c>
      <c r="H1563">
        <v>6300</v>
      </c>
    </row>
    <row r="1564" spans="2:8">
      <c r="B1564" t="s">
        <v>587</v>
      </c>
      <c r="C1564" t="s">
        <v>399</v>
      </c>
      <c r="D1564">
        <v>3128</v>
      </c>
      <c r="E1564">
        <v>3135</v>
      </c>
      <c r="F1564">
        <v>3128</v>
      </c>
      <c r="G1564">
        <v>3132</v>
      </c>
      <c r="H1564">
        <v>10700</v>
      </c>
    </row>
    <row r="1565" spans="2:8">
      <c r="B1565" t="s">
        <v>587</v>
      </c>
      <c r="C1565" t="s">
        <v>400</v>
      </c>
      <c r="D1565">
        <v>3131</v>
      </c>
      <c r="E1565">
        <v>3132</v>
      </c>
      <c r="F1565">
        <v>3130</v>
      </c>
      <c r="G1565">
        <v>3132</v>
      </c>
      <c r="H1565">
        <v>9000</v>
      </c>
    </row>
    <row r="1566" spans="2:8">
      <c r="B1566" t="s">
        <v>587</v>
      </c>
      <c r="C1566" t="s">
        <v>401</v>
      </c>
      <c r="D1566">
        <v>3132</v>
      </c>
      <c r="E1566">
        <v>3133</v>
      </c>
      <c r="F1566">
        <v>3127</v>
      </c>
      <c r="G1566">
        <v>3127</v>
      </c>
      <c r="H1566">
        <v>13300</v>
      </c>
    </row>
    <row r="1567" spans="2:8">
      <c r="B1567" t="s">
        <v>587</v>
      </c>
      <c r="C1567" t="s">
        <v>402</v>
      </c>
      <c r="D1567">
        <v>3127</v>
      </c>
      <c r="E1567">
        <v>3135</v>
      </c>
      <c r="F1567">
        <v>3127</v>
      </c>
      <c r="G1567">
        <v>3128</v>
      </c>
      <c r="H1567">
        <v>23900</v>
      </c>
    </row>
    <row r="1568" spans="2:8">
      <c r="B1568" t="s">
        <v>587</v>
      </c>
      <c r="C1568" t="s">
        <v>403</v>
      </c>
      <c r="D1568">
        <v>3128</v>
      </c>
      <c r="E1568">
        <v>3134</v>
      </c>
      <c r="F1568">
        <v>3127</v>
      </c>
      <c r="G1568">
        <v>3134</v>
      </c>
      <c r="H1568">
        <v>15300</v>
      </c>
    </row>
    <row r="1569" spans="2:8">
      <c r="B1569" t="s">
        <v>587</v>
      </c>
      <c r="C1569" t="s">
        <v>404</v>
      </c>
      <c r="D1569">
        <v>3134</v>
      </c>
      <c r="E1569">
        <v>3135</v>
      </c>
      <c r="F1569">
        <v>3127</v>
      </c>
      <c r="G1569">
        <v>3127</v>
      </c>
      <c r="H1569">
        <v>10700</v>
      </c>
    </row>
    <row r="1570" spans="2:8">
      <c r="B1570" t="s">
        <v>587</v>
      </c>
      <c r="C1570" t="s">
        <v>405</v>
      </c>
      <c r="D1570">
        <v>3128</v>
      </c>
      <c r="E1570">
        <v>3128</v>
      </c>
      <c r="F1570">
        <v>3123</v>
      </c>
      <c r="G1570">
        <v>3128</v>
      </c>
      <c r="H1570">
        <v>12700</v>
      </c>
    </row>
    <row r="1571" spans="2:8">
      <c r="B1571" t="s">
        <v>587</v>
      </c>
      <c r="C1571" t="s">
        <v>406</v>
      </c>
      <c r="D1571">
        <v>3128</v>
      </c>
      <c r="E1571">
        <v>3131</v>
      </c>
      <c r="F1571">
        <v>3127</v>
      </c>
      <c r="G1571">
        <v>3131</v>
      </c>
      <c r="H1571">
        <v>8200</v>
      </c>
    </row>
    <row r="1572" spans="2:8">
      <c r="B1572" t="s">
        <v>587</v>
      </c>
      <c r="C1572" t="s">
        <v>407</v>
      </c>
      <c r="D1572">
        <v>3130</v>
      </c>
      <c r="E1572">
        <v>3131</v>
      </c>
      <c r="F1572">
        <v>3130</v>
      </c>
      <c r="G1572">
        <v>3130</v>
      </c>
      <c r="H1572">
        <v>4900</v>
      </c>
    </row>
    <row r="1573" spans="2:8">
      <c r="B1573" t="s">
        <v>587</v>
      </c>
      <c r="C1573" t="s">
        <v>408</v>
      </c>
      <c r="D1573">
        <v>3131</v>
      </c>
      <c r="E1573">
        <v>3132</v>
      </c>
      <c r="F1573">
        <v>3131</v>
      </c>
      <c r="G1573">
        <v>3132</v>
      </c>
      <c r="H1573">
        <v>6900</v>
      </c>
    </row>
    <row r="1574" spans="2:8">
      <c r="B1574" t="s">
        <v>587</v>
      </c>
      <c r="C1574" t="s">
        <v>409</v>
      </c>
      <c r="D1574">
        <v>3130</v>
      </c>
      <c r="E1574">
        <v>3133</v>
      </c>
      <c r="F1574">
        <v>3130</v>
      </c>
      <c r="G1574">
        <v>3133</v>
      </c>
      <c r="H1574">
        <v>8400</v>
      </c>
    </row>
    <row r="1575" spans="2:8">
      <c r="B1575" t="s">
        <v>587</v>
      </c>
      <c r="C1575" t="s">
        <v>410</v>
      </c>
      <c r="D1575">
        <v>3133</v>
      </c>
      <c r="E1575">
        <v>3136</v>
      </c>
      <c r="F1575">
        <v>3132</v>
      </c>
      <c r="G1575">
        <v>3132</v>
      </c>
      <c r="H1575">
        <v>21400</v>
      </c>
    </row>
    <row r="1576" spans="2:8">
      <c r="B1576" t="s">
        <v>587</v>
      </c>
      <c r="C1576" t="s">
        <v>411</v>
      </c>
      <c r="D1576">
        <v>3133</v>
      </c>
      <c r="E1576">
        <v>3137</v>
      </c>
      <c r="F1576">
        <v>3133</v>
      </c>
      <c r="G1576">
        <v>3136</v>
      </c>
      <c r="H1576">
        <v>23300</v>
      </c>
    </row>
    <row r="1577" spans="2:8">
      <c r="B1577" t="s">
        <v>587</v>
      </c>
      <c r="C1577" t="s">
        <v>412</v>
      </c>
      <c r="D1577">
        <v>3136</v>
      </c>
      <c r="E1577">
        <v>3137</v>
      </c>
      <c r="F1577">
        <v>3134</v>
      </c>
      <c r="G1577">
        <v>3135</v>
      </c>
      <c r="H1577">
        <v>11300</v>
      </c>
    </row>
    <row r="1578" spans="2:8">
      <c r="B1578" t="s">
        <v>587</v>
      </c>
      <c r="C1578" t="s">
        <v>413</v>
      </c>
      <c r="D1578">
        <v>3135</v>
      </c>
      <c r="E1578">
        <v>3135</v>
      </c>
      <c r="F1578">
        <v>3123</v>
      </c>
      <c r="G1578">
        <v>3123</v>
      </c>
      <c r="H1578">
        <v>12700</v>
      </c>
    </row>
    <row r="1579" spans="2:8">
      <c r="B1579" t="s">
        <v>587</v>
      </c>
      <c r="C1579" t="s">
        <v>414</v>
      </c>
      <c r="D1579">
        <v>3123</v>
      </c>
      <c r="E1579">
        <v>3123</v>
      </c>
      <c r="F1579">
        <v>3098</v>
      </c>
      <c r="G1579">
        <v>3102</v>
      </c>
      <c r="H1579">
        <v>40100</v>
      </c>
    </row>
    <row r="1580" spans="2:8">
      <c r="B1580" t="s">
        <v>587</v>
      </c>
      <c r="C1580" t="s">
        <v>415</v>
      </c>
      <c r="D1580">
        <v>3102</v>
      </c>
      <c r="E1580">
        <v>3102</v>
      </c>
      <c r="F1580">
        <v>3091</v>
      </c>
      <c r="G1580">
        <v>3091</v>
      </c>
      <c r="H1580">
        <v>14800</v>
      </c>
    </row>
    <row r="1581" spans="2:8">
      <c r="B1581" t="s">
        <v>587</v>
      </c>
      <c r="C1581" t="s">
        <v>416</v>
      </c>
      <c r="D1581">
        <v>3091</v>
      </c>
      <c r="E1581">
        <v>3103</v>
      </c>
      <c r="F1581">
        <v>3090</v>
      </c>
      <c r="G1581">
        <v>3101</v>
      </c>
      <c r="H1581">
        <v>25100</v>
      </c>
    </row>
    <row r="1582" spans="2:8">
      <c r="B1582" t="s">
        <v>587</v>
      </c>
      <c r="C1582" t="s">
        <v>417</v>
      </c>
      <c r="D1582">
        <v>3102</v>
      </c>
      <c r="E1582">
        <v>3113</v>
      </c>
      <c r="F1582">
        <v>3102</v>
      </c>
      <c r="G1582">
        <v>3111</v>
      </c>
      <c r="H1582">
        <v>14700</v>
      </c>
    </row>
    <row r="1583" spans="2:8">
      <c r="B1583" t="s">
        <v>587</v>
      </c>
      <c r="C1583" t="s">
        <v>418</v>
      </c>
      <c r="D1583">
        <v>3111</v>
      </c>
      <c r="E1583">
        <v>3111</v>
      </c>
      <c r="F1583">
        <v>3105</v>
      </c>
      <c r="G1583">
        <v>3105</v>
      </c>
      <c r="H1583">
        <v>7000</v>
      </c>
    </row>
    <row r="1584" spans="2:8">
      <c r="B1584" t="s">
        <v>587</v>
      </c>
      <c r="C1584" t="s">
        <v>419</v>
      </c>
      <c r="D1584">
        <v>3105</v>
      </c>
      <c r="E1584">
        <v>3108</v>
      </c>
      <c r="F1584">
        <v>3104</v>
      </c>
      <c r="G1584">
        <v>3105</v>
      </c>
      <c r="H1584">
        <v>9000</v>
      </c>
    </row>
    <row r="1585" spans="2:8">
      <c r="B1585" t="s">
        <v>587</v>
      </c>
      <c r="C1585" t="s">
        <v>420</v>
      </c>
      <c r="D1585">
        <v>3104</v>
      </c>
      <c r="E1585">
        <v>3108</v>
      </c>
      <c r="F1585">
        <v>3104</v>
      </c>
      <c r="G1585">
        <v>3105</v>
      </c>
      <c r="H1585">
        <v>9400</v>
      </c>
    </row>
    <row r="1586" spans="2:8">
      <c r="B1586" t="s">
        <v>587</v>
      </c>
      <c r="C1586" t="s">
        <v>421</v>
      </c>
      <c r="D1586">
        <v>3105</v>
      </c>
      <c r="E1586">
        <v>3106</v>
      </c>
      <c r="F1586">
        <v>3101</v>
      </c>
      <c r="G1586">
        <v>3101</v>
      </c>
      <c r="H1586">
        <v>8600</v>
      </c>
    </row>
    <row r="1587" spans="2:8">
      <c r="B1587" t="s">
        <v>587</v>
      </c>
      <c r="C1587" t="s">
        <v>422</v>
      </c>
      <c r="D1587">
        <v>3102</v>
      </c>
      <c r="E1587">
        <v>3102</v>
      </c>
      <c r="F1587">
        <v>3096</v>
      </c>
      <c r="G1587">
        <v>3096</v>
      </c>
      <c r="H1587">
        <v>28500</v>
      </c>
    </row>
    <row r="1588" spans="2:8">
      <c r="B1588" t="s">
        <v>587</v>
      </c>
      <c r="C1588" t="s">
        <v>423</v>
      </c>
      <c r="D1588">
        <v>3097</v>
      </c>
      <c r="E1588">
        <v>3098</v>
      </c>
      <c r="F1588">
        <v>3094</v>
      </c>
      <c r="G1588">
        <v>3095</v>
      </c>
      <c r="H1588">
        <v>10800</v>
      </c>
    </row>
    <row r="1589" spans="2:8">
      <c r="B1589" t="s">
        <v>587</v>
      </c>
      <c r="C1589" t="s">
        <v>424</v>
      </c>
      <c r="D1589">
        <v>3095</v>
      </c>
      <c r="E1589">
        <v>3101</v>
      </c>
      <c r="F1589">
        <v>3094</v>
      </c>
      <c r="G1589">
        <v>3096</v>
      </c>
      <c r="H1589">
        <v>14200</v>
      </c>
    </row>
    <row r="1590" spans="2:8">
      <c r="B1590" t="s">
        <v>587</v>
      </c>
      <c r="C1590" t="s">
        <v>425</v>
      </c>
      <c r="D1590">
        <v>3097</v>
      </c>
      <c r="E1590">
        <v>3097</v>
      </c>
      <c r="F1590">
        <v>3094</v>
      </c>
      <c r="G1590">
        <v>3095</v>
      </c>
      <c r="H1590">
        <v>3300</v>
      </c>
    </row>
    <row r="1591" spans="2:8">
      <c r="B1591" t="s">
        <v>587</v>
      </c>
      <c r="C1591" t="s">
        <v>426</v>
      </c>
      <c r="D1591">
        <v>3095</v>
      </c>
      <c r="E1591">
        <v>3098</v>
      </c>
      <c r="F1591">
        <v>3094</v>
      </c>
      <c r="G1591">
        <v>3098</v>
      </c>
      <c r="H1591">
        <v>10600</v>
      </c>
    </row>
    <row r="1592" spans="2:8">
      <c r="B1592" t="s">
        <v>587</v>
      </c>
      <c r="C1592" t="s">
        <v>427</v>
      </c>
      <c r="D1592">
        <v>3098</v>
      </c>
      <c r="E1592">
        <v>3098</v>
      </c>
      <c r="F1592">
        <v>3095</v>
      </c>
      <c r="G1592">
        <v>3096</v>
      </c>
      <c r="H1592">
        <v>9200</v>
      </c>
    </row>
    <row r="1593" spans="2:8">
      <c r="B1593" t="s">
        <v>587</v>
      </c>
      <c r="C1593" t="s">
        <v>428</v>
      </c>
      <c r="D1593">
        <v>3096</v>
      </c>
      <c r="E1593">
        <v>3098</v>
      </c>
      <c r="F1593">
        <v>3096</v>
      </c>
      <c r="G1593">
        <v>3096</v>
      </c>
      <c r="H1593">
        <v>3500</v>
      </c>
    </row>
    <row r="1594" spans="2:8">
      <c r="B1594" t="s">
        <v>587</v>
      </c>
      <c r="C1594" t="s">
        <v>429</v>
      </c>
      <c r="D1594">
        <v>3095</v>
      </c>
      <c r="E1594">
        <v>3095</v>
      </c>
      <c r="F1594">
        <v>3093</v>
      </c>
      <c r="G1594">
        <v>3093</v>
      </c>
      <c r="H1594">
        <v>5400</v>
      </c>
    </row>
    <row r="1595" spans="2:8">
      <c r="B1595" t="s">
        <v>587</v>
      </c>
      <c r="C1595" t="s">
        <v>430</v>
      </c>
      <c r="D1595">
        <v>3093</v>
      </c>
      <c r="E1595">
        <v>3093</v>
      </c>
      <c r="F1595">
        <v>3091</v>
      </c>
      <c r="G1595">
        <v>3091</v>
      </c>
      <c r="H1595">
        <v>7500</v>
      </c>
    </row>
    <row r="1596" spans="2:8">
      <c r="B1596" t="s">
        <v>587</v>
      </c>
      <c r="C1596" t="s">
        <v>431</v>
      </c>
      <c r="D1596">
        <v>3091</v>
      </c>
      <c r="E1596">
        <v>3097</v>
      </c>
      <c r="F1596">
        <v>3090</v>
      </c>
      <c r="G1596">
        <v>3096</v>
      </c>
      <c r="H1596">
        <v>15900</v>
      </c>
    </row>
    <row r="1597" spans="2:8">
      <c r="B1597" t="s">
        <v>587</v>
      </c>
      <c r="C1597" t="s">
        <v>9</v>
      </c>
      <c r="D1597">
        <v>3095</v>
      </c>
      <c r="E1597">
        <v>3097</v>
      </c>
      <c r="F1597">
        <v>3094</v>
      </c>
      <c r="G1597">
        <v>3097</v>
      </c>
      <c r="H1597">
        <v>10200</v>
      </c>
    </row>
    <row r="1598" spans="2:8">
      <c r="B1598" t="s">
        <v>587</v>
      </c>
      <c r="C1598" t="s">
        <v>10</v>
      </c>
      <c r="D1598">
        <v>3096</v>
      </c>
      <c r="E1598">
        <v>3100</v>
      </c>
      <c r="F1598">
        <v>3095</v>
      </c>
      <c r="G1598">
        <v>3100</v>
      </c>
      <c r="H1598">
        <v>7300</v>
      </c>
    </row>
    <row r="1599" spans="2:8">
      <c r="B1599" t="s">
        <v>587</v>
      </c>
      <c r="C1599" t="s">
        <v>11</v>
      </c>
      <c r="D1599">
        <v>3100</v>
      </c>
      <c r="E1599">
        <v>3106</v>
      </c>
      <c r="F1599">
        <v>3100</v>
      </c>
      <c r="G1599">
        <v>3102</v>
      </c>
      <c r="H1599">
        <v>10300</v>
      </c>
    </row>
    <row r="1600" spans="2:8">
      <c r="B1600" t="s">
        <v>587</v>
      </c>
      <c r="C1600" t="s">
        <v>12</v>
      </c>
      <c r="D1600">
        <v>3103</v>
      </c>
      <c r="E1600">
        <v>3105</v>
      </c>
      <c r="F1600">
        <v>3103</v>
      </c>
      <c r="G1600">
        <v>3104</v>
      </c>
      <c r="H1600">
        <v>4500</v>
      </c>
    </row>
    <row r="1601" spans="2:8">
      <c r="B1601" t="s">
        <v>587</v>
      </c>
      <c r="C1601" t="s">
        <v>13</v>
      </c>
      <c r="D1601">
        <v>3104</v>
      </c>
      <c r="E1601">
        <v>3104</v>
      </c>
      <c r="F1601">
        <v>3103</v>
      </c>
      <c r="G1601">
        <v>3103</v>
      </c>
      <c r="H1601">
        <v>3400</v>
      </c>
    </row>
    <row r="1602" spans="2:8">
      <c r="B1602" t="s">
        <v>587</v>
      </c>
      <c r="C1602" t="s">
        <v>14</v>
      </c>
      <c r="D1602">
        <v>3104</v>
      </c>
      <c r="E1602">
        <v>3107</v>
      </c>
      <c r="F1602">
        <v>3103</v>
      </c>
      <c r="G1602">
        <v>3104</v>
      </c>
      <c r="H1602">
        <v>11400</v>
      </c>
    </row>
    <row r="1603" spans="2:8">
      <c r="B1603" t="s">
        <v>587</v>
      </c>
      <c r="C1603" t="s">
        <v>15</v>
      </c>
      <c r="D1603">
        <v>3104</v>
      </c>
      <c r="E1603">
        <v>3108</v>
      </c>
      <c r="F1603">
        <v>3104</v>
      </c>
      <c r="G1603">
        <v>3108</v>
      </c>
      <c r="H1603">
        <v>14200</v>
      </c>
    </row>
    <row r="1604" spans="2:8">
      <c r="B1604" t="s">
        <v>587</v>
      </c>
      <c r="C1604" t="s">
        <v>16</v>
      </c>
      <c r="D1604">
        <v>3108</v>
      </c>
      <c r="E1604">
        <v>3110</v>
      </c>
      <c r="F1604">
        <v>3105</v>
      </c>
      <c r="G1604">
        <v>3105</v>
      </c>
      <c r="H1604">
        <v>8000</v>
      </c>
    </row>
    <row r="1605" spans="2:8">
      <c r="B1605" t="s">
        <v>587</v>
      </c>
      <c r="C1605" t="s">
        <v>17</v>
      </c>
      <c r="D1605">
        <v>3105</v>
      </c>
      <c r="E1605">
        <v>3106</v>
      </c>
      <c r="F1605">
        <v>3103</v>
      </c>
      <c r="G1605">
        <v>3104</v>
      </c>
      <c r="H1605">
        <v>4700</v>
      </c>
    </row>
    <row r="1606" spans="2:8">
      <c r="B1606" t="s">
        <v>587</v>
      </c>
      <c r="C1606" t="s">
        <v>18</v>
      </c>
      <c r="D1606">
        <v>3103</v>
      </c>
      <c r="E1606">
        <v>3109</v>
      </c>
      <c r="F1606">
        <v>3103</v>
      </c>
      <c r="G1606">
        <v>3109</v>
      </c>
      <c r="H1606">
        <v>10300</v>
      </c>
    </row>
    <row r="1607" spans="2:8">
      <c r="B1607" t="s">
        <v>587</v>
      </c>
      <c r="C1607" t="s">
        <v>19</v>
      </c>
      <c r="D1607">
        <v>3108</v>
      </c>
      <c r="E1607">
        <v>3118</v>
      </c>
      <c r="F1607">
        <v>3108</v>
      </c>
      <c r="G1607">
        <v>3114</v>
      </c>
      <c r="H1607">
        <v>22300</v>
      </c>
    </row>
    <row r="1608" spans="2:8">
      <c r="B1608" t="s">
        <v>587</v>
      </c>
      <c r="C1608" t="s">
        <v>20</v>
      </c>
      <c r="D1608">
        <v>3113</v>
      </c>
      <c r="E1608">
        <v>3115</v>
      </c>
      <c r="F1608">
        <v>3113</v>
      </c>
      <c r="G1608">
        <v>3114</v>
      </c>
      <c r="H1608">
        <v>4000</v>
      </c>
    </row>
    <row r="1609" spans="2:8">
      <c r="B1609" t="s">
        <v>587</v>
      </c>
      <c r="C1609" t="s">
        <v>21</v>
      </c>
      <c r="D1609">
        <v>3114</v>
      </c>
      <c r="E1609">
        <v>3120</v>
      </c>
      <c r="F1609">
        <v>3114</v>
      </c>
      <c r="G1609">
        <v>3120</v>
      </c>
      <c r="H1609">
        <v>8000</v>
      </c>
    </row>
    <row r="1610" spans="2:8">
      <c r="B1610" t="s">
        <v>587</v>
      </c>
      <c r="C1610" t="s">
        <v>22</v>
      </c>
      <c r="D1610">
        <v>3119</v>
      </c>
      <c r="E1610">
        <v>3121</v>
      </c>
      <c r="F1610">
        <v>3119</v>
      </c>
      <c r="G1610">
        <v>3119</v>
      </c>
      <c r="H1610">
        <v>7400</v>
      </c>
    </row>
    <row r="1611" spans="2:8">
      <c r="B1611" t="s">
        <v>587</v>
      </c>
      <c r="C1611" t="s">
        <v>23</v>
      </c>
      <c r="D1611">
        <v>3119</v>
      </c>
      <c r="E1611">
        <v>3120</v>
      </c>
      <c r="F1611">
        <v>3119</v>
      </c>
      <c r="G1611">
        <v>3120</v>
      </c>
      <c r="H1611">
        <v>1300</v>
      </c>
    </row>
    <row r="1612" spans="2:8">
      <c r="B1612" t="s">
        <v>587</v>
      </c>
      <c r="C1612" t="s">
        <v>24</v>
      </c>
      <c r="D1612">
        <v>3120</v>
      </c>
      <c r="E1612">
        <v>3120</v>
      </c>
      <c r="F1612">
        <v>3115</v>
      </c>
      <c r="G1612">
        <v>3118</v>
      </c>
      <c r="H1612">
        <v>20100</v>
      </c>
    </row>
    <row r="1613" spans="2:8">
      <c r="B1613" t="s">
        <v>587</v>
      </c>
      <c r="C1613" t="s">
        <v>25</v>
      </c>
      <c r="D1613">
        <v>3118</v>
      </c>
      <c r="E1613">
        <v>3121</v>
      </c>
      <c r="F1613">
        <v>3118</v>
      </c>
      <c r="G1613">
        <v>3121</v>
      </c>
      <c r="H1613">
        <v>11900</v>
      </c>
    </row>
    <row r="1614" spans="2:8">
      <c r="B1614" t="s">
        <v>587</v>
      </c>
      <c r="C1614" t="s">
        <v>26</v>
      </c>
      <c r="D1614">
        <v>3121</v>
      </c>
      <c r="E1614">
        <v>3124</v>
      </c>
      <c r="F1614">
        <v>3120</v>
      </c>
      <c r="G1614">
        <v>3120</v>
      </c>
      <c r="H1614">
        <v>9300</v>
      </c>
    </row>
    <row r="1615" spans="2:8">
      <c r="B1615" t="s">
        <v>587</v>
      </c>
      <c r="C1615" t="s">
        <v>27</v>
      </c>
      <c r="D1615">
        <v>3121</v>
      </c>
      <c r="E1615">
        <v>3122</v>
      </c>
      <c r="F1615">
        <v>3119</v>
      </c>
      <c r="G1615">
        <v>3122</v>
      </c>
      <c r="H1615">
        <v>6900</v>
      </c>
    </row>
    <row r="1616" spans="2:8">
      <c r="B1616" t="s">
        <v>587</v>
      </c>
      <c r="C1616" t="s">
        <v>28</v>
      </c>
      <c r="D1616">
        <v>3121</v>
      </c>
      <c r="E1616">
        <v>3121</v>
      </c>
      <c r="F1616">
        <v>3119</v>
      </c>
      <c r="G1616">
        <v>3119</v>
      </c>
      <c r="H1616">
        <v>4500</v>
      </c>
    </row>
    <row r="1617" spans="2:8">
      <c r="B1617" t="s">
        <v>587</v>
      </c>
      <c r="C1617" t="s">
        <v>29</v>
      </c>
      <c r="D1617">
        <v>3119</v>
      </c>
      <c r="E1617">
        <v>3119</v>
      </c>
      <c r="F1617">
        <v>3112</v>
      </c>
      <c r="G1617">
        <v>3115</v>
      </c>
      <c r="H1617">
        <v>30500</v>
      </c>
    </row>
    <row r="1618" spans="2:8">
      <c r="B1618" t="s">
        <v>587</v>
      </c>
      <c r="C1618" t="s">
        <v>30</v>
      </c>
      <c r="D1618">
        <v>3115</v>
      </c>
      <c r="E1618">
        <v>3119</v>
      </c>
      <c r="F1618">
        <v>3114</v>
      </c>
      <c r="G1618">
        <v>3118</v>
      </c>
      <c r="H1618">
        <v>9500</v>
      </c>
    </row>
    <row r="1619" spans="2:8">
      <c r="B1619" t="s">
        <v>587</v>
      </c>
      <c r="C1619" t="s">
        <v>31</v>
      </c>
      <c r="D1619">
        <v>3118</v>
      </c>
      <c r="E1619">
        <v>3118</v>
      </c>
      <c r="F1619">
        <v>3117</v>
      </c>
      <c r="G1619">
        <v>3118</v>
      </c>
      <c r="H1619">
        <v>4700</v>
      </c>
    </row>
    <row r="1620" spans="2:8">
      <c r="B1620" t="s">
        <v>587</v>
      </c>
      <c r="C1620" t="s">
        <v>32</v>
      </c>
      <c r="D1620">
        <v>3119</v>
      </c>
      <c r="E1620">
        <v>3120</v>
      </c>
      <c r="F1620">
        <v>3117</v>
      </c>
      <c r="G1620">
        <v>3117</v>
      </c>
      <c r="H1620">
        <v>12600</v>
      </c>
    </row>
    <row r="1621" spans="2:8">
      <c r="B1621" t="s">
        <v>587</v>
      </c>
      <c r="C1621" t="s">
        <v>33</v>
      </c>
      <c r="D1621">
        <v>3117</v>
      </c>
      <c r="E1621">
        <v>3117</v>
      </c>
      <c r="F1621">
        <v>3113</v>
      </c>
      <c r="G1621">
        <v>3113</v>
      </c>
      <c r="H1621">
        <v>6100</v>
      </c>
    </row>
    <row r="1622" spans="2:8">
      <c r="B1622" t="s">
        <v>587</v>
      </c>
      <c r="C1622" t="s">
        <v>34</v>
      </c>
      <c r="D1622">
        <v>3113</v>
      </c>
      <c r="E1622">
        <v>3114</v>
      </c>
      <c r="F1622">
        <v>3112</v>
      </c>
      <c r="G1622">
        <v>3113</v>
      </c>
      <c r="H1622">
        <v>3100</v>
      </c>
    </row>
    <row r="1623" spans="2:8">
      <c r="B1623" t="s">
        <v>587</v>
      </c>
      <c r="C1623" t="s">
        <v>35</v>
      </c>
      <c r="D1623">
        <v>3113</v>
      </c>
      <c r="E1623">
        <v>3116</v>
      </c>
      <c r="F1623">
        <v>3113</v>
      </c>
      <c r="G1623">
        <v>3116</v>
      </c>
      <c r="H1623">
        <v>17500</v>
      </c>
    </row>
    <row r="1624" spans="2:8">
      <c r="B1624" t="s">
        <v>587</v>
      </c>
      <c r="C1624" t="s">
        <v>36</v>
      </c>
      <c r="D1624">
        <v>3115</v>
      </c>
      <c r="E1624">
        <v>3117</v>
      </c>
      <c r="F1624">
        <v>3115</v>
      </c>
      <c r="G1624">
        <v>3116</v>
      </c>
      <c r="H1624">
        <v>9400</v>
      </c>
    </row>
    <row r="1625" spans="2:8">
      <c r="B1625" t="s">
        <v>587</v>
      </c>
      <c r="C1625" t="s">
        <v>37</v>
      </c>
      <c r="D1625">
        <v>3116</v>
      </c>
      <c r="E1625">
        <v>3117</v>
      </c>
      <c r="F1625">
        <v>3115</v>
      </c>
      <c r="G1625">
        <v>3117</v>
      </c>
      <c r="H1625">
        <v>4600</v>
      </c>
    </row>
    <row r="1626" spans="2:8">
      <c r="B1626" t="s">
        <v>587</v>
      </c>
      <c r="C1626" t="s">
        <v>38</v>
      </c>
      <c r="D1626">
        <v>3116</v>
      </c>
      <c r="E1626">
        <v>3117</v>
      </c>
      <c r="F1626">
        <v>3113</v>
      </c>
      <c r="G1626">
        <v>3115</v>
      </c>
      <c r="H1626">
        <v>15600</v>
      </c>
    </row>
    <row r="1627" spans="2:8">
      <c r="B1627" t="s">
        <v>587</v>
      </c>
      <c r="C1627" t="s">
        <v>39</v>
      </c>
      <c r="D1627">
        <v>3115</v>
      </c>
      <c r="E1627">
        <v>3115</v>
      </c>
      <c r="F1627">
        <v>3114</v>
      </c>
      <c r="G1627">
        <v>3114</v>
      </c>
      <c r="H1627">
        <v>6300</v>
      </c>
    </row>
    <row r="1628" spans="2:8">
      <c r="B1628" t="s">
        <v>587</v>
      </c>
      <c r="C1628" t="s">
        <v>40</v>
      </c>
      <c r="D1628">
        <v>3114</v>
      </c>
      <c r="E1628">
        <v>3120</v>
      </c>
      <c r="F1628">
        <v>3114</v>
      </c>
      <c r="G1628">
        <v>3117</v>
      </c>
      <c r="H1628">
        <v>15400</v>
      </c>
    </row>
    <row r="1629" spans="2:8">
      <c r="B1629" t="s">
        <v>587</v>
      </c>
      <c r="C1629" t="s">
        <v>41</v>
      </c>
      <c r="D1629">
        <v>3117</v>
      </c>
      <c r="E1629">
        <v>3117</v>
      </c>
      <c r="F1629">
        <v>3113</v>
      </c>
      <c r="G1629">
        <v>3114</v>
      </c>
      <c r="H1629">
        <v>7000</v>
      </c>
    </row>
    <row r="1630" spans="2:8">
      <c r="B1630" t="s">
        <v>587</v>
      </c>
      <c r="C1630" t="s">
        <v>42</v>
      </c>
      <c r="D1630">
        <v>3114</v>
      </c>
      <c r="E1630">
        <v>3114</v>
      </c>
      <c r="F1630">
        <v>3113</v>
      </c>
      <c r="G1630">
        <v>3113</v>
      </c>
      <c r="H1630">
        <v>1600</v>
      </c>
    </row>
    <row r="1631" spans="2:8">
      <c r="B1631" t="s">
        <v>587</v>
      </c>
      <c r="C1631" t="s">
        <v>43</v>
      </c>
      <c r="D1631">
        <v>3113</v>
      </c>
      <c r="E1631">
        <v>3117</v>
      </c>
      <c r="F1631">
        <v>3113</v>
      </c>
      <c r="G1631">
        <v>3117</v>
      </c>
      <c r="H1631">
        <v>24500</v>
      </c>
    </row>
    <row r="1632" spans="2:8">
      <c r="B1632" t="s">
        <v>587</v>
      </c>
      <c r="C1632" t="s">
        <v>44</v>
      </c>
      <c r="D1632">
        <v>3116</v>
      </c>
      <c r="E1632">
        <v>3119</v>
      </c>
      <c r="F1632">
        <v>3116</v>
      </c>
      <c r="G1632">
        <v>3116</v>
      </c>
      <c r="H1632">
        <v>9300</v>
      </c>
    </row>
    <row r="1633" spans="2:8">
      <c r="B1633" t="s">
        <v>587</v>
      </c>
      <c r="C1633" t="s">
        <v>45</v>
      </c>
      <c r="D1633">
        <v>3116</v>
      </c>
      <c r="E1633">
        <v>3118</v>
      </c>
      <c r="F1633">
        <v>3116</v>
      </c>
      <c r="G1633">
        <v>3117</v>
      </c>
      <c r="H1633">
        <v>8900</v>
      </c>
    </row>
    <row r="1634" spans="2:8">
      <c r="B1634" t="s">
        <v>587</v>
      </c>
      <c r="C1634" t="s">
        <v>46</v>
      </c>
      <c r="D1634">
        <v>3117</v>
      </c>
      <c r="E1634">
        <v>3118</v>
      </c>
      <c r="F1634">
        <v>3116</v>
      </c>
      <c r="G1634">
        <v>3116</v>
      </c>
      <c r="H1634">
        <v>4600</v>
      </c>
    </row>
    <row r="1635" spans="2:8">
      <c r="B1635" t="s">
        <v>587</v>
      </c>
      <c r="C1635" t="s">
        <v>47</v>
      </c>
      <c r="D1635">
        <v>3116</v>
      </c>
      <c r="E1635">
        <v>3117</v>
      </c>
      <c r="F1635">
        <v>3116</v>
      </c>
      <c r="G1635">
        <v>3117</v>
      </c>
      <c r="H1635">
        <v>4800</v>
      </c>
    </row>
    <row r="1636" spans="2:8">
      <c r="B1636" t="s">
        <v>587</v>
      </c>
      <c r="C1636" t="s">
        <v>48</v>
      </c>
      <c r="D1636">
        <v>3116</v>
      </c>
      <c r="E1636">
        <v>3123</v>
      </c>
      <c r="F1636">
        <v>3116</v>
      </c>
      <c r="G1636">
        <v>3123</v>
      </c>
      <c r="H1636">
        <v>51100</v>
      </c>
    </row>
    <row r="1637" spans="2:8">
      <c r="B1637" t="s">
        <v>587</v>
      </c>
      <c r="C1637" t="s">
        <v>49</v>
      </c>
      <c r="D1637">
        <v>3123</v>
      </c>
      <c r="E1637">
        <v>3123</v>
      </c>
      <c r="F1637">
        <v>3122</v>
      </c>
      <c r="G1637">
        <v>3122</v>
      </c>
      <c r="H1637">
        <v>4100</v>
      </c>
    </row>
    <row r="1638" spans="2:8">
      <c r="B1638" t="s">
        <v>587</v>
      </c>
      <c r="C1638" t="s">
        <v>50</v>
      </c>
      <c r="D1638">
        <v>3123</v>
      </c>
      <c r="E1638">
        <v>3125</v>
      </c>
      <c r="F1638">
        <v>3123</v>
      </c>
      <c r="G1638">
        <v>3123</v>
      </c>
      <c r="H1638">
        <v>12800</v>
      </c>
    </row>
    <row r="1639" spans="2:8">
      <c r="B1639" t="s">
        <v>587</v>
      </c>
      <c r="C1639" t="s">
        <v>51</v>
      </c>
      <c r="D1639">
        <v>3123</v>
      </c>
      <c r="E1639">
        <v>3124</v>
      </c>
      <c r="F1639">
        <v>3122</v>
      </c>
      <c r="G1639">
        <v>3122</v>
      </c>
      <c r="H1639">
        <v>2800</v>
      </c>
    </row>
    <row r="1640" spans="2:8">
      <c r="B1640" t="s">
        <v>587</v>
      </c>
      <c r="C1640" t="s">
        <v>52</v>
      </c>
      <c r="D1640">
        <v>3122</v>
      </c>
      <c r="E1640">
        <v>3123</v>
      </c>
      <c r="F1640">
        <v>3121</v>
      </c>
      <c r="G1640">
        <v>3121</v>
      </c>
      <c r="H1640">
        <v>4400</v>
      </c>
    </row>
    <row r="1641" spans="2:8">
      <c r="B1641" t="s">
        <v>587</v>
      </c>
      <c r="C1641" t="s">
        <v>53</v>
      </c>
      <c r="D1641">
        <v>3120</v>
      </c>
      <c r="E1641">
        <v>3121</v>
      </c>
      <c r="F1641">
        <v>3119</v>
      </c>
      <c r="G1641">
        <v>3119</v>
      </c>
      <c r="H1641">
        <v>17200</v>
      </c>
    </row>
    <row r="1642" spans="2:8">
      <c r="B1642" t="s">
        <v>587</v>
      </c>
      <c r="C1642" t="s">
        <v>54</v>
      </c>
      <c r="D1642">
        <v>3119</v>
      </c>
      <c r="E1642">
        <v>3123</v>
      </c>
      <c r="F1642">
        <v>3119</v>
      </c>
      <c r="G1642">
        <v>3121</v>
      </c>
      <c r="H1642">
        <v>25100</v>
      </c>
    </row>
    <row r="1643" spans="2:8">
      <c r="B1643" t="s">
        <v>587</v>
      </c>
      <c r="C1643" t="s">
        <v>55</v>
      </c>
      <c r="D1643">
        <v>3122</v>
      </c>
      <c r="E1643">
        <v>3123</v>
      </c>
      <c r="F1643">
        <v>3122</v>
      </c>
      <c r="G1643">
        <v>3123</v>
      </c>
      <c r="H1643">
        <v>7500</v>
      </c>
    </row>
    <row r="1644" spans="2:8">
      <c r="B1644" t="s">
        <v>587</v>
      </c>
      <c r="C1644" t="s">
        <v>56</v>
      </c>
      <c r="D1644">
        <v>3123</v>
      </c>
      <c r="E1644">
        <v>3123</v>
      </c>
      <c r="F1644">
        <v>3122</v>
      </c>
      <c r="G1644">
        <v>3122</v>
      </c>
      <c r="H1644">
        <v>4300</v>
      </c>
    </row>
    <row r="1645" spans="2:8">
      <c r="B1645" t="s">
        <v>587</v>
      </c>
      <c r="C1645" t="s">
        <v>57</v>
      </c>
      <c r="D1645">
        <v>3122</v>
      </c>
      <c r="E1645">
        <v>3122</v>
      </c>
      <c r="F1645">
        <v>3116</v>
      </c>
      <c r="G1645">
        <v>3117</v>
      </c>
      <c r="H1645">
        <v>17500</v>
      </c>
    </row>
    <row r="1646" spans="2:8">
      <c r="B1646" t="s">
        <v>587</v>
      </c>
      <c r="C1646" t="s">
        <v>58</v>
      </c>
      <c r="D1646">
        <v>3116</v>
      </c>
      <c r="E1646">
        <v>3116</v>
      </c>
      <c r="F1646">
        <v>3107</v>
      </c>
      <c r="G1646">
        <v>3107</v>
      </c>
      <c r="H1646">
        <v>21300</v>
      </c>
    </row>
    <row r="1647" spans="2:8">
      <c r="B1647" t="s">
        <v>587</v>
      </c>
      <c r="C1647" t="s">
        <v>59</v>
      </c>
      <c r="D1647">
        <v>3107</v>
      </c>
      <c r="E1647">
        <v>3109</v>
      </c>
      <c r="F1647">
        <v>3102</v>
      </c>
      <c r="G1647">
        <v>3109</v>
      </c>
      <c r="H1647">
        <v>31100</v>
      </c>
    </row>
    <row r="1648" spans="2:8">
      <c r="B1648" t="s">
        <v>587</v>
      </c>
      <c r="C1648" t="s">
        <v>60</v>
      </c>
      <c r="D1648">
        <v>3108</v>
      </c>
      <c r="E1648">
        <v>3114</v>
      </c>
      <c r="F1648">
        <v>3108</v>
      </c>
      <c r="G1648">
        <v>3113</v>
      </c>
      <c r="H1648">
        <v>13700</v>
      </c>
    </row>
    <row r="1649" spans="1:8">
      <c r="B1649" t="s">
        <v>587</v>
      </c>
      <c r="C1649" t="s">
        <v>61</v>
      </c>
      <c r="D1649">
        <v>3112</v>
      </c>
      <c r="E1649">
        <v>3121</v>
      </c>
      <c r="F1649">
        <v>3109</v>
      </c>
      <c r="G1649">
        <v>3121</v>
      </c>
      <c r="H1649">
        <v>24600</v>
      </c>
    </row>
    <row r="1650" spans="1:8">
      <c r="B1650" t="s">
        <v>587</v>
      </c>
      <c r="C1650" t="s">
        <v>62</v>
      </c>
      <c r="D1650">
        <v>3119</v>
      </c>
      <c r="E1650">
        <v>3121</v>
      </c>
      <c r="F1650">
        <v>3118</v>
      </c>
      <c r="G1650">
        <v>3121</v>
      </c>
      <c r="H1650">
        <v>7100</v>
      </c>
    </row>
    <row r="1651" spans="1:8">
      <c r="B1651" t="s">
        <v>587</v>
      </c>
      <c r="C1651" t="s">
        <v>63</v>
      </c>
      <c r="D1651">
        <v>3120</v>
      </c>
      <c r="E1651">
        <v>3123</v>
      </c>
      <c r="F1651">
        <v>3120</v>
      </c>
      <c r="G1651">
        <v>3122</v>
      </c>
      <c r="H1651">
        <v>12800</v>
      </c>
    </row>
    <row r="1652" spans="1:8">
      <c r="B1652" t="s">
        <v>587</v>
      </c>
      <c r="C1652" t="s">
        <v>64</v>
      </c>
      <c r="D1652">
        <v>3122</v>
      </c>
      <c r="E1652">
        <v>3123</v>
      </c>
      <c r="F1652">
        <v>3121</v>
      </c>
      <c r="G1652">
        <v>3121</v>
      </c>
      <c r="H1652">
        <v>7600</v>
      </c>
    </row>
    <row r="1653" spans="1:8">
      <c r="B1653" t="s">
        <v>587</v>
      </c>
      <c r="C1653" t="s">
        <v>65</v>
      </c>
      <c r="D1653">
        <v>3121</v>
      </c>
      <c r="E1653">
        <v>3124</v>
      </c>
      <c r="F1653">
        <v>3119</v>
      </c>
      <c r="G1653">
        <v>3124</v>
      </c>
      <c r="H1653">
        <v>29400</v>
      </c>
    </row>
    <row r="1654" spans="1:8">
      <c r="B1654" t="s">
        <v>587</v>
      </c>
      <c r="C1654" t="s">
        <v>66</v>
      </c>
      <c r="D1654">
        <v>3122</v>
      </c>
      <c r="E1654">
        <v>3133</v>
      </c>
      <c r="F1654">
        <v>3122</v>
      </c>
      <c r="G1654">
        <v>3128</v>
      </c>
      <c r="H1654">
        <v>51900</v>
      </c>
    </row>
    <row r="1655" spans="1:8">
      <c r="B1655" t="s">
        <v>587</v>
      </c>
      <c r="C1655" t="s">
        <v>164</v>
      </c>
      <c r="D1655">
        <v>3127</v>
      </c>
      <c r="E1655">
        <v>3130</v>
      </c>
      <c r="F1655">
        <v>3125</v>
      </c>
      <c r="G1655">
        <v>3129</v>
      </c>
      <c r="H1655">
        <v>14900</v>
      </c>
    </row>
    <row r="1656" spans="1:8">
      <c r="B1656" t="s">
        <v>587</v>
      </c>
      <c r="C1656" t="s">
        <v>165</v>
      </c>
      <c r="D1656">
        <v>3129</v>
      </c>
      <c r="E1656">
        <v>3131</v>
      </c>
      <c r="F1656">
        <v>3125</v>
      </c>
      <c r="G1656">
        <v>3125</v>
      </c>
      <c r="H1656">
        <v>16600</v>
      </c>
    </row>
    <row r="1657" spans="1:8">
      <c r="B1657" t="s">
        <v>587</v>
      </c>
      <c r="C1657" t="s">
        <v>67</v>
      </c>
      <c r="D1657" t="s">
        <v>8</v>
      </c>
      <c r="E1657" t="s">
        <v>8</v>
      </c>
      <c r="F1657" t="s">
        <v>8</v>
      </c>
      <c r="G1657" t="s">
        <v>8</v>
      </c>
      <c r="H1657">
        <v>0</v>
      </c>
    </row>
    <row r="1658" spans="1:8">
      <c r="B1658" t="s">
        <v>587</v>
      </c>
      <c r="C1658" t="s">
        <v>68</v>
      </c>
      <c r="D1658" t="s">
        <v>8</v>
      </c>
      <c r="E1658" t="s">
        <v>8</v>
      </c>
      <c r="F1658" t="s">
        <v>8</v>
      </c>
      <c r="G1658" t="s">
        <v>8</v>
      </c>
      <c r="H1658">
        <v>0</v>
      </c>
    </row>
    <row r="1659" spans="1:8">
      <c r="B1659" t="s">
        <v>587</v>
      </c>
      <c r="C1659" t="s">
        <v>69</v>
      </c>
      <c r="D1659" t="s">
        <v>8</v>
      </c>
      <c r="E1659" t="s">
        <v>8</v>
      </c>
      <c r="F1659" t="s">
        <v>8</v>
      </c>
      <c r="G1659" t="s">
        <v>8</v>
      </c>
      <c r="H1659">
        <v>0</v>
      </c>
    </row>
    <row r="1660" spans="1:8">
      <c r="B1660" t="s">
        <v>587</v>
      </c>
      <c r="C1660" t="s">
        <v>70</v>
      </c>
      <c r="D1660" t="s">
        <v>8</v>
      </c>
      <c r="E1660" t="s">
        <v>8</v>
      </c>
      <c r="F1660" t="s">
        <v>8</v>
      </c>
      <c r="G1660" t="s">
        <v>8</v>
      </c>
      <c r="H1660">
        <v>0</v>
      </c>
    </row>
    <row r="1661" spans="1:8">
      <c r="B1661" t="s">
        <v>587</v>
      </c>
      <c r="C1661" t="s">
        <v>71</v>
      </c>
      <c r="D1661" t="s">
        <v>8</v>
      </c>
      <c r="E1661" t="s">
        <v>8</v>
      </c>
      <c r="F1661" t="s">
        <v>8</v>
      </c>
      <c r="G1661" t="s">
        <v>8</v>
      </c>
      <c r="H1661">
        <v>0</v>
      </c>
    </row>
    <row r="1662" spans="1:8">
      <c r="B1662" t="s">
        <v>587</v>
      </c>
      <c r="C1662" t="s">
        <v>72</v>
      </c>
      <c r="D1662">
        <v>3126</v>
      </c>
      <c r="E1662">
        <v>3126</v>
      </c>
      <c r="F1662">
        <v>3126</v>
      </c>
      <c r="G1662">
        <v>3126</v>
      </c>
      <c r="H1662">
        <v>465800</v>
      </c>
    </row>
    <row r="1663" spans="1:8">
      <c r="A1663" s="1" t="s">
        <v>588</v>
      </c>
      <c r="B1663" s="1" t="s">
        <v>588</v>
      </c>
      <c r="C1663" s="1" t="s">
        <v>588</v>
      </c>
      <c r="D1663" s="1" t="s">
        <v>588</v>
      </c>
      <c r="E1663" s="1" t="s">
        <v>588</v>
      </c>
      <c r="F1663" s="1" t="s">
        <v>588</v>
      </c>
      <c r="G1663" s="1" t="s">
        <v>588</v>
      </c>
      <c r="H1663" s="1" t="s">
        <v>588</v>
      </c>
    </row>
    <row r="1664" spans="1:8">
      <c r="A1664" s="1"/>
      <c r="B1664" s="1" t="s">
        <v>587</v>
      </c>
      <c r="C1664" s="1" t="s">
        <v>167</v>
      </c>
      <c r="D1664" s="1" t="s">
        <v>8</v>
      </c>
      <c r="E1664" s="1" t="s">
        <v>8</v>
      </c>
      <c r="F1664" s="1" t="s">
        <v>8</v>
      </c>
      <c r="G1664" s="1" t="s">
        <v>8</v>
      </c>
      <c r="H1664" s="1">
        <v>0</v>
      </c>
    </row>
    <row r="1665" spans="1:8">
      <c r="A1665" s="1"/>
      <c r="B1665" s="1" t="s">
        <v>587</v>
      </c>
      <c r="C1665" s="1" t="s">
        <v>168</v>
      </c>
      <c r="D1665" s="1" t="s">
        <v>8</v>
      </c>
      <c r="E1665" s="1" t="s">
        <v>8</v>
      </c>
      <c r="F1665" s="1" t="s">
        <v>8</v>
      </c>
      <c r="G1665" s="1" t="s">
        <v>8</v>
      </c>
      <c r="H1665" s="1">
        <v>0</v>
      </c>
    </row>
    <row r="1666" spans="1:8">
      <c r="A1666" s="1"/>
      <c r="B1666" s="1" t="s">
        <v>587</v>
      </c>
      <c r="C1666" s="1" t="s">
        <v>169</v>
      </c>
      <c r="D1666" s="1" t="s">
        <v>8</v>
      </c>
      <c r="E1666" s="1" t="s">
        <v>8</v>
      </c>
      <c r="F1666" s="1" t="s">
        <v>8</v>
      </c>
      <c r="G1666" s="1" t="s">
        <v>8</v>
      </c>
      <c r="H1666" s="1">
        <v>0</v>
      </c>
    </row>
    <row r="1667" spans="1:8">
      <c r="A1667" s="1"/>
      <c r="B1667" s="1" t="s">
        <v>587</v>
      </c>
      <c r="C1667" s="1" t="s">
        <v>170</v>
      </c>
      <c r="D1667" s="1" t="s">
        <v>8</v>
      </c>
      <c r="E1667" s="1" t="s">
        <v>8</v>
      </c>
      <c r="F1667" s="1" t="s">
        <v>8</v>
      </c>
      <c r="G1667" s="1" t="s">
        <v>8</v>
      </c>
      <c r="H1667" s="1">
        <v>0</v>
      </c>
    </row>
    <row r="1668" spans="1:8">
      <c r="A1668" s="1"/>
      <c r="B1668" s="1" t="s">
        <v>587</v>
      </c>
      <c r="C1668" s="1" t="s">
        <v>171</v>
      </c>
      <c r="D1668" s="1" t="s">
        <v>8</v>
      </c>
      <c r="E1668" s="1" t="s">
        <v>8</v>
      </c>
      <c r="F1668" s="1" t="s">
        <v>8</v>
      </c>
      <c r="G1668" s="1" t="s">
        <v>8</v>
      </c>
      <c r="H1668" s="1">
        <v>0</v>
      </c>
    </row>
    <row r="1669" spans="1:8">
      <c r="A1669" s="1"/>
      <c r="B1669" s="1" t="s">
        <v>587</v>
      </c>
      <c r="C1669" s="1" t="s">
        <v>172</v>
      </c>
      <c r="D1669" s="1" t="s">
        <v>8</v>
      </c>
      <c r="E1669" s="1" t="s">
        <v>8</v>
      </c>
      <c r="F1669" s="1" t="s">
        <v>8</v>
      </c>
      <c r="G1669" s="1" t="s">
        <v>8</v>
      </c>
      <c r="H1669" s="1">
        <v>0</v>
      </c>
    </row>
    <row r="1670" spans="1:8">
      <c r="A1670" s="1"/>
      <c r="B1670" s="1" t="s">
        <v>587</v>
      </c>
      <c r="C1670" s="1" t="s">
        <v>173</v>
      </c>
      <c r="D1670" s="1" t="s">
        <v>8</v>
      </c>
      <c r="E1670" s="1" t="s">
        <v>8</v>
      </c>
      <c r="F1670" s="1" t="s">
        <v>8</v>
      </c>
      <c r="G1670" s="1" t="s">
        <v>8</v>
      </c>
      <c r="H1670" s="1">
        <v>0</v>
      </c>
    </row>
    <row r="1671" spans="1:8">
      <c r="A1671" s="1"/>
      <c r="B1671" s="1" t="s">
        <v>587</v>
      </c>
      <c r="C1671" s="1" t="s">
        <v>174</v>
      </c>
      <c r="D1671" s="1" t="s">
        <v>8</v>
      </c>
      <c r="E1671" s="1" t="s">
        <v>8</v>
      </c>
      <c r="F1671" s="1" t="s">
        <v>8</v>
      </c>
      <c r="G1671" s="1" t="s">
        <v>8</v>
      </c>
      <c r="H1671" s="1">
        <v>0</v>
      </c>
    </row>
    <row r="1672" spans="1:8">
      <c r="A1672" s="1"/>
      <c r="B1672" s="1" t="s">
        <v>587</v>
      </c>
      <c r="C1672" s="1" t="s">
        <v>175</v>
      </c>
      <c r="D1672" s="1" t="s">
        <v>8</v>
      </c>
      <c r="E1672" s="1" t="s">
        <v>8</v>
      </c>
      <c r="F1672" s="1" t="s">
        <v>8</v>
      </c>
      <c r="G1672" s="1" t="s">
        <v>8</v>
      </c>
      <c r="H1672" s="1">
        <v>0</v>
      </c>
    </row>
    <row r="1673" spans="1:8">
      <c r="A1673" s="1"/>
      <c r="B1673" s="1" t="s">
        <v>587</v>
      </c>
      <c r="C1673" s="1" t="s">
        <v>176</v>
      </c>
      <c r="D1673" s="1" t="s">
        <v>8</v>
      </c>
      <c r="E1673" s="1" t="s">
        <v>8</v>
      </c>
      <c r="F1673" s="1" t="s">
        <v>8</v>
      </c>
      <c r="G1673" s="1" t="s">
        <v>8</v>
      </c>
      <c r="H1673" s="1">
        <v>0</v>
      </c>
    </row>
    <row r="1674" spans="1:8">
      <c r="A1674" s="1"/>
      <c r="B1674" s="1" t="s">
        <v>587</v>
      </c>
      <c r="C1674" s="1" t="s">
        <v>177</v>
      </c>
      <c r="D1674" s="1" t="s">
        <v>8</v>
      </c>
      <c r="E1674" s="1" t="s">
        <v>8</v>
      </c>
      <c r="F1674" s="1" t="s">
        <v>8</v>
      </c>
      <c r="G1674" s="1" t="s">
        <v>8</v>
      </c>
      <c r="H1674" s="1">
        <v>0</v>
      </c>
    </row>
    <row r="1675" spans="1:8">
      <c r="A1675" s="1"/>
      <c r="B1675" s="1" t="s">
        <v>586</v>
      </c>
      <c r="C1675" s="1" t="s">
        <v>447</v>
      </c>
      <c r="D1675" s="1">
        <v>3059</v>
      </c>
      <c r="E1675" s="1">
        <v>3069</v>
      </c>
      <c r="F1675" s="1">
        <v>3031</v>
      </c>
      <c r="G1675" s="1">
        <v>3038</v>
      </c>
      <c r="H1675" s="1">
        <v>449500</v>
      </c>
    </row>
    <row r="1676" spans="1:8">
      <c r="A1676" s="1"/>
      <c r="B1676" s="1" t="s">
        <v>586</v>
      </c>
      <c r="C1676" s="1" t="s">
        <v>448</v>
      </c>
      <c r="D1676" s="1">
        <v>3037</v>
      </c>
      <c r="E1676" s="1">
        <v>3043</v>
      </c>
      <c r="F1676" s="1">
        <v>3006</v>
      </c>
      <c r="G1676" s="1">
        <v>3031</v>
      </c>
      <c r="H1676" s="1">
        <v>248700</v>
      </c>
    </row>
    <row r="1677" spans="1:8">
      <c r="A1677" s="1"/>
      <c r="B1677" s="1" t="s">
        <v>586</v>
      </c>
      <c r="C1677" s="1" t="s">
        <v>449</v>
      </c>
      <c r="D1677" s="1">
        <v>3030</v>
      </c>
      <c r="E1677" s="1">
        <v>3030</v>
      </c>
      <c r="F1677" s="1">
        <v>2993</v>
      </c>
      <c r="G1677" s="1">
        <v>3004</v>
      </c>
      <c r="H1677" s="1">
        <v>154300</v>
      </c>
    </row>
    <row r="1678" spans="1:8">
      <c r="A1678" s="1"/>
      <c r="B1678" s="1" t="s">
        <v>586</v>
      </c>
      <c r="C1678" s="1" t="s">
        <v>450</v>
      </c>
      <c r="D1678" s="1">
        <v>3002</v>
      </c>
      <c r="E1678" s="1">
        <v>3002</v>
      </c>
      <c r="F1678" s="1">
        <v>2987.5</v>
      </c>
      <c r="G1678" s="1">
        <v>2988</v>
      </c>
      <c r="H1678" s="1">
        <v>76800</v>
      </c>
    </row>
    <row r="1679" spans="1:8">
      <c r="A1679" s="1"/>
      <c r="B1679" s="1" t="s">
        <v>586</v>
      </c>
      <c r="C1679" s="1" t="s">
        <v>451</v>
      </c>
      <c r="D1679" s="1">
        <v>2987.5</v>
      </c>
      <c r="E1679" s="1">
        <v>2987.5</v>
      </c>
      <c r="F1679" s="1">
        <v>2950.5</v>
      </c>
      <c r="G1679" s="1">
        <v>2955</v>
      </c>
      <c r="H1679" s="1">
        <v>130400</v>
      </c>
    </row>
    <row r="1680" spans="1:8">
      <c r="A1680" s="1"/>
      <c r="B1680" s="1" t="s">
        <v>586</v>
      </c>
      <c r="C1680" s="1" t="s">
        <v>452</v>
      </c>
      <c r="D1680" s="1">
        <v>2952.5</v>
      </c>
      <c r="E1680" s="1">
        <v>2963</v>
      </c>
      <c r="F1680" s="1">
        <v>2943</v>
      </c>
      <c r="G1680" s="1">
        <v>2952.5</v>
      </c>
      <c r="H1680" s="1">
        <v>185300</v>
      </c>
    </row>
    <row r="1681" spans="1:8">
      <c r="A1681" s="1"/>
      <c r="B1681" s="1" t="s">
        <v>586</v>
      </c>
      <c r="C1681" s="1" t="s">
        <v>453</v>
      </c>
      <c r="D1681" s="1">
        <v>2952.5</v>
      </c>
      <c r="E1681" s="1">
        <v>2966</v>
      </c>
      <c r="F1681" s="1">
        <v>2943</v>
      </c>
      <c r="G1681" s="1">
        <v>2943.5</v>
      </c>
      <c r="H1681" s="1">
        <v>100800</v>
      </c>
    </row>
    <row r="1682" spans="1:8">
      <c r="A1682" s="1"/>
      <c r="B1682" s="1" t="s">
        <v>586</v>
      </c>
      <c r="C1682" s="1" t="s">
        <v>454</v>
      </c>
      <c r="D1682" s="1">
        <v>2942.5</v>
      </c>
      <c r="E1682" s="1">
        <v>2943.5</v>
      </c>
      <c r="F1682" s="1">
        <v>2922</v>
      </c>
      <c r="G1682" s="1">
        <v>2939.5</v>
      </c>
      <c r="H1682" s="1">
        <v>106200</v>
      </c>
    </row>
    <row r="1683" spans="1:8">
      <c r="A1683" s="1"/>
      <c r="B1683" s="1" t="s">
        <v>586</v>
      </c>
      <c r="C1683" s="1" t="s">
        <v>455</v>
      </c>
      <c r="D1683" s="1">
        <v>2939.5</v>
      </c>
      <c r="E1683" s="1">
        <v>2953</v>
      </c>
      <c r="F1683" s="1">
        <v>2936.5</v>
      </c>
      <c r="G1683" s="1">
        <v>2936.5</v>
      </c>
      <c r="H1683" s="1">
        <v>53900</v>
      </c>
    </row>
    <row r="1684" spans="1:8">
      <c r="A1684" s="1"/>
      <c r="B1684" s="1" t="s">
        <v>586</v>
      </c>
      <c r="C1684" s="1" t="s">
        <v>456</v>
      </c>
      <c r="D1684" s="1">
        <v>2938</v>
      </c>
      <c r="E1684" s="1">
        <v>2953.5</v>
      </c>
      <c r="F1684" s="1">
        <v>2936.5</v>
      </c>
      <c r="G1684" s="1">
        <v>2953.5</v>
      </c>
      <c r="H1684" s="1">
        <v>66000</v>
      </c>
    </row>
    <row r="1685" spans="1:8">
      <c r="A1685" s="1"/>
      <c r="B1685" s="1" t="s">
        <v>586</v>
      </c>
      <c r="C1685" s="1" t="s">
        <v>457</v>
      </c>
      <c r="D1685" s="1">
        <v>2953.5</v>
      </c>
      <c r="E1685" s="1">
        <v>2963</v>
      </c>
      <c r="F1685" s="1">
        <v>2935.5</v>
      </c>
      <c r="G1685" s="1">
        <v>2935.5</v>
      </c>
      <c r="H1685" s="1">
        <v>56900</v>
      </c>
    </row>
    <row r="1686" spans="1:8">
      <c r="A1686" s="1"/>
      <c r="B1686" s="1" t="s">
        <v>586</v>
      </c>
      <c r="C1686" s="1" t="s">
        <v>458</v>
      </c>
      <c r="D1686" s="1">
        <v>2936</v>
      </c>
      <c r="E1686" s="1">
        <v>2946.5</v>
      </c>
      <c r="F1686" s="1">
        <v>2934</v>
      </c>
      <c r="G1686" s="1">
        <v>2940</v>
      </c>
      <c r="H1686" s="1">
        <v>48500</v>
      </c>
    </row>
    <row r="1687" spans="1:8">
      <c r="A1687" s="1"/>
      <c r="B1687" s="1" t="s">
        <v>586</v>
      </c>
      <c r="C1687" s="1" t="s">
        <v>459</v>
      </c>
      <c r="D1687" s="1">
        <v>2940.5</v>
      </c>
      <c r="E1687" s="1">
        <v>2943.5</v>
      </c>
      <c r="F1687" s="1">
        <v>2935</v>
      </c>
      <c r="G1687" s="1">
        <v>2943.5</v>
      </c>
      <c r="H1687" s="1">
        <v>38800</v>
      </c>
    </row>
    <row r="1688" spans="1:8">
      <c r="A1688" s="1"/>
      <c r="B1688" s="1" t="s">
        <v>586</v>
      </c>
      <c r="C1688" s="1" t="s">
        <v>460</v>
      </c>
      <c r="D1688" s="1">
        <v>2942</v>
      </c>
      <c r="E1688" s="1">
        <v>2943.5</v>
      </c>
      <c r="F1688" s="1">
        <v>2937</v>
      </c>
      <c r="G1688" s="1">
        <v>2940</v>
      </c>
      <c r="H1688" s="1">
        <v>35900</v>
      </c>
    </row>
    <row r="1689" spans="1:8">
      <c r="A1689" s="1"/>
      <c r="B1689" s="1" t="s">
        <v>586</v>
      </c>
      <c r="C1689" s="1" t="s">
        <v>461</v>
      </c>
      <c r="D1689" s="1">
        <v>2940</v>
      </c>
      <c r="E1689" s="1">
        <v>2943.5</v>
      </c>
      <c r="F1689" s="1">
        <v>2938</v>
      </c>
      <c r="G1689" s="1">
        <v>2940</v>
      </c>
      <c r="H1689" s="1">
        <v>31600</v>
      </c>
    </row>
    <row r="1690" spans="1:8">
      <c r="A1690" s="1"/>
      <c r="B1690" s="1" t="s">
        <v>586</v>
      </c>
      <c r="C1690" s="1" t="s">
        <v>462</v>
      </c>
      <c r="D1690" s="1">
        <v>2939.5</v>
      </c>
      <c r="E1690" s="1">
        <v>2951</v>
      </c>
      <c r="F1690" s="1">
        <v>2937.5</v>
      </c>
      <c r="G1690" s="1">
        <v>2942</v>
      </c>
      <c r="H1690" s="1">
        <v>52800</v>
      </c>
    </row>
    <row r="1691" spans="1:8">
      <c r="A1691" s="1"/>
      <c r="B1691" s="1" t="s">
        <v>586</v>
      </c>
      <c r="C1691" s="1" t="s">
        <v>464</v>
      </c>
      <c r="D1691" s="1">
        <v>2942.5</v>
      </c>
      <c r="E1691" s="1">
        <v>2949.5</v>
      </c>
      <c r="F1691" s="1">
        <v>2930.5</v>
      </c>
      <c r="G1691" s="1">
        <v>2931.5</v>
      </c>
      <c r="H1691" s="1">
        <v>62700</v>
      </c>
    </row>
    <row r="1692" spans="1:8">
      <c r="A1692" s="1"/>
      <c r="B1692" s="1" t="s">
        <v>586</v>
      </c>
      <c r="C1692" s="1" t="s">
        <v>465</v>
      </c>
      <c r="D1692" s="1">
        <v>2931.5</v>
      </c>
      <c r="E1692" s="1">
        <v>2940.5</v>
      </c>
      <c r="F1692" s="1">
        <v>2931.5</v>
      </c>
      <c r="G1692" s="1">
        <v>2940.5</v>
      </c>
      <c r="H1692" s="1">
        <v>52600</v>
      </c>
    </row>
    <row r="1693" spans="1:8">
      <c r="A1693" s="1"/>
      <c r="B1693" s="1" t="s">
        <v>586</v>
      </c>
      <c r="C1693" s="1" t="s">
        <v>466</v>
      </c>
      <c r="D1693" s="1">
        <v>2940.5</v>
      </c>
      <c r="E1693" s="1">
        <v>2972.5</v>
      </c>
      <c r="F1693" s="1">
        <v>2939</v>
      </c>
      <c r="G1693" s="1">
        <v>2972</v>
      </c>
      <c r="H1693" s="1">
        <v>64500</v>
      </c>
    </row>
    <row r="1694" spans="1:8">
      <c r="A1694" s="1"/>
      <c r="B1694" s="1" t="s">
        <v>586</v>
      </c>
      <c r="C1694" s="1" t="s">
        <v>467</v>
      </c>
      <c r="D1694" s="1">
        <v>2973</v>
      </c>
      <c r="E1694" s="1">
        <v>2990.5</v>
      </c>
      <c r="F1694" s="1">
        <v>2966.5</v>
      </c>
      <c r="G1694" s="1">
        <v>2987</v>
      </c>
      <c r="H1694" s="1">
        <v>79300</v>
      </c>
    </row>
    <row r="1695" spans="1:8">
      <c r="A1695" s="1"/>
      <c r="B1695" s="1" t="s">
        <v>586</v>
      </c>
      <c r="C1695" s="1" t="s">
        <v>468</v>
      </c>
      <c r="D1695" s="1">
        <v>2987</v>
      </c>
      <c r="E1695" s="1">
        <v>3010</v>
      </c>
      <c r="F1695" s="1">
        <v>2985</v>
      </c>
      <c r="G1695" s="1">
        <v>3005</v>
      </c>
      <c r="H1695" s="1">
        <v>70400</v>
      </c>
    </row>
    <row r="1696" spans="1:8">
      <c r="A1696" s="1"/>
      <c r="B1696" s="1" t="s">
        <v>586</v>
      </c>
      <c r="C1696" s="1" t="s">
        <v>469</v>
      </c>
      <c r="D1696" s="1">
        <v>3005</v>
      </c>
      <c r="E1696" s="1">
        <v>3019</v>
      </c>
      <c r="F1696" s="1">
        <v>3003</v>
      </c>
      <c r="G1696" s="1">
        <v>3015</v>
      </c>
      <c r="H1696" s="1">
        <v>90200</v>
      </c>
    </row>
    <row r="1697" spans="1:8">
      <c r="A1697" s="1"/>
      <c r="B1697" s="1" t="s">
        <v>586</v>
      </c>
      <c r="C1697" s="1" t="s">
        <v>470</v>
      </c>
      <c r="D1697" s="1">
        <v>3015</v>
      </c>
      <c r="E1697" s="1">
        <v>3032</v>
      </c>
      <c r="F1697" s="1">
        <v>3009</v>
      </c>
      <c r="G1697" s="1">
        <v>3029</v>
      </c>
      <c r="H1697" s="1">
        <v>57700</v>
      </c>
    </row>
    <row r="1698" spans="1:8">
      <c r="A1698" s="1"/>
      <c r="B1698" s="1" t="s">
        <v>586</v>
      </c>
      <c r="C1698" s="1" t="s">
        <v>471</v>
      </c>
      <c r="D1698" s="1">
        <v>3029</v>
      </c>
      <c r="E1698" s="1">
        <v>3038</v>
      </c>
      <c r="F1698" s="1">
        <v>3027</v>
      </c>
      <c r="G1698" s="1">
        <v>3037</v>
      </c>
      <c r="H1698" s="1">
        <v>40200</v>
      </c>
    </row>
    <row r="1699" spans="1:8">
      <c r="A1699" s="1"/>
      <c r="B1699" s="1" t="s">
        <v>586</v>
      </c>
      <c r="C1699" s="1" t="s">
        <v>472</v>
      </c>
      <c r="D1699" s="1">
        <v>3037</v>
      </c>
      <c r="E1699" s="1">
        <v>3042</v>
      </c>
      <c r="F1699" s="1">
        <v>3032</v>
      </c>
      <c r="G1699" s="1">
        <v>3041</v>
      </c>
      <c r="H1699" s="1">
        <v>59700</v>
      </c>
    </row>
    <row r="1700" spans="1:8">
      <c r="A1700" s="1"/>
      <c r="B1700" s="1" t="s">
        <v>586</v>
      </c>
      <c r="C1700" s="1" t="s">
        <v>473</v>
      </c>
      <c r="D1700" s="1">
        <v>3041</v>
      </c>
      <c r="E1700" s="1">
        <v>3049</v>
      </c>
      <c r="F1700" s="1">
        <v>3035</v>
      </c>
      <c r="G1700" s="1">
        <v>3042</v>
      </c>
      <c r="H1700" s="1">
        <v>65600</v>
      </c>
    </row>
    <row r="1701" spans="1:8">
      <c r="A1701" s="1"/>
      <c r="B1701" s="1" t="s">
        <v>586</v>
      </c>
      <c r="C1701" s="1" t="s">
        <v>474</v>
      </c>
      <c r="D1701" s="1">
        <v>3042</v>
      </c>
      <c r="E1701" s="1">
        <v>3063</v>
      </c>
      <c r="F1701" s="1">
        <v>3042</v>
      </c>
      <c r="G1701" s="1">
        <v>3060</v>
      </c>
      <c r="H1701" s="1">
        <v>41800</v>
      </c>
    </row>
    <row r="1702" spans="1:8">
      <c r="A1702" s="1"/>
      <c r="B1702" s="1" t="s">
        <v>586</v>
      </c>
      <c r="C1702" s="1" t="s">
        <v>475</v>
      </c>
      <c r="D1702" s="1">
        <v>3060</v>
      </c>
      <c r="E1702" s="1">
        <v>3064</v>
      </c>
      <c r="F1702" s="1">
        <v>3055</v>
      </c>
      <c r="G1702" s="1">
        <v>3056</v>
      </c>
      <c r="H1702" s="1">
        <v>34800</v>
      </c>
    </row>
    <row r="1703" spans="1:8">
      <c r="A1703" s="1"/>
      <c r="B1703" s="1" t="s">
        <v>586</v>
      </c>
      <c r="C1703" s="1" t="s">
        <v>476</v>
      </c>
      <c r="D1703" s="1">
        <v>3057</v>
      </c>
      <c r="E1703" s="1">
        <v>3096</v>
      </c>
      <c r="F1703" s="1">
        <v>3057</v>
      </c>
      <c r="G1703" s="1">
        <v>3071</v>
      </c>
      <c r="H1703" s="1">
        <v>101700</v>
      </c>
    </row>
    <row r="1704" spans="1:8">
      <c r="A1704" s="1"/>
      <c r="B1704" s="1" t="s">
        <v>586</v>
      </c>
      <c r="C1704" s="1" t="s">
        <v>477</v>
      </c>
      <c r="D1704" s="1">
        <v>3072</v>
      </c>
      <c r="E1704" s="1">
        <v>3075</v>
      </c>
      <c r="F1704" s="1">
        <v>3060</v>
      </c>
      <c r="G1704" s="1">
        <v>3063</v>
      </c>
      <c r="H1704" s="1">
        <v>68200</v>
      </c>
    </row>
    <row r="1705" spans="1:8">
      <c r="A1705" s="1"/>
      <c r="B1705" s="1" t="s">
        <v>586</v>
      </c>
      <c r="C1705" s="1" t="s">
        <v>478</v>
      </c>
      <c r="D1705" s="1">
        <v>3063</v>
      </c>
      <c r="E1705" s="1">
        <v>3066</v>
      </c>
      <c r="F1705" s="1">
        <v>3033</v>
      </c>
      <c r="G1705" s="1">
        <v>3042</v>
      </c>
      <c r="H1705" s="1">
        <v>73400</v>
      </c>
    </row>
    <row r="1706" spans="1:8">
      <c r="A1706" s="1"/>
      <c r="B1706" s="1" t="s">
        <v>586</v>
      </c>
      <c r="C1706" s="1" t="s">
        <v>479</v>
      </c>
      <c r="D1706" s="1">
        <v>3044</v>
      </c>
      <c r="E1706" s="1">
        <v>3051</v>
      </c>
      <c r="F1706" s="1">
        <v>3040</v>
      </c>
      <c r="G1706" s="1">
        <v>3041</v>
      </c>
      <c r="H1706" s="1">
        <v>35000</v>
      </c>
    </row>
    <row r="1707" spans="1:8">
      <c r="A1707" s="1"/>
      <c r="B1707" s="1" t="s">
        <v>586</v>
      </c>
      <c r="C1707" s="1" t="s">
        <v>480</v>
      </c>
      <c r="D1707" s="1">
        <v>3040</v>
      </c>
      <c r="E1707" s="1">
        <v>3046</v>
      </c>
      <c r="F1707" s="1">
        <v>3033</v>
      </c>
      <c r="G1707" s="1">
        <v>3040</v>
      </c>
      <c r="H1707" s="1">
        <v>35100</v>
      </c>
    </row>
    <row r="1708" spans="1:8">
      <c r="A1708" s="1"/>
      <c r="B1708" s="1" t="s">
        <v>586</v>
      </c>
      <c r="C1708" s="1" t="s">
        <v>481</v>
      </c>
      <c r="D1708" s="1">
        <v>3040</v>
      </c>
      <c r="E1708" s="1">
        <v>3057</v>
      </c>
      <c r="F1708" s="1">
        <v>3031</v>
      </c>
      <c r="G1708" s="1">
        <v>3054</v>
      </c>
      <c r="H1708" s="1">
        <v>42100</v>
      </c>
    </row>
    <row r="1709" spans="1:8">
      <c r="A1709" s="1"/>
      <c r="B1709" s="1" t="s">
        <v>586</v>
      </c>
      <c r="C1709" s="1" t="s">
        <v>482</v>
      </c>
      <c r="D1709" s="1">
        <v>3054</v>
      </c>
      <c r="E1709" s="1">
        <v>3079</v>
      </c>
      <c r="F1709" s="1">
        <v>3047</v>
      </c>
      <c r="G1709" s="1">
        <v>3077</v>
      </c>
      <c r="H1709" s="1">
        <v>45200</v>
      </c>
    </row>
    <row r="1710" spans="1:8">
      <c r="A1710" s="1"/>
      <c r="B1710" s="1" t="s">
        <v>586</v>
      </c>
      <c r="C1710" s="1" t="s">
        <v>483</v>
      </c>
      <c r="D1710" s="1">
        <v>3077</v>
      </c>
      <c r="E1710" s="1">
        <v>3077</v>
      </c>
      <c r="F1710" s="1">
        <v>3057</v>
      </c>
      <c r="G1710" s="1">
        <v>3066</v>
      </c>
      <c r="H1710" s="1">
        <v>25900</v>
      </c>
    </row>
    <row r="1711" spans="1:8">
      <c r="A1711" s="1"/>
      <c r="B1711" s="1" t="s">
        <v>586</v>
      </c>
      <c r="C1711" s="1" t="s">
        <v>484</v>
      </c>
      <c r="D1711" s="1">
        <v>3066</v>
      </c>
      <c r="E1711" s="1">
        <v>3090</v>
      </c>
      <c r="F1711" s="1">
        <v>3066</v>
      </c>
      <c r="G1711" s="1">
        <v>3088</v>
      </c>
      <c r="H1711" s="1">
        <v>53200</v>
      </c>
    </row>
    <row r="1712" spans="1:8">
      <c r="A1712" s="1"/>
      <c r="B1712" s="1" t="s">
        <v>586</v>
      </c>
      <c r="C1712" s="1" t="s">
        <v>485</v>
      </c>
      <c r="D1712" s="1">
        <v>3089</v>
      </c>
      <c r="E1712" s="1">
        <v>3089</v>
      </c>
      <c r="F1712" s="1">
        <v>3055</v>
      </c>
      <c r="G1712" s="1">
        <v>3059</v>
      </c>
      <c r="H1712" s="1">
        <v>35500</v>
      </c>
    </row>
    <row r="1713" spans="1:8">
      <c r="A1713" s="1"/>
      <c r="B1713" s="1" t="s">
        <v>586</v>
      </c>
      <c r="C1713" s="1" t="s">
        <v>486</v>
      </c>
      <c r="D1713" s="1">
        <v>3057</v>
      </c>
      <c r="E1713" s="1">
        <v>3057</v>
      </c>
      <c r="F1713" s="1">
        <v>3032</v>
      </c>
      <c r="G1713" s="1">
        <v>3032</v>
      </c>
      <c r="H1713" s="1">
        <v>39300</v>
      </c>
    </row>
    <row r="1714" spans="1:8">
      <c r="A1714" s="1"/>
      <c r="B1714" s="1" t="s">
        <v>586</v>
      </c>
      <c r="C1714" s="1" t="s">
        <v>487</v>
      </c>
      <c r="D1714" s="1">
        <v>3033</v>
      </c>
      <c r="E1714" s="1">
        <v>3041</v>
      </c>
      <c r="F1714" s="1">
        <v>3024</v>
      </c>
      <c r="G1714" s="1">
        <v>3028</v>
      </c>
      <c r="H1714" s="1">
        <v>51100</v>
      </c>
    </row>
    <row r="1715" spans="1:8">
      <c r="A1715" s="1"/>
      <c r="B1715" s="1" t="s">
        <v>586</v>
      </c>
      <c r="C1715" s="1" t="s">
        <v>488</v>
      </c>
      <c r="D1715" s="1">
        <v>3027</v>
      </c>
      <c r="E1715" s="1">
        <v>3031</v>
      </c>
      <c r="F1715" s="1">
        <v>3014</v>
      </c>
      <c r="G1715" s="1">
        <v>3017</v>
      </c>
      <c r="H1715" s="1">
        <v>32900</v>
      </c>
    </row>
    <row r="1716" spans="1:8">
      <c r="A1716" s="1"/>
      <c r="B1716" s="1" t="s">
        <v>586</v>
      </c>
      <c r="C1716" s="1" t="s">
        <v>489</v>
      </c>
      <c r="D1716" s="1">
        <v>3016</v>
      </c>
      <c r="E1716" s="1">
        <v>3016</v>
      </c>
      <c r="F1716" s="1">
        <v>3007</v>
      </c>
      <c r="G1716" s="1">
        <v>3010</v>
      </c>
      <c r="H1716" s="1">
        <v>27900</v>
      </c>
    </row>
    <row r="1717" spans="1:8">
      <c r="A1717" s="1"/>
      <c r="B1717" s="1" t="s">
        <v>586</v>
      </c>
      <c r="C1717" s="1" t="s">
        <v>490</v>
      </c>
      <c r="D1717" s="1">
        <v>3010</v>
      </c>
      <c r="E1717" s="1">
        <v>3010</v>
      </c>
      <c r="F1717" s="1">
        <v>2997</v>
      </c>
      <c r="G1717" s="1">
        <v>3003</v>
      </c>
      <c r="H1717" s="1">
        <v>52400</v>
      </c>
    </row>
    <row r="1718" spans="1:8">
      <c r="A1718" s="1"/>
      <c r="B1718" s="1" t="s">
        <v>586</v>
      </c>
      <c r="C1718" s="1" t="s">
        <v>491</v>
      </c>
      <c r="D1718" s="1">
        <v>3002</v>
      </c>
      <c r="E1718" s="1">
        <v>3006</v>
      </c>
      <c r="F1718" s="1">
        <v>2998.5</v>
      </c>
      <c r="G1718" s="1">
        <v>3000</v>
      </c>
      <c r="H1718" s="1">
        <v>38000</v>
      </c>
    </row>
    <row r="1719" spans="1:8">
      <c r="A1719" s="1"/>
      <c r="B1719" s="1" t="s">
        <v>586</v>
      </c>
      <c r="C1719" s="1" t="s">
        <v>492</v>
      </c>
      <c r="D1719" s="1">
        <v>2999.5</v>
      </c>
      <c r="E1719" s="1">
        <v>3006</v>
      </c>
      <c r="F1719" s="1">
        <v>2999.5</v>
      </c>
      <c r="G1719" s="1">
        <v>3006</v>
      </c>
      <c r="H1719" s="1">
        <v>21500</v>
      </c>
    </row>
    <row r="1720" spans="1:8">
      <c r="A1720" s="1"/>
      <c r="B1720" s="1" t="s">
        <v>586</v>
      </c>
      <c r="C1720" s="1" t="s">
        <v>493</v>
      </c>
      <c r="D1720" s="1">
        <v>3006</v>
      </c>
      <c r="E1720" s="1">
        <v>3006</v>
      </c>
      <c r="F1720" s="1">
        <v>2997</v>
      </c>
      <c r="G1720" s="1">
        <v>2997</v>
      </c>
      <c r="H1720" s="1">
        <v>18800</v>
      </c>
    </row>
    <row r="1721" spans="1:8">
      <c r="A1721" s="1"/>
      <c r="B1721" s="1" t="s">
        <v>586</v>
      </c>
      <c r="C1721" s="1" t="s">
        <v>494</v>
      </c>
      <c r="D1721" s="1">
        <v>2996</v>
      </c>
      <c r="E1721" s="1">
        <v>2996</v>
      </c>
      <c r="F1721" s="1">
        <v>2981.5</v>
      </c>
      <c r="G1721" s="1">
        <v>2983</v>
      </c>
      <c r="H1721" s="1">
        <v>45500</v>
      </c>
    </row>
    <row r="1722" spans="1:8">
      <c r="A1722" s="1"/>
      <c r="B1722" s="1" t="s">
        <v>586</v>
      </c>
      <c r="C1722" s="1" t="s">
        <v>495</v>
      </c>
      <c r="D1722" s="1">
        <v>2982.5</v>
      </c>
      <c r="E1722" s="1">
        <v>2998.5</v>
      </c>
      <c r="F1722" s="1">
        <v>2980.5</v>
      </c>
      <c r="G1722" s="1">
        <v>2995</v>
      </c>
      <c r="H1722" s="1">
        <v>32300</v>
      </c>
    </row>
    <row r="1723" spans="1:8">
      <c r="A1723" s="1"/>
      <c r="B1723" s="1" t="s">
        <v>586</v>
      </c>
      <c r="C1723" s="1" t="s">
        <v>496</v>
      </c>
      <c r="D1723" s="1">
        <v>2994</v>
      </c>
      <c r="E1723" s="1">
        <v>2999</v>
      </c>
      <c r="F1723" s="1">
        <v>2992.5</v>
      </c>
      <c r="G1723" s="1">
        <v>2994.5</v>
      </c>
      <c r="H1723" s="1">
        <v>20400</v>
      </c>
    </row>
    <row r="1724" spans="1:8">
      <c r="A1724" s="1"/>
      <c r="B1724" s="1" t="s">
        <v>586</v>
      </c>
      <c r="C1724" s="1" t="s">
        <v>497</v>
      </c>
      <c r="D1724" s="1">
        <v>2995</v>
      </c>
      <c r="E1724" s="1">
        <v>3010</v>
      </c>
      <c r="F1724" s="1">
        <v>2994.5</v>
      </c>
      <c r="G1724" s="1">
        <v>3007</v>
      </c>
      <c r="H1724" s="1">
        <v>26700</v>
      </c>
    </row>
    <row r="1725" spans="1:8">
      <c r="A1725" s="1"/>
      <c r="B1725" s="1" t="s">
        <v>586</v>
      </c>
      <c r="C1725" s="1" t="s">
        <v>498</v>
      </c>
      <c r="D1725" s="1">
        <v>3006</v>
      </c>
      <c r="E1725" s="1">
        <v>3019</v>
      </c>
      <c r="F1725" s="1">
        <v>3005</v>
      </c>
      <c r="G1725" s="1">
        <v>3019</v>
      </c>
      <c r="H1725" s="1">
        <v>15100</v>
      </c>
    </row>
    <row r="1726" spans="1:8">
      <c r="A1726" s="1"/>
      <c r="B1726" s="1" t="s">
        <v>586</v>
      </c>
      <c r="C1726" s="1" t="s">
        <v>499</v>
      </c>
      <c r="D1726" s="1">
        <v>3018</v>
      </c>
      <c r="E1726" s="1">
        <v>3025</v>
      </c>
      <c r="F1726" s="1">
        <v>3016</v>
      </c>
      <c r="G1726" s="1">
        <v>3025</v>
      </c>
      <c r="H1726" s="1">
        <v>27400</v>
      </c>
    </row>
    <row r="1727" spans="1:8">
      <c r="A1727" s="1"/>
      <c r="B1727" s="1" t="s">
        <v>586</v>
      </c>
      <c r="C1727" s="1" t="s">
        <v>500</v>
      </c>
      <c r="D1727" s="1">
        <v>3024</v>
      </c>
      <c r="E1727" s="1">
        <v>3025</v>
      </c>
      <c r="F1727" s="1">
        <v>3021</v>
      </c>
      <c r="G1727" s="1">
        <v>3025</v>
      </c>
      <c r="H1727" s="1">
        <v>10900</v>
      </c>
    </row>
    <row r="1728" spans="1:8">
      <c r="A1728" s="1"/>
      <c r="B1728" s="1" t="s">
        <v>586</v>
      </c>
      <c r="C1728" s="1" t="s">
        <v>501</v>
      </c>
      <c r="D1728" s="1">
        <v>3025</v>
      </c>
      <c r="E1728" s="1">
        <v>3025</v>
      </c>
      <c r="F1728" s="1">
        <v>3017</v>
      </c>
      <c r="G1728" s="1">
        <v>3022</v>
      </c>
      <c r="H1728" s="1">
        <v>28600</v>
      </c>
    </row>
    <row r="1729" spans="1:8">
      <c r="A1729" s="1"/>
      <c r="B1729" s="1" t="s">
        <v>586</v>
      </c>
      <c r="C1729" s="1" t="s">
        <v>502</v>
      </c>
      <c r="D1729" s="1">
        <v>3021</v>
      </c>
      <c r="E1729" s="1">
        <v>3024</v>
      </c>
      <c r="F1729" s="1">
        <v>3008</v>
      </c>
      <c r="G1729" s="1">
        <v>3013</v>
      </c>
      <c r="H1729" s="1">
        <v>30600</v>
      </c>
    </row>
    <row r="1730" spans="1:8">
      <c r="A1730" s="1"/>
      <c r="B1730" s="1" t="s">
        <v>586</v>
      </c>
      <c r="C1730" s="1" t="s">
        <v>503</v>
      </c>
      <c r="D1730" s="1">
        <v>3013</v>
      </c>
      <c r="E1730" s="1">
        <v>3017</v>
      </c>
      <c r="F1730" s="1">
        <v>2998.5</v>
      </c>
      <c r="G1730" s="1">
        <v>3002</v>
      </c>
      <c r="H1730" s="1">
        <v>46200</v>
      </c>
    </row>
    <row r="1731" spans="1:8">
      <c r="A1731" s="1"/>
      <c r="B1731" s="1" t="s">
        <v>586</v>
      </c>
      <c r="C1731" s="1" t="s">
        <v>504</v>
      </c>
      <c r="D1731" s="1">
        <v>3002</v>
      </c>
      <c r="E1731" s="1">
        <v>3003</v>
      </c>
      <c r="F1731" s="1">
        <v>2996</v>
      </c>
      <c r="G1731" s="1">
        <v>2997.5</v>
      </c>
      <c r="H1731" s="1">
        <v>22600</v>
      </c>
    </row>
    <row r="1732" spans="1:8">
      <c r="A1732" s="1"/>
      <c r="B1732" s="1" t="s">
        <v>586</v>
      </c>
      <c r="C1732" s="1" t="s">
        <v>505</v>
      </c>
      <c r="D1732" s="1">
        <v>2997</v>
      </c>
      <c r="E1732" s="1">
        <v>2998</v>
      </c>
      <c r="F1732" s="1">
        <v>2990.5</v>
      </c>
      <c r="G1732" s="1">
        <v>2994</v>
      </c>
      <c r="H1732" s="1">
        <v>26400</v>
      </c>
    </row>
    <row r="1733" spans="1:8">
      <c r="A1733" s="1"/>
      <c r="B1733" s="1" t="s">
        <v>586</v>
      </c>
      <c r="C1733" s="1" t="s">
        <v>506</v>
      </c>
      <c r="D1733" s="1">
        <v>2994</v>
      </c>
      <c r="E1733" s="1">
        <v>2998</v>
      </c>
      <c r="F1733" s="1">
        <v>2993.5</v>
      </c>
      <c r="G1733" s="1">
        <v>2996.5</v>
      </c>
      <c r="H1733" s="1">
        <v>15900</v>
      </c>
    </row>
    <row r="1734" spans="1:8">
      <c r="A1734" s="1"/>
      <c r="B1734" s="1" t="s">
        <v>586</v>
      </c>
      <c r="C1734" s="1" t="s">
        <v>507</v>
      </c>
      <c r="D1734" s="1">
        <v>2996.5</v>
      </c>
      <c r="E1734" s="1">
        <v>2999</v>
      </c>
      <c r="F1734" s="1">
        <v>2994.5</v>
      </c>
      <c r="G1734" s="1">
        <v>2997.5</v>
      </c>
      <c r="H1734" s="1">
        <v>9200</v>
      </c>
    </row>
    <row r="1735" spans="1:8">
      <c r="A1735" s="1"/>
      <c r="B1735" s="1" t="s">
        <v>586</v>
      </c>
      <c r="C1735" s="1" t="s">
        <v>508</v>
      </c>
      <c r="D1735" s="1">
        <v>2997.5</v>
      </c>
      <c r="E1735" s="1">
        <v>3006</v>
      </c>
      <c r="F1735" s="1">
        <v>2997.5</v>
      </c>
      <c r="G1735" s="1">
        <v>3004</v>
      </c>
      <c r="H1735" s="1">
        <v>12900</v>
      </c>
    </row>
    <row r="1736" spans="1:8">
      <c r="A1736" s="1"/>
      <c r="B1736" s="1" t="s">
        <v>586</v>
      </c>
      <c r="C1736" s="1" t="s">
        <v>509</v>
      </c>
      <c r="D1736" s="1">
        <v>3002</v>
      </c>
      <c r="E1736" s="1">
        <v>3006</v>
      </c>
      <c r="F1736" s="1">
        <v>3001</v>
      </c>
      <c r="G1736" s="1">
        <v>3005</v>
      </c>
      <c r="H1736" s="1">
        <v>8400</v>
      </c>
    </row>
    <row r="1737" spans="1:8">
      <c r="A1737" s="1"/>
      <c r="B1737" s="1" t="s">
        <v>586</v>
      </c>
      <c r="C1737" s="1" t="s">
        <v>510</v>
      </c>
      <c r="D1737" s="1">
        <v>3005</v>
      </c>
      <c r="E1737" s="1">
        <v>3010</v>
      </c>
      <c r="F1737" s="1">
        <v>3005</v>
      </c>
      <c r="G1737" s="1">
        <v>3008</v>
      </c>
      <c r="H1737" s="1">
        <v>9200</v>
      </c>
    </row>
    <row r="1738" spans="1:8">
      <c r="A1738" s="1"/>
      <c r="B1738" s="1" t="s">
        <v>586</v>
      </c>
      <c r="C1738" s="1" t="s">
        <v>511</v>
      </c>
      <c r="D1738" s="1">
        <v>3009</v>
      </c>
      <c r="E1738" s="1">
        <v>3018</v>
      </c>
      <c r="F1738" s="1">
        <v>3007</v>
      </c>
      <c r="G1738" s="1">
        <v>3015</v>
      </c>
      <c r="H1738" s="1">
        <v>25100</v>
      </c>
    </row>
    <row r="1739" spans="1:8">
      <c r="A1739" s="1"/>
      <c r="B1739" s="1" t="s">
        <v>586</v>
      </c>
      <c r="C1739" s="1" t="s">
        <v>512</v>
      </c>
      <c r="D1739" s="1">
        <v>3016</v>
      </c>
      <c r="E1739" s="1">
        <v>3021</v>
      </c>
      <c r="F1739" s="1">
        <v>3013</v>
      </c>
      <c r="G1739" s="1">
        <v>3013</v>
      </c>
      <c r="H1739" s="1">
        <v>17500</v>
      </c>
    </row>
    <row r="1740" spans="1:8">
      <c r="A1740" s="1"/>
      <c r="B1740" s="1" t="s">
        <v>586</v>
      </c>
      <c r="C1740" s="1" t="s">
        <v>513</v>
      </c>
      <c r="D1740" s="1">
        <v>3013</v>
      </c>
      <c r="E1740" s="1">
        <v>3014</v>
      </c>
      <c r="F1740" s="1">
        <v>3010</v>
      </c>
      <c r="G1740" s="1">
        <v>3014</v>
      </c>
      <c r="H1740" s="1">
        <v>15100</v>
      </c>
    </row>
    <row r="1741" spans="1:8">
      <c r="A1741" s="1"/>
      <c r="B1741" s="1" t="s">
        <v>586</v>
      </c>
      <c r="C1741" s="1" t="s">
        <v>514</v>
      </c>
      <c r="D1741" s="1">
        <v>3013</v>
      </c>
      <c r="E1741" s="1">
        <v>3013</v>
      </c>
      <c r="F1741" s="1">
        <v>3007</v>
      </c>
      <c r="G1741" s="1">
        <v>3007</v>
      </c>
      <c r="H1741" s="1">
        <v>7100</v>
      </c>
    </row>
    <row r="1742" spans="1:8">
      <c r="A1742" s="1"/>
      <c r="B1742" s="1" t="s">
        <v>586</v>
      </c>
      <c r="C1742" s="1" t="s">
        <v>515</v>
      </c>
      <c r="D1742" s="1">
        <v>3007</v>
      </c>
      <c r="E1742" s="1">
        <v>3009</v>
      </c>
      <c r="F1742" s="1">
        <v>3001</v>
      </c>
      <c r="G1742" s="1">
        <v>3004</v>
      </c>
      <c r="H1742" s="1">
        <v>9400</v>
      </c>
    </row>
    <row r="1743" spans="1:8">
      <c r="A1743" s="1"/>
      <c r="B1743" s="1" t="s">
        <v>586</v>
      </c>
      <c r="C1743" s="1" t="s">
        <v>516</v>
      </c>
      <c r="D1743" s="1">
        <v>3003</v>
      </c>
      <c r="E1743" s="1">
        <v>3012</v>
      </c>
      <c r="F1743" s="1">
        <v>3003</v>
      </c>
      <c r="G1743" s="1">
        <v>3008</v>
      </c>
      <c r="H1743" s="1">
        <v>17400</v>
      </c>
    </row>
    <row r="1744" spans="1:8">
      <c r="A1744" s="1"/>
      <c r="B1744" s="1" t="s">
        <v>586</v>
      </c>
      <c r="C1744" s="1" t="s">
        <v>517</v>
      </c>
      <c r="D1744" s="1">
        <v>3005</v>
      </c>
      <c r="E1744" s="1">
        <v>3013</v>
      </c>
      <c r="F1744" s="1">
        <v>3005</v>
      </c>
      <c r="G1744" s="1">
        <v>3010</v>
      </c>
      <c r="H1744" s="1">
        <v>9600</v>
      </c>
    </row>
    <row r="1745" spans="1:8">
      <c r="A1745" s="1"/>
      <c r="B1745" s="1" t="s">
        <v>586</v>
      </c>
      <c r="C1745" s="1" t="s">
        <v>518</v>
      </c>
      <c r="D1745" s="1">
        <v>3009</v>
      </c>
      <c r="E1745" s="1">
        <v>3009</v>
      </c>
      <c r="F1745" s="1">
        <v>3006</v>
      </c>
      <c r="G1745" s="1">
        <v>3006</v>
      </c>
      <c r="H1745" s="1">
        <v>2900</v>
      </c>
    </row>
    <row r="1746" spans="1:8">
      <c r="A1746" s="1"/>
      <c r="B1746" s="1" t="s">
        <v>586</v>
      </c>
      <c r="C1746" s="1" t="s">
        <v>519</v>
      </c>
      <c r="D1746" s="1">
        <v>3005</v>
      </c>
      <c r="E1746" s="1">
        <v>3007</v>
      </c>
      <c r="F1746" s="1">
        <v>3003</v>
      </c>
      <c r="G1746" s="1">
        <v>3004</v>
      </c>
      <c r="H1746" s="1">
        <v>8700</v>
      </c>
    </row>
    <row r="1747" spans="1:8">
      <c r="A1747" s="1"/>
      <c r="B1747" s="1" t="s">
        <v>586</v>
      </c>
      <c r="C1747" s="1" t="s">
        <v>520</v>
      </c>
      <c r="D1747" s="1">
        <v>3004</v>
      </c>
      <c r="E1747" s="1">
        <v>3004</v>
      </c>
      <c r="F1747" s="1">
        <v>3000</v>
      </c>
      <c r="G1747" s="1">
        <v>3001</v>
      </c>
      <c r="H1747" s="1">
        <v>12600</v>
      </c>
    </row>
    <row r="1748" spans="1:8">
      <c r="A1748" s="1"/>
      <c r="B1748" s="1" t="s">
        <v>586</v>
      </c>
      <c r="C1748" s="1" t="s">
        <v>521</v>
      </c>
      <c r="D1748" s="1">
        <v>3000</v>
      </c>
      <c r="E1748" s="1">
        <v>3004</v>
      </c>
      <c r="F1748" s="1">
        <v>2995.5</v>
      </c>
      <c r="G1748" s="1">
        <v>2996</v>
      </c>
      <c r="H1748" s="1">
        <v>29200</v>
      </c>
    </row>
    <row r="1749" spans="1:8">
      <c r="A1749" s="1"/>
      <c r="B1749" s="1" t="s">
        <v>586</v>
      </c>
      <c r="C1749" s="1" t="s">
        <v>522</v>
      </c>
      <c r="D1749" s="1">
        <v>2996.5</v>
      </c>
      <c r="E1749" s="1">
        <v>3001</v>
      </c>
      <c r="F1749" s="1">
        <v>2996.5</v>
      </c>
      <c r="G1749" s="1">
        <v>3000</v>
      </c>
      <c r="H1749" s="1">
        <v>11100</v>
      </c>
    </row>
    <row r="1750" spans="1:8">
      <c r="A1750" s="1"/>
      <c r="B1750" s="1" t="s">
        <v>586</v>
      </c>
      <c r="C1750" s="1" t="s">
        <v>523</v>
      </c>
      <c r="D1750" s="1">
        <v>3001</v>
      </c>
      <c r="E1750" s="1">
        <v>3005</v>
      </c>
      <c r="F1750" s="1">
        <v>3000</v>
      </c>
      <c r="G1750" s="1">
        <v>3005</v>
      </c>
      <c r="H1750" s="1">
        <v>9100</v>
      </c>
    </row>
    <row r="1751" spans="1:8">
      <c r="A1751" s="1"/>
      <c r="B1751" s="1" t="s">
        <v>586</v>
      </c>
      <c r="C1751" s="1" t="s">
        <v>524</v>
      </c>
      <c r="D1751" s="1">
        <v>3004</v>
      </c>
      <c r="E1751" s="1">
        <v>3004</v>
      </c>
      <c r="F1751" s="1">
        <v>2998.5</v>
      </c>
      <c r="G1751" s="1">
        <v>3000</v>
      </c>
      <c r="H1751" s="1">
        <v>14500</v>
      </c>
    </row>
    <row r="1752" spans="1:8">
      <c r="A1752" s="1"/>
      <c r="B1752" s="1" t="s">
        <v>586</v>
      </c>
      <c r="C1752" s="1" t="s">
        <v>525</v>
      </c>
      <c r="D1752" s="1">
        <v>3001</v>
      </c>
      <c r="E1752" s="1">
        <v>3002</v>
      </c>
      <c r="F1752" s="1">
        <v>2998.5</v>
      </c>
      <c r="G1752" s="1">
        <v>3000</v>
      </c>
      <c r="H1752" s="1">
        <v>12300</v>
      </c>
    </row>
    <row r="1753" spans="1:8">
      <c r="A1753" s="1"/>
      <c r="B1753" s="1" t="s">
        <v>586</v>
      </c>
      <c r="C1753" s="1" t="s">
        <v>526</v>
      </c>
      <c r="D1753" s="1">
        <v>3000</v>
      </c>
      <c r="E1753" s="1">
        <v>3001</v>
      </c>
      <c r="F1753" s="1">
        <v>2998.5</v>
      </c>
      <c r="G1753" s="1">
        <v>2999</v>
      </c>
      <c r="H1753" s="1">
        <v>6300</v>
      </c>
    </row>
    <row r="1754" spans="1:8">
      <c r="A1754" s="1"/>
      <c r="B1754" s="1" t="s">
        <v>586</v>
      </c>
      <c r="C1754" s="1" t="s">
        <v>527</v>
      </c>
      <c r="D1754" s="1">
        <v>2998</v>
      </c>
      <c r="E1754" s="1">
        <v>3002</v>
      </c>
      <c r="F1754" s="1">
        <v>2996</v>
      </c>
      <c r="G1754" s="1">
        <v>3001</v>
      </c>
      <c r="H1754" s="1">
        <v>28100</v>
      </c>
    </row>
    <row r="1755" spans="1:8">
      <c r="A1755" s="1"/>
      <c r="B1755" s="1" t="s">
        <v>586</v>
      </c>
      <c r="C1755" s="1" t="s">
        <v>528</v>
      </c>
      <c r="D1755" s="1">
        <v>3001</v>
      </c>
      <c r="E1755" s="1">
        <v>3002</v>
      </c>
      <c r="F1755" s="1">
        <v>2999.5</v>
      </c>
      <c r="G1755" s="1">
        <v>3001</v>
      </c>
      <c r="H1755" s="1">
        <v>9300</v>
      </c>
    </row>
    <row r="1756" spans="1:8">
      <c r="A1756" s="1"/>
      <c r="B1756" s="1" t="s">
        <v>586</v>
      </c>
      <c r="C1756" s="1" t="s">
        <v>529</v>
      </c>
      <c r="D1756" s="1">
        <v>3001</v>
      </c>
      <c r="E1756" s="1">
        <v>3005</v>
      </c>
      <c r="F1756" s="1">
        <v>2999.5</v>
      </c>
      <c r="G1756" s="1">
        <v>3004</v>
      </c>
      <c r="H1756" s="1">
        <v>16900</v>
      </c>
    </row>
    <row r="1757" spans="1:8">
      <c r="A1757" s="1"/>
      <c r="B1757" s="1" t="s">
        <v>586</v>
      </c>
      <c r="C1757" s="1" t="s">
        <v>530</v>
      </c>
      <c r="D1757" s="1">
        <v>3004</v>
      </c>
      <c r="E1757" s="1">
        <v>3004</v>
      </c>
      <c r="F1757" s="1">
        <v>3001</v>
      </c>
      <c r="G1757" s="1">
        <v>3002</v>
      </c>
      <c r="H1757" s="1">
        <v>8800</v>
      </c>
    </row>
    <row r="1758" spans="1:8">
      <c r="A1758" s="1"/>
      <c r="B1758" s="1" t="s">
        <v>586</v>
      </c>
      <c r="C1758" s="1" t="s">
        <v>531</v>
      </c>
      <c r="D1758" s="1">
        <v>3001</v>
      </c>
      <c r="E1758" s="1">
        <v>3004</v>
      </c>
      <c r="F1758" s="1">
        <v>3000</v>
      </c>
      <c r="G1758" s="1">
        <v>3001</v>
      </c>
      <c r="H1758" s="1">
        <v>9200</v>
      </c>
    </row>
    <row r="1759" spans="1:8">
      <c r="A1759" s="1"/>
      <c r="B1759" s="1" t="s">
        <v>586</v>
      </c>
      <c r="C1759" s="1" t="s">
        <v>532</v>
      </c>
      <c r="D1759" s="1">
        <v>3000</v>
      </c>
      <c r="E1759" s="1">
        <v>3000</v>
      </c>
      <c r="F1759" s="1">
        <v>2995.5</v>
      </c>
      <c r="G1759" s="1">
        <v>2997</v>
      </c>
      <c r="H1759" s="1">
        <v>27400</v>
      </c>
    </row>
    <row r="1760" spans="1:8">
      <c r="A1760" s="1"/>
      <c r="B1760" s="1" t="s">
        <v>586</v>
      </c>
      <c r="C1760" s="1" t="s">
        <v>533</v>
      </c>
      <c r="D1760" s="1">
        <v>2997</v>
      </c>
      <c r="E1760" s="1">
        <v>3009</v>
      </c>
      <c r="F1760" s="1">
        <v>2996.5</v>
      </c>
      <c r="G1760" s="1">
        <v>3009</v>
      </c>
      <c r="H1760" s="1">
        <v>24000</v>
      </c>
    </row>
    <row r="1761" spans="1:8">
      <c r="A1761" s="1"/>
      <c r="B1761" s="1" t="s">
        <v>586</v>
      </c>
      <c r="C1761" s="1" t="s">
        <v>534</v>
      </c>
      <c r="D1761" s="1">
        <v>3009</v>
      </c>
      <c r="E1761" s="1">
        <v>3010</v>
      </c>
      <c r="F1761" s="1">
        <v>3003</v>
      </c>
      <c r="G1761" s="1">
        <v>3004</v>
      </c>
      <c r="H1761" s="1">
        <v>10800</v>
      </c>
    </row>
    <row r="1762" spans="1:8">
      <c r="A1762" s="1"/>
      <c r="B1762" s="1" t="s">
        <v>586</v>
      </c>
      <c r="C1762" s="1" t="s">
        <v>535</v>
      </c>
      <c r="D1762" s="1">
        <v>3004</v>
      </c>
      <c r="E1762" s="1">
        <v>3005</v>
      </c>
      <c r="F1762" s="1">
        <v>3004</v>
      </c>
      <c r="G1762" s="1">
        <v>3005</v>
      </c>
      <c r="H1762" s="1">
        <v>2700</v>
      </c>
    </row>
    <row r="1763" spans="1:8">
      <c r="A1763" s="1"/>
      <c r="B1763" s="1" t="s">
        <v>586</v>
      </c>
      <c r="C1763" s="1" t="s">
        <v>536</v>
      </c>
      <c r="D1763" s="1">
        <v>3004</v>
      </c>
      <c r="E1763" s="1">
        <v>3007</v>
      </c>
      <c r="F1763" s="1">
        <v>3003</v>
      </c>
      <c r="G1763" s="1">
        <v>3006</v>
      </c>
      <c r="H1763" s="1">
        <v>10300</v>
      </c>
    </row>
    <row r="1764" spans="1:8">
      <c r="A1764" s="1"/>
      <c r="B1764" s="1" t="s">
        <v>586</v>
      </c>
      <c r="C1764" s="1" t="s">
        <v>537</v>
      </c>
      <c r="D1764" s="1">
        <v>3005</v>
      </c>
      <c r="E1764" s="1">
        <v>3008</v>
      </c>
      <c r="F1764" s="1">
        <v>3005</v>
      </c>
      <c r="G1764" s="1">
        <v>3007</v>
      </c>
      <c r="H1764" s="1">
        <v>6600</v>
      </c>
    </row>
    <row r="1765" spans="1:8">
      <c r="A1765" s="1"/>
      <c r="B1765" s="1" t="s">
        <v>586</v>
      </c>
      <c r="C1765" s="1" t="s">
        <v>538</v>
      </c>
      <c r="D1765" s="1">
        <v>3007</v>
      </c>
      <c r="E1765" s="1">
        <v>3009</v>
      </c>
      <c r="F1765" s="1">
        <v>3007</v>
      </c>
      <c r="G1765" s="1">
        <v>3009</v>
      </c>
      <c r="H1765" s="1">
        <v>6000</v>
      </c>
    </row>
    <row r="1766" spans="1:8">
      <c r="A1766" s="1"/>
      <c r="B1766" s="1" t="s">
        <v>586</v>
      </c>
      <c r="C1766" s="1" t="s">
        <v>539</v>
      </c>
      <c r="D1766" s="1">
        <v>3009</v>
      </c>
      <c r="E1766" s="1">
        <v>3018</v>
      </c>
      <c r="F1766" s="1">
        <v>3009</v>
      </c>
      <c r="G1766" s="1">
        <v>3018</v>
      </c>
      <c r="H1766" s="1">
        <v>11900</v>
      </c>
    </row>
    <row r="1767" spans="1:8">
      <c r="A1767" s="1"/>
      <c r="B1767" s="1" t="s">
        <v>586</v>
      </c>
      <c r="C1767" s="1" t="s">
        <v>540</v>
      </c>
      <c r="D1767" s="1">
        <v>3017</v>
      </c>
      <c r="E1767" s="1">
        <v>3018</v>
      </c>
      <c r="F1767" s="1">
        <v>3016</v>
      </c>
      <c r="G1767" s="1">
        <v>3016</v>
      </c>
      <c r="H1767" s="1">
        <v>7800</v>
      </c>
    </row>
    <row r="1768" spans="1:8">
      <c r="A1768" s="1"/>
      <c r="B1768" s="1" t="s">
        <v>586</v>
      </c>
      <c r="C1768" s="1" t="s">
        <v>541</v>
      </c>
      <c r="D1768" s="1">
        <v>3016</v>
      </c>
      <c r="E1768" s="1">
        <v>3019</v>
      </c>
      <c r="F1768" s="1">
        <v>3013</v>
      </c>
      <c r="G1768" s="1">
        <v>3019</v>
      </c>
      <c r="H1768" s="1">
        <v>10600</v>
      </c>
    </row>
    <row r="1769" spans="1:8">
      <c r="A1769" s="1"/>
      <c r="B1769" s="1" t="s">
        <v>586</v>
      </c>
      <c r="C1769" s="1" t="s">
        <v>542</v>
      </c>
      <c r="D1769" s="1">
        <v>3019</v>
      </c>
      <c r="E1769" s="1">
        <v>3026</v>
      </c>
      <c r="F1769" s="1">
        <v>3018</v>
      </c>
      <c r="G1769" s="1">
        <v>3026</v>
      </c>
      <c r="H1769" s="1">
        <v>15700</v>
      </c>
    </row>
    <row r="1770" spans="1:8">
      <c r="A1770" s="1"/>
      <c r="B1770" s="1" t="s">
        <v>586</v>
      </c>
      <c r="C1770" s="1" t="s">
        <v>543</v>
      </c>
      <c r="D1770" s="1">
        <v>3025</v>
      </c>
      <c r="E1770" s="1">
        <v>3025</v>
      </c>
      <c r="F1770" s="1">
        <v>3022</v>
      </c>
      <c r="G1770" s="1">
        <v>3022</v>
      </c>
      <c r="H1770" s="1">
        <v>9400</v>
      </c>
    </row>
    <row r="1771" spans="1:8">
      <c r="A1771" s="1"/>
      <c r="B1771" s="1" t="s">
        <v>586</v>
      </c>
      <c r="C1771" s="1" t="s">
        <v>544</v>
      </c>
      <c r="D1771" s="1">
        <v>3022</v>
      </c>
      <c r="E1771" s="1">
        <v>3030</v>
      </c>
      <c r="F1771" s="1">
        <v>3022</v>
      </c>
      <c r="G1771" s="1">
        <v>3030</v>
      </c>
      <c r="H1771" s="1">
        <v>11500</v>
      </c>
    </row>
    <row r="1772" spans="1:8">
      <c r="A1772" s="1"/>
      <c r="B1772" s="1" t="s">
        <v>586</v>
      </c>
      <c r="C1772" s="1" t="s">
        <v>545</v>
      </c>
      <c r="D1772" s="1">
        <v>3030</v>
      </c>
      <c r="E1772" s="1">
        <v>3034</v>
      </c>
      <c r="F1772" s="1">
        <v>3030</v>
      </c>
      <c r="G1772" s="1">
        <v>3031</v>
      </c>
      <c r="H1772" s="1">
        <v>12000</v>
      </c>
    </row>
    <row r="1773" spans="1:8">
      <c r="A1773" s="1"/>
      <c r="B1773" s="1" t="s">
        <v>586</v>
      </c>
      <c r="C1773" s="1" t="s">
        <v>546</v>
      </c>
      <c r="D1773" s="1">
        <v>3032</v>
      </c>
      <c r="E1773" s="1">
        <v>3039</v>
      </c>
      <c r="F1773" s="1">
        <v>3032</v>
      </c>
      <c r="G1773" s="1">
        <v>3035</v>
      </c>
      <c r="H1773" s="1">
        <v>14700</v>
      </c>
    </row>
    <row r="1774" spans="1:8">
      <c r="A1774" s="1"/>
      <c r="B1774" s="1" t="s">
        <v>586</v>
      </c>
      <c r="C1774" s="1" t="s">
        <v>547</v>
      </c>
      <c r="D1774" s="1">
        <v>3034</v>
      </c>
      <c r="E1774" s="1">
        <v>3035</v>
      </c>
      <c r="F1774" s="1">
        <v>3030</v>
      </c>
      <c r="G1774" s="1">
        <v>3034</v>
      </c>
      <c r="H1774" s="1">
        <v>12700</v>
      </c>
    </row>
    <row r="1775" spans="1:8">
      <c r="A1775" s="1"/>
      <c r="B1775" s="1" t="s">
        <v>586</v>
      </c>
      <c r="C1775" s="1" t="s">
        <v>548</v>
      </c>
      <c r="D1775" s="1">
        <v>3034</v>
      </c>
      <c r="E1775" s="1">
        <v>3038</v>
      </c>
      <c r="F1775" s="1">
        <v>3034</v>
      </c>
      <c r="G1775" s="1">
        <v>3038</v>
      </c>
      <c r="H1775" s="1">
        <v>8300</v>
      </c>
    </row>
    <row r="1776" spans="1:8">
      <c r="A1776" s="1"/>
      <c r="B1776" s="1" t="s">
        <v>586</v>
      </c>
      <c r="C1776" s="1" t="s">
        <v>549</v>
      </c>
      <c r="D1776" s="1">
        <v>3038</v>
      </c>
      <c r="E1776" s="1">
        <v>3044</v>
      </c>
      <c r="F1776" s="1">
        <v>3037</v>
      </c>
      <c r="G1776" s="1">
        <v>3040</v>
      </c>
      <c r="H1776" s="1">
        <v>19400</v>
      </c>
    </row>
    <row r="1777" spans="1:8">
      <c r="A1777" s="1"/>
      <c r="B1777" s="1" t="s">
        <v>586</v>
      </c>
      <c r="C1777" s="1" t="s">
        <v>550</v>
      </c>
      <c r="D1777" s="1">
        <v>3040</v>
      </c>
      <c r="E1777" s="1">
        <v>3041</v>
      </c>
      <c r="F1777" s="1">
        <v>3039</v>
      </c>
      <c r="G1777" s="1">
        <v>3040</v>
      </c>
      <c r="H1777" s="1">
        <v>6400</v>
      </c>
    </row>
    <row r="1778" spans="1:8">
      <c r="A1778" s="1"/>
      <c r="B1778" s="1" t="s">
        <v>586</v>
      </c>
      <c r="C1778" s="1" t="s">
        <v>551</v>
      </c>
      <c r="D1778" s="1">
        <v>3040</v>
      </c>
      <c r="E1778" s="1">
        <v>3042</v>
      </c>
      <c r="F1778" s="1">
        <v>3035</v>
      </c>
      <c r="G1778" s="1">
        <v>3036</v>
      </c>
      <c r="H1778" s="1">
        <v>16400</v>
      </c>
    </row>
    <row r="1779" spans="1:8">
      <c r="A1779" s="1"/>
      <c r="B1779" s="1" t="s">
        <v>586</v>
      </c>
      <c r="C1779" s="1" t="s">
        <v>552</v>
      </c>
      <c r="D1779" s="1">
        <v>3035</v>
      </c>
      <c r="E1779" s="1">
        <v>3039</v>
      </c>
      <c r="F1779" s="1">
        <v>3034</v>
      </c>
      <c r="G1779" s="1">
        <v>3039</v>
      </c>
      <c r="H1779" s="1">
        <v>8600</v>
      </c>
    </row>
    <row r="1780" spans="1:8">
      <c r="A1780" s="1"/>
      <c r="B1780" s="1" t="s">
        <v>586</v>
      </c>
      <c r="C1780" s="1" t="s">
        <v>553</v>
      </c>
      <c r="D1780" s="1">
        <v>3040</v>
      </c>
      <c r="E1780" s="1">
        <v>3041</v>
      </c>
      <c r="F1780" s="1">
        <v>3036</v>
      </c>
      <c r="G1780" s="1">
        <v>3039</v>
      </c>
      <c r="H1780" s="1">
        <v>9800</v>
      </c>
    </row>
    <row r="1781" spans="1:8">
      <c r="A1781" s="1"/>
      <c r="B1781" s="1" t="s">
        <v>586</v>
      </c>
      <c r="C1781" s="1" t="s">
        <v>554</v>
      </c>
      <c r="D1781" s="1">
        <v>3038</v>
      </c>
      <c r="E1781" s="1">
        <v>3041</v>
      </c>
      <c r="F1781" s="1">
        <v>3037</v>
      </c>
      <c r="G1781" s="1">
        <v>3041</v>
      </c>
      <c r="H1781" s="1">
        <v>8600</v>
      </c>
    </row>
    <row r="1782" spans="1:8">
      <c r="A1782" s="1"/>
      <c r="B1782" s="1" t="s">
        <v>586</v>
      </c>
      <c r="C1782" s="1" t="s">
        <v>555</v>
      </c>
      <c r="D1782" s="1">
        <v>3041</v>
      </c>
      <c r="E1782" s="1">
        <v>3041</v>
      </c>
      <c r="F1782" s="1">
        <v>3037</v>
      </c>
      <c r="G1782" s="1">
        <v>3040</v>
      </c>
      <c r="H1782" s="1">
        <v>14200</v>
      </c>
    </row>
    <row r="1783" spans="1:8">
      <c r="A1783" s="1"/>
      <c r="B1783" s="1" t="s">
        <v>586</v>
      </c>
      <c r="C1783" s="1" t="s">
        <v>556</v>
      </c>
      <c r="D1783" s="1">
        <v>3040</v>
      </c>
      <c r="E1783" s="1">
        <v>3040</v>
      </c>
      <c r="F1783" s="1">
        <v>3036</v>
      </c>
      <c r="G1783" s="1">
        <v>3038</v>
      </c>
      <c r="H1783" s="1">
        <v>10300</v>
      </c>
    </row>
    <row r="1784" spans="1:8">
      <c r="A1784" s="1"/>
      <c r="B1784" s="1" t="s">
        <v>586</v>
      </c>
      <c r="C1784" s="1" t="s">
        <v>557</v>
      </c>
      <c r="D1784" s="1">
        <v>3038</v>
      </c>
      <c r="E1784" s="1">
        <v>3041</v>
      </c>
      <c r="F1784" s="1">
        <v>3037</v>
      </c>
      <c r="G1784" s="1">
        <v>3041</v>
      </c>
      <c r="H1784" s="1">
        <v>9700</v>
      </c>
    </row>
    <row r="1785" spans="1:8">
      <c r="A1785" s="1"/>
      <c r="B1785" s="1" t="s">
        <v>586</v>
      </c>
      <c r="C1785" s="1" t="s">
        <v>558</v>
      </c>
      <c r="D1785" s="1">
        <v>3040</v>
      </c>
      <c r="E1785" s="1">
        <v>3040</v>
      </c>
      <c r="F1785" s="1">
        <v>3039</v>
      </c>
      <c r="G1785" s="1">
        <v>3040</v>
      </c>
      <c r="H1785" s="1">
        <v>7000</v>
      </c>
    </row>
    <row r="1786" spans="1:8">
      <c r="A1786" s="1"/>
      <c r="B1786" s="1" t="s">
        <v>586</v>
      </c>
      <c r="C1786" s="1" t="s">
        <v>559</v>
      </c>
      <c r="D1786" s="1">
        <v>3040</v>
      </c>
      <c r="E1786" s="1">
        <v>3047</v>
      </c>
      <c r="F1786" s="1">
        <v>3039</v>
      </c>
      <c r="G1786" s="1">
        <v>3047</v>
      </c>
      <c r="H1786" s="1">
        <v>8200</v>
      </c>
    </row>
    <row r="1787" spans="1:8">
      <c r="A1787" s="1"/>
      <c r="B1787" s="1" t="s">
        <v>586</v>
      </c>
      <c r="C1787" s="1" t="s">
        <v>560</v>
      </c>
      <c r="D1787" s="1">
        <v>3046</v>
      </c>
      <c r="E1787" s="1">
        <v>3053</v>
      </c>
      <c r="F1787" s="1">
        <v>3044</v>
      </c>
      <c r="G1787" s="1">
        <v>3053</v>
      </c>
      <c r="H1787" s="1">
        <v>17900</v>
      </c>
    </row>
    <row r="1788" spans="1:8">
      <c r="A1788" s="1"/>
      <c r="B1788" s="1" t="s">
        <v>586</v>
      </c>
      <c r="C1788" s="1" t="s">
        <v>561</v>
      </c>
      <c r="D1788" s="1">
        <v>3053</v>
      </c>
      <c r="E1788" s="1">
        <v>3056</v>
      </c>
      <c r="F1788" s="1">
        <v>3051</v>
      </c>
      <c r="G1788" s="1">
        <v>3056</v>
      </c>
      <c r="H1788" s="1">
        <v>10300</v>
      </c>
    </row>
    <row r="1789" spans="1:8">
      <c r="A1789" s="1"/>
      <c r="B1789" s="1" t="s">
        <v>586</v>
      </c>
      <c r="C1789" s="1" t="s">
        <v>562</v>
      </c>
      <c r="D1789" s="1">
        <v>3055</v>
      </c>
      <c r="E1789" s="1">
        <v>3055</v>
      </c>
      <c r="F1789" s="1">
        <v>3050</v>
      </c>
      <c r="G1789" s="1">
        <v>3053</v>
      </c>
      <c r="H1789" s="1">
        <v>9300</v>
      </c>
    </row>
    <row r="1790" spans="1:8">
      <c r="A1790" s="1"/>
      <c r="B1790" s="1" t="s">
        <v>586</v>
      </c>
      <c r="C1790" s="1" t="s">
        <v>563</v>
      </c>
      <c r="D1790" s="1">
        <v>3051</v>
      </c>
      <c r="E1790" s="1">
        <v>3053</v>
      </c>
      <c r="F1790" s="1">
        <v>3050</v>
      </c>
      <c r="G1790" s="1">
        <v>3051</v>
      </c>
      <c r="H1790" s="1">
        <v>7600</v>
      </c>
    </row>
    <row r="1791" spans="1:8">
      <c r="A1791" s="1"/>
      <c r="B1791" s="1" t="s">
        <v>586</v>
      </c>
      <c r="C1791" s="1" t="s">
        <v>564</v>
      </c>
      <c r="D1791" s="1">
        <v>3052</v>
      </c>
      <c r="E1791" s="1">
        <v>3052</v>
      </c>
      <c r="F1791" s="1">
        <v>3048</v>
      </c>
      <c r="G1791" s="1">
        <v>3048</v>
      </c>
      <c r="H1791" s="1">
        <v>10700</v>
      </c>
    </row>
    <row r="1792" spans="1:8">
      <c r="A1792" s="1"/>
      <c r="B1792" s="1" t="s">
        <v>586</v>
      </c>
      <c r="C1792" s="1" t="s">
        <v>565</v>
      </c>
      <c r="D1792" s="1">
        <v>3048</v>
      </c>
      <c r="E1792" s="1">
        <v>3048</v>
      </c>
      <c r="F1792" s="1">
        <v>3043</v>
      </c>
      <c r="G1792" s="1">
        <v>3044</v>
      </c>
      <c r="H1792" s="1">
        <v>8400</v>
      </c>
    </row>
    <row r="1793" spans="1:8">
      <c r="A1793" s="1"/>
      <c r="B1793" s="1" t="s">
        <v>586</v>
      </c>
      <c r="C1793" s="1" t="s">
        <v>566</v>
      </c>
      <c r="D1793" s="1">
        <v>3043</v>
      </c>
      <c r="E1793" s="1">
        <v>3050</v>
      </c>
      <c r="F1793" s="1">
        <v>3043</v>
      </c>
      <c r="G1793" s="1">
        <v>3048</v>
      </c>
      <c r="H1793" s="1">
        <v>11600</v>
      </c>
    </row>
    <row r="1794" spans="1:8">
      <c r="A1794" s="1"/>
      <c r="B1794" s="1" t="s">
        <v>586</v>
      </c>
      <c r="C1794" s="1" t="s">
        <v>567</v>
      </c>
      <c r="D1794" s="1">
        <v>3049</v>
      </c>
      <c r="E1794" s="1">
        <v>3055</v>
      </c>
      <c r="F1794" s="1">
        <v>3049</v>
      </c>
      <c r="G1794" s="1">
        <v>3055</v>
      </c>
      <c r="H1794" s="1">
        <v>17900</v>
      </c>
    </row>
    <row r="1795" spans="1:8">
      <c r="A1795" s="1"/>
      <c r="B1795" s="1" t="s">
        <v>586</v>
      </c>
      <c r="C1795" s="1" t="s">
        <v>568</v>
      </c>
      <c r="D1795" s="1">
        <v>3054</v>
      </c>
      <c r="E1795" s="1">
        <v>3060</v>
      </c>
      <c r="F1795" s="1">
        <v>3053</v>
      </c>
      <c r="G1795" s="1">
        <v>3059</v>
      </c>
      <c r="H1795" s="1">
        <v>15200</v>
      </c>
    </row>
    <row r="1796" spans="1:8">
      <c r="A1796" s="1"/>
      <c r="B1796" s="1" t="s">
        <v>586</v>
      </c>
      <c r="C1796" s="1" t="s">
        <v>569</v>
      </c>
      <c r="D1796" s="1">
        <v>3056</v>
      </c>
      <c r="E1796" s="1">
        <v>3056</v>
      </c>
      <c r="F1796" s="1">
        <v>3048</v>
      </c>
      <c r="G1796" s="1">
        <v>3048</v>
      </c>
      <c r="H1796" s="1">
        <v>11400</v>
      </c>
    </row>
    <row r="1797" spans="1:8">
      <c r="A1797" s="1"/>
      <c r="B1797" s="1" t="s">
        <v>586</v>
      </c>
      <c r="C1797" s="1" t="s">
        <v>570</v>
      </c>
      <c r="D1797" s="1">
        <v>3049</v>
      </c>
      <c r="E1797" s="1">
        <v>3054</v>
      </c>
      <c r="F1797" s="1">
        <v>3049</v>
      </c>
      <c r="G1797" s="1">
        <v>3050</v>
      </c>
      <c r="H1797" s="1">
        <v>11700</v>
      </c>
    </row>
    <row r="1798" spans="1:8">
      <c r="A1798" s="1"/>
      <c r="B1798" s="1" t="s">
        <v>586</v>
      </c>
      <c r="C1798" s="1" t="s">
        <v>571</v>
      </c>
      <c r="D1798" s="1">
        <v>3051</v>
      </c>
      <c r="E1798" s="1">
        <v>3051</v>
      </c>
      <c r="F1798" s="1">
        <v>3045</v>
      </c>
      <c r="G1798" s="1">
        <v>3051</v>
      </c>
      <c r="H1798" s="1">
        <v>17700</v>
      </c>
    </row>
    <row r="1799" spans="1:8">
      <c r="A1799" s="1"/>
      <c r="B1799" s="1" t="s">
        <v>586</v>
      </c>
      <c r="C1799" s="1" t="s">
        <v>572</v>
      </c>
      <c r="D1799" s="1">
        <v>3052</v>
      </c>
      <c r="E1799" s="1">
        <v>3057</v>
      </c>
      <c r="F1799" s="1">
        <v>3051</v>
      </c>
      <c r="G1799" s="1">
        <v>3056</v>
      </c>
      <c r="H1799" s="1">
        <v>6800</v>
      </c>
    </row>
    <row r="1800" spans="1:8">
      <c r="A1800" s="1"/>
      <c r="B1800" s="1" t="s">
        <v>586</v>
      </c>
      <c r="C1800" s="1" t="s">
        <v>573</v>
      </c>
      <c r="D1800" s="1">
        <v>3056</v>
      </c>
      <c r="E1800" s="1">
        <v>3056</v>
      </c>
      <c r="F1800" s="1">
        <v>3054</v>
      </c>
      <c r="G1800" s="1">
        <v>3054</v>
      </c>
      <c r="H1800" s="1">
        <v>10200</v>
      </c>
    </row>
    <row r="1801" spans="1:8">
      <c r="A1801" s="1"/>
      <c r="B1801" s="1" t="s">
        <v>586</v>
      </c>
      <c r="C1801" s="1" t="s">
        <v>574</v>
      </c>
      <c r="D1801" s="1">
        <v>3055</v>
      </c>
      <c r="E1801" s="1">
        <v>3067</v>
      </c>
      <c r="F1801" s="1">
        <v>3055</v>
      </c>
      <c r="G1801" s="1">
        <v>3064</v>
      </c>
      <c r="H1801" s="1">
        <v>27000</v>
      </c>
    </row>
    <row r="1802" spans="1:8">
      <c r="A1802" s="1"/>
      <c r="B1802" s="1" t="s">
        <v>586</v>
      </c>
      <c r="C1802" s="1" t="s">
        <v>575</v>
      </c>
      <c r="D1802" s="1">
        <v>3066</v>
      </c>
      <c r="E1802" s="1">
        <v>3074</v>
      </c>
      <c r="F1802" s="1">
        <v>3066</v>
      </c>
      <c r="G1802" s="1">
        <v>3073</v>
      </c>
      <c r="H1802" s="1">
        <v>16600</v>
      </c>
    </row>
    <row r="1803" spans="1:8">
      <c r="A1803" s="1"/>
      <c r="B1803" s="1" t="s">
        <v>586</v>
      </c>
      <c r="C1803" s="1" t="s">
        <v>576</v>
      </c>
      <c r="D1803" s="1">
        <v>3073</v>
      </c>
      <c r="E1803" s="1">
        <v>3073</v>
      </c>
      <c r="F1803" s="1">
        <v>3065</v>
      </c>
      <c r="G1803" s="1">
        <v>3066</v>
      </c>
      <c r="H1803" s="1">
        <v>10000</v>
      </c>
    </row>
    <row r="1804" spans="1:8">
      <c r="A1804" s="1"/>
      <c r="B1804" s="1" t="s">
        <v>586</v>
      </c>
      <c r="C1804" s="1" t="s">
        <v>577</v>
      </c>
      <c r="D1804" s="1">
        <v>3066</v>
      </c>
      <c r="E1804" s="1">
        <v>3066</v>
      </c>
      <c r="F1804" s="1">
        <v>3063</v>
      </c>
      <c r="G1804" s="1">
        <v>3064</v>
      </c>
      <c r="H1804" s="1">
        <v>4100</v>
      </c>
    </row>
    <row r="1805" spans="1:8">
      <c r="A1805" s="1"/>
      <c r="B1805" s="1" t="s">
        <v>586</v>
      </c>
      <c r="C1805" s="1" t="s">
        <v>578</v>
      </c>
      <c r="D1805" s="1">
        <v>3062</v>
      </c>
      <c r="E1805" s="1">
        <v>3062</v>
      </c>
      <c r="F1805" s="1">
        <v>3059</v>
      </c>
      <c r="G1805" s="1">
        <v>3059</v>
      </c>
      <c r="H1805" s="1">
        <v>3700</v>
      </c>
    </row>
    <row r="1806" spans="1:8">
      <c r="A1806" s="1"/>
      <c r="B1806" s="1" t="s">
        <v>586</v>
      </c>
      <c r="C1806" s="1" t="s">
        <v>579</v>
      </c>
      <c r="D1806" s="1">
        <v>3060</v>
      </c>
      <c r="E1806" s="1">
        <v>3063</v>
      </c>
      <c r="F1806" s="1">
        <v>3059</v>
      </c>
      <c r="G1806" s="1">
        <v>3062</v>
      </c>
      <c r="H1806" s="1">
        <v>14200</v>
      </c>
    </row>
    <row r="1807" spans="1:8">
      <c r="A1807" s="1"/>
      <c r="B1807" s="1" t="s">
        <v>586</v>
      </c>
      <c r="C1807" s="1" t="s">
        <v>580</v>
      </c>
      <c r="D1807" s="1">
        <v>3061</v>
      </c>
      <c r="E1807" s="1">
        <v>3066</v>
      </c>
      <c r="F1807" s="1">
        <v>3060</v>
      </c>
      <c r="G1807" s="1">
        <v>3065</v>
      </c>
      <c r="H1807" s="1">
        <v>8100</v>
      </c>
    </row>
    <row r="1808" spans="1:8">
      <c r="A1808" s="1"/>
      <c r="B1808" s="1" t="s">
        <v>586</v>
      </c>
      <c r="C1808" s="1" t="s">
        <v>581</v>
      </c>
      <c r="D1808" s="1">
        <v>3063</v>
      </c>
      <c r="E1808" s="1">
        <v>3067</v>
      </c>
      <c r="F1808" s="1">
        <v>3063</v>
      </c>
      <c r="G1808" s="1">
        <v>3066</v>
      </c>
      <c r="H1808" s="1">
        <v>8200</v>
      </c>
    </row>
    <row r="1809" spans="1:8">
      <c r="A1809" s="1"/>
      <c r="B1809" s="1" t="s">
        <v>586</v>
      </c>
      <c r="C1809" s="1" t="s">
        <v>582</v>
      </c>
      <c r="D1809" s="1">
        <v>3066</v>
      </c>
      <c r="E1809" s="1">
        <v>3067</v>
      </c>
      <c r="F1809" s="1">
        <v>3064</v>
      </c>
      <c r="G1809" s="1">
        <v>3064</v>
      </c>
      <c r="H1809" s="1">
        <v>6400</v>
      </c>
    </row>
    <row r="1810" spans="1:8">
      <c r="A1810" s="1"/>
      <c r="B1810" s="1" t="s">
        <v>586</v>
      </c>
      <c r="C1810" s="1" t="s">
        <v>583</v>
      </c>
      <c r="D1810" s="1">
        <v>3064</v>
      </c>
      <c r="E1810" s="1">
        <v>3064</v>
      </c>
      <c r="F1810" s="1">
        <v>3062</v>
      </c>
      <c r="G1810" s="1">
        <v>3064</v>
      </c>
      <c r="H1810" s="1">
        <v>6400</v>
      </c>
    </row>
    <row r="1811" spans="1:8">
      <c r="A1811" s="1"/>
      <c r="B1811" s="1" t="s">
        <v>586</v>
      </c>
      <c r="C1811" s="1" t="s">
        <v>584</v>
      </c>
      <c r="D1811" s="1">
        <v>3065</v>
      </c>
      <c r="E1811" s="1">
        <v>3069</v>
      </c>
      <c r="F1811" s="1">
        <v>3065</v>
      </c>
      <c r="G1811" s="1">
        <v>3069</v>
      </c>
      <c r="H1811" s="1">
        <v>7700</v>
      </c>
    </row>
    <row r="1812" spans="1:8">
      <c r="A1812" s="1"/>
      <c r="B1812" s="1" t="s">
        <v>586</v>
      </c>
      <c r="C1812" s="1" t="s">
        <v>585</v>
      </c>
      <c r="D1812" s="1">
        <v>3067</v>
      </c>
      <c r="E1812" s="1">
        <v>3075</v>
      </c>
      <c r="F1812" s="1">
        <v>3067</v>
      </c>
      <c r="G1812" s="1">
        <v>3073</v>
      </c>
      <c r="H1812" s="1">
        <v>8200</v>
      </c>
    </row>
    <row r="1813" spans="1:8">
      <c r="A1813" s="1"/>
      <c r="B1813" s="1" t="s">
        <v>587</v>
      </c>
      <c r="C1813" s="1" t="s">
        <v>316</v>
      </c>
      <c r="D1813" s="1">
        <v>3075</v>
      </c>
      <c r="E1813" s="1">
        <v>3075</v>
      </c>
      <c r="F1813" s="1">
        <v>3075</v>
      </c>
      <c r="G1813" s="1">
        <v>3075</v>
      </c>
      <c r="H1813" s="1">
        <v>3600</v>
      </c>
    </row>
    <row r="1814" spans="1:8">
      <c r="A1814" s="1" t="s">
        <v>79</v>
      </c>
      <c r="B1814" s="1" t="s">
        <v>79</v>
      </c>
      <c r="C1814" s="1" t="s">
        <v>79</v>
      </c>
      <c r="D1814" s="1" t="s">
        <v>79</v>
      </c>
      <c r="E1814" s="1" t="s">
        <v>79</v>
      </c>
      <c r="F1814" s="1" t="s">
        <v>79</v>
      </c>
      <c r="G1814" s="1" t="s">
        <v>79</v>
      </c>
      <c r="H1814" s="1" t="s">
        <v>79</v>
      </c>
    </row>
    <row r="2327" spans="1:8">
      <c r="A2327" s="1"/>
      <c r="B2327" s="1"/>
      <c r="C2327" s="1"/>
      <c r="D2327" s="1"/>
      <c r="E2327" s="1"/>
      <c r="F2327" s="1"/>
      <c r="G2327" s="1"/>
      <c r="H2327" s="1"/>
    </row>
    <row r="2328" spans="1:8">
      <c r="A2328" s="1"/>
      <c r="B2328" s="1" t="s">
        <v>143</v>
      </c>
      <c r="C2328" s="1" t="s">
        <v>145</v>
      </c>
      <c r="D2328" s="1">
        <v>3406</v>
      </c>
      <c r="E2328" s="1">
        <v>3407</v>
      </c>
      <c r="F2328" s="1">
        <v>3405</v>
      </c>
      <c r="G2328" s="1">
        <v>3405</v>
      </c>
      <c r="H2328" s="1">
        <v>2900</v>
      </c>
    </row>
    <row r="2329" spans="1:8">
      <c r="A2329" s="1"/>
      <c r="B2329" s="1" t="s">
        <v>143</v>
      </c>
      <c r="C2329" s="1" t="s">
        <v>146</v>
      </c>
      <c r="D2329" s="1">
        <v>3404</v>
      </c>
      <c r="E2329" s="1">
        <v>3406</v>
      </c>
      <c r="F2329" s="1">
        <v>3404</v>
      </c>
      <c r="G2329" s="1">
        <v>3406</v>
      </c>
      <c r="H2329" s="1">
        <v>3200</v>
      </c>
    </row>
    <row r="2330" spans="1:8">
      <c r="A2330" s="1"/>
      <c r="B2330" s="1" t="s">
        <v>143</v>
      </c>
      <c r="C2330" s="1" t="s">
        <v>147</v>
      </c>
      <c r="D2330" s="1">
        <v>3407</v>
      </c>
      <c r="E2330" s="1">
        <v>3408</v>
      </c>
      <c r="F2330" s="1">
        <v>3406</v>
      </c>
      <c r="G2330" s="1">
        <v>3406</v>
      </c>
      <c r="H2330" s="1">
        <v>3200</v>
      </c>
    </row>
    <row r="2331" spans="1:8">
      <c r="A2331" s="1"/>
      <c r="B2331" s="1" t="s">
        <v>143</v>
      </c>
      <c r="C2331" s="1" t="s">
        <v>148</v>
      </c>
      <c r="D2331" s="1">
        <v>3405</v>
      </c>
      <c r="E2331" s="1">
        <v>3405</v>
      </c>
      <c r="F2331" s="1">
        <v>3404</v>
      </c>
      <c r="G2331" s="1">
        <v>3404</v>
      </c>
      <c r="H2331" s="1">
        <v>1500</v>
      </c>
    </row>
    <row r="2332" spans="1:8">
      <c r="A2332" s="1"/>
      <c r="B2332" s="1" t="s">
        <v>143</v>
      </c>
      <c r="C2332" s="1" t="s">
        <v>149</v>
      </c>
      <c r="D2332" s="1">
        <v>3403</v>
      </c>
      <c r="E2332" s="1">
        <v>3403</v>
      </c>
      <c r="F2332" s="1">
        <v>3403</v>
      </c>
      <c r="G2332" s="1">
        <v>3403</v>
      </c>
      <c r="H2332" s="1">
        <v>600</v>
      </c>
    </row>
    <row r="2333" spans="1:8">
      <c r="A2333" s="1"/>
      <c r="B2333" s="1" t="s">
        <v>143</v>
      </c>
      <c r="C2333" s="1" t="s">
        <v>150</v>
      </c>
      <c r="D2333" s="1">
        <v>3404</v>
      </c>
      <c r="E2333" s="1">
        <v>3406</v>
      </c>
      <c r="F2333" s="1">
        <v>3403</v>
      </c>
      <c r="G2333" s="1">
        <v>3406</v>
      </c>
      <c r="H2333" s="1">
        <v>4000</v>
      </c>
    </row>
    <row r="2334" spans="1:8">
      <c r="A2334" s="1"/>
      <c r="B2334" s="1" t="s">
        <v>143</v>
      </c>
      <c r="C2334" s="1" t="s">
        <v>151</v>
      </c>
      <c r="D2334" s="1">
        <v>3407</v>
      </c>
      <c r="E2334" s="1">
        <v>3407</v>
      </c>
      <c r="F2334" s="1">
        <v>3406</v>
      </c>
      <c r="G2334" s="1">
        <v>3406</v>
      </c>
      <c r="H2334" s="1">
        <v>800</v>
      </c>
    </row>
    <row r="2335" spans="1:8">
      <c r="A2335" s="1"/>
      <c r="B2335" s="1" t="s">
        <v>143</v>
      </c>
      <c r="C2335" s="1" t="s">
        <v>152</v>
      </c>
      <c r="D2335" s="1">
        <v>3405</v>
      </c>
      <c r="E2335" s="1">
        <v>3413</v>
      </c>
      <c r="F2335" s="1">
        <v>3405</v>
      </c>
      <c r="G2335" s="1">
        <v>3413</v>
      </c>
      <c r="H2335" s="1">
        <v>16800</v>
      </c>
    </row>
    <row r="2336" spans="1:8">
      <c r="A2336" s="1"/>
      <c r="B2336" s="1" t="s">
        <v>143</v>
      </c>
      <c r="C2336" s="1" t="s">
        <v>153</v>
      </c>
      <c r="D2336" s="1">
        <v>3414</v>
      </c>
      <c r="E2336" s="1">
        <v>3419</v>
      </c>
      <c r="F2336" s="1">
        <v>3413</v>
      </c>
      <c r="G2336" s="1">
        <v>3418</v>
      </c>
      <c r="H2336" s="1">
        <v>12400</v>
      </c>
    </row>
    <row r="2337" spans="1:8">
      <c r="A2337" s="1"/>
      <c r="B2337" s="1" t="s">
        <v>143</v>
      </c>
      <c r="C2337" s="1" t="s">
        <v>154</v>
      </c>
      <c r="D2337" s="1">
        <v>3417</v>
      </c>
      <c r="E2337" s="1">
        <v>3417</v>
      </c>
      <c r="F2337" s="1">
        <v>3416</v>
      </c>
      <c r="G2337" s="1">
        <v>3416</v>
      </c>
      <c r="H2337" s="1">
        <v>1300</v>
      </c>
    </row>
    <row r="2338" spans="1:8">
      <c r="A2338" s="1"/>
      <c r="B2338" s="1" t="s">
        <v>143</v>
      </c>
      <c r="C2338" s="1" t="s">
        <v>155</v>
      </c>
      <c r="D2338" s="1">
        <v>3416</v>
      </c>
      <c r="E2338" s="1">
        <v>3416</v>
      </c>
      <c r="F2338" s="1">
        <v>3413</v>
      </c>
      <c r="G2338" s="1">
        <v>3414</v>
      </c>
      <c r="H2338" s="1">
        <v>4200</v>
      </c>
    </row>
    <row r="2339" spans="1:8">
      <c r="A2339" s="1"/>
      <c r="B2339" s="1" t="s">
        <v>143</v>
      </c>
      <c r="C2339" s="1" t="s">
        <v>156</v>
      </c>
      <c r="D2339" s="1">
        <v>3414</v>
      </c>
      <c r="E2339" s="1">
        <v>3416</v>
      </c>
      <c r="F2339" s="1">
        <v>3414</v>
      </c>
      <c r="G2339" s="1">
        <v>3416</v>
      </c>
      <c r="H2339" s="1">
        <v>2500</v>
      </c>
    </row>
    <row r="2340" spans="1:8">
      <c r="A2340" s="1"/>
      <c r="B2340" s="1" t="s">
        <v>143</v>
      </c>
      <c r="C2340" s="1" t="s">
        <v>157</v>
      </c>
      <c r="D2340" s="1">
        <v>3416</v>
      </c>
      <c r="E2340" s="1">
        <v>3416</v>
      </c>
      <c r="F2340" s="1">
        <v>3413</v>
      </c>
      <c r="G2340" s="1">
        <v>3413</v>
      </c>
      <c r="H2340" s="1">
        <v>7700</v>
      </c>
    </row>
    <row r="2341" spans="1:8">
      <c r="A2341" s="1"/>
      <c r="B2341" s="1" t="s">
        <v>143</v>
      </c>
      <c r="C2341" s="1" t="s">
        <v>158</v>
      </c>
      <c r="D2341" s="1">
        <v>3412</v>
      </c>
      <c r="E2341" s="1">
        <v>3413</v>
      </c>
      <c r="F2341" s="1">
        <v>3412</v>
      </c>
      <c r="G2341" s="1">
        <v>3413</v>
      </c>
      <c r="H2341" s="1">
        <v>3200</v>
      </c>
    </row>
    <row r="2342" spans="1:8">
      <c r="A2342" s="1"/>
      <c r="B2342" s="1" t="s">
        <v>143</v>
      </c>
      <c r="C2342" s="1" t="s">
        <v>159</v>
      </c>
      <c r="D2342" s="1">
        <v>3412</v>
      </c>
      <c r="E2342" s="1">
        <v>3414</v>
      </c>
      <c r="F2342" s="1">
        <v>3412</v>
      </c>
      <c r="G2342" s="1">
        <v>3414</v>
      </c>
      <c r="H2342" s="1">
        <v>2300</v>
      </c>
    </row>
    <row r="2343" spans="1:8">
      <c r="A2343" s="1"/>
      <c r="B2343" s="1" t="s">
        <v>143</v>
      </c>
      <c r="C2343" s="1" t="s">
        <v>160</v>
      </c>
      <c r="D2343" s="1">
        <v>3414</v>
      </c>
      <c r="E2343" s="1">
        <v>3414</v>
      </c>
      <c r="F2343" s="1">
        <v>3412</v>
      </c>
      <c r="G2343" s="1">
        <v>3412</v>
      </c>
      <c r="H2343" s="1">
        <v>2000</v>
      </c>
    </row>
    <row r="2344" spans="1:8">
      <c r="A2344" s="1"/>
      <c r="B2344" s="1" t="s">
        <v>143</v>
      </c>
      <c r="C2344" s="1" t="s">
        <v>161</v>
      </c>
      <c r="D2344" s="1">
        <v>3412</v>
      </c>
      <c r="E2344" s="1">
        <v>3414</v>
      </c>
      <c r="F2344" s="1">
        <v>3412</v>
      </c>
      <c r="G2344" s="1">
        <v>3414</v>
      </c>
      <c r="H2344" s="1">
        <v>900</v>
      </c>
    </row>
    <row r="2345" spans="1:8">
      <c r="A2345" s="1"/>
      <c r="B2345" s="1" t="s">
        <v>143</v>
      </c>
      <c r="C2345" s="1" t="s">
        <v>162</v>
      </c>
      <c r="D2345" s="1">
        <v>3414</v>
      </c>
      <c r="E2345" s="1">
        <v>3417</v>
      </c>
      <c r="F2345" s="1">
        <v>3412</v>
      </c>
      <c r="G2345" s="1">
        <v>3417</v>
      </c>
      <c r="H2345" s="1">
        <v>10100</v>
      </c>
    </row>
    <row r="2346" spans="1:8">
      <c r="A2346" s="1"/>
      <c r="B2346" s="1" t="s">
        <v>143</v>
      </c>
      <c r="C2346" s="1" t="s">
        <v>163</v>
      </c>
      <c r="D2346" s="1">
        <v>3417</v>
      </c>
      <c r="E2346" s="1">
        <v>3418</v>
      </c>
      <c r="F2346" s="1">
        <v>3415</v>
      </c>
      <c r="G2346" s="1">
        <v>3416</v>
      </c>
      <c r="H2346" s="1">
        <v>2700</v>
      </c>
    </row>
    <row r="2347" spans="1:8">
      <c r="A2347" s="1"/>
      <c r="B2347" s="1" t="s">
        <v>143</v>
      </c>
      <c r="C2347" s="1" t="s">
        <v>81</v>
      </c>
      <c r="D2347" s="1">
        <v>3416</v>
      </c>
      <c r="E2347" s="1">
        <v>3417</v>
      </c>
      <c r="F2347" s="1">
        <v>3415</v>
      </c>
      <c r="G2347" s="1">
        <v>3415</v>
      </c>
      <c r="H2347" s="1">
        <v>5100</v>
      </c>
    </row>
    <row r="2348" spans="1:8">
      <c r="A2348" s="1"/>
      <c r="B2348" s="1" t="s">
        <v>143</v>
      </c>
      <c r="C2348" s="1" t="s">
        <v>82</v>
      </c>
      <c r="D2348" s="1">
        <v>3415</v>
      </c>
      <c r="E2348" s="1">
        <v>3416</v>
      </c>
      <c r="F2348" s="1">
        <v>3407</v>
      </c>
      <c r="G2348" s="1">
        <v>3407</v>
      </c>
      <c r="H2348" s="1">
        <v>7500</v>
      </c>
    </row>
    <row r="2349" spans="1:8">
      <c r="A2349" s="1"/>
      <c r="B2349" s="1" t="s">
        <v>143</v>
      </c>
      <c r="C2349" s="1" t="s">
        <v>83</v>
      </c>
      <c r="D2349" s="1">
        <v>3409</v>
      </c>
      <c r="E2349" s="1">
        <v>3409</v>
      </c>
      <c r="F2349" s="1">
        <v>3408</v>
      </c>
      <c r="G2349" s="1">
        <v>3408</v>
      </c>
      <c r="H2349" s="1">
        <v>2100</v>
      </c>
    </row>
    <row r="2350" spans="1:8">
      <c r="A2350" s="1"/>
      <c r="B2350" s="1" t="s">
        <v>143</v>
      </c>
      <c r="C2350" s="1" t="s">
        <v>84</v>
      </c>
      <c r="D2350" s="1">
        <v>3408</v>
      </c>
      <c r="E2350" s="1">
        <v>3411</v>
      </c>
      <c r="F2350" s="1">
        <v>3405</v>
      </c>
      <c r="G2350" s="1">
        <v>3411</v>
      </c>
      <c r="H2350" s="1">
        <v>10100</v>
      </c>
    </row>
    <row r="2351" spans="1:8">
      <c r="A2351" s="1"/>
      <c r="B2351" s="1" t="s">
        <v>143</v>
      </c>
      <c r="C2351" s="1" t="s">
        <v>85</v>
      </c>
      <c r="D2351" s="1">
        <v>3411</v>
      </c>
      <c r="E2351" s="1">
        <v>3411</v>
      </c>
      <c r="F2351" s="1">
        <v>3408</v>
      </c>
      <c r="G2351" s="1">
        <v>3410</v>
      </c>
      <c r="H2351" s="1">
        <v>2700</v>
      </c>
    </row>
    <row r="2352" spans="1:8">
      <c r="A2352" s="1"/>
      <c r="B2352" s="1" t="s">
        <v>143</v>
      </c>
      <c r="C2352" s="1" t="s">
        <v>86</v>
      </c>
      <c r="D2352" s="1">
        <v>3410</v>
      </c>
      <c r="E2352" s="1">
        <v>3412</v>
      </c>
      <c r="F2352" s="1">
        <v>3410</v>
      </c>
      <c r="G2352" s="1">
        <v>3412</v>
      </c>
      <c r="H2352" s="1">
        <v>2200</v>
      </c>
    </row>
    <row r="2353" spans="1:8">
      <c r="A2353" s="1"/>
      <c r="B2353" s="1" t="s">
        <v>143</v>
      </c>
      <c r="C2353" s="1" t="s">
        <v>87</v>
      </c>
      <c r="D2353" s="1">
        <v>3412</v>
      </c>
      <c r="E2353" s="1">
        <v>3415</v>
      </c>
      <c r="F2353" s="1">
        <v>3412</v>
      </c>
      <c r="G2353" s="1">
        <v>3414</v>
      </c>
      <c r="H2353" s="1">
        <v>9700</v>
      </c>
    </row>
    <row r="2354" spans="1:8">
      <c r="A2354" s="1"/>
      <c r="B2354" s="1" t="s">
        <v>143</v>
      </c>
      <c r="C2354" s="1" t="s">
        <v>88</v>
      </c>
      <c r="D2354" s="1">
        <v>3415</v>
      </c>
      <c r="E2354" s="1">
        <v>3417</v>
      </c>
      <c r="F2354" s="1">
        <v>3415</v>
      </c>
      <c r="G2354" s="1">
        <v>3417</v>
      </c>
      <c r="H2354" s="1">
        <v>6300</v>
      </c>
    </row>
    <row r="2355" spans="1:8">
      <c r="A2355" s="1"/>
      <c r="B2355" s="1" t="s">
        <v>143</v>
      </c>
      <c r="C2355" s="1" t="s">
        <v>89</v>
      </c>
      <c r="D2355" s="1">
        <v>3417</v>
      </c>
      <c r="E2355" s="1">
        <v>3417</v>
      </c>
      <c r="F2355" s="1">
        <v>3413</v>
      </c>
      <c r="G2355" s="1">
        <v>3413</v>
      </c>
      <c r="H2355" s="1">
        <v>5200</v>
      </c>
    </row>
    <row r="2356" spans="1:8">
      <c r="A2356" s="1"/>
      <c r="B2356" s="1" t="s">
        <v>143</v>
      </c>
      <c r="C2356" s="1" t="s">
        <v>90</v>
      </c>
      <c r="D2356" s="1">
        <v>3413</v>
      </c>
      <c r="E2356" s="1">
        <v>3415</v>
      </c>
      <c r="F2356" s="1">
        <v>3412</v>
      </c>
      <c r="G2356" s="1">
        <v>3415</v>
      </c>
      <c r="H2356" s="1">
        <v>2600</v>
      </c>
    </row>
    <row r="2357" spans="1:8">
      <c r="A2357" s="1"/>
      <c r="B2357" s="1" t="s">
        <v>143</v>
      </c>
      <c r="C2357" s="1" t="s">
        <v>91</v>
      </c>
      <c r="D2357" s="1">
        <v>3415</v>
      </c>
      <c r="E2357" s="1">
        <v>3415</v>
      </c>
      <c r="F2357" s="1">
        <v>3414</v>
      </c>
      <c r="G2357" s="1">
        <v>3415</v>
      </c>
      <c r="H2357" s="1">
        <v>300</v>
      </c>
    </row>
    <row r="2358" spans="1:8">
      <c r="A2358" s="1"/>
      <c r="B2358" s="1" t="s">
        <v>143</v>
      </c>
      <c r="C2358" s="1" t="s">
        <v>92</v>
      </c>
      <c r="D2358" s="1">
        <v>3414</v>
      </c>
      <c r="E2358" s="1">
        <v>3414</v>
      </c>
      <c r="F2358" s="1">
        <v>3414</v>
      </c>
      <c r="G2358" s="1">
        <v>3414</v>
      </c>
      <c r="H2358" s="1">
        <v>2500</v>
      </c>
    </row>
    <row r="2359" spans="1:8">
      <c r="A2359" s="1"/>
      <c r="B2359" s="1" t="s">
        <v>143</v>
      </c>
      <c r="C2359" s="1" t="s">
        <v>93</v>
      </c>
      <c r="D2359" s="1">
        <v>3414</v>
      </c>
      <c r="E2359" s="1">
        <v>3417</v>
      </c>
      <c r="F2359" s="1">
        <v>3414</v>
      </c>
      <c r="G2359" s="1">
        <v>3415</v>
      </c>
      <c r="H2359" s="1">
        <v>3500</v>
      </c>
    </row>
    <row r="2360" spans="1:8">
      <c r="A2360" s="1"/>
      <c r="B2360" s="1" t="s">
        <v>143</v>
      </c>
      <c r="C2360" s="1" t="s">
        <v>94</v>
      </c>
      <c r="D2360" s="1">
        <v>3414</v>
      </c>
      <c r="E2360" s="1">
        <v>3420</v>
      </c>
      <c r="F2360" s="1">
        <v>3413</v>
      </c>
      <c r="G2360" s="1">
        <v>3413</v>
      </c>
      <c r="H2360" s="1">
        <v>25100</v>
      </c>
    </row>
    <row r="2361" spans="1:8">
      <c r="A2361" s="1"/>
      <c r="B2361" s="1" t="s">
        <v>143</v>
      </c>
      <c r="C2361" s="1" t="s">
        <v>95</v>
      </c>
      <c r="D2361" s="1">
        <v>3413</v>
      </c>
      <c r="E2361" s="1">
        <v>3419</v>
      </c>
      <c r="F2361" s="1">
        <v>3413</v>
      </c>
      <c r="G2361" s="1">
        <v>3419</v>
      </c>
      <c r="H2361" s="1">
        <v>9700</v>
      </c>
    </row>
    <row r="2362" spans="1:8">
      <c r="A2362" s="1"/>
      <c r="B2362" s="1" t="s">
        <v>143</v>
      </c>
      <c r="C2362" s="1" t="s">
        <v>96</v>
      </c>
      <c r="D2362" s="1">
        <v>3418</v>
      </c>
      <c r="E2362" s="1">
        <v>3418</v>
      </c>
      <c r="F2362" s="1">
        <v>3418</v>
      </c>
      <c r="G2362" s="1">
        <v>3418</v>
      </c>
      <c r="H2362" s="1">
        <v>1600</v>
      </c>
    </row>
    <row r="2363" spans="1:8">
      <c r="A2363" s="1"/>
      <c r="B2363" s="1" t="s">
        <v>143</v>
      </c>
      <c r="C2363" s="1" t="s">
        <v>97</v>
      </c>
      <c r="D2363" s="1">
        <v>3417</v>
      </c>
      <c r="E2363" s="1">
        <v>3418</v>
      </c>
      <c r="F2363" s="1">
        <v>3416</v>
      </c>
      <c r="G2363" s="1">
        <v>3416</v>
      </c>
      <c r="H2363" s="1">
        <v>4100</v>
      </c>
    </row>
    <row r="2364" spans="1:8">
      <c r="A2364" s="1"/>
      <c r="B2364" s="1" t="s">
        <v>143</v>
      </c>
      <c r="C2364" s="1" t="s">
        <v>98</v>
      </c>
      <c r="D2364" s="1">
        <v>3417</v>
      </c>
      <c r="E2364" s="1">
        <v>3418</v>
      </c>
      <c r="F2364" s="1">
        <v>3416</v>
      </c>
      <c r="G2364" s="1">
        <v>3418</v>
      </c>
      <c r="H2364" s="1">
        <v>3600</v>
      </c>
    </row>
    <row r="2365" spans="1:8">
      <c r="A2365" s="1"/>
      <c r="B2365" s="1" t="s">
        <v>143</v>
      </c>
      <c r="C2365" s="1" t="s">
        <v>99</v>
      </c>
      <c r="D2365" s="1">
        <v>3418</v>
      </c>
      <c r="E2365" s="1">
        <v>3418</v>
      </c>
      <c r="F2365" s="1">
        <v>3409</v>
      </c>
      <c r="G2365" s="1">
        <v>3412</v>
      </c>
      <c r="H2365" s="1">
        <v>21500</v>
      </c>
    </row>
    <row r="2366" spans="1:8">
      <c r="A2366" s="1"/>
      <c r="B2366" s="1" t="s">
        <v>143</v>
      </c>
      <c r="C2366" s="1" t="s">
        <v>100</v>
      </c>
      <c r="D2366" s="1">
        <v>3412</v>
      </c>
      <c r="E2366" s="1">
        <v>3412</v>
      </c>
      <c r="F2366" s="1">
        <v>3410</v>
      </c>
      <c r="G2366" s="1">
        <v>3410</v>
      </c>
      <c r="H2366" s="1">
        <v>3200</v>
      </c>
    </row>
    <row r="2367" spans="1:8">
      <c r="A2367" s="1"/>
      <c r="B2367" s="1" t="s">
        <v>143</v>
      </c>
      <c r="C2367" s="1" t="s">
        <v>101</v>
      </c>
      <c r="D2367" s="1">
        <v>3411</v>
      </c>
      <c r="E2367" s="1">
        <v>3413</v>
      </c>
      <c r="F2367" s="1">
        <v>3409</v>
      </c>
      <c r="G2367" s="1">
        <v>3409</v>
      </c>
      <c r="H2367" s="1">
        <v>17000</v>
      </c>
    </row>
    <row r="2368" spans="1:8">
      <c r="A2368" s="1"/>
      <c r="B2368" s="1" t="s">
        <v>143</v>
      </c>
      <c r="C2368" s="1" t="s">
        <v>102</v>
      </c>
      <c r="D2368" s="1">
        <v>3409</v>
      </c>
      <c r="E2368" s="1">
        <v>3415</v>
      </c>
      <c r="F2368" s="1">
        <v>3409</v>
      </c>
      <c r="G2368" s="1">
        <v>3415</v>
      </c>
      <c r="H2368" s="1">
        <v>2500</v>
      </c>
    </row>
    <row r="2369" spans="1:8">
      <c r="A2369" s="1"/>
      <c r="B2369" s="1" t="s">
        <v>143</v>
      </c>
      <c r="C2369" s="1" t="s">
        <v>103</v>
      </c>
      <c r="D2369" s="1">
        <v>3415</v>
      </c>
      <c r="E2369" s="1">
        <v>3415</v>
      </c>
      <c r="F2369" s="1">
        <v>3402</v>
      </c>
      <c r="G2369" s="1">
        <v>3402</v>
      </c>
      <c r="H2369" s="1">
        <v>23800</v>
      </c>
    </row>
    <row r="2370" spans="1:8">
      <c r="A2370" s="1"/>
      <c r="B2370" s="1" t="s">
        <v>143</v>
      </c>
      <c r="C2370" s="1" t="s">
        <v>104</v>
      </c>
      <c r="D2370" s="1">
        <v>3403</v>
      </c>
      <c r="E2370" s="1">
        <v>3406</v>
      </c>
      <c r="F2370" s="1">
        <v>3402</v>
      </c>
      <c r="G2370" s="1">
        <v>3403</v>
      </c>
      <c r="H2370" s="1">
        <v>7900</v>
      </c>
    </row>
    <row r="2371" spans="1:8">
      <c r="A2371" s="1"/>
      <c r="B2371" s="1" t="s">
        <v>143</v>
      </c>
      <c r="C2371" s="1" t="s">
        <v>105</v>
      </c>
      <c r="D2371" s="1">
        <v>3402</v>
      </c>
      <c r="E2371" s="1">
        <v>3405</v>
      </c>
      <c r="F2371" s="1">
        <v>3402</v>
      </c>
      <c r="G2371" s="1">
        <v>3404</v>
      </c>
      <c r="H2371" s="1">
        <v>2000</v>
      </c>
    </row>
    <row r="2372" spans="1:8">
      <c r="A2372" s="1"/>
      <c r="B2372" s="1" t="s">
        <v>143</v>
      </c>
      <c r="C2372" s="1" t="s">
        <v>106</v>
      </c>
      <c r="D2372" s="1">
        <v>3405</v>
      </c>
      <c r="E2372" s="1">
        <v>3406</v>
      </c>
      <c r="F2372" s="1">
        <v>3404</v>
      </c>
      <c r="G2372" s="1">
        <v>3406</v>
      </c>
      <c r="H2372" s="1">
        <v>2700</v>
      </c>
    </row>
    <row r="2373" spans="1:8">
      <c r="A2373" s="1"/>
      <c r="B2373" s="1" t="s">
        <v>143</v>
      </c>
      <c r="C2373" s="1" t="s">
        <v>107</v>
      </c>
      <c r="D2373" s="1">
        <v>3406</v>
      </c>
      <c r="E2373" s="1">
        <v>3406</v>
      </c>
      <c r="F2373" s="1">
        <v>3404</v>
      </c>
      <c r="G2373" s="1">
        <v>3406</v>
      </c>
      <c r="H2373" s="1">
        <v>5200</v>
      </c>
    </row>
    <row r="2374" spans="1:8">
      <c r="A2374" s="1"/>
      <c r="B2374" s="1" t="s">
        <v>143</v>
      </c>
      <c r="C2374" s="1" t="s">
        <v>108</v>
      </c>
      <c r="D2374" s="1">
        <v>3405</v>
      </c>
      <c r="E2374" s="1">
        <v>3406</v>
      </c>
      <c r="F2374" s="1">
        <v>3404</v>
      </c>
      <c r="G2374" s="1">
        <v>3406</v>
      </c>
      <c r="H2374" s="1">
        <v>3400</v>
      </c>
    </row>
    <row r="2375" spans="1:8">
      <c r="A2375" s="1"/>
      <c r="B2375" s="1" t="s">
        <v>143</v>
      </c>
      <c r="C2375" s="1" t="s">
        <v>109</v>
      </c>
      <c r="D2375" s="1">
        <v>3407</v>
      </c>
      <c r="E2375" s="1">
        <v>3408</v>
      </c>
      <c r="F2375" s="1">
        <v>3406</v>
      </c>
      <c r="G2375" s="1">
        <v>3407</v>
      </c>
      <c r="H2375" s="1">
        <v>5000</v>
      </c>
    </row>
    <row r="2376" spans="1:8">
      <c r="A2376" s="1"/>
      <c r="B2376" s="1" t="s">
        <v>143</v>
      </c>
      <c r="C2376" s="1" t="s">
        <v>110</v>
      </c>
      <c r="D2376" s="1">
        <v>3407</v>
      </c>
      <c r="E2376" s="1">
        <v>3407</v>
      </c>
      <c r="F2376" s="1">
        <v>3406</v>
      </c>
      <c r="G2376" s="1">
        <v>3406</v>
      </c>
      <c r="H2376" s="1">
        <v>2600</v>
      </c>
    </row>
    <row r="2377" spans="1:8">
      <c r="A2377" s="1"/>
      <c r="B2377" s="1" t="s">
        <v>143</v>
      </c>
      <c r="C2377" s="1" t="s">
        <v>111</v>
      </c>
      <c r="D2377" s="1">
        <v>3405</v>
      </c>
      <c r="E2377" s="1">
        <v>3405</v>
      </c>
      <c r="F2377" s="1">
        <v>3405</v>
      </c>
      <c r="G2377" s="1">
        <v>3405</v>
      </c>
      <c r="H2377" s="1">
        <v>1500</v>
      </c>
    </row>
    <row r="2378" spans="1:8">
      <c r="A2378" s="1"/>
      <c r="B2378" s="1" t="s">
        <v>143</v>
      </c>
      <c r="C2378" s="1" t="s">
        <v>112</v>
      </c>
      <c r="D2378" s="1">
        <v>3405</v>
      </c>
      <c r="E2378" s="1">
        <v>3410</v>
      </c>
      <c r="F2378" s="1">
        <v>3405</v>
      </c>
      <c r="G2378" s="1">
        <v>3407</v>
      </c>
      <c r="H2378" s="1">
        <v>10100</v>
      </c>
    </row>
    <row r="2379" spans="1:8">
      <c r="A2379" s="1"/>
      <c r="B2379" s="1" t="s">
        <v>143</v>
      </c>
      <c r="C2379" s="1" t="s">
        <v>113</v>
      </c>
      <c r="D2379" s="1">
        <v>3407</v>
      </c>
      <c r="E2379" s="1">
        <v>3407</v>
      </c>
      <c r="F2379" s="1">
        <v>3407</v>
      </c>
      <c r="G2379" s="1">
        <v>3407</v>
      </c>
      <c r="H2379" s="1">
        <v>2000</v>
      </c>
    </row>
    <row r="2380" spans="1:8">
      <c r="A2380" s="1"/>
      <c r="B2380" s="1" t="s">
        <v>143</v>
      </c>
      <c r="C2380" s="1" t="s">
        <v>114</v>
      </c>
      <c r="D2380" s="1">
        <v>3406</v>
      </c>
      <c r="E2380" s="1">
        <v>3408</v>
      </c>
      <c r="F2380" s="1">
        <v>3405</v>
      </c>
      <c r="G2380" s="1">
        <v>3408</v>
      </c>
      <c r="H2380" s="1">
        <v>4200</v>
      </c>
    </row>
    <row r="2381" spans="1:8">
      <c r="A2381" s="1"/>
      <c r="B2381" s="1" t="s">
        <v>143</v>
      </c>
      <c r="C2381" s="1" t="s">
        <v>115</v>
      </c>
      <c r="D2381" s="1">
        <v>3407</v>
      </c>
      <c r="E2381" s="1">
        <v>3408</v>
      </c>
      <c r="F2381" s="1">
        <v>3405</v>
      </c>
      <c r="G2381" s="1">
        <v>3405</v>
      </c>
      <c r="H2381" s="1">
        <v>12500</v>
      </c>
    </row>
    <row r="2382" spans="1:8">
      <c r="A2382" s="1"/>
      <c r="B2382" s="1" t="s">
        <v>143</v>
      </c>
      <c r="C2382" s="1" t="s">
        <v>116</v>
      </c>
      <c r="D2382" s="1">
        <v>3404</v>
      </c>
      <c r="E2382" s="1">
        <v>3407</v>
      </c>
      <c r="F2382" s="1">
        <v>3404</v>
      </c>
      <c r="G2382" s="1">
        <v>3406</v>
      </c>
      <c r="H2382" s="1">
        <v>5300</v>
      </c>
    </row>
    <row r="2383" spans="1:8">
      <c r="A2383" s="1"/>
      <c r="B2383" s="1" t="s">
        <v>143</v>
      </c>
      <c r="C2383" s="1" t="s">
        <v>117</v>
      </c>
      <c r="D2383" s="1">
        <v>3406</v>
      </c>
      <c r="E2383" s="1">
        <v>3406</v>
      </c>
      <c r="F2383" s="1">
        <v>3403</v>
      </c>
      <c r="G2383" s="1">
        <v>3403</v>
      </c>
      <c r="H2383" s="1">
        <v>5600</v>
      </c>
    </row>
    <row r="2384" spans="1:8">
      <c r="A2384" s="1"/>
      <c r="B2384" s="1" t="s">
        <v>143</v>
      </c>
      <c r="C2384" s="1" t="s">
        <v>118</v>
      </c>
      <c r="D2384" s="1">
        <v>3403</v>
      </c>
      <c r="E2384" s="1">
        <v>3406</v>
      </c>
      <c r="F2384" s="1">
        <v>3402</v>
      </c>
      <c r="G2384" s="1">
        <v>3405</v>
      </c>
      <c r="H2384" s="1">
        <v>4400</v>
      </c>
    </row>
    <row r="2385" spans="1:8">
      <c r="A2385" s="1"/>
      <c r="B2385" s="1" t="s">
        <v>144</v>
      </c>
      <c r="C2385" s="1" t="s">
        <v>67</v>
      </c>
      <c r="D2385" s="1" t="s">
        <v>8</v>
      </c>
      <c r="E2385" s="1" t="s">
        <v>8</v>
      </c>
      <c r="F2385" s="1" t="s">
        <v>8</v>
      </c>
      <c r="G2385" s="1" t="s">
        <v>8</v>
      </c>
      <c r="H2385" s="1">
        <v>0</v>
      </c>
    </row>
    <row r="2386" spans="1:8">
      <c r="A2386" s="1"/>
      <c r="B2386" s="1" t="s">
        <v>144</v>
      </c>
      <c r="C2386" s="1" t="s">
        <v>68</v>
      </c>
      <c r="D2386" s="1" t="s">
        <v>8</v>
      </c>
      <c r="E2386" s="1" t="s">
        <v>8</v>
      </c>
      <c r="F2386" s="1" t="s">
        <v>8</v>
      </c>
      <c r="G2386" s="1" t="s">
        <v>8</v>
      </c>
      <c r="H2386" s="1">
        <v>0</v>
      </c>
    </row>
    <row r="2387" spans="1:8">
      <c r="A2387" s="1"/>
      <c r="B2387" s="1" t="s">
        <v>144</v>
      </c>
      <c r="C2387" s="1" t="s">
        <v>69</v>
      </c>
      <c r="D2387" s="1" t="s">
        <v>8</v>
      </c>
      <c r="E2387" s="1" t="s">
        <v>8</v>
      </c>
      <c r="F2387" s="1" t="s">
        <v>8</v>
      </c>
      <c r="G2387" s="1" t="s">
        <v>8</v>
      </c>
      <c r="H2387" s="1">
        <v>0</v>
      </c>
    </row>
    <row r="2388" spans="1:8">
      <c r="A2388" s="1"/>
      <c r="B2388" s="1" t="s">
        <v>144</v>
      </c>
      <c r="C2388" s="1" t="s">
        <v>70</v>
      </c>
      <c r="D2388" s="1" t="s">
        <v>8</v>
      </c>
      <c r="E2388" s="1" t="s">
        <v>8</v>
      </c>
      <c r="F2388" s="1" t="s">
        <v>8</v>
      </c>
      <c r="G2388" s="1" t="s">
        <v>8</v>
      </c>
      <c r="H2388" s="1">
        <v>0</v>
      </c>
    </row>
    <row r="2389" spans="1:8">
      <c r="A2389" s="1"/>
      <c r="B2389" s="1" t="s">
        <v>144</v>
      </c>
      <c r="C2389" s="1" t="s">
        <v>71</v>
      </c>
      <c r="D2389" s="1" t="s">
        <v>8</v>
      </c>
      <c r="E2389" s="1" t="s">
        <v>8</v>
      </c>
      <c r="F2389" s="1" t="s">
        <v>8</v>
      </c>
      <c r="G2389" s="1" t="s">
        <v>8</v>
      </c>
      <c r="H2389" s="1">
        <v>0</v>
      </c>
    </row>
    <row r="2390" spans="1:8">
      <c r="A2390" s="1"/>
      <c r="B2390" s="1" t="s">
        <v>144</v>
      </c>
      <c r="C2390" s="1" t="s">
        <v>72</v>
      </c>
      <c r="D2390" s="1">
        <v>3410</v>
      </c>
      <c r="E2390" s="1">
        <v>3410</v>
      </c>
      <c r="F2390" s="1">
        <v>3410</v>
      </c>
      <c r="G2390" s="1">
        <v>3410</v>
      </c>
      <c r="H2390" s="1">
        <v>205700</v>
      </c>
    </row>
    <row r="2391" spans="1:8">
      <c r="A2391" s="1" t="s">
        <v>79</v>
      </c>
      <c r="B2391" s="1" t="s">
        <v>79</v>
      </c>
      <c r="C2391" s="1" t="s">
        <v>79</v>
      </c>
      <c r="D2391" s="1" t="s">
        <v>79</v>
      </c>
      <c r="E2391" s="1" t="s">
        <v>79</v>
      </c>
      <c r="F2391" s="1" t="s">
        <v>79</v>
      </c>
      <c r="G2391" s="1" t="s">
        <v>79</v>
      </c>
      <c r="H2391" s="1" t="s">
        <v>79</v>
      </c>
    </row>
    <row r="2392" spans="1:8">
      <c r="A2392" s="1"/>
      <c r="B2392" s="1" t="s">
        <v>78</v>
      </c>
      <c r="C2392" s="1" t="s">
        <v>106</v>
      </c>
      <c r="D2392" s="1">
        <v>3337</v>
      </c>
      <c r="E2392" s="1">
        <v>3339</v>
      </c>
      <c r="F2392" s="1">
        <v>3335</v>
      </c>
      <c r="G2392" s="1">
        <v>3335</v>
      </c>
      <c r="H2392" s="1">
        <v>11000</v>
      </c>
    </row>
    <row r="2393" spans="1:8">
      <c r="A2393" s="1"/>
      <c r="B2393" s="1" t="s">
        <v>78</v>
      </c>
      <c r="C2393" s="1" t="s">
        <v>107</v>
      </c>
      <c r="D2393" s="1">
        <v>3336</v>
      </c>
      <c r="E2393" s="1">
        <v>3339</v>
      </c>
      <c r="F2393" s="1">
        <v>3336</v>
      </c>
      <c r="G2393" s="1">
        <v>3339</v>
      </c>
      <c r="H2393" s="1">
        <v>2200</v>
      </c>
    </row>
    <row r="2394" spans="1:8">
      <c r="A2394" s="1"/>
      <c r="B2394" s="1" t="s">
        <v>78</v>
      </c>
      <c r="C2394" s="1" t="s">
        <v>108</v>
      </c>
      <c r="D2394" s="1">
        <v>3339</v>
      </c>
      <c r="E2394" s="1">
        <v>3340</v>
      </c>
      <c r="F2394" s="1">
        <v>3338</v>
      </c>
      <c r="G2394" s="1">
        <v>3338</v>
      </c>
      <c r="H2394" s="1">
        <v>2200</v>
      </c>
    </row>
    <row r="2395" spans="1:8">
      <c r="A2395" s="1"/>
      <c r="B2395" s="1" t="s">
        <v>78</v>
      </c>
      <c r="C2395" s="1" t="s">
        <v>109</v>
      </c>
      <c r="D2395" s="1">
        <v>3339</v>
      </c>
      <c r="E2395" s="1">
        <v>3344</v>
      </c>
      <c r="F2395" s="1">
        <v>3339</v>
      </c>
      <c r="G2395" s="1">
        <v>3343</v>
      </c>
      <c r="H2395" s="1">
        <v>16400</v>
      </c>
    </row>
    <row r="2396" spans="1:8">
      <c r="A2396" s="1"/>
      <c r="B2396" s="1" t="s">
        <v>78</v>
      </c>
      <c r="C2396" s="1" t="s">
        <v>110</v>
      </c>
      <c r="D2396" s="1">
        <v>3345</v>
      </c>
      <c r="E2396" s="1">
        <v>3345</v>
      </c>
      <c r="F2396" s="1">
        <v>3340</v>
      </c>
      <c r="G2396" s="1">
        <v>3343</v>
      </c>
      <c r="H2396" s="1">
        <v>17600</v>
      </c>
    </row>
    <row r="2397" spans="1:8">
      <c r="A2397" s="1"/>
      <c r="B2397" s="1" t="s">
        <v>78</v>
      </c>
      <c r="C2397" s="1" t="s">
        <v>111</v>
      </c>
      <c r="D2397" s="1">
        <v>3342</v>
      </c>
      <c r="E2397" s="1">
        <v>3344</v>
      </c>
      <c r="F2397" s="1">
        <v>3341</v>
      </c>
      <c r="G2397" s="1">
        <v>3342</v>
      </c>
      <c r="H2397" s="1">
        <v>4800</v>
      </c>
    </row>
    <row r="2398" spans="1:8">
      <c r="A2398" s="1"/>
      <c r="B2398" s="1" t="s">
        <v>78</v>
      </c>
      <c r="C2398" s="1" t="s">
        <v>112</v>
      </c>
      <c r="D2398" s="1">
        <v>3342</v>
      </c>
      <c r="E2398" s="1">
        <v>3342</v>
      </c>
      <c r="F2398" s="1">
        <v>3339</v>
      </c>
      <c r="G2398" s="1">
        <v>3341</v>
      </c>
      <c r="H2398" s="1">
        <v>6000</v>
      </c>
    </row>
    <row r="2399" spans="1:8">
      <c r="A2399" s="1"/>
      <c r="B2399" s="1" t="s">
        <v>78</v>
      </c>
      <c r="C2399" s="1" t="s">
        <v>113</v>
      </c>
      <c r="D2399" s="1">
        <v>3342</v>
      </c>
      <c r="E2399" s="1">
        <v>3342</v>
      </c>
      <c r="F2399" s="1">
        <v>3340</v>
      </c>
      <c r="G2399" s="1">
        <v>3341</v>
      </c>
      <c r="H2399" s="1">
        <v>2800</v>
      </c>
    </row>
    <row r="2400" spans="1:8">
      <c r="A2400" s="1"/>
      <c r="B2400" s="1" t="s">
        <v>78</v>
      </c>
      <c r="C2400" s="1" t="s">
        <v>114</v>
      </c>
      <c r="D2400" s="1">
        <v>3340</v>
      </c>
      <c r="E2400" s="1">
        <v>3344</v>
      </c>
      <c r="F2400" s="1">
        <v>3340</v>
      </c>
      <c r="G2400" s="1">
        <v>3343</v>
      </c>
      <c r="H2400" s="1">
        <v>3500</v>
      </c>
    </row>
    <row r="2401" spans="1:8">
      <c r="A2401" s="1"/>
      <c r="B2401" s="1" t="s">
        <v>78</v>
      </c>
      <c r="C2401" s="1" t="s">
        <v>115</v>
      </c>
      <c r="D2401" s="1">
        <v>3343</v>
      </c>
      <c r="E2401" s="1">
        <v>3344</v>
      </c>
      <c r="F2401" s="1">
        <v>3342</v>
      </c>
      <c r="G2401" s="1">
        <v>3343</v>
      </c>
      <c r="H2401" s="1">
        <v>15000</v>
      </c>
    </row>
    <row r="2402" spans="1:8">
      <c r="A2402" s="1"/>
      <c r="B2402" s="1" t="s">
        <v>78</v>
      </c>
      <c r="C2402" s="1" t="s">
        <v>116</v>
      </c>
      <c r="D2402" s="1">
        <v>3343</v>
      </c>
      <c r="E2402" s="1">
        <v>3345</v>
      </c>
      <c r="F2402" s="1">
        <v>3343</v>
      </c>
      <c r="G2402" s="1">
        <v>3343</v>
      </c>
      <c r="H2402" s="1">
        <v>7300</v>
      </c>
    </row>
    <row r="2403" spans="1:8">
      <c r="A2403" s="1"/>
      <c r="B2403" s="1" t="s">
        <v>78</v>
      </c>
      <c r="C2403" s="1" t="s">
        <v>117</v>
      </c>
      <c r="D2403" s="1">
        <v>3343</v>
      </c>
      <c r="E2403" s="1">
        <v>3344</v>
      </c>
      <c r="F2403" s="1">
        <v>3342</v>
      </c>
      <c r="G2403" s="1">
        <v>3342</v>
      </c>
      <c r="H2403" s="1">
        <v>5600</v>
      </c>
    </row>
    <row r="2404" spans="1:8">
      <c r="A2404" s="1"/>
      <c r="B2404" s="1" t="s">
        <v>78</v>
      </c>
      <c r="C2404" s="1" t="s">
        <v>118</v>
      </c>
      <c r="D2404" s="1">
        <v>3342</v>
      </c>
      <c r="E2404" s="1">
        <v>3345</v>
      </c>
      <c r="F2404" s="1">
        <v>3336</v>
      </c>
      <c r="G2404" s="1">
        <v>3339</v>
      </c>
      <c r="H2404" s="1">
        <v>17500</v>
      </c>
    </row>
    <row r="2405" spans="1:8">
      <c r="A2405" s="1" t="s">
        <v>79</v>
      </c>
      <c r="B2405" s="1" t="s">
        <v>79</v>
      </c>
      <c r="C2405" s="1" t="s">
        <v>79</v>
      </c>
      <c r="D2405" s="1" t="s">
        <v>79</v>
      </c>
      <c r="E2405" s="1" t="s">
        <v>79</v>
      </c>
      <c r="F2405" s="1" t="s">
        <v>79</v>
      </c>
      <c r="G2405" s="1" t="s">
        <v>79</v>
      </c>
      <c r="H2405" s="1" t="s">
        <v>79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931CA-3024-4327-A0B6-2EE22E72EFC9}">
  <sheetPr codeName="Sheet44"/>
  <dimension ref="A1:Y2391"/>
  <sheetViews>
    <sheetView workbookViewId="0">
      <selection activeCell="A2" sqref="A2"/>
    </sheetView>
  </sheetViews>
  <sheetFormatPr defaultRowHeight="18.75"/>
  <cols>
    <col min="2" max="2" width="11.375" bestFit="1" customWidth="1"/>
    <col min="11" max="11" width="3" customWidth="1"/>
    <col min="13" max="13" width="3" customWidth="1"/>
  </cols>
  <sheetData>
    <row r="1" spans="1:25">
      <c r="A1" t="str">
        <f>_xll.RssChart($A$2:$H$2, "8058.T", "1M", 332)</f>
        <v>=RssChart($A$2:$H$2, "8058.T", "1M", 332) =&gt; 配信中</v>
      </c>
    </row>
    <row r="2" spans="1: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J2" t="s">
        <v>73</v>
      </c>
      <c r="L2" t="s">
        <v>74</v>
      </c>
      <c r="N2" t="s">
        <v>75</v>
      </c>
      <c r="P2" t="s">
        <v>119</v>
      </c>
      <c r="Q2">
        <f>_xll.RssMarket("8058.T", "現在値")</f>
        <v>3028</v>
      </c>
      <c r="R2" t="str">
        <f>_xll.RssMarket("8058.T", "現在値時刻")</f>
        <v>15:30</v>
      </c>
      <c r="T2" t="s">
        <v>131</v>
      </c>
      <c r="U2">
        <f>_xll.RssMarket("8058.T", "出来高")</f>
        <v>9174000</v>
      </c>
      <c r="X2" t="s">
        <v>138</v>
      </c>
      <c r="Y2">
        <f>_xll.RssMarket("8058.T", "信用売残")</f>
        <v>879200</v>
      </c>
    </row>
    <row r="3" spans="1:25">
      <c r="A3" t="s">
        <v>437</v>
      </c>
      <c r="B3" t="s">
        <v>587</v>
      </c>
      <c r="C3" t="s">
        <v>166</v>
      </c>
      <c r="D3">
        <v>3000</v>
      </c>
      <c r="E3">
        <v>3022</v>
      </c>
      <c r="F3">
        <v>2999</v>
      </c>
      <c r="G3">
        <v>3022</v>
      </c>
      <c r="H3">
        <v>604200</v>
      </c>
      <c r="J3">
        <f>_xll.RssMarket("8058.T", "売成行数量")</f>
        <v>0</v>
      </c>
      <c r="L3" t="s">
        <v>76</v>
      </c>
      <c r="N3">
        <f>_xll.RssMarket("8058.T", "買成行数量")</f>
        <v>0</v>
      </c>
      <c r="P3" t="s">
        <v>121</v>
      </c>
      <c r="Q3">
        <f>_xll.RssMarket("8058.T", "前日比")</f>
        <v>40</v>
      </c>
      <c r="R3">
        <f>_xll.RssMarket("8058.T", "前日比率")</f>
        <v>1.34</v>
      </c>
      <c r="S3" t="s">
        <v>122</v>
      </c>
      <c r="T3" t="s">
        <v>132</v>
      </c>
      <c r="U3">
        <f>_xll.RssMarket("8058.T", "売買代金")</f>
        <v>27725623</v>
      </c>
      <c r="X3" t="s">
        <v>139</v>
      </c>
      <c r="Y3">
        <f>_xll.RssMarket("8058.T", "信用買残")</f>
        <v>5915900</v>
      </c>
    </row>
    <row r="4" spans="1:25">
      <c r="B4" t="s">
        <v>587</v>
      </c>
      <c r="C4" t="s">
        <v>167</v>
      </c>
      <c r="D4">
        <v>3022</v>
      </c>
      <c r="E4">
        <v>3022</v>
      </c>
      <c r="F4">
        <v>3008</v>
      </c>
      <c r="G4">
        <v>3010</v>
      </c>
      <c r="H4">
        <v>86600</v>
      </c>
      <c r="J4">
        <f>_xll.RssMarket("8058.T", "OVER気配数量")</f>
        <v>1983800</v>
      </c>
      <c r="L4" t="s">
        <v>77</v>
      </c>
      <c r="P4" t="s">
        <v>123</v>
      </c>
      <c r="Q4">
        <f>_xll.RssMarket("8058.T", "高値")</f>
        <v>3036</v>
      </c>
      <c r="T4" t="s">
        <v>137</v>
      </c>
      <c r="U4">
        <f>_xll.RssMarket("8058.T", "前場出来高")</f>
        <v>4410700</v>
      </c>
      <c r="X4" t="s">
        <v>140</v>
      </c>
      <c r="Y4">
        <f>_xll.RssMarket("8058.T", "信用倍率")</f>
        <v>6.73</v>
      </c>
    </row>
    <row r="5" spans="1:25">
      <c r="B5" t="s">
        <v>587</v>
      </c>
      <c r="C5" t="s">
        <v>168</v>
      </c>
      <c r="D5">
        <v>3011</v>
      </c>
      <c r="E5">
        <v>3021</v>
      </c>
      <c r="F5">
        <v>3011</v>
      </c>
      <c r="G5">
        <v>3017</v>
      </c>
      <c r="H5">
        <v>68300</v>
      </c>
      <c r="J5">
        <f>_xll.RssMarket("8058.T", "最良売気配数量10")</f>
        <v>24400</v>
      </c>
      <c r="L5">
        <f>_xll.RssMarket("8058.T", "最良売気配値10")</f>
        <v>3038</v>
      </c>
      <c r="P5" t="s">
        <v>124</v>
      </c>
      <c r="Q5">
        <f>_xll.RssMarket("8058.T", "安値")</f>
        <v>2999</v>
      </c>
    </row>
    <row r="6" spans="1:25">
      <c r="B6" t="s">
        <v>587</v>
      </c>
      <c r="C6" t="s">
        <v>169</v>
      </c>
      <c r="D6">
        <v>3019</v>
      </c>
      <c r="E6">
        <v>3024</v>
      </c>
      <c r="F6">
        <v>3010</v>
      </c>
      <c r="G6">
        <v>3013</v>
      </c>
      <c r="H6">
        <v>164300</v>
      </c>
      <c r="J6">
        <f>_xll.RssMarket("8058.T", "最良売気配数量9")</f>
        <v>9800</v>
      </c>
      <c r="L6">
        <f>_xll.RssMarket("8058.T", "最良売気配値9")</f>
        <v>3037</v>
      </c>
      <c r="P6" t="s">
        <v>125</v>
      </c>
      <c r="Q6">
        <f>_xll.RssMarket("8058.T", "始値")</f>
        <v>3000</v>
      </c>
      <c r="T6" t="s">
        <v>133</v>
      </c>
      <c r="U6">
        <f>_xll.RssMarket("8058.T", "歩み1")</f>
        <v>3023</v>
      </c>
      <c r="V6" t="str">
        <f>_xll.RssMarket("8058.T", "歩み1詳細時刻")</f>
        <v>15:24:59</v>
      </c>
      <c r="X6" t="s">
        <v>141</v>
      </c>
      <c r="Y6">
        <f>_xll.RssMarket("8058.T", "逆日歩")</f>
        <v>0</v>
      </c>
    </row>
    <row r="7" spans="1:25">
      <c r="B7" t="s">
        <v>587</v>
      </c>
      <c r="C7" t="s">
        <v>170</v>
      </c>
      <c r="D7">
        <v>3015</v>
      </c>
      <c r="E7">
        <v>3020</v>
      </c>
      <c r="F7">
        <v>3014</v>
      </c>
      <c r="G7">
        <v>3017</v>
      </c>
      <c r="H7">
        <v>27700</v>
      </c>
      <c r="J7">
        <f>_xll.RssMarket("8058.T", "最良売気配数量8")</f>
        <v>22600</v>
      </c>
      <c r="L7">
        <f>_xll.RssMarket("8058.T", "最良売気配値8")</f>
        <v>3036</v>
      </c>
      <c r="P7" t="s">
        <v>120</v>
      </c>
      <c r="Q7">
        <f>_xll.RssMarket("8058.T", "前日終値")</f>
        <v>2988</v>
      </c>
      <c r="T7" t="s">
        <v>134</v>
      </c>
      <c r="U7">
        <f>_xll.RssMarket("8058.T", "歩み2")</f>
        <v>3022</v>
      </c>
      <c r="V7" t="str">
        <f>_xll.RssMarket("8058.T", "歩み2詳細時刻")</f>
        <v>15:24:59</v>
      </c>
      <c r="X7" t="s">
        <v>142</v>
      </c>
      <c r="Y7">
        <f>_xll.RssMarket("8058.T", "貸借倍率")</f>
        <v>2.11</v>
      </c>
    </row>
    <row r="8" spans="1:25">
      <c r="B8" t="s">
        <v>587</v>
      </c>
      <c r="C8" t="s">
        <v>171</v>
      </c>
      <c r="D8">
        <v>3016</v>
      </c>
      <c r="E8">
        <v>3018</v>
      </c>
      <c r="F8">
        <v>3012</v>
      </c>
      <c r="G8">
        <v>3016</v>
      </c>
      <c r="H8">
        <v>36400</v>
      </c>
      <c r="J8">
        <f>_xll.RssMarket("8058.T", "最良売気配数量7")</f>
        <v>59700</v>
      </c>
      <c r="L8">
        <f>_xll.RssMarket("8058.T", "最良売気配値7")</f>
        <v>3035</v>
      </c>
      <c r="P8" t="s">
        <v>126</v>
      </c>
      <c r="Q8">
        <f>_xll.RssMarket("8058.T", "出来高加重平均")</f>
        <v>3022.1956</v>
      </c>
      <c r="T8" t="s">
        <v>135</v>
      </c>
      <c r="U8">
        <f>_xll.RssMarket("8058.T", "歩み3")</f>
        <v>3023</v>
      </c>
      <c r="V8" t="str">
        <f>_xll.RssMarket("8058.T", "歩み3詳細時刻")</f>
        <v>15:24:58</v>
      </c>
    </row>
    <row r="9" spans="1:25">
      <c r="B9" t="s">
        <v>587</v>
      </c>
      <c r="C9" t="s">
        <v>172</v>
      </c>
      <c r="D9">
        <v>3016</v>
      </c>
      <c r="E9">
        <v>3017</v>
      </c>
      <c r="F9">
        <v>3013</v>
      </c>
      <c r="G9">
        <v>3014</v>
      </c>
      <c r="H9">
        <v>25800</v>
      </c>
      <c r="J9">
        <f>_xll.RssMarket("8058.T", "最良売気配数量6")</f>
        <v>2900</v>
      </c>
      <c r="L9">
        <f>_xll.RssMarket("8058.T", "最良売気配値6")</f>
        <v>3034</v>
      </c>
      <c r="P9" t="s">
        <v>127</v>
      </c>
      <c r="Q9">
        <f>_xll.RssMarket("8058.T", "年初来高値")</f>
        <v>3072</v>
      </c>
      <c r="R9" t="str">
        <f>_xll.RssMarket("8058.T", "年初来高値日付")</f>
        <v>2025/07/24</v>
      </c>
      <c r="T9" t="s">
        <v>136</v>
      </c>
      <c r="U9">
        <f>_xll.RssMarket("8058.T", "歩み4")</f>
        <v>3022</v>
      </c>
      <c r="V9" t="str">
        <f>_xll.RssMarket("8058.T", "歩み4詳細時刻")</f>
        <v>15:24:58</v>
      </c>
    </row>
    <row r="10" spans="1:25">
      <c r="B10" t="s">
        <v>587</v>
      </c>
      <c r="C10" t="s">
        <v>173</v>
      </c>
      <c r="D10">
        <v>3013</v>
      </c>
      <c r="E10">
        <v>3019</v>
      </c>
      <c r="F10">
        <v>3012</v>
      </c>
      <c r="G10">
        <v>3017</v>
      </c>
      <c r="H10">
        <v>37800</v>
      </c>
      <c r="J10">
        <f>_xll.RssMarket("8058.T", "最良売気配数量5")</f>
        <v>26000</v>
      </c>
      <c r="L10">
        <f>_xll.RssMarket("8058.T", "最良売気配値5")</f>
        <v>3033</v>
      </c>
      <c r="P10" t="s">
        <v>128</v>
      </c>
      <c r="Q10">
        <f>_xll.RssMarket("8058.T", "年初来安値")</f>
        <v>2257</v>
      </c>
      <c r="R10" t="str">
        <f>_xll.RssMarket("8058.T", "年初来安値日付")</f>
        <v>2025/04/07</v>
      </c>
    </row>
    <row r="11" spans="1:25">
      <c r="B11" t="s">
        <v>587</v>
      </c>
      <c r="C11" t="s">
        <v>174</v>
      </c>
      <c r="D11">
        <v>3016</v>
      </c>
      <c r="E11">
        <v>3018</v>
      </c>
      <c r="F11">
        <v>3015</v>
      </c>
      <c r="G11">
        <v>3016</v>
      </c>
      <c r="H11">
        <v>22200</v>
      </c>
      <c r="J11">
        <f>_xll.RssMarket("8058.T", "最良売気配数量4")</f>
        <v>6800</v>
      </c>
      <c r="L11">
        <f>_xll.RssMarket("8058.T", "最良売気配値4")</f>
        <v>3032</v>
      </c>
      <c r="P11" t="s">
        <v>129</v>
      </c>
      <c r="Q11">
        <f>_xll.RssMarket("8058.T", "上場来高値")</f>
        <v>7732</v>
      </c>
      <c r="R11" t="str">
        <f>_xll.RssMarket("8058.T", "上場来高値日付")</f>
        <v>2023/09/07</v>
      </c>
    </row>
    <row r="12" spans="1:25">
      <c r="B12" t="s">
        <v>587</v>
      </c>
      <c r="C12" t="s">
        <v>175</v>
      </c>
      <c r="D12">
        <v>3016</v>
      </c>
      <c r="E12">
        <v>3017</v>
      </c>
      <c r="F12">
        <v>3013</v>
      </c>
      <c r="G12">
        <v>3015</v>
      </c>
      <c r="H12">
        <v>47300</v>
      </c>
      <c r="J12">
        <f>_xll.RssMarket("8058.T", "最良売気配数量3")</f>
        <v>1400</v>
      </c>
      <c r="L12">
        <f>_xll.RssMarket("8058.T", "最良売気配値3")</f>
        <v>3031</v>
      </c>
      <c r="P12" t="s">
        <v>130</v>
      </c>
      <c r="Q12">
        <f>_xll.RssMarket("8058.T", "上場来安値")</f>
        <v>64</v>
      </c>
      <c r="R12" t="str">
        <f>_xll.RssMarket("8058.T", "上場来安値日付")</f>
        <v/>
      </c>
    </row>
    <row r="13" spans="1:25">
      <c r="B13" t="s">
        <v>587</v>
      </c>
      <c r="C13" t="s">
        <v>176</v>
      </c>
      <c r="D13">
        <v>3017</v>
      </c>
      <c r="E13">
        <v>3017</v>
      </c>
      <c r="F13">
        <v>3013</v>
      </c>
      <c r="G13">
        <v>3013</v>
      </c>
      <c r="H13">
        <v>21300</v>
      </c>
      <c r="J13">
        <f>_xll.RssMarket("8058.T", "最良売気配数量2")</f>
        <v>36600</v>
      </c>
      <c r="L13">
        <f>_xll.RssMarket("8058.T", "最良売気配値2")</f>
        <v>3030</v>
      </c>
    </row>
    <row r="14" spans="1:25">
      <c r="B14" t="s">
        <v>587</v>
      </c>
      <c r="C14" t="s">
        <v>177</v>
      </c>
      <c r="D14">
        <v>3014</v>
      </c>
      <c r="E14">
        <v>3023</v>
      </c>
      <c r="F14">
        <v>3013</v>
      </c>
      <c r="G14">
        <v>3018</v>
      </c>
      <c r="H14">
        <v>117100</v>
      </c>
      <c r="J14">
        <f>_xll.RssMarket("8058.T", "最良売気配数量1")</f>
        <v>1800</v>
      </c>
      <c r="K14" t="str">
        <f>_xll.RssMarket("8058.T", "特別売気配フラグ")</f>
        <v xml:space="preserve"> </v>
      </c>
      <c r="L14">
        <f>_xll.RssMarket("8058.T", "最良売気配値1")</f>
        <v>3029</v>
      </c>
    </row>
    <row r="15" spans="1:25">
      <c r="B15" t="s">
        <v>587</v>
      </c>
      <c r="C15" t="s">
        <v>178</v>
      </c>
      <c r="D15">
        <v>3018</v>
      </c>
      <c r="E15">
        <v>3020</v>
      </c>
      <c r="F15">
        <v>3017</v>
      </c>
      <c r="G15">
        <v>3020</v>
      </c>
      <c r="H15">
        <v>14400</v>
      </c>
      <c r="L15">
        <f>_xll.RssMarket("8058.T", "最良買気配値1")</f>
        <v>3027</v>
      </c>
      <c r="M15" t="str">
        <f>_xll.RssMarket("8058.T", "特別買気配フラグ")</f>
        <v xml:space="preserve"> </v>
      </c>
      <c r="N15">
        <f>_xll.RssMarket("8058.T", "最良買気配数量1")</f>
        <v>500</v>
      </c>
    </row>
    <row r="16" spans="1:25">
      <c r="B16" t="s">
        <v>587</v>
      </c>
      <c r="C16" t="s">
        <v>179</v>
      </c>
      <c r="D16">
        <v>3020</v>
      </c>
      <c r="E16">
        <v>3021</v>
      </c>
      <c r="F16">
        <v>3018</v>
      </c>
      <c r="G16">
        <v>3020</v>
      </c>
      <c r="H16">
        <v>17500</v>
      </c>
      <c r="L16">
        <f>_xll.RssMarket("8058.T", "最良買気配値2")</f>
        <v>3025</v>
      </c>
      <c r="N16">
        <f>_xll.RssMarket("8058.T", "最良買気配数量2")</f>
        <v>1000</v>
      </c>
    </row>
    <row r="17" spans="2:14">
      <c r="B17" t="s">
        <v>587</v>
      </c>
      <c r="C17" t="s">
        <v>180</v>
      </c>
      <c r="D17">
        <v>3020</v>
      </c>
      <c r="E17">
        <v>3020</v>
      </c>
      <c r="F17">
        <v>3018</v>
      </c>
      <c r="G17">
        <v>3019</v>
      </c>
      <c r="H17">
        <v>19800</v>
      </c>
      <c r="L17">
        <f>_xll.RssMarket("8058.T", "最良買気配値3")</f>
        <v>3024</v>
      </c>
      <c r="N17">
        <f>_xll.RssMarket("8058.T", "最良買気配数量3")</f>
        <v>1800</v>
      </c>
    </row>
    <row r="18" spans="2:14">
      <c r="B18" t="s">
        <v>587</v>
      </c>
      <c r="C18" t="s">
        <v>181</v>
      </c>
      <c r="D18">
        <v>3019</v>
      </c>
      <c r="E18">
        <v>3020</v>
      </c>
      <c r="F18">
        <v>3014</v>
      </c>
      <c r="G18">
        <v>3014</v>
      </c>
      <c r="H18">
        <v>17300</v>
      </c>
      <c r="L18">
        <f>_xll.RssMarket("8058.T", "最良買気配値4")</f>
        <v>3023</v>
      </c>
      <c r="N18">
        <f>_xll.RssMarket("8058.T", "最良買気配数量4")</f>
        <v>2400</v>
      </c>
    </row>
    <row r="19" spans="2:14">
      <c r="B19" t="s">
        <v>587</v>
      </c>
      <c r="C19" t="s">
        <v>182</v>
      </c>
      <c r="D19">
        <v>3015</v>
      </c>
      <c r="E19">
        <v>3017</v>
      </c>
      <c r="F19">
        <v>3013</v>
      </c>
      <c r="G19">
        <v>3014</v>
      </c>
      <c r="H19">
        <v>16400</v>
      </c>
      <c r="L19">
        <f>_xll.RssMarket("8058.T", "最良買気配値5")</f>
        <v>3021</v>
      </c>
      <c r="N19">
        <f>_xll.RssMarket("8058.T", "最良買気配数量5")</f>
        <v>1800</v>
      </c>
    </row>
    <row r="20" spans="2:14">
      <c r="B20" t="s">
        <v>587</v>
      </c>
      <c r="C20" t="s">
        <v>183</v>
      </c>
      <c r="D20">
        <v>3014</v>
      </c>
      <c r="E20">
        <v>3016</v>
      </c>
      <c r="F20">
        <v>3013</v>
      </c>
      <c r="G20">
        <v>3015</v>
      </c>
      <c r="H20">
        <v>17300</v>
      </c>
      <c r="L20">
        <f>_xll.RssMarket("8058.T", "最良買気配値6")</f>
        <v>3020</v>
      </c>
      <c r="N20">
        <f>_xll.RssMarket("8058.T", "最良買気配数量6")</f>
        <v>1400</v>
      </c>
    </row>
    <row r="21" spans="2:14">
      <c r="B21" t="s">
        <v>587</v>
      </c>
      <c r="C21" t="s">
        <v>184</v>
      </c>
      <c r="D21">
        <v>3016</v>
      </c>
      <c r="E21">
        <v>3019</v>
      </c>
      <c r="F21">
        <v>3016</v>
      </c>
      <c r="G21">
        <v>3019</v>
      </c>
      <c r="H21">
        <v>20500</v>
      </c>
      <c r="L21">
        <f>_xll.RssMarket("8058.T", "最良買気配値7")</f>
        <v>3019</v>
      </c>
      <c r="N21">
        <f>_xll.RssMarket("8058.T", "最良買気配数量7")</f>
        <v>300</v>
      </c>
    </row>
    <row r="22" spans="2:14">
      <c r="B22" t="s">
        <v>587</v>
      </c>
      <c r="C22" t="s">
        <v>185</v>
      </c>
      <c r="D22">
        <v>3019</v>
      </c>
      <c r="E22">
        <v>3022</v>
      </c>
      <c r="F22">
        <v>3019</v>
      </c>
      <c r="G22">
        <v>3020</v>
      </c>
      <c r="H22">
        <v>28000</v>
      </c>
      <c r="L22">
        <f>_xll.RssMarket("8058.T", "最良買気配値8")</f>
        <v>3018</v>
      </c>
      <c r="N22">
        <f>_xll.RssMarket("8058.T", "最良買気配数量8")</f>
        <v>1100</v>
      </c>
    </row>
    <row r="23" spans="2:14">
      <c r="B23" t="s">
        <v>587</v>
      </c>
      <c r="C23" t="s">
        <v>186</v>
      </c>
      <c r="D23">
        <v>3020</v>
      </c>
      <c r="E23">
        <v>3020</v>
      </c>
      <c r="F23">
        <v>3017</v>
      </c>
      <c r="G23">
        <v>3017</v>
      </c>
      <c r="H23">
        <v>22700</v>
      </c>
      <c r="L23">
        <f>_xll.RssMarket("8058.T", "最良買気配値9")</f>
        <v>3016</v>
      </c>
      <c r="N23">
        <f>_xll.RssMarket("8058.T", "最良買気配数量9")</f>
        <v>1100</v>
      </c>
    </row>
    <row r="24" spans="2:14">
      <c r="B24" t="s">
        <v>587</v>
      </c>
      <c r="C24" t="s">
        <v>187</v>
      </c>
      <c r="D24">
        <v>3017</v>
      </c>
      <c r="E24">
        <v>3020</v>
      </c>
      <c r="F24">
        <v>3017</v>
      </c>
      <c r="G24">
        <v>3019</v>
      </c>
      <c r="H24">
        <v>8200</v>
      </c>
      <c r="L24">
        <f>_xll.RssMarket("8058.T", "最良買気配値10")</f>
        <v>3015</v>
      </c>
      <c r="N24">
        <f>_xll.RssMarket("8058.T", "最良買気配数量10")</f>
        <v>6700</v>
      </c>
    </row>
    <row r="25" spans="2:14">
      <c r="B25" t="s">
        <v>587</v>
      </c>
      <c r="C25" t="s">
        <v>188</v>
      </c>
      <c r="D25">
        <v>3019</v>
      </c>
      <c r="E25">
        <v>3019</v>
      </c>
      <c r="F25">
        <v>3014</v>
      </c>
      <c r="G25">
        <v>3015</v>
      </c>
      <c r="H25">
        <v>10800</v>
      </c>
      <c r="L25" t="s">
        <v>80</v>
      </c>
      <c r="N25">
        <f>_xll.RssMarket("8058.T", "UNDER気配数量")</f>
        <v>1547300</v>
      </c>
    </row>
    <row r="26" spans="2:14">
      <c r="B26" t="s">
        <v>587</v>
      </c>
      <c r="C26" t="s">
        <v>189</v>
      </c>
      <c r="D26">
        <v>3014</v>
      </c>
      <c r="E26">
        <v>3019</v>
      </c>
      <c r="F26">
        <v>3014</v>
      </c>
      <c r="G26">
        <v>3018</v>
      </c>
      <c r="H26">
        <v>29000</v>
      </c>
    </row>
    <row r="27" spans="2:14">
      <c r="B27" t="s">
        <v>587</v>
      </c>
      <c r="C27" t="s">
        <v>190</v>
      </c>
      <c r="D27">
        <v>3019</v>
      </c>
      <c r="E27">
        <v>3019</v>
      </c>
      <c r="F27">
        <v>3015</v>
      </c>
      <c r="G27">
        <v>3018</v>
      </c>
      <c r="H27">
        <v>14200</v>
      </c>
    </row>
    <row r="28" spans="2:14">
      <c r="B28" t="s">
        <v>587</v>
      </c>
      <c r="C28" t="s">
        <v>191</v>
      </c>
      <c r="D28">
        <v>3018</v>
      </c>
      <c r="E28">
        <v>3018</v>
      </c>
      <c r="F28">
        <v>3016</v>
      </c>
      <c r="G28">
        <v>3016</v>
      </c>
      <c r="H28">
        <v>11100</v>
      </c>
    </row>
    <row r="29" spans="2:14">
      <c r="B29" t="s">
        <v>587</v>
      </c>
      <c r="C29" t="s">
        <v>192</v>
      </c>
      <c r="D29">
        <v>3016</v>
      </c>
      <c r="E29">
        <v>3016</v>
      </c>
      <c r="F29">
        <v>3015</v>
      </c>
      <c r="G29">
        <v>3016</v>
      </c>
      <c r="H29">
        <v>8800</v>
      </c>
    </row>
    <row r="30" spans="2:14">
      <c r="B30" t="s">
        <v>587</v>
      </c>
      <c r="C30" t="s">
        <v>193</v>
      </c>
      <c r="D30">
        <v>3016</v>
      </c>
      <c r="E30">
        <v>3017</v>
      </c>
      <c r="F30">
        <v>3013</v>
      </c>
      <c r="G30">
        <v>3015</v>
      </c>
      <c r="H30">
        <v>29800</v>
      </c>
    </row>
    <row r="31" spans="2:14">
      <c r="B31" t="s">
        <v>587</v>
      </c>
      <c r="C31" t="s">
        <v>194</v>
      </c>
      <c r="D31">
        <v>3015</v>
      </c>
      <c r="E31">
        <v>3019</v>
      </c>
      <c r="F31">
        <v>3015</v>
      </c>
      <c r="G31">
        <v>3018</v>
      </c>
      <c r="H31">
        <v>18400</v>
      </c>
    </row>
    <row r="32" spans="2:14">
      <c r="B32" t="s">
        <v>587</v>
      </c>
      <c r="C32" t="s">
        <v>195</v>
      </c>
      <c r="D32">
        <v>3018</v>
      </c>
      <c r="E32">
        <v>3022</v>
      </c>
      <c r="F32">
        <v>3018</v>
      </c>
      <c r="G32">
        <v>3022</v>
      </c>
      <c r="H32">
        <v>33600</v>
      </c>
    </row>
    <row r="33" spans="2:8">
      <c r="B33" t="s">
        <v>587</v>
      </c>
      <c r="C33" t="s">
        <v>196</v>
      </c>
      <c r="D33">
        <v>3022</v>
      </c>
      <c r="E33">
        <v>3022</v>
      </c>
      <c r="F33">
        <v>3020</v>
      </c>
      <c r="G33">
        <v>3022</v>
      </c>
      <c r="H33">
        <v>18400</v>
      </c>
    </row>
    <row r="34" spans="2:8">
      <c r="B34" t="s">
        <v>587</v>
      </c>
      <c r="C34" t="s">
        <v>197</v>
      </c>
      <c r="D34">
        <v>3021</v>
      </c>
      <c r="E34">
        <v>3022</v>
      </c>
      <c r="F34">
        <v>3020</v>
      </c>
      <c r="G34">
        <v>3022</v>
      </c>
      <c r="H34">
        <v>36400</v>
      </c>
    </row>
    <row r="35" spans="2:8">
      <c r="B35" t="s">
        <v>587</v>
      </c>
      <c r="C35" t="s">
        <v>198</v>
      </c>
      <c r="D35">
        <v>3022</v>
      </c>
      <c r="E35">
        <v>3023</v>
      </c>
      <c r="F35">
        <v>3022</v>
      </c>
      <c r="G35">
        <v>3022</v>
      </c>
      <c r="H35">
        <v>27000</v>
      </c>
    </row>
    <row r="36" spans="2:8">
      <c r="B36" t="s">
        <v>587</v>
      </c>
      <c r="C36" t="s">
        <v>199</v>
      </c>
      <c r="D36">
        <v>3022</v>
      </c>
      <c r="E36">
        <v>3026</v>
      </c>
      <c r="F36">
        <v>3022</v>
      </c>
      <c r="G36">
        <v>3025</v>
      </c>
      <c r="H36">
        <v>64300</v>
      </c>
    </row>
    <row r="37" spans="2:8">
      <c r="B37" t="s">
        <v>587</v>
      </c>
      <c r="C37" t="s">
        <v>200</v>
      </c>
      <c r="D37">
        <v>3025</v>
      </c>
      <c r="E37">
        <v>3028</v>
      </c>
      <c r="F37">
        <v>3024</v>
      </c>
      <c r="G37">
        <v>3028</v>
      </c>
      <c r="H37">
        <v>25900</v>
      </c>
    </row>
    <row r="38" spans="2:8">
      <c r="B38" t="s">
        <v>587</v>
      </c>
      <c r="C38" t="s">
        <v>201</v>
      </c>
      <c r="D38">
        <v>3028</v>
      </c>
      <c r="E38">
        <v>3028</v>
      </c>
      <c r="F38">
        <v>3025</v>
      </c>
      <c r="G38">
        <v>3028</v>
      </c>
      <c r="H38">
        <v>25200</v>
      </c>
    </row>
    <row r="39" spans="2:8">
      <c r="B39" t="s">
        <v>587</v>
      </c>
      <c r="C39" t="s">
        <v>202</v>
      </c>
      <c r="D39">
        <v>3028</v>
      </c>
      <c r="E39">
        <v>3028</v>
      </c>
      <c r="F39">
        <v>3025</v>
      </c>
      <c r="G39">
        <v>3027</v>
      </c>
      <c r="H39">
        <v>47000</v>
      </c>
    </row>
    <row r="40" spans="2:8">
      <c r="B40" t="s">
        <v>587</v>
      </c>
      <c r="C40" t="s">
        <v>203</v>
      </c>
      <c r="D40">
        <v>3027</v>
      </c>
      <c r="E40">
        <v>3028</v>
      </c>
      <c r="F40">
        <v>3024</v>
      </c>
      <c r="G40">
        <v>3026</v>
      </c>
      <c r="H40">
        <v>21700</v>
      </c>
    </row>
    <row r="41" spans="2:8">
      <c r="B41" t="s">
        <v>587</v>
      </c>
      <c r="C41" t="s">
        <v>204</v>
      </c>
      <c r="D41">
        <v>3026</v>
      </c>
      <c r="E41">
        <v>3027</v>
      </c>
      <c r="F41">
        <v>3025</v>
      </c>
      <c r="G41">
        <v>3027</v>
      </c>
      <c r="H41">
        <v>13100</v>
      </c>
    </row>
    <row r="42" spans="2:8">
      <c r="B42" t="s">
        <v>587</v>
      </c>
      <c r="C42" t="s">
        <v>205</v>
      </c>
      <c r="D42">
        <v>3027</v>
      </c>
      <c r="E42">
        <v>3028</v>
      </c>
      <c r="F42">
        <v>3026</v>
      </c>
      <c r="G42">
        <v>3027</v>
      </c>
      <c r="H42">
        <v>16500</v>
      </c>
    </row>
    <row r="43" spans="2:8">
      <c r="B43" t="s">
        <v>587</v>
      </c>
      <c r="C43" t="s">
        <v>206</v>
      </c>
      <c r="D43">
        <v>3028</v>
      </c>
      <c r="E43">
        <v>3029</v>
      </c>
      <c r="F43">
        <v>3027</v>
      </c>
      <c r="G43">
        <v>3027</v>
      </c>
      <c r="H43">
        <v>24600</v>
      </c>
    </row>
    <row r="44" spans="2:8">
      <c r="B44" t="s">
        <v>587</v>
      </c>
      <c r="C44" t="s">
        <v>207</v>
      </c>
      <c r="D44">
        <v>3027</v>
      </c>
      <c r="E44">
        <v>3030</v>
      </c>
      <c r="F44">
        <v>3027</v>
      </c>
      <c r="G44">
        <v>3029</v>
      </c>
      <c r="H44">
        <v>28100</v>
      </c>
    </row>
    <row r="45" spans="2:8">
      <c r="B45" t="s">
        <v>587</v>
      </c>
      <c r="C45" t="s">
        <v>208</v>
      </c>
      <c r="D45">
        <v>3029</v>
      </c>
      <c r="E45">
        <v>3030</v>
      </c>
      <c r="F45">
        <v>3027</v>
      </c>
      <c r="G45">
        <v>3028</v>
      </c>
      <c r="H45">
        <v>26400</v>
      </c>
    </row>
    <row r="46" spans="2:8">
      <c r="B46" t="s">
        <v>587</v>
      </c>
      <c r="C46" t="s">
        <v>209</v>
      </c>
      <c r="D46">
        <v>3028</v>
      </c>
      <c r="E46">
        <v>3034</v>
      </c>
      <c r="F46">
        <v>3028</v>
      </c>
      <c r="G46">
        <v>3034</v>
      </c>
      <c r="H46">
        <v>147000</v>
      </c>
    </row>
    <row r="47" spans="2:8">
      <c r="B47" t="s">
        <v>587</v>
      </c>
      <c r="C47" t="s">
        <v>210</v>
      </c>
      <c r="D47">
        <v>3034</v>
      </c>
      <c r="E47">
        <v>3036</v>
      </c>
      <c r="F47">
        <v>3033</v>
      </c>
      <c r="G47">
        <v>3034</v>
      </c>
      <c r="H47">
        <v>37500</v>
      </c>
    </row>
    <row r="48" spans="2:8">
      <c r="B48" t="s">
        <v>587</v>
      </c>
      <c r="C48" t="s">
        <v>211</v>
      </c>
      <c r="D48">
        <v>3034</v>
      </c>
      <c r="E48">
        <v>3035</v>
      </c>
      <c r="F48">
        <v>3031</v>
      </c>
      <c r="G48">
        <v>3031</v>
      </c>
      <c r="H48">
        <v>40700</v>
      </c>
    </row>
    <row r="49" spans="2:8">
      <c r="B49" t="s">
        <v>587</v>
      </c>
      <c r="C49" t="s">
        <v>212</v>
      </c>
      <c r="D49">
        <v>3031</v>
      </c>
      <c r="E49">
        <v>3031</v>
      </c>
      <c r="F49">
        <v>3026</v>
      </c>
      <c r="G49">
        <v>3028</v>
      </c>
      <c r="H49">
        <v>34400</v>
      </c>
    </row>
    <row r="50" spans="2:8">
      <c r="B50" t="s">
        <v>587</v>
      </c>
      <c r="C50" t="s">
        <v>213</v>
      </c>
      <c r="D50">
        <v>3028</v>
      </c>
      <c r="E50">
        <v>3029</v>
      </c>
      <c r="F50">
        <v>3027</v>
      </c>
      <c r="G50">
        <v>3028</v>
      </c>
      <c r="H50">
        <v>17900</v>
      </c>
    </row>
    <row r="51" spans="2:8">
      <c r="B51" t="s">
        <v>587</v>
      </c>
      <c r="C51" t="s">
        <v>214</v>
      </c>
      <c r="D51">
        <v>3027</v>
      </c>
      <c r="E51">
        <v>3029</v>
      </c>
      <c r="F51">
        <v>3027</v>
      </c>
      <c r="G51">
        <v>3028</v>
      </c>
      <c r="H51">
        <v>8400</v>
      </c>
    </row>
    <row r="52" spans="2:8">
      <c r="B52" t="s">
        <v>587</v>
      </c>
      <c r="C52" t="s">
        <v>215</v>
      </c>
      <c r="D52">
        <v>3028</v>
      </c>
      <c r="E52">
        <v>3029</v>
      </c>
      <c r="F52">
        <v>3027</v>
      </c>
      <c r="G52">
        <v>3027</v>
      </c>
      <c r="H52">
        <v>12100</v>
      </c>
    </row>
    <row r="53" spans="2:8">
      <c r="B53" t="s">
        <v>587</v>
      </c>
      <c r="C53" t="s">
        <v>216</v>
      </c>
      <c r="D53">
        <v>3027</v>
      </c>
      <c r="E53">
        <v>3027</v>
      </c>
      <c r="F53">
        <v>3025</v>
      </c>
      <c r="G53">
        <v>3026</v>
      </c>
      <c r="H53">
        <v>22600</v>
      </c>
    </row>
    <row r="54" spans="2:8">
      <c r="B54" t="s">
        <v>587</v>
      </c>
      <c r="C54" t="s">
        <v>217</v>
      </c>
      <c r="D54">
        <v>3026</v>
      </c>
      <c r="E54">
        <v>3028</v>
      </c>
      <c r="F54">
        <v>3025</v>
      </c>
      <c r="G54">
        <v>3027</v>
      </c>
      <c r="H54">
        <v>66900</v>
      </c>
    </row>
    <row r="55" spans="2:8">
      <c r="B55" t="s">
        <v>587</v>
      </c>
      <c r="C55" t="s">
        <v>218</v>
      </c>
      <c r="D55">
        <v>3028</v>
      </c>
      <c r="E55">
        <v>3028</v>
      </c>
      <c r="F55">
        <v>3020</v>
      </c>
      <c r="G55">
        <v>3020</v>
      </c>
      <c r="H55">
        <v>33700</v>
      </c>
    </row>
    <row r="56" spans="2:8">
      <c r="B56" t="s">
        <v>587</v>
      </c>
      <c r="C56" t="s">
        <v>219</v>
      </c>
      <c r="D56">
        <v>3020</v>
      </c>
      <c r="E56">
        <v>3020</v>
      </c>
      <c r="F56">
        <v>3019</v>
      </c>
      <c r="G56">
        <v>3020</v>
      </c>
      <c r="H56">
        <v>15200</v>
      </c>
    </row>
    <row r="57" spans="2:8">
      <c r="B57" t="s">
        <v>587</v>
      </c>
      <c r="C57" t="s">
        <v>220</v>
      </c>
      <c r="D57">
        <v>3020</v>
      </c>
      <c r="E57">
        <v>3021</v>
      </c>
      <c r="F57">
        <v>3020</v>
      </c>
      <c r="G57">
        <v>3020</v>
      </c>
      <c r="H57">
        <v>14400</v>
      </c>
    </row>
    <row r="58" spans="2:8">
      <c r="B58" t="s">
        <v>587</v>
      </c>
      <c r="C58" t="s">
        <v>221</v>
      </c>
      <c r="D58">
        <v>3020</v>
      </c>
      <c r="E58">
        <v>3020</v>
      </c>
      <c r="F58">
        <v>3018</v>
      </c>
      <c r="G58">
        <v>3019</v>
      </c>
      <c r="H58">
        <v>18500</v>
      </c>
    </row>
    <row r="59" spans="2:8">
      <c r="B59" t="s">
        <v>587</v>
      </c>
      <c r="C59" t="s">
        <v>222</v>
      </c>
      <c r="D59">
        <v>3019</v>
      </c>
      <c r="E59">
        <v>3022</v>
      </c>
      <c r="F59">
        <v>3019</v>
      </c>
      <c r="G59">
        <v>3022</v>
      </c>
      <c r="H59">
        <v>16600</v>
      </c>
    </row>
    <row r="60" spans="2:8">
      <c r="B60" t="s">
        <v>587</v>
      </c>
      <c r="C60" t="s">
        <v>223</v>
      </c>
      <c r="D60">
        <v>3022</v>
      </c>
      <c r="E60">
        <v>3022</v>
      </c>
      <c r="F60">
        <v>3020</v>
      </c>
      <c r="G60">
        <v>3021</v>
      </c>
      <c r="H60">
        <v>12500</v>
      </c>
    </row>
    <row r="61" spans="2:8">
      <c r="B61" t="s">
        <v>587</v>
      </c>
      <c r="C61" t="s">
        <v>224</v>
      </c>
      <c r="D61">
        <v>3021</v>
      </c>
      <c r="E61">
        <v>3025</v>
      </c>
      <c r="F61">
        <v>3021</v>
      </c>
      <c r="G61">
        <v>3023</v>
      </c>
      <c r="H61">
        <v>12400</v>
      </c>
    </row>
    <row r="62" spans="2:8">
      <c r="B62" t="s">
        <v>587</v>
      </c>
      <c r="C62" t="s">
        <v>225</v>
      </c>
      <c r="D62">
        <v>3024</v>
      </c>
      <c r="E62">
        <v>3025</v>
      </c>
      <c r="F62">
        <v>3024</v>
      </c>
      <c r="G62">
        <v>3024</v>
      </c>
      <c r="H62">
        <v>12400</v>
      </c>
    </row>
    <row r="63" spans="2:8">
      <c r="B63" t="s">
        <v>587</v>
      </c>
      <c r="C63" t="s">
        <v>226</v>
      </c>
      <c r="D63">
        <v>3023</v>
      </c>
      <c r="E63">
        <v>3026</v>
      </c>
      <c r="F63">
        <v>3023</v>
      </c>
      <c r="G63">
        <v>3023</v>
      </c>
      <c r="H63">
        <v>15400</v>
      </c>
    </row>
    <row r="64" spans="2:8">
      <c r="B64" t="s">
        <v>587</v>
      </c>
      <c r="C64" t="s">
        <v>227</v>
      </c>
      <c r="D64">
        <v>3024</v>
      </c>
      <c r="E64">
        <v>3025</v>
      </c>
      <c r="F64">
        <v>3022</v>
      </c>
      <c r="G64">
        <v>3022</v>
      </c>
      <c r="H64">
        <v>20900</v>
      </c>
    </row>
    <row r="65" spans="2:8">
      <c r="B65" t="s">
        <v>587</v>
      </c>
      <c r="C65" t="s">
        <v>228</v>
      </c>
      <c r="D65">
        <v>3023</v>
      </c>
      <c r="E65">
        <v>3025</v>
      </c>
      <c r="F65">
        <v>3023</v>
      </c>
      <c r="G65">
        <v>3023</v>
      </c>
      <c r="H65">
        <v>8500</v>
      </c>
    </row>
    <row r="66" spans="2:8">
      <c r="B66" t="s">
        <v>587</v>
      </c>
      <c r="C66" t="s">
        <v>229</v>
      </c>
      <c r="D66">
        <v>3024</v>
      </c>
      <c r="E66">
        <v>3026</v>
      </c>
      <c r="F66">
        <v>3024</v>
      </c>
      <c r="G66">
        <v>3025</v>
      </c>
      <c r="H66">
        <v>12400</v>
      </c>
    </row>
    <row r="67" spans="2:8">
      <c r="B67" t="s">
        <v>587</v>
      </c>
      <c r="C67" t="s">
        <v>230</v>
      </c>
      <c r="D67">
        <v>3026</v>
      </c>
      <c r="E67">
        <v>3027</v>
      </c>
      <c r="F67">
        <v>3025</v>
      </c>
      <c r="G67">
        <v>3026</v>
      </c>
      <c r="H67">
        <v>8800</v>
      </c>
    </row>
    <row r="68" spans="2:8">
      <c r="B68" t="s">
        <v>587</v>
      </c>
      <c r="C68" t="s">
        <v>231</v>
      </c>
      <c r="D68">
        <v>3026</v>
      </c>
      <c r="E68">
        <v>3029</v>
      </c>
      <c r="F68">
        <v>3026</v>
      </c>
      <c r="G68">
        <v>3029</v>
      </c>
      <c r="H68">
        <v>17000</v>
      </c>
    </row>
    <row r="69" spans="2:8">
      <c r="B69" t="s">
        <v>587</v>
      </c>
      <c r="C69" t="s">
        <v>232</v>
      </c>
      <c r="D69">
        <v>3028</v>
      </c>
      <c r="E69">
        <v>3028</v>
      </c>
      <c r="F69">
        <v>3027</v>
      </c>
      <c r="G69">
        <v>3028</v>
      </c>
      <c r="H69">
        <v>13900</v>
      </c>
    </row>
    <row r="70" spans="2:8">
      <c r="B70" t="s">
        <v>587</v>
      </c>
      <c r="C70" t="s">
        <v>233</v>
      </c>
      <c r="D70">
        <v>3028</v>
      </c>
      <c r="E70">
        <v>3028</v>
      </c>
      <c r="F70">
        <v>3026</v>
      </c>
      <c r="G70">
        <v>3028</v>
      </c>
      <c r="H70">
        <v>7300</v>
      </c>
    </row>
    <row r="71" spans="2:8">
      <c r="B71" t="s">
        <v>587</v>
      </c>
      <c r="C71" t="s">
        <v>234</v>
      </c>
      <c r="D71">
        <v>3027</v>
      </c>
      <c r="E71">
        <v>3028</v>
      </c>
      <c r="F71">
        <v>3027</v>
      </c>
      <c r="G71">
        <v>3028</v>
      </c>
      <c r="H71">
        <v>6500</v>
      </c>
    </row>
    <row r="72" spans="2:8">
      <c r="B72" t="s">
        <v>587</v>
      </c>
      <c r="C72" t="s">
        <v>235</v>
      </c>
      <c r="D72">
        <v>3028</v>
      </c>
      <c r="E72">
        <v>3030</v>
      </c>
      <c r="F72">
        <v>3028</v>
      </c>
      <c r="G72">
        <v>3030</v>
      </c>
      <c r="H72">
        <v>67700</v>
      </c>
    </row>
    <row r="73" spans="2:8">
      <c r="B73" t="s">
        <v>587</v>
      </c>
      <c r="C73" t="s">
        <v>236</v>
      </c>
      <c r="D73">
        <v>3030</v>
      </c>
      <c r="E73">
        <v>3030</v>
      </c>
      <c r="F73">
        <v>3023</v>
      </c>
      <c r="G73">
        <v>3023</v>
      </c>
      <c r="H73">
        <v>31500</v>
      </c>
    </row>
    <row r="74" spans="2:8">
      <c r="B74" t="s">
        <v>587</v>
      </c>
      <c r="C74" t="s">
        <v>237</v>
      </c>
      <c r="D74">
        <v>3023</v>
      </c>
      <c r="E74">
        <v>3026</v>
      </c>
      <c r="F74">
        <v>3023</v>
      </c>
      <c r="G74">
        <v>3026</v>
      </c>
      <c r="H74">
        <v>45700</v>
      </c>
    </row>
    <row r="75" spans="2:8">
      <c r="B75" t="s">
        <v>587</v>
      </c>
      <c r="C75" t="s">
        <v>238</v>
      </c>
      <c r="D75">
        <v>3026</v>
      </c>
      <c r="E75">
        <v>3028</v>
      </c>
      <c r="F75">
        <v>3025</v>
      </c>
      <c r="G75">
        <v>3025</v>
      </c>
      <c r="H75">
        <v>14100</v>
      </c>
    </row>
    <row r="76" spans="2:8">
      <c r="B76" t="s">
        <v>587</v>
      </c>
      <c r="C76" t="s">
        <v>239</v>
      </c>
      <c r="D76">
        <v>3025</v>
      </c>
      <c r="E76">
        <v>3028</v>
      </c>
      <c r="F76">
        <v>3024</v>
      </c>
      <c r="G76">
        <v>3026</v>
      </c>
      <c r="H76">
        <v>21200</v>
      </c>
    </row>
    <row r="77" spans="2:8">
      <c r="B77" t="s">
        <v>587</v>
      </c>
      <c r="C77" t="s">
        <v>240</v>
      </c>
      <c r="D77">
        <v>3027</v>
      </c>
      <c r="E77">
        <v>3028</v>
      </c>
      <c r="F77">
        <v>3026</v>
      </c>
      <c r="G77">
        <v>3028</v>
      </c>
      <c r="H77">
        <v>6600</v>
      </c>
    </row>
    <row r="78" spans="2:8">
      <c r="B78" t="s">
        <v>587</v>
      </c>
      <c r="C78" t="s">
        <v>241</v>
      </c>
      <c r="D78">
        <v>3028</v>
      </c>
      <c r="E78">
        <v>3028</v>
      </c>
      <c r="F78">
        <v>3028</v>
      </c>
      <c r="G78">
        <v>3028</v>
      </c>
      <c r="H78">
        <v>8700</v>
      </c>
    </row>
    <row r="79" spans="2:8">
      <c r="B79" t="s">
        <v>587</v>
      </c>
      <c r="C79" t="s">
        <v>242</v>
      </c>
      <c r="D79">
        <v>3029</v>
      </c>
      <c r="E79">
        <v>3029</v>
      </c>
      <c r="F79">
        <v>3026</v>
      </c>
      <c r="G79">
        <v>3027</v>
      </c>
      <c r="H79">
        <v>11300</v>
      </c>
    </row>
    <row r="80" spans="2:8">
      <c r="B80" t="s">
        <v>587</v>
      </c>
      <c r="C80" t="s">
        <v>243</v>
      </c>
      <c r="D80">
        <v>3026</v>
      </c>
      <c r="E80">
        <v>3027</v>
      </c>
      <c r="F80">
        <v>3026</v>
      </c>
      <c r="G80">
        <v>3027</v>
      </c>
      <c r="H80">
        <v>8100</v>
      </c>
    </row>
    <row r="81" spans="2:8">
      <c r="B81" t="s">
        <v>587</v>
      </c>
      <c r="C81" t="s">
        <v>244</v>
      </c>
      <c r="D81">
        <v>3027</v>
      </c>
      <c r="E81">
        <v>3028</v>
      </c>
      <c r="F81">
        <v>3026</v>
      </c>
      <c r="G81">
        <v>3028</v>
      </c>
      <c r="H81">
        <v>5500</v>
      </c>
    </row>
    <row r="82" spans="2:8">
      <c r="B82" t="s">
        <v>587</v>
      </c>
      <c r="C82" t="s">
        <v>245</v>
      </c>
      <c r="D82">
        <v>3028</v>
      </c>
      <c r="E82">
        <v>3028</v>
      </c>
      <c r="F82">
        <v>3027</v>
      </c>
      <c r="G82">
        <v>3028</v>
      </c>
      <c r="H82">
        <v>12300</v>
      </c>
    </row>
    <row r="83" spans="2:8">
      <c r="B83" t="s">
        <v>587</v>
      </c>
      <c r="C83" t="s">
        <v>246</v>
      </c>
      <c r="D83">
        <v>3028</v>
      </c>
      <c r="E83">
        <v>3029</v>
      </c>
      <c r="F83">
        <v>3027</v>
      </c>
      <c r="G83">
        <v>3028</v>
      </c>
      <c r="H83">
        <v>11000</v>
      </c>
    </row>
    <row r="84" spans="2:8">
      <c r="B84" t="s">
        <v>587</v>
      </c>
      <c r="C84" t="s">
        <v>247</v>
      </c>
      <c r="D84">
        <v>3027</v>
      </c>
      <c r="E84">
        <v>3030</v>
      </c>
      <c r="F84">
        <v>3027</v>
      </c>
      <c r="G84">
        <v>3028</v>
      </c>
      <c r="H84">
        <v>42600</v>
      </c>
    </row>
    <row r="85" spans="2:8">
      <c r="B85" t="s">
        <v>587</v>
      </c>
      <c r="C85" t="s">
        <v>248</v>
      </c>
      <c r="D85">
        <v>3030</v>
      </c>
      <c r="E85">
        <v>3030</v>
      </c>
      <c r="F85">
        <v>3029</v>
      </c>
      <c r="G85">
        <v>3029</v>
      </c>
      <c r="H85">
        <v>14600</v>
      </c>
    </row>
    <row r="86" spans="2:8">
      <c r="B86" t="s">
        <v>587</v>
      </c>
      <c r="C86" t="s">
        <v>249</v>
      </c>
      <c r="D86">
        <v>3028</v>
      </c>
      <c r="E86">
        <v>3028</v>
      </c>
      <c r="F86">
        <v>3024</v>
      </c>
      <c r="G86">
        <v>3024</v>
      </c>
      <c r="H86">
        <v>58400</v>
      </c>
    </row>
    <row r="87" spans="2:8">
      <c r="B87" t="s">
        <v>587</v>
      </c>
      <c r="C87" t="s">
        <v>250</v>
      </c>
      <c r="D87">
        <v>3024</v>
      </c>
      <c r="E87">
        <v>3026</v>
      </c>
      <c r="F87">
        <v>3024</v>
      </c>
      <c r="G87">
        <v>3025</v>
      </c>
      <c r="H87">
        <v>12500</v>
      </c>
    </row>
    <row r="88" spans="2:8">
      <c r="B88" t="s">
        <v>587</v>
      </c>
      <c r="C88" t="s">
        <v>251</v>
      </c>
      <c r="D88">
        <v>3025</v>
      </c>
      <c r="E88">
        <v>3026</v>
      </c>
      <c r="F88">
        <v>3025</v>
      </c>
      <c r="G88">
        <v>3026</v>
      </c>
      <c r="H88">
        <v>17900</v>
      </c>
    </row>
    <row r="89" spans="2:8">
      <c r="B89" t="s">
        <v>587</v>
      </c>
      <c r="C89" t="s">
        <v>252</v>
      </c>
      <c r="D89">
        <v>3027</v>
      </c>
      <c r="E89">
        <v>3027</v>
      </c>
      <c r="F89">
        <v>3026</v>
      </c>
      <c r="G89">
        <v>3027</v>
      </c>
      <c r="H89">
        <v>10900</v>
      </c>
    </row>
    <row r="90" spans="2:8">
      <c r="B90" t="s">
        <v>587</v>
      </c>
      <c r="C90" t="s">
        <v>253</v>
      </c>
      <c r="D90">
        <v>3028</v>
      </c>
      <c r="E90">
        <v>3029</v>
      </c>
      <c r="F90">
        <v>3028</v>
      </c>
      <c r="G90">
        <v>3028</v>
      </c>
      <c r="H90">
        <v>32400</v>
      </c>
    </row>
    <row r="91" spans="2:8">
      <c r="B91" t="s">
        <v>587</v>
      </c>
      <c r="C91" t="s">
        <v>254</v>
      </c>
      <c r="D91">
        <v>3028</v>
      </c>
      <c r="E91">
        <v>3030</v>
      </c>
      <c r="F91">
        <v>3028</v>
      </c>
      <c r="G91">
        <v>3030</v>
      </c>
      <c r="H91">
        <v>9500</v>
      </c>
    </row>
    <row r="92" spans="2:8">
      <c r="B92" t="s">
        <v>587</v>
      </c>
      <c r="C92" t="s">
        <v>255</v>
      </c>
      <c r="D92">
        <v>3030</v>
      </c>
      <c r="E92">
        <v>3031</v>
      </c>
      <c r="F92">
        <v>3029</v>
      </c>
      <c r="G92">
        <v>3031</v>
      </c>
      <c r="H92">
        <v>17500</v>
      </c>
    </row>
    <row r="93" spans="2:8">
      <c r="B93" t="s">
        <v>587</v>
      </c>
      <c r="C93" t="s">
        <v>256</v>
      </c>
      <c r="D93">
        <v>3030</v>
      </c>
      <c r="E93">
        <v>3031</v>
      </c>
      <c r="F93">
        <v>3030</v>
      </c>
      <c r="G93">
        <v>3031</v>
      </c>
      <c r="H93">
        <v>13200</v>
      </c>
    </row>
    <row r="94" spans="2:8">
      <c r="B94" t="s">
        <v>587</v>
      </c>
      <c r="C94" t="s">
        <v>257</v>
      </c>
      <c r="D94">
        <v>3031</v>
      </c>
      <c r="E94">
        <v>3033</v>
      </c>
      <c r="F94">
        <v>3030</v>
      </c>
      <c r="G94">
        <v>3033</v>
      </c>
      <c r="H94">
        <v>12700</v>
      </c>
    </row>
    <row r="95" spans="2:8">
      <c r="B95" t="s">
        <v>587</v>
      </c>
      <c r="C95" t="s">
        <v>258</v>
      </c>
      <c r="D95">
        <v>3033</v>
      </c>
      <c r="E95">
        <v>3033</v>
      </c>
      <c r="F95">
        <v>3030</v>
      </c>
      <c r="G95">
        <v>3030</v>
      </c>
      <c r="H95">
        <v>22800</v>
      </c>
    </row>
    <row r="96" spans="2:8">
      <c r="B96" t="s">
        <v>587</v>
      </c>
      <c r="C96" t="s">
        <v>259</v>
      </c>
      <c r="D96">
        <v>3031</v>
      </c>
      <c r="E96">
        <v>3033</v>
      </c>
      <c r="F96">
        <v>3030</v>
      </c>
      <c r="G96">
        <v>3033</v>
      </c>
      <c r="H96">
        <v>23000</v>
      </c>
    </row>
    <row r="97" spans="2:8">
      <c r="B97" t="s">
        <v>587</v>
      </c>
      <c r="C97" t="s">
        <v>260</v>
      </c>
      <c r="D97">
        <v>3032</v>
      </c>
      <c r="E97">
        <v>3033</v>
      </c>
      <c r="F97">
        <v>3032</v>
      </c>
      <c r="G97">
        <v>3032</v>
      </c>
      <c r="H97">
        <v>12300</v>
      </c>
    </row>
    <row r="98" spans="2:8">
      <c r="B98" t="s">
        <v>587</v>
      </c>
      <c r="C98" t="s">
        <v>261</v>
      </c>
      <c r="D98">
        <v>3032</v>
      </c>
      <c r="E98">
        <v>3032</v>
      </c>
      <c r="F98">
        <v>3030</v>
      </c>
      <c r="G98">
        <v>3030</v>
      </c>
      <c r="H98">
        <v>38000</v>
      </c>
    </row>
    <row r="99" spans="2:8">
      <c r="B99" t="s">
        <v>587</v>
      </c>
      <c r="C99" t="s">
        <v>262</v>
      </c>
      <c r="D99">
        <v>3030</v>
      </c>
      <c r="E99">
        <v>3030</v>
      </c>
      <c r="F99">
        <v>3029</v>
      </c>
      <c r="G99">
        <v>3029</v>
      </c>
      <c r="H99">
        <v>20600</v>
      </c>
    </row>
    <row r="100" spans="2:8">
      <c r="B100" t="s">
        <v>587</v>
      </c>
      <c r="C100" t="s">
        <v>263</v>
      </c>
      <c r="D100">
        <v>3029</v>
      </c>
      <c r="E100">
        <v>3029</v>
      </c>
      <c r="F100">
        <v>3029</v>
      </c>
      <c r="G100">
        <v>3029</v>
      </c>
      <c r="H100">
        <v>2900</v>
      </c>
    </row>
    <row r="101" spans="2:8">
      <c r="B101" t="s">
        <v>587</v>
      </c>
      <c r="C101" t="s">
        <v>264</v>
      </c>
      <c r="D101">
        <v>3029</v>
      </c>
      <c r="E101">
        <v>3030</v>
      </c>
      <c r="F101">
        <v>3028</v>
      </c>
      <c r="G101">
        <v>3028</v>
      </c>
      <c r="H101">
        <v>23600</v>
      </c>
    </row>
    <row r="102" spans="2:8">
      <c r="B102" t="s">
        <v>587</v>
      </c>
      <c r="C102" t="s">
        <v>265</v>
      </c>
      <c r="D102">
        <v>3028</v>
      </c>
      <c r="E102">
        <v>3029</v>
      </c>
      <c r="F102">
        <v>3028</v>
      </c>
      <c r="G102">
        <v>3028</v>
      </c>
      <c r="H102">
        <v>4800</v>
      </c>
    </row>
    <row r="103" spans="2:8">
      <c r="B103" t="s">
        <v>587</v>
      </c>
      <c r="C103" t="s">
        <v>266</v>
      </c>
      <c r="D103">
        <v>3028</v>
      </c>
      <c r="E103">
        <v>3030</v>
      </c>
      <c r="F103">
        <v>3028</v>
      </c>
      <c r="G103">
        <v>3029</v>
      </c>
      <c r="H103">
        <v>21200</v>
      </c>
    </row>
    <row r="104" spans="2:8">
      <c r="B104" t="s">
        <v>587</v>
      </c>
      <c r="C104" t="s">
        <v>267</v>
      </c>
      <c r="D104">
        <v>3028</v>
      </c>
      <c r="E104">
        <v>3030</v>
      </c>
      <c r="F104">
        <v>3028</v>
      </c>
      <c r="G104">
        <v>3030</v>
      </c>
      <c r="H104">
        <v>9800</v>
      </c>
    </row>
    <row r="105" spans="2:8">
      <c r="B105" t="s">
        <v>587</v>
      </c>
      <c r="C105" t="s">
        <v>268</v>
      </c>
      <c r="D105">
        <v>3029</v>
      </c>
      <c r="E105">
        <v>3029</v>
      </c>
      <c r="F105">
        <v>3026</v>
      </c>
      <c r="G105">
        <v>3028</v>
      </c>
      <c r="H105">
        <v>28900</v>
      </c>
    </row>
    <row r="106" spans="2:8">
      <c r="B106" t="s">
        <v>587</v>
      </c>
      <c r="C106" t="s">
        <v>269</v>
      </c>
      <c r="D106">
        <v>3028</v>
      </c>
      <c r="E106">
        <v>3029</v>
      </c>
      <c r="F106">
        <v>3027</v>
      </c>
      <c r="G106">
        <v>3029</v>
      </c>
      <c r="H106">
        <v>2800</v>
      </c>
    </row>
    <row r="107" spans="2:8">
      <c r="B107" t="s">
        <v>587</v>
      </c>
      <c r="C107" t="s">
        <v>270</v>
      </c>
      <c r="D107">
        <v>3028</v>
      </c>
      <c r="E107">
        <v>3029</v>
      </c>
      <c r="F107">
        <v>3028</v>
      </c>
      <c r="G107">
        <v>3028</v>
      </c>
      <c r="H107">
        <v>8200</v>
      </c>
    </row>
    <row r="108" spans="2:8">
      <c r="B108" t="s">
        <v>587</v>
      </c>
      <c r="C108" t="s">
        <v>271</v>
      </c>
      <c r="D108">
        <v>3028</v>
      </c>
      <c r="E108">
        <v>3029</v>
      </c>
      <c r="F108">
        <v>3025</v>
      </c>
      <c r="G108">
        <v>3026</v>
      </c>
      <c r="H108">
        <v>34600</v>
      </c>
    </row>
    <row r="109" spans="2:8">
      <c r="B109" t="s">
        <v>587</v>
      </c>
      <c r="C109" t="s">
        <v>272</v>
      </c>
      <c r="D109">
        <v>3027</v>
      </c>
      <c r="E109">
        <v>3028</v>
      </c>
      <c r="F109">
        <v>3027</v>
      </c>
      <c r="G109">
        <v>3027</v>
      </c>
      <c r="H109">
        <v>3400</v>
      </c>
    </row>
    <row r="110" spans="2:8">
      <c r="B110" t="s">
        <v>587</v>
      </c>
      <c r="C110" t="s">
        <v>273</v>
      </c>
      <c r="D110">
        <v>3027</v>
      </c>
      <c r="E110">
        <v>3027</v>
      </c>
      <c r="F110">
        <v>3026</v>
      </c>
      <c r="G110">
        <v>3026</v>
      </c>
      <c r="H110">
        <v>7100</v>
      </c>
    </row>
    <row r="111" spans="2:8">
      <c r="B111" t="s">
        <v>587</v>
      </c>
      <c r="C111" t="s">
        <v>274</v>
      </c>
      <c r="D111">
        <v>3026</v>
      </c>
      <c r="E111">
        <v>3027</v>
      </c>
      <c r="F111">
        <v>3025</v>
      </c>
      <c r="G111">
        <v>3025</v>
      </c>
      <c r="H111">
        <v>7500</v>
      </c>
    </row>
    <row r="112" spans="2:8">
      <c r="B112" t="s">
        <v>587</v>
      </c>
      <c r="C112" t="s">
        <v>275</v>
      </c>
      <c r="D112">
        <v>3025</v>
      </c>
      <c r="E112">
        <v>3025</v>
      </c>
      <c r="F112">
        <v>3023</v>
      </c>
      <c r="G112">
        <v>3024</v>
      </c>
      <c r="H112">
        <v>27400</v>
      </c>
    </row>
    <row r="113" spans="2:8">
      <c r="B113" t="s">
        <v>587</v>
      </c>
      <c r="C113" t="s">
        <v>276</v>
      </c>
      <c r="D113">
        <v>3024</v>
      </c>
      <c r="E113">
        <v>3025</v>
      </c>
      <c r="F113">
        <v>3023</v>
      </c>
      <c r="G113">
        <v>3024</v>
      </c>
      <c r="H113">
        <v>21200</v>
      </c>
    </row>
    <row r="114" spans="2:8">
      <c r="B114" t="s">
        <v>587</v>
      </c>
      <c r="C114" t="s">
        <v>277</v>
      </c>
      <c r="D114">
        <v>3024</v>
      </c>
      <c r="E114">
        <v>3024</v>
      </c>
      <c r="F114">
        <v>3023</v>
      </c>
      <c r="G114">
        <v>3023</v>
      </c>
      <c r="H114">
        <v>7800</v>
      </c>
    </row>
    <row r="115" spans="2:8">
      <c r="B115" t="s">
        <v>587</v>
      </c>
      <c r="C115" t="s">
        <v>278</v>
      </c>
      <c r="D115">
        <v>3023</v>
      </c>
      <c r="E115">
        <v>3024</v>
      </c>
      <c r="F115">
        <v>3022</v>
      </c>
      <c r="G115">
        <v>3023</v>
      </c>
      <c r="H115">
        <v>23300</v>
      </c>
    </row>
    <row r="116" spans="2:8">
      <c r="B116" t="s">
        <v>587</v>
      </c>
      <c r="C116" t="s">
        <v>279</v>
      </c>
      <c r="D116">
        <v>3022</v>
      </c>
      <c r="E116">
        <v>3024</v>
      </c>
      <c r="F116">
        <v>3022</v>
      </c>
      <c r="G116">
        <v>3023</v>
      </c>
      <c r="H116">
        <v>15300</v>
      </c>
    </row>
    <row r="117" spans="2:8">
      <c r="B117" t="s">
        <v>587</v>
      </c>
      <c r="C117" t="s">
        <v>280</v>
      </c>
      <c r="D117">
        <v>3024</v>
      </c>
      <c r="E117">
        <v>3024</v>
      </c>
      <c r="F117">
        <v>3022</v>
      </c>
      <c r="G117">
        <v>3024</v>
      </c>
      <c r="H117">
        <v>13600</v>
      </c>
    </row>
    <row r="118" spans="2:8">
      <c r="B118" t="s">
        <v>587</v>
      </c>
      <c r="C118" t="s">
        <v>281</v>
      </c>
      <c r="D118">
        <v>3024</v>
      </c>
      <c r="E118">
        <v>3026</v>
      </c>
      <c r="F118">
        <v>3024</v>
      </c>
      <c r="G118">
        <v>3025</v>
      </c>
      <c r="H118">
        <v>8700</v>
      </c>
    </row>
    <row r="119" spans="2:8">
      <c r="B119" t="s">
        <v>587</v>
      </c>
      <c r="C119" t="s">
        <v>282</v>
      </c>
      <c r="D119">
        <v>3025</v>
      </c>
      <c r="E119">
        <v>3026</v>
      </c>
      <c r="F119">
        <v>3025</v>
      </c>
      <c r="G119">
        <v>3026</v>
      </c>
      <c r="H119">
        <v>14400</v>
      </c>
    </row>
    <row r="120" spans="2:8">
      <c r="B120" t="s">
        <v>587</v>
      </c>
      <c r="C120" t="s">
        <v>283</v>
      </c>
      <c r="D120">
        <v>3026</v>
      </c>
      <c r="E120">
        <v>3028</v>
      </c>
      <c r="F120">
        <v>3026</v>
      </c>
      <c r="G120">
        <v>3027</v>
      </c>
      <c r="H120">
        <v>14500</v>
      </c>
    </row>
    <row r="121" spans="2:8">
      <c r="B121" t="s">
        <v>587</v>
      </c>
      <c r="C121" t="s">
        <v>284</v>
      </c>
      <c r="D121">
        <v>3027</v>
      </c>
      <c r="E121">
        <v>3027</v>
      </c>
      <c r="F121">
        <v>3024</v>
      </c>
      <c r="G121">
        <v>3025</v>
      </c>
      <c r="H121">
        <v>30400</v>
      </c>
    </row>
    <row r="122" spans="2:8">
      <c r="B122" t="s">
        <v>587</v>
      </c>
      <c r="C122" t="s">
        <v>285</v>
      </c>
      <c r="D122">
        <v>3026</v>
      </c>
      <c r="E122">
        <v>3028</v>
      </c>
      <c r="F122">
        <v>3025</v>
      </c>
      <c r="G122">
        <v>3026</v>
      </c>
      <c r="H122">
        <v>9300</v>
      </c>
    </row>
    <row r="123" spans="2:8">
      <c r="B123" t="s">
        <v>587</v>
      </c>
      <c r="C123" t="s">
        <v>286</v>
      </c>
      <c r="D123">
        <v>3027</v>
      </c>
      <c r="E123">
        <v>3030</v>
      </c>
      <c r="F123">
        <v>3023</v>
      </c>
      <c r="G123">
        <v>3024</v>
      </c>
      <c r="H123">
        <v>51000</v>
      </c>
    </row>
    <row r="124" spans="2:8">
      <c r="B124" t="s">
        <v>587</v>
      </c>
      <c r="C124" t="s">
        <v>287</v>
      </c>
      <c r="D124">
        <v>3025</v>
      </c>
      <c r="E124">
        <v>3025</v>
      </c>
      <c r="F124">
        <v>3022</v>
      </c>
      <c r="G124">
        <v>3022</v>
      </c>
      <c r="H124">
        <v>12300</v>
      </c>
    </row>
    <row r="125" spans="2:8">
      <c r="B125" t="s">
        <v>587</v>
      </c>
      <c r="C125" t="s">
        <v>288</v>
      </c>
      <c r="D125">
        <v>3023</v>
      </c>
      <c r="E125">
        <v>3023</v>
      </c>
      <c r="F125">
        <v>3021</v>
      </c>
      <c r="G125">
        <v>3023</v>
      </c>
      <c r="H125">
        <v>9300</v>
      </c>
    </row>
    <row r="126" spans="2:8">
      <c r="B126" t="s">
        <v>587</v>
      </c>
      <c r="C126" t="s">
        <v>289</v>
      </c>
      <c r="D126">
        <v>3024</v>
      </c>
      <c r="E126">
        <v>3024</v>
      </c>
      <c r="F126">
        <v>3022</v>
      </c>
      <c r="G126">
        <v>3022</v>
      </c>
      <c r="H126">
        <v>9100</v>
      </c>
    </row>
    <row r="127" spans="2:8">
      <c r="B127" t="s">
        <v>587</v>
      </c>
      <c r="C127" t="s">
        <v>290</v>
      </c>
      <c r="D127">
        <v>3023</v>
      </c>
      <c r="E127">
        <v>3025</v>
      </c>
      <c r="F127">
        <v>3022</v>
      </c>
      <c r="G127">
        <v>3022</v>
      </c>
      <c r="H127">
        <v>19600</v>
      </c>
    </row>
    <row r="128" spans="2:8">
      <c r="B128" t="s">
        <v>587</v>
      </c>
      <c r="C128" t="s">
        <v>291</v>
      </c>
      <c r="D128">
        <v>3021</v>
      </c>
      <c r="E128">
        <v>3023</v>
      </c>
      <c r="F128">
        <v>3015</v>
      </c>
      <c r="G128">
        <v>3019</v>
      </c>
      <c r="H128">
        <v>72300</v>
      </c>
    </row>
    <row r="129" spans="2:8">
      <c r="B129" t="s">
        <v>587</v>
      </c>
      <c r="C129" t="s">
        <v>292</v>
      </c>
      <c r="D129">
        <v>3019</v>
      </c>
      <c r="E129">
        <v>3020</v>
      </c>
      <c r="F129">
        <v>3018</v>
      </c>
      <c r="G129">
        <v>3020</v>
      </c>
      <c r="H129">
        <v>20300</v>
      </c>
    </row>
    <row r="130" spans="2:8">
      <c r="B130" t="s">
        <v>587</v>
      </c>
      <c r="C130" t="s">
        <v>293</v>
      </c>
      <c r="D130">
        <v>3020</v>
      </c>
      <c r="E130">
        <v>3020</v>
      </c>
      <c r="F130">
        <v>3016</v>
      </c>
      <c r="G130">
        <v>3017</v>
      </c>
      <c r="H130">
        <v>39600</v>
      </c>
    </row>
    <row r="131" spans="2:8">
      <c r="B131" t="s">
        <v>587</v>
      </c>
      <c r="C131" t="s">
        <v>294</v>
      </c>
      <c r="D131">
        <v>3018</v>
      </c>
      <c r="E131">
        <v>3019</v>
      </c>
      <c r="F131">
        <v>3017</v>
      </c>
      <c r="G131">
        <v>3018</v>
      </c>
      <c r="H131">
        <v>3800</v>
      </c>
    </row>
    <row r="132" spans="2:8">
      <c r="B132" t="s">
        <v>587</v>
      </c>
      <c r="C132" t="s">
        <v>295</v>
      </c>
      <c r="D132">
        <v>3019</v>
      </c>
      <c r="E132">
        <v>3020</v>
      </c>
      <c r="F132">
        <v>3018</v>
      </c>
      <c r="G132">
        <v>3018</v>
      </c>
      <c r="H132">
        <v>14100</v>
      </c>
    </row>
    <row r="133" spans="2:8">
      <c r="B133" t="s">
        <v>587</v>
      </c>
      <c r="C133" t="s">
        <v>296</v>
      </c>
      <c r="D133">
        <v>3018</v>
      </c>
      <c r="E133">
        <v>3019</v>
      </c>
      <c r="F133">
        <v>3017</v>
      </c>
      <c r="G133">
        <v>3019</v>
      </c>
      <c r="H133">
        <v>33400</v>
      </c>
    </row>
    <row r="134" spans="2:8">
      <c r="B134" t="s">
        <v>587</v>
      </c>
      <c r="C134" t="s">
        <v>297</v>
      </c>
      <c r="D134">
        <v>3019</v>
      </c>
      <c r="E134">
        <v>3020</v>
      </c>
      <c r="F134">
        <v>3019</v>
      </c>
      <c r="G134">
        <v>3020</v>
      </c>
      <c r="H134">
        <v>17100</v>
      </c>
    </row>
    <row r="135" spans="2:8">
      <c r="B135" t="s">
        <v>587</v>
      </c>
      <c r="C135" t="s">
        <v>298</v>
      </c>
      <c r="D135">
        <v>3021</v>
      </c>
      <c r="E135">
        <v>3021</v>
      </c>
      <c r="F135">
        <v>3020</v>
      </c>
      <c r="G135">
        <v>3021</v>
      </c>
      <c r="H135">
        <v>4300</v>
      </c>
    </row>
    <row r="136" spans="2:8">
      <c r="B136" t="s">
        <v>587</v>
      </c>
      <c r="C136" t="s">
        <v>299</v>
      </c>
      <c r="D136">
        <v>3021</v>
      </c>
      <c r="E136">
        <v>3022</v>
      </c>
      <c r="F136">
        <v>3021</v>
      </c>
      <c r="G136">
        <v>3022</v>
      </c>
      <c r="H136">
        <v>14200</v>
      </c>
    </row>
    <row r="137" spans="2:8">
      <c r="B137" t="s">
        <v>587</v>
      </c>
      <c r="C137" t="s">
        <v>300</v>
      </c>
      <c r="D137">
        <v>3021</v>
      </c>
      <c r="E137">
        <v>3021</v>
      </c>
      <c r="F137">
        <v>3020</v>
      </c>
      <c r="G137">
        <v>3020</v>
      </c>
      <c r="H137">
        <v>2900</v>
      </c>
    </row>
    <row r="138" spans="2:8">
      <c r="B138" t="s">
        <v>587</v>
      </c>
      <c r="C138" t="s">
        <v>301</v>
      </c>
      <c r="D138">
        <v>3021</v>
      </c>
      <c r="E138">
        <v>3021</v>
      </c>
      <c r="F138">
        <v>3020</v>
      </c>
      <c r="G138">
        <v>3020</v>
      </c>
      <c r="H138">
        <v>26000</v>
      </c>
    </row>
    <row r="139" spans="2:8">
      <c r="B139" t="s">
        <v>587</v>
      </c>
      <c r="C139" t="s">
        <v>302</v>
      </c>
      <c r="D139">
        <v>3020</v>
      </c>
      <c r="E139">
        <v>3022</v>
      </c>
      <c r="F139">
        <v>3020</v>
      </c>
      <c r="G139">
        <v>3021</v>
      </c>
      <c r="H139">
        <v>21700</v>
      </c>
    </row>
    <row r="140" spans="2:8">
      <c r="B140" t="s">
        <v>587</v>
      </c>
      <c r="C140" t="s">
        <v>303</v>
      </c>
      <c r="D140">
        <v>3021</v>
      </c>
      <c r="E140">
        <v>3021</v>
      </c>
      <c r="F140">
        <v>3020</v>
      </c>
      <c r="G140">
        <v>3020</v>
      </c>
      <c r="H140">
        <v>17100</v>
      </c>
    </row>
    <row r="141" spans="2:8">
      <c r="B141" t="s">
        <v>587</v>
      </c>
      <c r="C141" t="s">
        <v>304</v>
      </c>
      <c r="D141">
        <v>3020</v>
      </c>
      <c r="E141">
        <v>3022</v>
      </c>
      <c r="F141">
        <v>3020</v>
      </c>
      <c r="G141">
        <v>3021</v>
      </c>
      <c r="H141">
        <v>13800</v>
      </c>
    </row>
    <row r="142" spans="2:8">
      <c r="B142" t="s">
        <v>587</v>
      </c>
      <c r="C142" t="s">
        <v>305</v>
      </c>
      <c r="D142">
        <v>3021</v>
      </c>
      <c r="E142">
        <v>3021</v>
      </c>
      <c r="F142">
        <v>3016</v>
      </c>
      <c r="G142">
        <v>3020</v>
      </c>
      <c r="H142">
        <v>67800</v>
      </c>
    </row>
    <row r="143" spans="2:8">
      <c r="B143" t="s">
        <v>587</v>
      </c>
      <c r="C143" t="s">
        <v>306</v>
      </c>
      <c r="D143">
        <v>3020</v>
      </c>
      <c r="E143">
        <v>3020</v>
      </c>
      <c r="F143">
        <v>3014</v>
      </c>
      <c r="G143">
        <v>3018</v>
      </c>
      <c r="H143">
        <v>85300</v>
      </c>
    </row>
    <row r="144" spans="2:8">
      <c r="B144" t="s">
        <v>587</v>
      </c>
      <c r="C144" t="s">
        <v>307</v>
      </c>
      <c r="D144">
        <v>3019</v>
      </c>
      <c r="E144">
        <v>3020</v>
      </c>
      <c r="F144">
        <v>3018</v>
      </c>
      <c r="G144">
        <v>3019</v>
      </c>
      <c r="H144">
        <v>17400</v>
      </c>
    </row>
    <row r="145" spans="2:8">
      <c r="B145" t="s">
        <v>587</v>
      </c>
      <c r="C145" t="s">
        <v>308</v>
      </c>
      <c r="D145">
        <v>3018</v>
      </c>
      <c r="E145">
        <v>3018</v>
      </c>
      <c r="F145">
        <v>3017</v>
      </c>
      <c r="G145">
        <v>3017</v>
      </c>
      <c r="H145">
        <v>12900</v>
      </c>
    </row>
    <row r="146" spans="2:8">
      <c r="B146" t="s">
        <v>587</v>
      </c>
      <c r="C146" t="s">
        <v>309</v>
      </c>
      <c r="D146">
        <v>3017</v>
      </c>
      <c r="E146">
        <v>3018</v>
      </c>
      <c r="F146">
        <v>3016</v>
      </c>
      <c r="G146">
        <v>3017</v>
      </c>
      <c r="H146">
        <v>21900</v>
      </c>
    </row>
    <row r="147" spans="2:8">
      <c r="B147" t="s">
        <v>587</v>
      </c>
      <c r="C147" t="s">
        <v>310</v>
      </c>
      <c r="D147">
        <v>3018</v>
      </c>
      <c r="E147">
        <v>3019</v>
      </c>
      <c r="F147">
        <v>3012</v>
      </c>
      <c r="G147">
        <v>3016</v>
      </c>
      <c r="H147">
        <v>82400</v>
      </c>
    </row>
    <row r="148" spans="2:8">
      <c r="B148" t="s">
        <v>587</v>
      </c>
      <c r="C148" t="s">
        <v>311</v>
      </c>
      <c r="D148">
        <v>3016</v>
      </c>
      <c r="E148">
        <v>3017</v>
      </c>
      <c r="F148">
        <v>3014</v>
      </c>
      <c r="G148">
        <v>3015</v>
      </c>
      <c r="H148">
        <v>21500</v>
      </c>
    </row>
    <row r="149" spans="2:8">
      <c r="B149" t="s">
        <v>587</v>
      </c>
      <c r="C149" t="s">
        <v>312</v>
      </c>
      <c r="D149">
        <v>3014</v>
      </c>
      <c r="E149">
        <v>3015</v>
      </c>
      <c r="F149">
        <v>3014</v>
      </c>
      <c r="G149">
        <v>3015</v>
      </c>
      <c r="H149">
        <v>15300</v>
      </c>
    </row>
    <row r="150" spans="2:8">
      <c r="B150" t="s">
        <v>587</v>
      </c>
      <c r="C150" t="s">
        <v>313</v>
      </c>
      <c r="D150">
        <v>3014</v>
      </c>
      <c r="E150">
        <v>3015</v>
      </c>
      <c r="F150">
        <v>3010</v>
      </c>
      <c r="G150">
        <v>3013</v>
      </c>
      <c r="H150">
        <v>84700</v>
      </c>
    </row>
    <row r="151" spans="2:8">
      <c r="B151" t="s">
        <v>587</v>
      </c>
      <c r="C151" t="s">
        <v>314</v>
      </c>
      <c r="D151">
        <v>3013</v>
      </c>
      <c r="E151">
        <v>3013</v>
      </c>
      <c r="F151">
        <v>3012</v>
      </c>
      <c r="G151">
        <v>3012</v>
      </c>
      <c r="H151">
        <v>7100</v>
      </c>
    </row>
    <row r="152" spans="2:8">
      <c r="B152" t="s">
        <v>587</v>
      </c>
      <c r="C152" t="s">
        <v>315</v>
      </c>
      <c r="D152">
        <v>3012</v>
      </c>
      <c r="E152">
        <v>3013</v>
      </c>
      <c r="F152">
        <v>3011</v>
      </c>
      <c r="G152">
        <v>3011</v>
      </c>
      <c r="H152">
        <v>36000</v>
      </c>
    </row>
    <row r="153" spans="2:8">
      <c r="B153" t="s">
        <v>587</v>
      </c>
      <c r="C153" t="s">
        <v>316</v>
      </c>
      <c r="D153">
        <v>3010</v>
      </c>
      <c r="E153">
        <v>3010</v>
      </c>
      <c r="F153">
        <v>3010</v>
      </c>
      <c r="G153">
        <v>3010</v>
      </c>
      <c r="H153">
        <v>7900</v>
      </c>
    </row>
    <row r="154" spans="2:8">
      <c r="B154" t="s">
        <v>587</v>
      </c>
      <c r="C154" t="s">
        <v>317</v>
      </c>
      <c r="D154">
        <v>3022</v>
      </c>
      <c r="E154">
        <v>3032</v>
      </c>
      <c r="F154">
        <v>3019</v>
      </c>
      <c r="G154">
        <v>3026</v>
      </c>
      <c r="H154">
        <v>268700</v>
      </c>
    </row>
    <row r="155" spans="2:8">
      <c r="B155" t="s">
        <v>587</v>
      </c>
      <c r="C155" t="s">
        <v>318</v>
      </c>
      <c r="D155">
        <v>3025</v>
      </c>
      <c r="E155">
        <v>3028</v>
      </c>
      <c r="F155">
        <v>3024</v>
      </c>
      <c r="G155">
        <v>3027</v>
      </c>
      <c r="H155">
        <v>43100</v>
      </c>
    </row>
    <row r="156" spans="2:8">
      <c r="B156" t="s">
        <v>587</v>
      </c>
      <c r="C156" t="s">
        <v>319</v>
      </c>
      <c r="D156">
        <v>3027</v>
      </c>
      <c r="E156">
        <v>3027</v>
      </c>
      <c r="F156">
        <v>3025</v>
      </c>
      <c r="G156">
        <v>3025</v>
      </c>
      <c r="H156">
        <v>20100</v>
      </c>
    </row>
    <row r="157" spans="2:8">
      <c r="B157" t="s">
        <v>587</v>
      </c>
      <c r="C157" t="s">
        <v>320</v>
      </c>
      <c r="D157">
        <v>3026</v>
      </c>
      <c r="E157">
        <v>3028</v>
      </c>
      <c r="F157">
        <v>3022</v>
      </c>
      <c r="G157">
        <v>3028</v>
      </c>
      <c r="H157">
        <v>31800</v>
      </c>
    </row>
    <row r="158" spans="2:8">
      <c r="B158" t="s">
        <v>587</v>
      </c>
      <c r="C158" t="s">
        <v>321</v>
      </c>
      <c r="D158">
        <v>3028</v>
      </c>
      <c r="E158">
        <v>3029</v>
      </c>
      <c r="F158">
        <v>3026</v>
      </c>
      <c r="G158">
        <v>3027</v>
      </c>
      <c r="H158">
        <v>14900</v>
      </c>
    </row>
    <row r="159" spans="2:8">
      <c r="B159" t="s">
        <v>587</v>
      </c>
      <c r="C159" t="s">
        <v>322</v>
      </c>
      <c r="D159">
        <v>3027</v>
      </c>
      <c r="E159">
        <v>3028</v>
      </c>
      <c r="F159">
        <v>3026</v>
      </c>
      <c r="G159">
        <v>3026</v>
      </c>
      <c r="H159">
        <v>13200</v>
      </c>
    </row>
    <row r="160" spans="2:8">
      <c r="B160" t="s">
        <v>587</v>
      </c>
      <c r="C160" t="s">
        <v>323</v>
      </c>
      <c r="D160">
        <v>3026</v>
      </c>
      <c r="E160">
        <v>3029</v>
      </c>
      <c r="F160">
        <v>3025</v>
      </c>
      <c r="G160">
        <v>3027</v>
      </c>
      <c r="H160">
        <v>30200</v>
      </c>
    </row>
    <row r="161" spans="2:8">
      <c r="B161" t="s">
        <v>587</v>
      </c>
      <c r="C161" t="s">
        <v>324</v>
      </c>
      <c r="D161">
        <v>3028</v>
      </c>
      <c r="E161">
        <v>3030</v>
      </c>
      <c r="F161">
        <v>3027</v>
      </c>
      <c r="G161">
        <v>3029</v>
      </c>
      <c r="H161">
        <v>27500</v>
      </c>
    </row>
    <row r="162" spans="2:8">
      <c r="B162" t="s">
        <v>587</v>
      </c>
      <c r="C162" t="s">
        <v>325</v>
      </c>
      <c r="D162">
        <v>3029</v>
      </c>
      <c r="E162">
        <v>3030</v>
      </c>
      <c r="F162">
        <v>3027</v>
      </c>
      <c r="G162">
        <v>3028</v>
      </c>
      <c r="H162">
        <v>28700</v>
      </c>
    </row>
    <row r="163" spans="2:8">
      <c r="B163" t="s">
        <v>587</v>
      </c>
      <c r="C163" t="s">
        <v>326</v>
      </c>
      <c r="D163">
        <v>3027</v>
      </c>
      <c r="E163">
        <v>3028</v>
      </c>
      <c r="F163">
        <v>3026</v>
      </c>
      <c r="G163">
        <v>3027</v>
      </c>
      <c r="H163">
        <v>24100</v>
      </c>
    </row>
    <row r="164" spans="2:8">
      <c r="B164" t="s">
        <v>587</v>
      </c>
      <c r="C164" t="s">
        <v>327</v>
      </c>
      <c r="D164">
        <v>3026</v>
      </c>
      <c r="E164">
        <v>3027</v>
      </c>
      <c r="F164">
        <v>3026</v>
      </c>
      <c r="G164">
        <v>3026</v>
      </c>
      <c r="H164">
        <v>22200</v>
      </c>
    </row>
    <row r="165" spans="2:8">
      <c r="B165" t="s">
        <v>587</v>
      </c>
      <c r="C165" t="s">
        <v>328</v>
      </c>
      <c r="D165">
        <v>3027</v>
      </c>
      <c r="E165">
        <v>3028</v>
      </c>
      <c r="F165">
        <v>3025</v>
      </c>
      <c r="G165">
        <v>3026</v>
      </c>
      <c r="H165">
        <v>24200</v>
      </c>
    </row>
    <row r="166" spans="2:8">
      <c r="B166" t="s">
        <v>587</v>
      </c>
      <c r="C166" t="s">
        <v>329</v>
      </c>
      <c r="D166">
        <v>3026</v>
      </c>
      <c r="E166">
        <v>3027</v>
      </c>
      <c r="F166">
        <v>3025</v>
      </c>
      <c r="G166">
        <v>3027</v>
      </c>
      <c r="H166">
        <v>10900</v>
      </c>
    </row>
    <row r="167" spans="2:8">
      <c r="B167" t="s">
        <v>587</v>
      </c>
      <c r="C167" t="s">
        <v>330</v>
      </c>
      <c r="D167">
        <v>3027</v>
      </c>
      <c r="E167">
        <v>3028</v>
      </c>
      <c r="F167">
        <v>3026</v>
      </c>
      <c r="G167">
        <v>3027</v>
      </c>
      <c r="H167">
        <v>26700</v>
      </c>
    </row>
    <row r="168" spans="2:8">
      <c r="B168" t="s">
        <v>587</v>
      </c>
      <c r="C168" t="s">
        <v>331</v>
      </c>
      <c r="D168">
        <v>3028</v>
      </c>
      <c r="E168">
        <v>3029</v>
      </c>
      <c r="F168">
        <v>3026</v>
      </c>
      <c r="G168">
        <v>3027</v>
      </c>
      <c r="H168">
        <v>24300</v>
      </c>
    </row>
    <row r="169" spans="2:8">
      <c r="B169" t="s">
        <v>587</v>
      </c>
      <c r="C169" t="s">
        <v>332</v>
      </c>
      <c r="D169">
        <v>3027</v>
      </c>
      <c r="E169">
        <v>3028</v>
      </c>
      <c r="F169">
        <v>3026</v>
      </c>
      <c r="G169">
        <v>3027</v>
      </c>
      <c r="H169">
        <v>10200</v>
      </c>
    </row>
    <row r="170" spans="2:8">
      <c r="B170" t="s">
        <v>587</v>
      </c>
      <c r="C170" t="s">
        <v>333</v>
      </c>
      <c r="D170">
        <v>3028</v>
      </c>
      <c r="E170">
        <v>3029</v>
      </c>
      <c r="F170">
        <v>3028</v>
      </c>
      <c r="G170">
        <v>3029</v>
      </c>
      <c r="H170">
        <v>7100</v>
      </c>
    </row>
    <row r="171" spans="2:8">
      <c r="B171" t="s">
        <v>587</v>
      </c>
      <c r="C171" t="s">
        <v>334</v>
      </c>
      <c r="D171">
        <v>3030</v>
      </c>
      <c r="E171">
        <v>3030</v>
      </c>
      <c r="F171">
        <v>3028</v>
      </c>
      <c r="G171">
        <v>3028</v>
      </c>
      <c r="H171">
        <v>20700</v>
      </c>
    </row>
    <row r="172" spans="2:8">
      <c r="B172" t="s">
        <v>587</v>
      </c>
      <c r="C172" t="s">
        <v>335</v>
      </c>
      <c r="D172">
        <v>3027</v>
      </c>
      <c r="E172">
        <v>3029</v>
      </c>
      <c r="F172">
        <v>3027</v>
      </c>
      <c r="G172">
        <v>3029</v>
      </c>
      <c r="H172">
        <v>5600</v>
      </c>
    </row>
    <row r="173" spans="2:8">
      <c r="B173" t="s">
        <v>587</v>
      </c>
      <c r="C173" t="s">
        <v>336</v>
      </c>
      <c r="D173">
        <v>3029</v>
      </c>
      <c r="E173">
        <v>3030</v>
      </c>
      <c r="F173">
        <v>3029</v>
      </c>
      <c r="G173">
        <v>3030</v>
      </c>
      <c r="H173">
        <v>20700</v>
      </c>
    </row>
    <row r="174" spans="2:8">
      <c r="B174" t="s">
        <v>587</v>
      </c>
      <c r="C174" t="s">
        <v>337</v>
      </c>
      <c r="D174">
        <v>3030</v>
      </c>
      <c r="E174">
        <v>3030</v>
      </c>
      <c r="F174">
        <v>3028</v>
      </c>
      <c r="G174">
        <v>3029</v>
      </c>
      <c r="H174">
        <v>19300</v>
      </c>
    </row>
    <row r="175" spans="2:8">
      <c r="B175" t="s">
        <v>587</v>
      </c>
      <c r="C175" t="s">
        <v>338</v>
      </c>
      <c r="D175">
        <v>3029</v>
      </c>
      <c r="E175">
        <v>3030</v>
      </c>
      <c r="F175">
        <v>3028</v>
      </c>
      <c r="G175">
        <v>3030</v>
      </c>
      <c r="H175">
        <v>11700</v>
      </c>
    </row>
    <row r="176" spans="2:8">
      <c r="B176" t="s">
        <v>587</v>
      </c>
      <c r="C176" t="s">
        <v>339</v>
      </c>
      <c r="D176">
        <v>3030</v>
      </c>
      <c r="E176">
        <v>3032</v>
      </c>
      <c r="F176">
        <v>3030</v>
      </c>
      <c r="G176">
        <v>3032</v>
      </c>
      <c r="H176">
        <v>45600</v>
      </c>
    </row>
    <row r="177" spans="2:8">
      <c r="B177" t="s">
        <v>587</v>
      </c>
      <c r="C177" t="s">
        <v>340</v>
      </c>
      <c r="D177">
        <v>3032</v>
      </c>
      <c r="E177">
        <v>3033</v>
      </c>
      <c r="F177">
        <v>3028</v>
      </c>
      <c r="G177">
        <v>3028</v>
      </c>
      <c r="H177">
        <v>75000</v>
      </c>
    </row>
    <row r="178" spans="2:8">
      <c r="B178" t="s">
        <v>587</v>
      </c>
      <c r="C178" t="s">
        <v>341</v>
      </c>
      <c r="D178">
        <v>3028</v>
      </c>
      <c r="E178">
        <v>3029</v>
      </c>
      <c r="F178">
        <v>3028</v>
      </c>
      <c r="G178">
        <v>3028</v>
      </c>
      <c r="H178">
        <v>7700</v>
      </c>
    </row>
    <row r="179" spans="2:8">
      <c r="B179" t="s">
        <v>587</v>
      </c>
      <c r="C179" t="s">
        <v>342</v>
      </c>
      <c r="D179">
        <v>3029</v>
      </c>
      <c r="E179">
        <v>3029</v>
      </c>
      <c r="F179">
        <v>3028</v>
      </c>
      <c r="G179">
        <v>3029</v>
      </c>
      <c r="H179">
        <v>4900</v>
      </c>
    </row>
    <row r="180" spans="2:8">
      <c r="B180" t="s">
        <v>587</v>
      </c>
      <c r="C180" t="s">
        <v>343</v>
      </c>
      <c r="D180">
        <v>3028</v>
      </c>
      <c r="E180">
        <v>3031</v>
      </c>
      <c r="F180">
        <v>3028</v>
      </c>
      <c r="G180">
        <v>3030</v>
      </c>
      <c r="H180">
        <v>18400</v>
      </c>
    </row>
    <row r="181" spans="2:8">
      <c r="B181" t="s">
        <v>587</v>
      </c>
      <c r="C181" t="s">
        <v>344</v>
      </c>
      <c r="D181">
        <v>3030</v>
      </c>
      <c r="E181">
        <v>3031</v>
      </c>
      <c r="F181">
        <v>3029</v>
      </c>
      <c r="G181">
        <v>3030</v>
      </c>
      <c r="H181">
        <v>5500</v>
      </c>
    </row>
    <row r="182" spans="2:8">
      <c r="B182" t="s">
        <v>587</v>
      </c>
      <c r="C182" t="s">
        <v>345</v>
      </c>
      <c r="D182">
        <v>3030</v>
      </c>
      <c r="E182">
        <v>3031</v>
      </c>
      <c r="F182">
        <v>3030</v>
      </c>
      <c r="G182">
        <v>3030</v>
      </c>
      <c r="H182">
        <v>17700</v>
      </c>
    </row>
    <row r="183" spans="2:8">
      <c r="B183" t="s">
        <v>587</v>
      </c>
      <c r="C183" t="s">
        <v>346</v>
      </c>
      <c r="D183">
        <v>3031</v>
      </c>
      <c r="E183">
        <v>3031</v>
      </c>
      <c r="F183">
        <v>3028</v>
      </c>
      <c r="G183">
        <v>3029</v>
      </c>
      <c r="H183">
        <v>21200</v>
      </c>
    </row>
    <row r="184" spans="2:8">
      <c r="B184" t="s">
        <v>587</v>
      </c>
      <c r="C184" t="s">
        <v>347</v>
      </c>
      <c r="D184">
        <v>3030</v>
      </c>
      <c r="E184">
        <v>3030</v>
      </c>
      <c r="F184">
        <v>3027</v>
      </c>
      <c r="G184">
        <v>3028</v>
      </c>
      <c r="H184">
        <v>18200</v>
      </c>
    </row>
    <row r="185" spans="2:8">
      <c r="B185" t="s">
        <v>587</v>
      </c>
      <c r="C185" t="s">
        <v>348</v>
      </c>
      <c r="D185">
        <v>3028</v>
      </c>
      <c r="E185">
        <v>3029</v>
      </c>
      <c r="F185">
        <v>3026</v>
      </c>
      <c r="G185">
        <v>3028</v>
      </c>
      <c r="H185">
        <v>16600</v>
      </c>
    </row>
    <row r="186" spans="2:8">
      <c r="B186" t="s">
        <v>587</v>
      </c>
      <c r="C186" t="s">
        <v>349</v>
      </c>
      <c r="D186">
        <v>3028</v>
      </c>
      <c r="E186">
        <v>3029</v>
      </c>
      <c r="F186">
        <v>3027</v>
      </c>
      <c r="G186">
        <v>3029</v>
      </c>
      <c r="H186">
        <v>7000</v>
      </c>
    </row>
    <row r="187" spans="2:8">
      <c r="B187" t="s">
        <v>587</v>
      </c>
      <c r="C187" t="s">
        <v>350</v>
      </c>
      <c r="D187">
        <v>3028</v>
      </c>
      <c r="E187">
        <v>3028</v>
      </c>
      <c r="F187">
        <v>3026</v>
      </c>
      <c r="G187">
        <v>3026</v>
      </c>
      <c r="H187">
        <v>16700</v>
      </c>
    </row>
    <row r="188" spans="2:8">
      <c r="B188" t="s">
        <v>587</v>
      </c>
      <c r="C188" t="s">
        <v>351</v>
      </c>
      <c r="D188">
        <v>3026</v>
      </c>
      <c r="E188">
        <v>3026</v>
      </c>
      <c r="F188">
        <v>3023</v>
      </c>
      <c r="G188">
        <v>3025</v>
      </c>
      <c r="H188">
        <v>26200</v>
      </c>
    </row>
    <row r="189" spans="2:8">
      <c r="B189" t="s">
        <v>587</v>
      </c>
      <c r="C189" t="s">
        <v>352</v>
      </c>
      <c r="D189">
        <v>3026</v>
      </c>
      <c r="E189">
        <v>3026</v>
      </c>
      <c r="F189">
        <v>3024</v>
      </c>
      <c r="G189">
        <v>3025</v>
      </c>
      <c r="H189">
        <v>6400</v>
      </c>
    </row>
    <row r="190" spans="2:8">
      <c r="B190" t="s">
        <v>587</v>
      </c>
      <c r="C190" t="s">
        <v>353</v>
      </c>
      <c r="D190">
        <v>3024</v>
      </c>
      <c r="E190">
        <v>3025</v>
      </c>
      <c r="F190">
        <v>3023</v>
      </c>
      <c r="G190">
        <v>3024</v>
      </c>
      <c r="H190">
        <v>16200</v>
      </c>
    </row>
    <row r="191" spans="2:8">
      <c r="B191" t="s">
        <v>587</v>
      </c>
      <c r="C191" t="s">
        <v>354</v>
      </c>
      <c r="D191">
        <v>3023</v>
      </c>
      <c r="E191">
        <v>3024</v>
      </c>
      <c r="F191">
        <v>3022</v>
      </c>
      <c r="G191">
        <v>3022</v>
      </c>
      <c r="H191">
        <v>16300</v>
      </c>
    </row>
    <row r="192" spans="2:8">
      <c r="B192" t="s">
        <v>587</v>
      </c>
      <c r="C192" t="s">
        <v>355</v>
      </c>
      <c r="D192">
        <v>3022</v>
      </c>
      <c r="E192">
        <v>3023</v>
      </c>
      <c r="F192">
        <v>3020</v>
      </c>
      <c r="G192">
        <v>3020</v>
      </c>
      <c r="H192">
        <v>10400</v>
      </c>
    </row>
    <row r="193" spans="2:8">
      <c r="B193" t="s">
        <v>587</v>
      </c>
      <c r="C193" t="s">
        <v>356</v>
      </c>
      <c r="D193">
        <v>3020</v>
      </c>
      <c r="E193">
        <v>3021</v>
      </c>
      <c r="F193">
        <v>3020</v>
      </c>
      <c r="G193">
        <v>3021</v>
      </c>
      <c r="H193">
        <v>10500</v>
      </c>
    </row>
    <row r="194" spans="2:8">
      <c r="B194" t="s">
        <v>587</v>
      </c>
      <c r="C194" t="s">
        <v>357</v>
      </c>
      <c r="D194">
        <v>3021</v>
      </c>
      <c r="E194">
        <v>3022</v>
      </c>
      <c r="F194">
        <v>3021</v>
      </c>
      <c r="G194">
        <v>3022</v>
      </c>
      <c r="H194">
        <v>9600</v>
      </c>
    </row>
    <row r="195" spans="2:8">
      <c r="B195" t="s">
        <v>587</v>
      </c>
      <c r="C195" t="s">
        <v>358</v>
      </c>
      <c r="D195">
        <v>3021</v>
      </c>
      <c r="E195">
        <v>3022</v>
      </c>
      <c r="F195">
        <v>3021</v>
      </c>
      <c r="G195">
        <v>3021</v>
      </c>
      <c r="H195">
        <v>14800</v>
      </c>
    </row>
    <row r="196" spans="2:8">
      <c r="B196" t="s">
        <v>587</v>
      </c>
      <c r="C196" t="s">
        <v>359</v>
      </c>
      <c r="D196">
        <v>3022</v>
      </c>
      <c r="E196">
        <v>3023</v>
      </c>
      <c r="F196">
        <v>3021</v>
      </c>
      <c r="G196">
        <v>3023</v>
      </c>
      <c r="H196">
        <v>4500</v>
      </c>
    </row>
    <row r="197" spans="2:8">
      <c r="B197" t="s">
        <v>587</v>
      </c>
      <c r="C197" t="s">
        <v>360</v>
      </c>
      <c r="D197">
        <v>3023</v>
      </c>
      <c r="E197">
        <v>3024</v>
      </c>
      <c r="F197">
        <v>3023</v>
      </c>
      <c r="G197">
        <v>3024</v>
      </c>
      <c r="H197">
        <v>10800</v>
      </c>
    </row>
    <row r="198" spans="2:8">
      <c r="B198" t="s">
        <v>587</v>
      </c>
      <c r="C198" t="s">
        <v>361</v>
      </c>
      <c r="D198">
        <v>3023</v>
      </c>
      <c r="E198">
        <v>3024</v>
      </c>
      <c r="F198">
        <v>3023</v>
      </c>
      <c r="G198">
        <v>3023</v>
      </c>
      <c r="H198">
        <v>1300</v>
      </c>
    </row>
    <row r="199" spans="2:8">
      <c r="B199" t="s">
        <v>587</v>
      </c>
      <c r="C199" t="s">
        <v>362</v>
      </c>
      <c r="D199">
        <v>3024</v>
      </c>
      <c r="E199">
        <v>3025</v>
      </c>
      <c r="F199">
        <v>3022</v>
      </c>
      <c r="G199">
        <v>3025</v>
      </c>
      <c r="H199">
        <v>17900</v>
      </c>
    </row>
    <row r="200" spans="2:8">
      <c r="B200" t="s">
        <v>587</v>
      </c>
      <c r="C200" t="s">
        <v>363</v>
      </c>
      <c r="D200">
        <v>3025</v>
      </c>
      <c r="E200">
        <v>3025</v>
      </c>
      <c r="F200">
        <v>3025</v>
      </c>
      <c r="G200">
        <v>3025</v>
      </c>
      <c r="H200">
        <v>7100</v>
      </c>
    </row>
    <row r="201" spans="2:8">
      <c r="B201" t="s">
        <v>587</v>
      </c>
      <c r="C201" t="s">
        <v>364</v>
      </c>
      <c r="D201">
        <v>3024</v>
      </c>
      <c r="E201">
        <v>3025</v>
      </c>
      <c r="F201">
        <v>3023</v>
      </c>
      <c r="G201">
        <v>3024</v>
      </c>
      <c r="H201">
        <v>12300</v>
      </c>
    </row>
    <row r="202" spans="2:8">
      <c r="B202" t="s">
        <v>587</v>
      </c>
      <c r="C202" t="s">
        <v>365</v>
      </c>
      <c r="D202">
        <v>3024</v>
      </c>
      <c r="E202">
        <v>3024</v>
      </c>
      <c r="F202">
        <v>3023</v>
      </c>
      <c r="G202">
        <v>3023</v>
      </c>
      <c r="H202">
        <v>3000</v>
      </c>
    </row>
    <row r="203" spans="2:8">
      <c r="B203" t="s">
        <v>587</v>
      </c>
      <c r="C203" t="s">
        <v>366</v>
      </c>
      <c r="D203">
        <v>3023</v>
      </c>
      <c r="E203">
        <v>3025</v>
      </c>
      <c r="F203">
        <v>3023</v>
      </c>
      <c r="G203">
        <v>3025</v>
      </c>
      <c r="H203">
        <v>15100</v>
      </c>
    </row>
    <row r="204" spans="2:8">
      <c r="B204" t="s">
        <v>587</v>
      </c>
      <c r="C204" t="s">
        <v>367</v>
      </c>
      <c r="D204">
        <v>3024</v>
      </c>
      <c r="E204">
        <v>3024</v>
      </c>
      <c r="F204">
        <v>3022</v>
      </c>
      <c r="G204">
        <v>3022</v>
      </c>
      <c r="H204">
        <v>14200</v>
      </c>
    </row>
    <row r="205" spans="2:8">
      <c r="B205" t="s">
        <v>587</v>
      </c>
      <c r="C205" t="s">
        <v>368</v>
      </c>
      <c r="D205">
        <v>3022</v>
      </c>
      <c r="E205">
        <v>3023</v>
      </c>
      <c r="F205">
        <v>3021</v>
      </c>
      <c r="G205">
        <v>3021</v>
      </c>
      <c r="H205">
        <v>9900</v>
      </c>
    </row>
    <row r="206" spans="2:8">
      <c r="B206" t="s">
        <v>587</v>
      </c>
      <c r="C206" t="s">
        <v>369</v>
      </c>
      <c r="D206">
        <v>3021</v>
      </c>
      <c r="E206">
        <v>3021</v>
      </c>
      <c r="F206">
        <v>3020</v>
      </c>
      <c r="G206">
        <v>3020</v>
      </c>
      <c r="H206">
        <v>17900</v>
      </c>
    </row>
    <row r="207" spans="2:8">
      <c r="B207" t="s">
        <v>587</v>
      </c>
      <c r="C207" t="s">
        <v>370</v>
      </c>
      <c r="D207">
        <v>3020</v>
      </c>
      <c r="E207">
        <v>3021</v>
      </c>
      <c r="F207">
        <v>3020</v>
      </c>
      <c r="G207">
        <v>3021</v>
      </c>
      <c r="H207">
        <v>4200</v>
      </c>
    </row>
    <row r="208" spans="2:8">
      <c r="B208" t="s">
        <v>587</v>
      </c>
      <c r="C208" t="s">
        <v>371</v>
      </c>
      <c r="D208">
        <v>3022</v>
      </c>
      <c r="E208">
        <v>3022</v>
      </c>
      <c r="F208">
        <v>3020</v>
      </c>
      <c r="G208">
        <v>3022</v>
      </c>
      <c r="H208">
        <v>12900</v>
      </c>
    </row>
    <row r="209" spans="2:8">
      <c r="B209" t="s">
        <v>587</v>
      </c>
      <c r="C209" t="s">
        <v>372</v>
      </c>
      <c r="D209">
        <v>3022</v>
      </c>
      <c r="E209">
        <v>3022</v>
      </c>
      <c r="F209">
        <v>3021</v>
      </c>
      <c r="G209">
        <v>3021</v>
      </c>
      <c r="H209">
        <v>6600</v>
      </c>
    </row>
    <row r="210" spans="2:8">
      <c r="B210" t="s">
        <v>587</v>
      </c>
      <c r="C210" t="s">
        <v>373</v>
      </c>
      <c r="D210">
        <v>3021</v>
      </c>
      <c r="E210">
        <v>3021</v>
      </c>
      <c r="F210">
        <v>3020</v>
      </c>
      <c r="G210">
        <v>3020</v>
      </c>
      <c r="H210">
        <v>16900</v>
      </c>
    </row>
    <row r="211" spans="2:8">
      <c r="B211" t="s">
        <v>587</v>
      </c>
      <c r="C211" t="s">
        <v>374</v>
      </c>
      <c r="D211">
        <v>3019</v>
      </c>
      <c r="E211">
        <v>3020</v>
      </c>
      <c r="F211">
        <v>3018</v>
      </c>
      <c r="G211">
        <v>3019</v>
      </c>
      <c r="H211">
        <v>12100</v>
      </c>
    </row>
    <row r="212" spans="2:8">
      <c r="B212" t="s">
        <v>587</v>
      </c>
      <c r="C212" t="s">
        <v>375</v>
      </c>
      <c r="D212">
        <v>3019</v>
      </c>
      <c r="E212">
        <v>3020</v>
      </c>
      <c r="F212">
        <v>3019</v>
      </c>
      <c r="G212">
        <v>3020</v>
      </c>
      <c r="H212">
        <v>1200</v>
      </c>
    </row>
    <row r="213" spans="2:8">
      <c r="B213" t="s">
        <v>587</v>
      </c>
      <c r="C213" t="s">
        <v>376</v>
      </c>
      <c r="D213">
        <v>3019</v>
      </c>
      <c r="E213">
        <v>3020</v>
      </c>
      <c r="F213">
        <v>3019</v>
      </c>
      <c r="G213">
        <v>3019</v>
      </c>
      <c r="H213">
        <v>16400</v>
      </c>
    </row>
    <row r="214" spans="2:8">
      <c r="B214" t="s">
        <v>587</v>
      </c>
      <c r="C214" t="s">
        <v>377</v>
      </c>
      <c r="D214">
        <v>3019</v>
      </c>
      <c r="E214">
        <v>3019</v>
      </c>
      <c r="F214">
        <v>3016</v>
      </c>
      <c r="G214">
        <v>3017</v>
      </c>
      <c r="H214">
        <v>31000</v>
      </c>
    </row>
    <row r="215" spans="2:8">
      <c r="B215" t="s">
        <v>587</v>
      </c>
      <c r="C215" t="s">
        <v>378</v>
      </c>
      <c r="D215">
        <v>3017</v>
      </c>
      <c r="E215">
        <v>3018</v>
      </c>
      <c r="F215">
        <v>3017</v>
      </c>
      <c r="G215">
        <v>3018</v>
      </c>
      <c r="H215">
        <v>4200</v>
      </c>
    </row>
    <row r="216" spans="2:8">
      <c r="B216" t="s">
        <v>587</v>
      </c>
      <c r="C216" t="s">
        <v>379</v>
      </c>
      <c r="D216">
        <v>3017</v>
      </c>
      <c r="E216">
        <v>3017</v>
      </c>
      <c r="F216">
        <v>3014</v>
      </c>
      <c r="G216">
        <v>3016</v>
      </c>
      <c r="H216">
        <v>17000</v>
      </c>
    </row>
    <row r="217" spans="2:8">
      <c r="B217" t="s">
        <v>587</v>
      </c>
      <c r="C217" t="s">
        <v>380</v>
      </c>
      <c r="D217">
        <v>3015</v>
      </c>
      <c r="E217">
        <v>3016</v>
      </c>
      <c r="F217">
        <v>3014</v>
      </c>
      <c r="G217">
        <v>3014</v>
      </c>
      <c r="H217">
        <v>9200</v>
      </c>
    </row>
    <row r="218" spans="2:8">
      <c r="B218" t="s">
        <v>587</v>
      </c>
      <c r="C218" t="s">
        <v>381</v>
      </c>
      <c r="D218">
        <v>3014</v>
      </c>
      <c r="E218">
        <v>3017</v>
      </c>
      <c r="F218">
        <v>3014</v>
      </c>
      <c r="G218">
        <v>3017</v>
      </c>
      <c r="H218">
        <v>13100</v>
      </c>
    </row>
    <row r="219" spans="2:8">
      <c r="B219" t="s">
        <v>587</v>
      </c>
      <c r="C219" t="s">
        <v>382</v>
      </c>
      <c r="D219">
        <v>3017</v>
      </c>
      <c r="E219">
        <v>3018</v>
      </c>
      <c r="F219">
        <v>3017</v>
      </c>
      <c r="G219">
        <v>3018</v>
      </c>
      <c r="H219">
        <v>5800</v>
      </c>
    </row>
    <row r="220" spans="2:8">
      <c r="B220" t="s">
        <v>587</v>
      </c>
      <c r="C220" t="s">
        <v>383</v>
      </c>
      <c r="D220">
        <v>3019</v>
      </c>
      <c r="E220">
        <v>3019</v>
      </c>
      <c r="F220">
        <v>3017</v>
      </c>
      <c r="G220">
        <v>3018</v>
      </c>
      <c r="H220">
        <v>7400</v>
      </c>
    </row>
    <row r="221" spans="2:8">
      <c r="B221" t="s">
        <v>587</v>
      </c>
      <c r="C221" t="s">
        <v>384</v>
      </c>
      <c r="D221">
        <v>3018</v>
      </c>
      <c r="E221">
        <v>3018</v>
      </c>
      <c r="F221">
        <v>3016</v>
      </c>
      <c r="G221">
        <v>3016</v>
      </c>
      <c r="H221">
        <v>15200</v>
      </c>
    </row>
    <row r="222" spans="2:8">
      <c r="B222" t="s">
        <v>587</v>
      </c>
      <c r="C222" t="s">
        <v>385</v>
      </c>
      <c r="D222">
        <v>3017</v>
      </c>
      <c r="E222">
        <v>3017</v>
      </c>
      <c r="F222">
        <v>3016</v>
      </c>
      <c r="G222">
        <v>3017</v>
      </c>
      <c r="H222">
        <v>10300</v>
      </c>
    </row>
    <row r="223" spans="2:8">
      <c r="B223" t="s">
        <v>587</v>
      </c>
      <c r="C223" t="s">
        <v>386</v>
      </c>
      <c r="D223">
        <v>3018</v>
      </c>
      <c r="E223">
        <v>3018</v>
      </c>
      <c r="F223">
        <v>3017</v>
      </c>
      <c r="G223">
        <v>3018</v>
      </c>
      <c r="H223">
        <v>3500</v>
      </c>
    </row>
    <row r="224" spans="2:8">
      <c r="B224" t="s">
        <v>587</v>
      </c>
      <c r="C224" t="s">
        <v>387</v>
      </c>
      <c r="D224">
        <v>3017</v>
      </c>
      <c r="E224">
        <v>3018</v>
      </c>
      <c r="F224">
        <v>3017</v>
      </c>
      <c r="G224">
        <v>3017</v>
      </c>
      <c r="H224">
        <v>3300</v>
      </c>
    </row>
    <row r="225" spans="2:8">
      <c r="B225" t="s">
        <v>587</v>
      </c>
      <c r="C225" t="s">
        <v>388</v>
      </c>
      <c r="D225">
        <v>3018</v>
      </c>
      <c r="E225">
        <v>3018</v>
      </c>
      <c r="F225">
        <v>3017</v>
      </c>
      <c r="G225">
        <v>3017</v>
      </c>
      <c r="H225">
        <v>9800</v>
      </c>
    </row>
    <row r="226" spans="2:8">
      <c r="B226" t="s">
        <v>587</v>
      </c>
      <c r="C226" t="s">
        <v>389</v>
      </c>
      <c r="D226">
        <v>3017</v>
      </c>
      <c r="E226">
        <v>3018</v>
      </c>
      <c r="F226">
        <v>3016</v>
      </c>
      <c r="G226">
        <v>3017</v>
      </c>
      <c r="H226">
        <v>17700</v>
      </c>
    </row>
    <row r="227" spans="2:8">
      <c r="B227" t="s">
        <v>587</v>
      </c>
      <c r="C227" t="s">
        <v>390</v>
      </c>
      <c r="D227">
        <v>3017</v>
      </c>
      <c r="E227">
        <v>3018</v>
      </c>
      <c r="F227">
        <v>3015</v>
      </c>
      <c r="G227">
        <v>3016</v>
      </c>
      <c r="H227">
        <v>13200</v>
      </c>
    </row>
    <row r="228" spans="2:8">
      <c r="B228" t="s">
        <v>587</v>
      </c>
      <c r="C228" t="s">
        <v>391</v>
      </c>
      <c r="D228">
        <v>3017</v>
      </c>
      <c r="E228">
        <v>3017</v>
      </c>
      <c r="F228">
        <v>3015</v>
      </c>
      <c r="G228">
        <v>3017</v>
      </c>
      <c r="H228">
        <v>8500</v>
      </c>
    </row>
    <row r="229" spans="2:8">
      <c r="B229" t="s">
        <v>587</v>
      </c>
      <c r="C229" t="s">
        <v>392</v>
      </c>
      <c r="D229">
        <v>3016</v>
      </c>
      <c r="E229">
        <v>3017</v>
      </c>
      <c r="F229">
        <v>3016</v>
      </c>
      <c r="G229">
        <v>3017</v>
      </c>
      <c r="H229">
        <v>10700</v>
      </c>
    </row>
    <row r="230" spans="2:8">
      <c r="B230" t="s">
        <v>587</v>
      </c>
      <c r="C230" t="s">
        <v>393</v>
      </c>
      <c r="D230">
        <v>3017</v>
      </c>
      <c r="E230">
        <v>3017</v>
      </c>
      <c r="F230">
        <v>3016</v>
      </c>
      <c r="G230">
        <v>3017</v>
      </c>
      <c r="H230">
        <v>7300</v>
      </c>
    </row>
    <row r="231" spans="2:8">
      <c r="B231" t="s">
        <v>587</v>
      </c>
      <c r="C231" t="s">
        <v>394</v>
      </c>
      <c r="D231">
        <v>3017</v>
      </c>
      <c r="E231">
        <v>3017</v>
      </c>
      <c r="F231">
        <v>3016</v>
      </c>
      <c r="G231">
        <v>3017</v>
      </c>
      <c r="H231">
        <v>4400</v>
      </c>
    </row>
    <row r="232" spans="2:8">
      <c r="B232" t="s">
        <v>587</v>
      </c>
      <c r="C232" t="s">
        <v>395</v>
      </c>
      <c r="D232">
        <v>3017</v>
      </c>
      <c r="E232">
        <v>3017</v>
      </c>
      <c r="F232">
        <v>3017</v>
      </c>
      <c r="G232">
        <v>3017</v>
      </c>
      <c r="H232">
        <v>200</v>
      </c>
    </row>
    <row r="233" spans="2:8">
      <c r="B233" t="s">
        <v>587</v>
      </c>
      <c r="C233" t="s">
        <v>396</v>
      </c>
      <c r="D233">
        <v>3018</v>
      </c>
      <c r="E233">
        <v>3018</v>
      </c>
      <c r="F233">
        <v>3017</v>
      </c>
      <c r="G233">
        <v>3018</v>
      </c>
      <c r="H233">
        <v>6900</v>
      </c>
    </row>
    <row r="234" spans="2:8">
      <c r="B234" t="s">
        <v>587</v>
      </c>
      <c r="C234" t="s">
        <v>397</v>
      </c>
      <c r="D234">
        <v>3018</v>
      </c>
      <c r="E234">
        <v>3019</v>
      </c>
      <c r="F234">
        <v>3017</v>
      </c>
      <c r="G234">
        <v>3018</v>
      </c>
      <c r="H234">
        <v>15800</v>
      </c>
    </row>
    <row r="235" spans="2:8">
      <c r="B235" t="s">
        <v>587</v>
      </c>
      <c r="C235" t="s">
        <v>398</v>
      </c>
      <c r="D235">
        <v>3018</v>
      </c>
      <c r="E235">
        <v>3020</v>
      </c>
      <c r="F235">
        <v>3018</v>
      </c>
      <c r="G235">
        <v>3019</v>
      </c>
      <c r="H235">
        <v>11700</v>
      </c>
    </row>
    <row r="236" spans="2:8">
      <c r="B236" t="s">
        <v>587</v>
      </c>
      <c r="C236" t="s">
        <v>399</v>
      </c>
      <c r="D236">
        <v>3019</v>
      </c>
      <c r="E236">
        <v>3019</v>
      </c>
      <c r="F236">
        <v>3018</v>
      </c>
      <c r="G236">
        <v>3018</v>
      </c>
      <c r="H236">
        <v>10500</v>
      </c>
    </row>
    <row r="237" spans="2:8">
      <c r="B237" t="s">
        <v>587</v>
      </c>
      <c r="C237" t="s">
        <v>400</v>
      </c>
      <c r="D237">
        <v>3017</v>
      </c>
      <c r="E237">
        <v>3019</v>
      </c>
      <c r="F237">
        <v>3017</v>
      </c>
      <c r="G237">
        <v>3019</v>
      </c>
      <c r="H237">
        <v>14000</v>
      </c>
    </row>
    <row r="238" spans="2:8">
      <c r="B238" t="s">
        <v>587</v>
      </c>
      <c r="C238" t="s">
        <v>401</v>
      </c>
      <c r="D238">
        <v>3018</v>
      </c>
      <c r="E238">
        <v>3020</v>
      </c>
      <c r="F238">
        <v>3018</v>
      </c>
      <c r="G238">
        <v>3019</v>
      </c>
      <c r="H238">
        <v>22100</v>
      </c>
    </row>
    <row r="239" spans="2:8">
      <c r="B239" t="s">
        <v>587</v>
      </c>
      <c r="C239" t="s">
        <v>402</v>
      </c>
      <c r="D239">
        <v>3020</v>
      </c>
      <c r="E239">
        <v>3021</v>
      </c>
      <c r="F239">
        <v>3019</v>
      </c>
      <c r="G239">
        <v>3020</v>
      </c>
      <c r="H239">
        <v>11300</v>
      </c>
    </row>
    <row r="240" spans="2:8">
      <c r="B240" t="s">
        <v>587</v>
      </c>
      <c r="C240" t="s">
        <v>403</v>
      </c>
      <c r="D240">
        <v>3020</v>
      </c>
      <c r="E240">
        <v>3020</v>
      </c>
      <c r="F240">
        <v>3017</v>
      </c>
      <c r="G240">
        <v>3018</v>
      </c>
      <c r="H240">
        <v>21300</v>
      </c>
    </row>
    <row r="241" spans="2:8">
      <c r="B241" t="s">
        <v>587</v>
      </c>
      <c r="C241" t="s">
        <v>404</v>
      </c>
      <c r="D241">
        <v>3018</v>
      </c>
      <c r="E241">
        <v>3019</v>
      </c>
      <c r="F241">
        <v>3018</v>
      </c>
      <c r="G241">
        <v>3018</v>
      </c>
      <c r="H241">
        <v>5800</v>
      </c>
    </row>
    <row r="242" spans="2:8">
      <c r="B242" t="s">
        <v>587</v>
      </c>
      <c r="C242" t="s">
        <v>405</v>
      </c>
      <c r="D242">
        <v>3019</v>
      </c>
      <c r="E242">
        <v>3019</v>
      </c>
      <c r="F242">
        <v>3019</v>
      </c>
      <c r="G242">
        <v>3019</v>
      </c>
      <c r="H242">
        <v>7200</v>
      </c>
    </row>
    <row r="243" spans="2:8">
      <c r="B243" t="s">
        <v>587</v>
      </c>
      <c r="C243" t="s">
        <v>406</v>
      </c>
      <c r="D243">
        <v>3020</v>
      </c>
      <c r="E243">
        <v>3021</v>
      </c>
      <c r="F243">
        <v>3020</v>
      </c>
      <c r="G243">
        <v>3020</v>
      </c>
      <c r="H243">
        <v>7100</v>
      </c>
    </row>
    <row r="244" spans="2:8">
      <c r="B244" t="s">
        <v>587</v>
      </c>
      <c r="C244" t="s">
        <v>407</v>
      </c>
      <c r="D244">
        <v>3019</v>
      </c>
      <c r="E244">
        <v>3019</v>
      </c>
      <c r="F244">
        <v>3017</v>
      </c>
      <c r="G244">
        <v>3017</v>
      </c>
      <c r="H244">
        <v>22800</v>
      </c>
    </row>
    <row r="245" spans="2:8">
      <c r="B245" t="s">
        <v>587</v>
      </c>
      <c r="C245" t="s">
        <v>408</v>
      </c>
      <c r="D245">
        <v>3018</v>
      </c>
      <c r="E245">
        <v>3018</v>
      </c>
      <c r="F245">
        <v>3018</v>
      </c>
      <c r="G245">
        <v>3018</v>
      </c>
      <c r="H245">
        <v>7800</v>
      </c>
    </row>
    <row r="246" spans="2:8">
      <c r="B246" t="s">
        <v>587</v>
      </c>
      <c r="C246" t="s">
        <v>409</v>
      </c>
      <c r="D246">
        <v>3018</v>
      </c>
      <c r="E246">
        <v>3018</v>
      </c>
      <c r="F246">
        <v>3017</v>
      </c>
      <c r="G246">
        <v>3018</v>
      </c>
      <c r="H246">
        <v>19900</v>
      </c>
    </row>
    <row r="247" spans="2:8">
      <c r="B247" t="s">
        <v>587</v>
      </c>
      <c r="C247" t="s">
        <v>410</v>
      </c>
      <c r="D247">
        <v>3017</v>
      </c>
      <c r="E247">
        <v>3018</v>
      </c>
      <c r="F247">
        <v>3017</v>
      </c>
      <c r="G247">
        <v>3017</v>
      </c>
      <c r="H247">
        <v>5600</v>
      </c>
    </row>
    <row r="248" spans="2:8">
      <c r="B248" t="s">
        <v>587</v>
      </c>
      <c r="C248" t="s">
        <v>411</v>
      </c>
      <c r="D248">
        <v>3017</v>
      </c>
      <c r="E248">
        <v>3018</v>
      </c>
      <c r="F248">
        <v>3017</v>
      </c>
      <c r="G248">
        <v>3018</v>
      </c>
      <c r="H248">
        <v>11600</v>
      </c>
    </row>
    <row r="249" spans="2:8">
      <c r="B249" t="s">
        <v>587</v>
      </c>
      <c r="C249" t="s">
        <v>412</v>
      </c>
      <c r="D249">
        <v>3018</v>
      </c>
      <c r="E249">
        <v>3018</v>
      </c>
      <c r="F249">
        <v>3015</v>
      </c>
      <c r="G249">
        <v>3016</v>
      </c>
      <c r="H249">
        <v>21300</v>
      </c>
    </row>
    <row r="250" spans="2:8">
      <c r="B250" t="s">
        <v>587</v>
      </c>
      <c r="C250" t="s">
        <v>413</v>
      </c>
      <c r="D250">
        <v>3017</v>
      </c>
      <c r="E250">
        <v>3018</v>
      </c>
      <c r="F250">
        <v>3017</v>
      </c>
      <c r="G250">
        <v>3018</v>
      </c>
      <c r="H250">
        <v>11500</v>
      </c>
    </row>
    <row r="251" spans="2:8">
      <c r="B251" t="s">
        <v>587</v>
      </c>
      <c r="C251" t="s">
        <v>414</v>
      </c>
      <c r="D251">
        <v>3018</v>
      </c>
      <c r="E251">
        <v>3019</v>
      </c>
      <c r="F251">
        <v>3017</v>
      </c>
      <c r="G251">
        <v>3018</v>
      </c>
      <c r="H251">
        <v>17200</v>
      </c>
    </row>
    <row r="252" spans="2:8">
      <c r="B252" t="s">
        <v>587</v>
      </c>
      <c r="C252" t="s">
        <v>415</v>
      </c>
      <c r="D252">
        <v>3018</v>
      </c>
      <c r="E252">
        <v>3019</v>
      </c>
      <c r="F252">
        <v>3018</v>
      </c>
      <c r="G252">
        <v>3019</v>
      </c>
      <c r="H252">
        <v>3000</v>
      </c>
    </row>
    <row r="253" spans="2:8">
      <c r="B253" t="s">
        <v>587</v>
      </c>
      <c r="C253" t="s">
        <v>416</v>
      </c>
      <c r="D253">
        <v>3019</v>
      </c>
      <c r="E253">
        <v>3019</v>
      </c>
      <c r="F253">
        <v>3018</v>
      </c>
      <c r="G253">
        <v>3018</v>
      </c>
      <c r="H253">
        <v>11000</v>
      </c>
    </row>
    <row r="254" spans="2:8">
      <c r="B254" t="s">
        <v>587</v>
      </c>
      <c r="C254" t="s">
        <v>417</v>
      </c>
      <c r="D254">
        <v>3018</v>
      </c>
      <c r="E254">
        <v>3018</v>
      </c>
      <c r="F254">
        <v>3018</v>
      </c>
      <c r="G254">
        <v>3018</v>
      </c>
      <c r="H254">
        <v>500</v>
      </c>
    </row>
    <row r="255" spans="2:8">
      <c r="B255" t="s">
        <v>587</v>
      </c>
      <c r="C255" t="s">
        <v>418</v>
      </c>
      <c r="D255">
        <v>3018</v>
      </c>
      <c r="E255">
        <v>3018</v>
      </c>
      <c r="F255">
        <v>3017</v>
      </c>
      <c r="G255">
        <v>3017</v>
      </c>
      <c r="H255">
        <v>11300</v>
      </c>
    </row>
    <row r="256" spans="2:8">
      <c r="B256" t="s">
        <v>587</v>
      </c>
      <c r="C256" t="s">
        <v>419</v>
      </c>
      <c r="D256">
        <v>3017</v>
      </c>
      <c r="E256">
        <v>3018</v>
      </c>
      <c r="F256">
        <v>3017</v>
      </c>
      <c r="G256">
        <v>3018</v>
      </c>
      <c r="H256">
        <v>4200</v>
      </c>
    </row>
    <row r="257" spans="2:8">
      <c r="B257" t="s">
        <v>587</v>
      </c>
      <c r="C257" t="s">
        <v>420</v>
      </c>
      <c r="D257">
        <v>3018</v>
      </c>
      <c r="E257">
        <v>3020</v>
      </c>
      <c r="F257">
        <v>3018</v>
      </c>
      <c r="G257">
        <v>3020</v>
      </c>
      <c r="H257">
        <v>14200</v>
      </c>
    </row>
    <row r="258" spans="2:8">
      <c r="B258" t="s">
        <v>587</v>
      </c>
      <c r="C258" t="s">
        <v>421</v>
      </c>
      <c r="D258">
        <v>3020</v>
      </c>
      <c r="E258">
        <v>3020</v>
      </c>
      <c r="F258">
        <v>3020</v>
      </c>
      <c r="G258">
        <v>3020</v>
      </c>
      <c r="H258">
        <v>6700</v>
      </c>
    </row>
    <row r="259" spans="2:8">
      <c r="B259" t="s">
        <v>587</v>
      </c>
      <c r="C259" t="s">
        <v>422</v>
      </c>
      <c r="D259">
        <v>3020</v>
      </c>
      <c r="E259">
        <v>3020</v>
      </c>
      <c r="F259">
        <v>3019</v>
      </c>
      <c r="G259">
        <v>3020</v>
      </c>
      <c r="H259">
        <v>7700</v>
      </c>
    </row>
    <row r="260" spans="2:8">
      <c r="B260" t="s">
        <v>587</v>
      </c>
      <c r="C260" t="s">
        <v>423</v>
      </c>
      <c r="D260">
        <v>3020</v>
      </c>
      <c r="E260">
        <v>3021</v>
      </c>
      <c r="F260">
        <v>3019</v>
      </c>
      <c r="G260">
        <v>3021</v>
      </c>
      <c r="H260">
        <v>9000</v>
      </c>
    </row>
    <row r="261" spans="2:8">
      <c r="B261" t="s">
        <v>587</v>
      </c>
      <c r="C261" t="s">
        <v>424</v>
      </c>
      <c r="D261">
        <v>3021</v>
      </c>
      <c r="E261">
        <v>3021</v>
      </c>
      <c r="F261">
        <v>3019</v>
      </c>
      <c r="G261">
        <v>3019</v>
      </c>
      <c r="H261">
        <v>19100</v>
      </c>
    </row>
    <row r="262" spans="2:8">
      <c r="B262" t="s">
        <v>587</v>
      </c>
      <c r="C262" t="s">
        <v>425</v>
      </c>
      <c r="D262">
        <v>3019</v>
      </c>
      <c r="E262">
        <v>3020</v>
      </c>
      <c r="F262">
        <v>3019</v>
      </c>
      <c r="G262">
        <v>3019</v>
      </c>
      <c r="H262">
        <v>3600</v>
      </c>
    </row>
    <row r="263" spans="2:8">
      <c r="B263" t="s">
        <v>587</v>
      </c>
      <c r="C263" t="s">
        <v>426</v>
      </c>
      <c r="D263">
        <v>3019</v>
      </c>
      <c r="E263">
        <v>3020</v>
      </c>
      <c r="F263">
        <v>3019</v>
      </c>
      <c r="G263">
        <v>3020</v>
      </c>
      <c r="H263">
        <v>11900</v>
      </c>
    </row>
    <row r="264" spans="2:8">
      <c r="B264" t="s">
        <v>587</v>
      </c>
      <c r="C264" t="s">
        <v>427</v>
      </c>
      <c r="D264">
        <v>3019</v>
      </c>
      <c r="E264">
        <v>3019</v>
      </c>
      <c r="F264">
        <v>3019</v>
      </c>
      <c r="G264">
        <v>3019</v>
      </c>
      <c r="H264">
        <v>10700</v>
      </c>
    </row>
    <row r="265" spans="2:8">
      <c r="B265" t="s">
        <v>587</v>
      </c>
      <c r="C265" t="s">
        <v>428</v>
      </c>
      <c r="D265">
        <v>3018</v>
      </c>
      <c r="E265">
        <v>3019</v>
      </c>
      <c r="F265">
        <v>3018</v>
      </c>
      <c r="G265">
        <v>3018</v>
      </c>
      <c r="H265">
        <v>5100</v>
      </c>
    </row>
    <row r="266" spans="2:8">
      <c r="B266" t="s">
        <v>587</v>
      </c>
      <c r="C266" t="s">
        <v>429</v>
      </c>
      <c r="D266">
        <v>3019</v>
      </c>
      <c r="E266">
        <v>3019</v>
      </c>
      <c r="F266">
        <v>3018</v>
      </c>
      <c r="G266">
        <v>3018</v>
      </c>
      <c r="H266">
        <v>1000</v>
      </c>
    </row>
    <row r="267" spans="2:8">
      <c r="B267" t="s">
        <v>587</v>
      </c>
      <c r="C267" t="s">
        <v>430</v>
      </c>
      <c r="D267">
        <v>3019</v>
      </c>
      <c r="E267">
        <v>3019</v>
      </c>
      <c r="F267">
        <v>3018</v>
      </c>
      <c r="G267">
        <v>3018</v>
      </c>
      <c r="H267">
        <v>4900</v>
      </c>
    </row>
    <row r="268" spans="2:8">
      <c r="B268" t="s">
        <v>587</v>
      </c>
      <c r="C268" t="s">
        <v>431</v>
      </c>
      <c r="D268">
        <v>3018</v>
      </c>
      <c r="E268">
        <v>3019</v>
      </c>
      <c r="F268">
        <v>3018</v>
      </c>
      <c r="G268">
        <v>3019</v>
      </c>
      <c r="H268">
        <v>10100</v>
      </c>
    </row>
    <row r="269" spans="2:8">
      <c r="B269" t="s">
        <v>587</v>
      </c>
      <c r="C269" t="s">
        <v>9</v>
      </c>
      <c r="D269">
        <v>3019</v>
      </c>
      <c r="E269">
        <v>3019</v>
      </c>
      <c r="F269">
        <v>3018</v>
      </c>
      <c r="G269">
        <v>3018</v>
      </c>
      <c r="H269">
        <v>1500</v>
      </c>
    </row>
    <row r="270" spans="2:8">
      <c r="B270" t="s">
        <v>587</v>
      </c>
      <c r="C270" t="s">
        <v>10</v>
      </c>
      <c r="D270">
        <v>3018</v>
      </c>
      <c r="E270">
        <v>3019</v>
      </c>
      <c r="F270">
        <v>3018</v>
      </c>
      <c r="G270">
        <v>3019</v>
      </c>
      <c r="H270">
        <v>12400</v>
      </c>
    </row>
    <row r="271" spans="2:8">
      <c r="B271" t="s">
        <v>587</v>
      </c>
      <c r="C271" t="s">
        <v>11</v>
      </c>
      <c r="D271">
        <v>3019</v>
      </c>
      <c r="E271">
        <v>3021</v>
      </c>
      <c r="F271">
        <v>3018</v>
      </c>
      <c r="G271">
        <v>3021</v>
      </c>
      <c r="H271">
        <v>17300</v>
      </c>
    </row>
    <row r="272" spans="2:8">
      <c r="B272" t="s">
        <v>587</v>
      </c>
      <c r="C272" t="s">
        <v>12</v>
      </c>
      <c r="D272">
        <v>3020</v>
      </c>
      <c r="E272">
        <v>3021</v>
      </c>
      <c r="F272">
        <v>3019</v>
      </c>
      <c r="G272">
        <v>3021</v>
      </c>
      <c r="H272">
        <v>8200</v>
      </c>
    </row>
    <row r="273" spans="2:8">
      <c r="B273" t="s">
        <v>587</v>
      </c>
      <c r="C273" t="s">
        <v>13</v>
      </c>
      <c r="D273">
        <v>3020</v>
      </c>
      <c r="E273">
        <v>3020</v>
      </c>
      <c r="F273">
        <v>3018</v>
      </c>
      <c r="G273">
        <v>3019</v>
      </c>
      <c r="H273">
        <v>11900</v>
      </c>
    </row>
    <row r="274" spans="2:8">
      <c r="B274" t="s">
        <v>587</v>
      </c>
      <c r="C274" t="s">
        <v>14</v>
      </c>
      <c r="D274">
        <v>3019</v>
      </c>
      <c r="E274">
        <v>3020</v>
      </c>
      <c r="F274">
        <v>3018</v>
      </c>
      <c r="G274">
        <v>3019</v>
      </c>
      <c r="H274">
        <v>9400</v>
      </c>
    </row>
    <row r="275" spans="2:8">
      <c r="B275" t="s">
        <v>587</v>
      </c>
      <c r="C275" t="s">
        <v>15</v>
      </c>
      <c r="D275">
        <v>3019</v>
      </c>
      <c r="E275">
        <v>3019</v>
      </c>
      <c r="F275">
        <v>3017</v>
      </c>
      <c r="G275">
        <v>3018</v>
      </c>
      <c r="H275">
        <v>33800</v>
      </c>
    </row>
    <row r="276" spans="2:8">
      <c r="B276" t="s">
        <v>587</v>
      </c>
      <c r="C276" t="s">
        <v>16</v>
      </c>
      <c r="D276">
        <v>3018</v>
      </c>
      <c r="E276">
        <v>3020</v>
      </c>
      <c r="F276">
        <v>3017</v>
      </c>
      <c r="G276">
        <v>3020</v>
      </c>
      <c r="H276">
        <v>13700</v>
      </c>
    </row>
    <row r="277" spans="2:8">
      <c r="B277" t="s">
        <v>587</v>
      </c>
      <c r="C277" t="s">
        <v>17</v>
      </c>
      <c r="D277">
        <v>3019</v>
      </c>
      <c r="E277">
        <v>3020</v>
      </c>
      <c r="F277">
        <v>3018</v>
      </c>
      <c r="G277">
        <v>3019</v>
      </c>
      <c r="H277">
        <v>10400</v>
      </c>
    </row>
    <row r="278" spans="2:8">
      <c r="B278" t="s">
        <v>587</v>
      </c>
      <c r="C278" t="s">
        <v>18</v>
      </c>
      <c r="D278">
        <v>3018</v>
      </c>
      <c r="E278">
        <v>3019</v>
      </c>
      <c r="F278">
        <v>3018</v>
      </c>
      <c r="G278">
        <v>3018</v>
      </c>
      <c r="H278">
        <v>13600</v>
      </c>
    </row>
    <row r="279" spans="2:8">
      <c r="B279" t="s">
        <v>587</v>
      </c>
      <c r="C279" t="s">
        <v>19</v>
      </c>
      <c r="D279">
        <v>3018</v>
      </c>
      <c r="E279">
        <v>3019</v>
      </c>
      <c r="F279">
        <v>3018</v>
      </c>
      <c r="G279">
        <v>3018</v>
      </c>
      <c r="H279">
        <v>7500</v>
      </c>
    </row>
    <row r="280" spans="2:8">
      <c r="B280" t="s">
        <v>587</v>
      </c>
      <c r="C280" t="s">
        <v>20</v>
      </c>
      <c r="D280">
        <v>3019</v>
      </c>
      <c r="E280">
        <v>3019</v>
      </c>
      <c r="F280">
        <v>3018</v>
      </c>
      <c r="G280">
        <v>3019</v>
      </c>
      <c r="H280">
        <v>25800</v>
      </c>
    </row>
    <row r="281" spans="2:8">
      <c r="B281" t="s">
        <v>587</v>
      </c>
      <c r="C281" t="s">
        <v>21</v>
      </c>
      <c r="D281">
        <v>3019</v>
      </c>
      <c r="E281">
        <v>3019</v>
      </c>
      <c r="F281">
        <v>3018</v>
      </c>
      <c r="G281">
        <v>3019</v>
      </c>
      <c r="H281">
        <v>12300</v>
      </c>
    </row>
    <row r="282" spans="2:8">
      <c r="B282" t="s">
        <v>587</v>
      </c>
      <c r="C282" t="s">
        <v>22</v>
      </c>
      <c r="D282">
        <v>3019</v>
      </c>
      <c r="E282">
        <v>3019</v>
      </c>
      <c r="F282">
        <v>3018</v>
      </c>
      <c r="G282">
        <v>3019</v>
      </c>
      <c r="H282">
        <v>22100</v>
      </c>
    </row>
    <row r="283" spans="2:8">
      <c r="B283" t="s">
        <v>587</v>
      </c>
      <c r="C283" t="s">
        <v>23</v>
      </c>
      <c r="D283">
        <v>3018</v>
      </c>
      <c r="E283">
        <v>3018</v>
      </c>
      <c r="F283">
        <v>3018</v>
      </c>
      <c r="G283">
        <v>3018</v>
      </c>
      <c r="H283">
        <v>7000</v>
      </c>
    </row>
    <row r="284" spans="2:8">
      <c r="B284" t="s">
        <v>587</v>
      </c>
      <c r="C284" t="s">
        <v>24</v>
      </c>
      <c r="D284">
        <v>3019</v>
      </c>
      <c r="E284">
        <v>3019</v>
      </c>
      <c r="F284">
        <v>3018</v>
      </c>
      <c r="G284">
        <v>3018</v>
      </c>
      <c r="H284">
        <v>4800</v>
      </c>
    </row>
    <row r="285" spans="2:8">
      <c r="B285" t="s">
        <v>587</v>
      </c>
      <c r="C285" t="s">
        <v>25</v>
      </c>
      <c r="D285">
        <v>3018</v>
      </c>
      <c r="E285">
        <v>3018</v>
      </c>
      <c r="F285">
        <v>3017</v>
      </c>
      <c r="G285">
        <v>3018</v>
      </c>
      <c r="H285">
        <v>13600</v>
      </c>
    </row>
    <row r="286" spans="2:8">
      <c r="B286" t="s">
        <v>587</v>
      </c>
      <c r="C286" t="s">
        <v>26</v>
      </c>
      <c r="D286">
        <v>3018</v>
      </c>
      <c r="E286">
        <v>3019</v>
      </c>
      <c r="F286">
        <v>3017</v>
      </c>
      <c r="G286">
        <v>3018</v>
      </c>
      <c r="H286">
        <v>10100</v>
      </c>
    </row>
    <row r="287" spans="2:8">
      <c r="B287" t="s">
        <v>587</v>
      </c>
      <c r="C287" t="s">
        <v>27</v>
      </c>
      <c r="D287">
        <v>3018</v>
      </c>
      <c r="E287">
        <v>3018</v>
      </c>
      <c r="F287">
        <v>3016</v>
      </c>
      <c r="G287">
        <v>3016</v>
      </c>
      <c r="H287">
        <v>26100</v>
      </c>
    </row>
    <row r="288" spans="2:8">
      <c r="B288" t="s">
        <v>587</v>
      </c>
      <c r="C288" t="s">
        <v>28</v>
      </c>
      <c r="D288">
        <v>3017</v>
      </c>
      <c r="E288">
        <v>3017</v>
      </c>
      <c r="F288">
        <v>3015</v>
      </c>
      <c r="G288">
        <v>3016</v>
      </c>
      <c r="H288">
        <v>17000</v>
      </c>
    </row>
    <row r="289" spans="2:8">
      <c r="B289" t="s">
        <v>587</v>
      </c>
      <c r="C289" t="s">
        <v>29</v>
      </c>
      <c r="D289">
        <v>3016</v>
      </c>
      <c r="E289">
        <v>3017</v>
      </c>
      <c r="F289">
        <v>3015</v>
      </c>
      <c r="G289">
        <v>3017</v>
      </c>
      <c r="H289">
        <v>10000</v>
      </c>
    </row>
    <row r="290" spans="2:8">
      <c r="B290" t="s">
        <v>587</v>
      </c>
      <c r="C290" t="s">
        <v>30</v>
      </c>
      <c r="D290">
        <v>3017</v>
      </c>
      <c r="E290">
        <v>3018</v>
      </c>
      <c r="F290">
        <v>3017</v>
      </c>
      <c r="G290">
        <v>3018</v>
      </c>
      <c r="H290">
        <v>10700</v>
      </c>
    </row>
    <row r="291" spans="2:8">
      <c r="B291" t="s">
        <v>587</v>
      </c>
      <c r="C291" t="s">
        <v>31</v>
      </c>
      <c r="D291">
        <v>3018</v>
      </c>
      <c r="E291">
        <v>3019</v>
      </c>
      <c r="F291">
        <v>3018</v>
      </c>
      <c r="G291">
        <v>3019</v>
      </c>
      <c r="H291">
        <v>10200</v>
      </c>
    </row>
    <row r="292" spans="2:8">
      <c r="B292" t="s">
        <v>587</v>
      </c>
      <c r="C292" t="s">
        <v>32</v>
      </c>
      <c r="D292">
        <v>3019</v>
      </c>
      <c r="E292">
        <v>3020</v>
      </c>
      <c r="F292">
        <v>3018</v>
      </c>
      <c r="G292">
        <v>3020</v>
      </c>
      <c r="H292">
        <v>13200</v>
      </c>
    </row>
    <row r="293" spans="2:8">
      <c r="B293" t="s">
        <v>587</v>
      </c>
      <c r="C293" t="s">
        <v>33</v>
      </c>
      <c r="D293">
        <v>3020</v>
      </c>
      <c r="E293">
        <v>3020</v>
      </c>
      <c r="F293">
        <v>3018</v>
      </c>
      <c r="G293">
        <v>3019</v>
      </c>
      <c r="H293">
        <v>12600</v>
      </c>
    </row>
    <row r="294" spans="2:8">
      <c r="B294" t="s">
        <v>587</v>
      </c>
      <c r="C294" t="s">
        <v>34</v>
      </c>
      <c r="D294">
        <v>3019</v>
      </c>
      <c r="E294">
        <v>3020</v>
      </c>
      <c r="F294">
        <v>3018</v>
      </c>
      <c r="G294">
        <v>3019</v>
      </c>
      <c r="H294">
        <v>8500</v>
      </c>
    </row>
    <row r="295" spans="2:8">
      <c r="B295" t="s">
        <v>587</v>
      </c>
      <c r="C295" t="s">
        <v>35</v>
      </c>
      <c r="D295">
        <v>3018</v>
      </c>
      <c r="E295">
        <v>3019</v>
      </c>
      <c r="F295">
        <v>3018</v>
      </c>
      <c r="G295">
        <v>3019</v>
      </c>
      <c r="H295">
        <v>9000</v>
      </c>
    </row>
    <row r="296" spans="2:8">
      <c r="B296" t="s">
        <v>587</v>
      </c>
      <c r="C296" t="s">
        <v>36</v>
      </c>
      <c r="D296">
        <v>3019</v>
      </c>
      <c r="E296">
        <v>3020</v>
      </c>
      <c r="F296">
        <v>3018</v>
      </c>
      <c r="G296">
        <v>3020</v>
      </c>
      <c r="H296">
        <v>21200</v>
      </c>
    </row>
    <row r="297" spans="2:8">
      <c r="B297" t="s">
        <v>587</v>
      </c>
      <c r="C297" t="s">
        <v>37</v>
      </c>
      <c r="D297">
        <v>3020</v>
      </c>
      <c r="E297">
        <v>3021</v>
      </c>
      <c r="F297">
        <v>3019</v>
      </c>
      <c r="G297">
        <v>3020</v>
      </c>
      <c r="H297">
        <v>14600</v>
      </c>
    </row>
    <row r="298" spans="2:8">
      <c r="B298" t="s">
        <v>587</v>
      </c>
      <c r="C298" t="s">
        <v>38</v>
      </c>
      <c r="D298">
        <v>3020</v>
      </c>
      <c r="E298">
        <v>3021</v>
      </c>
      <c r="F298">
        <v>3020</v>
      </c>
      <c r="G298">
        <v>3021</v>
      </c>
      <c r="H298">
        <v>9700</v>
      </c>
    </row>
    <row r="299" spans="2:8">
      <c r="B299" t="s">
        <v>587</v>
      </c>
      <c r="C299" t="s">
        <v>39</v>
      </c>
      <c r="D299">
        <v>3021</v>
      </c>
      <c r="E299">
        <v>3022</v>
      </c>
      <c r="F299">
        <v>3020</v>
      </c>
      <c r="G299">
        <v>3020</v>
      </c>
      <c r="H299">
        <v>13200</v>
      </c>
    </row>
    <row r="300" spans="2:8">
      <c r="B300" t="s">
        <v>587</v>
      </c>
      <c r="C300" t="s">
        <v>40</v>
      </c>
      <c r="D300">
        <v>3020</v>
      </c>
      <c r="E300">
        <v>3021</v>
      </c>
      <c r="F300">
        <v>3019</v>
      </c>
      <c r="G300">
        <v>3021</v>
      </c>
      <c r="H300">
        <v>16800</v>
      </c>
    </row>
    <row r="301" spans="2:8">
      <c r="B301" t="s">
        <v>587</v>
      </c>
      <c r="C301" t="s">
        <v>41</v>
      </c>
      <c r="D301">
        <v>3021</v>
      </c>
      <c r="E301">
        <v>3021</v>
      </c>
      <c r="F301">
        <v>3020</v>
      </c>
      <c r="G301">
        <v>3020</v>
      </c>
      <c r="H301">
        <v>22700</v>
      </c>
    </row>
    <row r="302" spans="2:8">
      <c r="B302" t="s">
        <v>587</v>
      </c>
      <c r="C302" t="s">
        <v>42</v>
      </c>
      <c r="D302">
        <v>3019</v>
      </c>
      <c r="E302">
        <v>3021</v>
      </c>
      <c r="F302">
        <v>3019</v>
      </c>
      <c r="G302">
        <v>3021</v>
      </c>
      <c r="H302">
        <v>11500</v>
      </c>
    </row>
    <row r="303" spans="2:8">
      <c r="B303" t="s">
        <v>587</v>
      </c>
      <c r="C303" t="s">
        <v>43</v>
      </c>
      <c r="D303">
        <v>3020</v>
      </c>
      <c r="E303">
        <v>3021</v>
      </c>
      <c r="F303">
        <v>3020</v>
      </c>
      <c r="G303">
        <v>3021</v>
      </c>
      <c r="H303">
        <v>8200</v>
      </c>
    </row>
    <row r="304" spans="2:8">
      <c r="B304" t="s">
        <v>587</v>
      </c>
      <c r="C304" t="s">
        <v>44</v>
      </c>
      <c r="D304">
        <v>3021</v>
      </c>
      <c r="E304">
        <v>3021</v>
      </c>
      <c r="F304">
        <v>3021</v>
      </c>
      <c r="G304">
        <v>3021</v>
      </c>
      <c r="H304">
        <v>14000</v>
      </c>
    </row>
    <row r="305" spans="2:8">
      <c r="B305" t="s">
        <v>587</v>
      </c>
      <c r="C305" t="s">
        <v>45</v>
      </c>
      <c r="D305">
        <v>3021</v>
      </c>
      <c r="E305">
        <v>3021</v>
      </c>
      <c r="F305">
        <v>3020</v>
      </c>
      <c r="G305">
        <v>3020</v>
      </c>
      <c r="H305">
        <v>5900</v>
      </c>
    </row>
    <row r="306" spans="2:8">
      <c r="B306" t="s">
        <v>587</v>
      </c>
      <c r="C306" t="s">
        <v>46</v>
      </c>
      <c r="D306">
        <v>3021</v>
      </c>
      <c r="E306">
        <v>3021</v>
      </c>
      <c r="F306">
        <v>3019</v>
      </c>
      <c r="G306">
        <v>3019</v>
      </c>
      <c r="H306">
        <v>33500</v>
      </c>
    </row>
    <row r="307" spans="2:8">
      <c r="B307" t="s">
        <v>587</v>
      </c>
      <c r="C307" t="s">
        <v>47</v>
      </c>
      <c r="D307">
        <v>3018</v>
      </c>
      <c r="E307">
        <v>3019</v>
      </c>
      <c r="F307">
        <v>3018</v>
      </c>
      <c r="G307">
        <v>3018</v>
      </c>
      <c r="H307">
        <v>3200</v>
      </c>
    </row>
    <row r="308" spans="2:8">
      <c r="B308" t="s">
        <v>587</v>
      </c>
      <c r="C308" t="s">
        <v>48</v>
      </c>
      <c r="D308">
        <v>3018</v>
      </c>
      <c r="E308">
        <v>3019</v>
      </c>
      <c r="F308">
        <v>3018</v>
      </c>
      <c r="G308">
        <v>3018</v>
      </c>
      <c r="H308">
        <v>5000</v>
      </c>
    </row>
    <row r="309" spans="2:8">
      <c r="B309" t="s">
        <v>587</v>
      </c>
      <c r="C309" t="s">
        <v>49</v>
      </c>
      <c r="D309">
        <v>3018</v>
      </c>
      <c r="E309">
        <v>3018</v>
      </c>
      <c r="F309">
        <v>3016</v>
      </c>
      <c r="G309">
        <v>3016</v>
      </c>
      <c r="H309">
        <v>36200</v>
      </c>
    </row>
    <row r="310" spans="2:8">
      <c r="B310" t="s">
        <v>587</v>
      </c>
      <c r="C310" t="s">
        <v>50</v>
      </c>
      <c r="D310">
        <v>3016</v>
      </c>
      <c r="E310">
        <v>3017</v>
      </c>
      <c r="F310">
        <v>3015</v>
      </c>
      <c r="G310">
        <v>3017</v>
      </c>
      <c r="H310">
        <v>26600</v>
      </c>
    </row>
    <row r="311" spans="2:8">
      <c r="B311" t="s">
        <v>587</v>
      </c>
      <c r="C311" t="s">
        <v>51</v>
      </c>
      <c r="D311">
        <v>3017</v>
      </c>
      <c r="E311">
        <v>3017</v>
      </c>
      <c r="F311">
        <v>3016</v>
      </c>
      <c r="G311">
        <v>3017</v>
      </c>
      <c r="H311">
        <v>18100</v>
      </c>
    </row>
    <row r="312" spans="2:8">
      <c r="B312" t="s">
        <v>587</v>
      </c>
      <c r="C312" t="s">
        <v>52</v>
      </c>
      <c r="D312">
        <v>3017</v>
      </c>
      <c r="E312">
        <v>3018</v>
      </c>
      <c r="F312">
        <v>3017</v>
      </c>
      <c r="G312">
        <v>3017</v>
      </c>
      <c r="H312">
        <v>4100</v>
      </c>
    </row>
    <row r="313" spans="2:8">
      <c r="B313" t="s">
        <v>587</v>
      </c>
      <c r="C313" t="s">
        <v>53</v>
      </c>
      <c r="D313">
        <v>3017</v>
      </c>
      <c r="E313">
        <v>3019</v>
      </c>
      <c r="F313">
        <v>3017</v>
      </c>
      <c r="G313">
        <v>3019</v>
      </c>
      <c r="H313">
        <v>29200</v>
      </c>
    </row>
    <row r="314" spans="2:8">
      <c r="B314" t="s">
        <v>587</v>
      </c>
      <c r="C314" t="s">
        <v>54</v>
      </c>
      <c r="D314">
        <v>3019</v>
      </c>
      <c r="E314">
        <v>3020</v>
      </c>
      <c r="F314">
        <v>3018</v>
      </c>
      <c r="G314">
        <v>3019</v>
      </c>
      <c r="H314">
        <v>18300</v>
      </c>
    </row>
    <row r="315" spans="2:8">
      <c r="B315" t="s">
        <v>587</v>
      </c>
      <c r="C315" t="s">
        <v>55</v>
      </c>
      <c r="D315">
        <v>3019</v>
      </c>
      <c r="E315">
        <v>3019</v>
      </c>
      <c r="F315">
        <v>3017</v>
      </c>
      <c r="G315">
        <v>3017</v>
      </c>
      <c r="H315">
        <v>22200</v>
      </c>
    </row>
    <row r="316" spans="2:8">
      <c r="B316" t="s">
        <v>587</v>
      </c>
      <c r="C316" t="s">
        <v>56</v>
      </c>
      <c r="D316">
        <v>3018</v>
      </c>
      <c r="E316">
        <v>3018</v>
      </c>
      <c r="F316">
        <v>3017</v>
      </c>
      <c r="G316">
        <v>3017</v>
      </c>
      <c r="H316">
        <v>3300</v>
      </c>
    </row>
    <row r="317" spans="2:8">
      <c r="B317" t="s">
        <v>587</v>
      </c>
      <c r="C317" t="s">
        <v>57</v>
      </c>
      <c r="D317">
        <v>3017</v>
      </c>
      <c r="E317">
        <v>3020</v>
      </c>
      <c r="F317">
        <v>3017</v>
      </c>
      <c r="G317">
        <v>3020</v>
      </c>
      <c r="H317">
        <v>46300</v>
      </c>
    </row>
    <row r="318" spans="2:8">
      <c r="B318" t="s">
        <v>587</v>
      </c>
      <c r="C318" t="s">
        <v>58</v>
      </c>
      <c r="D318">
        <v>3020</v>
      </c>
      <c r="E318">
        <v>3022</v>
      </c>
      <c r="F318">
        <v>3020</v>
      </c>
      <c r="G318">
        <v>3022</v>
      </c>
      <c r="H318">
        <v>37300</v>
      </c>
    </row>
    <row r="319" spans="2:8">
      <c r="B319" t="s">
        <v>587</v>
      </c>
      <c r="C319" t="s">
        <v>59</v>
      </c>
      <c r="D319">
        <v>3022</v>
      </c>
      <c r="E319">
        <v>3022</v>
      </c>
      <c r="F319">
        <v>3021</v>
      </c>
      <c r="G319">
        <v>3021</v>
      </c>
      <c r="H319">
        <v>34900</v>
      </c>
    </row>
    <row r="320" spans="2:8">
      <c r="B320" t="s">
        <v>587</v>
      </c>
      <c r="C320" t="s">
        <v>60</v>
      </c>
      <c r="D320">
        <v>3020</v>
      </c>
      <c r="E320">
        <v>3020</v>
      </c>
      <c r="F320">
        <v>3019</v>
      </c>
      <c r="G320">
        <v>3019</v>
      </c>
      <c r="H320">
        <v>16500</v>
      </c>
    </row>
    <row r="321" spans="1:8">
      <c r="B321" t="s">
        <v>587</v>
      </c>
      <c r="C321" t="s">
        <v>61</v>
      </c>
      <c r="D321">
        <v>3019</v>
      </c>
      <c r="E321">
        <v>3020</v>
      </c>
      <c r="F321">
        <v>3018</v>
      </c>
      <c r="G321">
        <v>3019</v>
      </c>
      <c r="H321">
        <v>48500</v>
      </c>
    </row>
    <row r="322" spans="1:8">
      <c r="B322" t="s">
        <v>587</v>
      </c>
      <c r="C322" t="s">
        <v>62</v>
      </c>
      <c r="D322">
        <v>3019</v>
      </c>
      <c r="E322">
        <v>3020</v>
      </c>
      <c r="F322">
        <v>3019</v>
      </c>
      <c r="G322">
        <v>3020</v>
      </c>
      <c r="H322">
        <v>31100</v>
      </c>
    </row>
    <row r="323" spans="1:8">
      <c r="B323" t="s">
        <v>587</v>
      </c>
      <c r="C323" t="s">
        <v>63</v>
      </c>
      <c r="D323">
        <v>3020</v>
      </c>
      <c r="E323">
        <v>3023</v>
      </c>
      <c r="F323">
        <v>3020</v>
      </c>
      <c r="G323">
        <v>3022</v>
      </c>
      <c r="H323">
        <v>35600</v>
      </c>
    </row>
    <row r="324" spans="1:8">
      <c r="B324" t="s">
        <v>587</v>
      </c>
      <c r="C324" t="s">
        <v>64</v>
      </c>
      <c r="D324">
        <v>3022</v>
      </c>
      <c r="E324">
        <v>3022</v>
      </c>
      <c r="F324">
        <v>3021</v>
      </c>
      <c r="G324">
        <v>3022</v>
      </c>
      <c r="H324">
        <v>4000</v>
      </c>
    </row>
    <row r="325" spans="1:8">
      <c r="B325" t="s">
        <v>587</v>
      </c>
      <c r="C325" t="s">
        <v>65</v>
      </c>
      <c r="D325">
        <v>3022</v>
      </c>
      <c r="E325">
        <v>3023</v>
      </c>
      <c r="F325">
        <v>3021</v>
      </c>
      <c r="G325">
        <v>3022</v>
      </c>
      <c r="H325">
        <v>20700</v>
      </c>
    </row>
    <row r="326" spans="1:8">
      <c r="B326" t="s">
        <v>587</v>
      </c>
      <c r="C326" t="s">
        <v>66</v>
      </c>
      <c r="D326">
        <v>3022</v>
      </c>
      <c r="E326">
        <v>3023</v>
      </c>
      <c r="F326">
        <v>3022</v>
      </c>
      <c r="G326">
        <v>3022</v>
      </c>
      <c r="H326">
        <v>29700</v>
      </c>
    </row>
    <row r="327" spans="1:8">
      <c r="B327" t="s">
        <v>587</v>
      </c>
      <c r="C327" t="s">
        <v>164</v>
      </c>
      <c r="D327">
        <v>3022</v>
      </c>
      <c r="E327">
        <v>3023</v>
      </c>
      <c r="F327">
        <v>3021</v>
      </c>
      <c r="G327">
        <v>3021</v>
      </c>
      <c r="H327">
        <v>41600</v>
      </c>
    </row>
    <row r="328" spans="1:8">
      <c r="B328" t="s">
        <v>587</v>
      </c>
      <c r="C328" t="s">
        <v>165</v>
      </c>
      <c r="D328">
        <v>3021</v>
      </c>
      <c r="E328">
        <v>3024</v>
      </c>
      <c r="F328">
        <v>3021</v>
      </c>
      <c r="G328">
        <v>3023</v>
      </c>
      <c r="H328">
        <v>26700</v>
      </c>
    </row>
    <row r="329" spans="1:8">
      <c r="B329" t="s">
        <v>587</v>
      </c>
      <c r="C329" t="s">
        <v>67</v>
      </c>
      <c r="D329" t="s">
        <v>8</v>
      </c>
      <c r="E329" t="s">
        <v>8</v>
      </c>
      <c r="F329" t="s">
        <v>8</v>
      </c>
      <c r="G329" t="s">
        <v>8</v>
      </c>
      <c r="H329">
        <v>0</v>
      </c>
    </row>
    <row r="330" spans="1:8">
      <c r="B330" t="s">
        <v>587</v>
      </c>
      <c r="C330" t="s">
        <v>68</v>
      </c>
      <c r="D330" t="s">
        <v>8</v>
      </c>
      <c r="E330" t="s">
        <v>8</v>
      </c>
      <c r="F330" t="s">
        <v>8</v>
      </c>
      <c r="G330" t="s">
        <v>8</v>
      </c>
      <c r="H330">
        <v>0</v>
      </c>
    </row>
    <row r="331" spans="1:8">
      <c r="B331" t="s">
        <v>587</v>
      </c>
      <c r="C331" t="s">
        <v>69</v>
      </c>
      <c r="D331" t="s">
        <v>8</v>
      </c>
      <c r="E331" t="s">
        <v>8</v>
      </c>
      <c r="F331" t="s">
        <v>8</v>
      </c>
      <c r="G331" t="s">
        <v>8</v>
      </c>
      <c r="H331">
        <v>0</v>
      </c>
    </row>
    <row r="332" spans="1:8">
      <c r="B332" t="s">
        <v>587</v>
      </c>
      <c r="C332" t="s">
        <v>70</v>
      </c>
      <c r="D332" t="s">
        <v>8</v>
      </c>
      <c r="E332" t="s">
        <v>8</v>
      </c>
      <c r="F332" t="s">
        <v>8</v>
      </c>
      <c r="G332" t="s">
        <v>8</v>
      </c>
      <c r="H332">
        <v>0</v>
      </c>
    </row>
    <row r="333" spans="1:8">
      <c r="B333" t="s">
        <v>587</v>
      </c>
      <c r="C333" t="s">
        <v>71</v>
      </c>
      <c r="D333" t="s">
        <v>8</v>
      </c>
      <c r="E333" t="s">
        <v>8</v>
      </c>
      <c r="F333" t="s">
        <v>8</v>
      </c>
      <c r="G333" t="s">
        <v>8</v>
      </c>
      <c r="H333">
        <v>0</v>
      </c>
    </row>
    <row r="334" spans="1:8">
      <c r="B334" t="s">
        <v>587</v>
      </c>
      <c r="C334" t="s">
        <v>72</v>
      </c>
      <c r="D334">
        <v>3028</v>
      </c>
      <c r="E334">
        <v>3028</v>
      </c>
      <c r="F334">
        <v>3028</v>
      </c>
      <c r="G334">
        <v>3028</v>
      </c>
      <c r="H334">
        <v>1867900</v>
      </c>
    </row>
    <row r="335" spans="1:8">
      <c r="A335" s="1" t="s">
        <v>79</v>
      </c>
      <c r="B335" s="1" t="s">
        <v>79</v>
      </c>
      <c r="C335" s="1" t="s">
        <v>79</v>
      </c>
      <c r="D335" s="1" t="s">
        <v>79</v>
      </c>
      <c r="E335" s="1" t="s">
        <v>79</v>
      </c>
      <c r="F335" s="1" t="s">
        <v>79</v>
      </c>
      <c r="G335" s="1" t="s">
        <v>79</v>
      </c>
      <c r="H335" s="1" t="s">
        <v>79</v>
      </c>
    </row>
    <row r="336" spans="1:8">
      <c r="B336" t="s">
        <v>442</v>
      </c>
      <c r="C336" t="s">
        <v>167</v>
      </c>
      <c r="D336">
        <v>2952.5</v>
      </c>
      <c r="E336">
        <v>2963</v>
      </c>
      <c r="F336">
        <v>2952.5</v>
      </c>
      <c r="G336">
        <v>2956</v>
      </c>
      <c r="H336">
        <v>50500</v>
      </c>
    </row>
    <row r="337" spans="2:8">
      <c r="B337" t="s">
        <v>442</v>
      </c>
      <c r="C337" t="s">
        <v>168</v>
      </c>
      <c r="D337">
        <v>2956</v>
      </c>
      <c r="E337">
        <v>2961</v>
      </c>
      <c r="F337">
        <v>2955</v>
      </c>
      <c r="G337">
        <v>2960</v>
      </c>
      <c r="H337">
        <v>54000</v>
      </c>
    </row>
    <row r="338" spans="2:8">
      <c r="B338" t="s">
        <v>442</v>
      </c>
      <c r="C338" t="s">
        <v>169</v>
      </c>
      <c r="D338">
        <v>2960</v>
      </c>
      <c r="E338">
        <v>2963.5</v>
      </c>
      <c r="F338">
        <v>2958</v>
      </c>
      <c r="G338">
        <v>2959.5</v>
      </c>
      <c r="H338">
        <v>53500</v>
      </c>
    </row>
    <row r="339" spans="2:8">
      <c r="B339" t="s">
        <v>442</v>
      </c>
      <c r="C339" t="s">
        <v>170</v>
      </c>
      <c r="D339">
        <v>2959.5</v>
      </c>
      <c r="E339">
        <v>2962.5</v>
      </c>
      <c r="F339">
        <v>2958</v>
      </c>
      <c r="G339">
        <v>2961</v>
      </c>
      <c r="H339">
        <v>56600</v>
      </c>
    </row>
    <row r="340" spans="2:8">
      <c r="B340" t="s">
        <v>442</v>
      </c>
      <c r="C340" t="s">
        <v>171</v>
      </c>
      <c r="D340">
        <v>2960.5</v>
      </c>
      <c r="E340">
        <v>2961.5</v>
      </c>
      <c r="F340">
        <v>2956.5</v>
      </c>
      <c r="G340">
        <v>2956.5</v>
      </c>
      <c r="H340">
        <v>53000</v>
      </c>
    </row>
    <row r="341" spans="2:8">
      <c r="B341" t="s">
        <v>442</v>
      </c>
      <c r="C341" t="s">
        <v>172</v>
      </c>
      <c r="D341">
        <v>2957</v>
      </c>
      <c r="E341">
        <v>2957</v>
      </c>
      <c r="F341">
        <v>2953</v>
      </c>
      <c r="G341">
        <v>2954.5</v>
      </c>
      <c r="H341">
        <v>53200</v>
      </c>
    </row>
    <row r="342" spans="2:8">
      <c r="B342" t="s">
        <v>442</v>
      </c>
      <c r="C342" t="s">
        <v>173</v>
      </c>
      <c r="D342">
        <v>2954</v>
      </c>
      <c r="E342">
        <v>2956</v>
      </c>
      <c r="F342">
        <v>2952</v>
      </c>
      <c r="G342">
        <v>2955</v>
      </c>
      <c r="H342">
        <v>40300</v>
      </c>
    </row>
    <row r="343" spans="2:8">
      <c r="B343" t="s">
        <v>442</v>
      </c>
      <c r="C343" t="s">
        <v>174</v>
      </c>
      <c r="D343">
        <v>2955</v>
      </c>
      <c r="E343">
        <v>2955.5</v>
      </c>
      <c r="F343">
        <v>2954</v>
      </c>
      <c r="G343">
        <v>2954.5</v>
      </c>
      <c r="H343">
        <v>20300</v>
      </c>
    </row>
    <row r="344" spans="2:8">
      <c r="B344" t="s">
        <v>442</v>
      </c>
      <c r="C344" t="s">
        <v>175</v>
      </c>
      <c r="D344">
        <v>2954.5</v>
      </c>
      <c r="E344">
        <v>2961</v>
      </c>
      <c r="F344">
        <v>2953.5</v>
      </c>
      <c r="G344">
        <v>2960</v>
      </c>
      <c r="H344">
        <v>38500</v>
      </c>
    </row>
    <row r="345" spans="2:8">
      <c r="B345" t="s">
        <v>442</v>
      </c>
      <c r="C345" t="s">
        <v>176</v>
      </c>
      <c r="D345">
        <v>2960</v>
      </c>
      <c r="E345">
        <v>2966</v>
      </c>
      <c r="F345">
        <v>2959.5</v>
      </c>
      <c r="G345">
        <v>2966</v>
      </c>
      <c r="H345">
        <v>70000</v>
      </c>
    </row>
    <row r="346" spans="2:8">
      <c r="B346" t="s">
        <v>442</v>
      </c>
      <c r="C346" t="s">
        <v>177</v>
      </c>
      <c r="D346">
        <v>2966.5</v>
      </c>
      <c r="E346">
        <v>2969</v>
      </c>
      <c r="F346">
        <v>2965.5</v>
      </c>
      <c r="G346">
        <v>2966.5</v>
      </c>
      <c r="H346">
        <v>32100</v>
      </c>
    </row>
    <row r="347" spans="2:8">
      <c r="B347" t="s">
        <v>442</v>
      </c>
      <c r="C347" t="s">
        <v>178</v>
      </c>
      <c r="D347">
        <v>2966.5</v>
      </c>
      <c r="E347">
        <v>2967</v>
      </c>
      <c r="F347">
        <v>2962</v>
      </c>
      <c r="G347">
        <v>2962.5</v>
      </c>
      <c r="H347">
        <v>28600</v>
      </c>
    </row>
    <row r="348" spans="2:8">
      <c r="B348" t="s">
        <v>442</v>
      </c>
      <c r="C348" t="s">
        <v>179</v>
      </c>
      <c r="D348">
        <v>2962.5</v>
      </c>
      <c r="E348">
        <v>2962.5</v>
      </c>
      <c r="F348">
        <v>2954</v>
      </c>
      <c r="G348">
        <v>2955.5</v>
      </c>
      <c r="H348">
        <v>69600</v>
      </c>
    </row>
    <row r="349" spans="2:8">
      <c r="B349" t="s">
        <v>442</v>
      </c>
      <c r="C349" t="s">
        <v>180</v>
      </c>
      <c r="D349">
        <v>2955</v>
      </c>
      <c r="E349">
        <v>2956.5</v>
      </c>
      <c r="F349">
        <v>2953.5</v>
      </c>
      <c r="G349">
        <v>2956.5</v>
      </c>
      <c r="H349">
        <v>31000</v>
      </c>
    </row>
    <row r="350" spans="2:8">
      <c r="B350" t="s">
        <v>442</v>
      </c>
      <c r="C350" t="s">
        <v>181</v>
      </c>
      <c r="D350">
        <v>2957</v>
      </c>
      <c r="E350">
        <v>2959</v>
      </c>
      <c r="F350">
        <v>2955</v>
      </c>
      <c r="G350">
        <v>2955</v>
      </c>
      <c r="H350">
        <v>24100</v>
      </c>
    </row>
    <row r="351" spans="2:8">
      <c r="B351" t="s">
        <v>442</v>
      </c>
      <c r="C351" t="s">
        <v>182</v>
      </c>
      <c r="D351">
        <v>2955</v>
      </c>
      <c r="E351">
        <v>2957.5</v>
      </c>
      <c r="F351">
        <v>2955</v>
      </c>
      <c r="G351">
        <v>2957</v>
      </c>
      <c r="H351">
        <v>22300</v>
      </c>
    </row>
    <row r="352" spans="2:8">
      <c r="B352" t="s">
        <v>442</v>
      </c>
      <c r="C352" t="s">
        <v>183</v>
      </c>
      <c r="D352">
        <v>2956.5</v>
      </c>
      <c r="E352">
        <v>2960</v>
      </c>
      <c r="F352">
        <v>2955.5</v>
      </c>
      <c r="G352">
        <v>2959.5</v>
      </c>
      <c r="H352">
        <v>18600</v>
      </c>
    </row>
    <row r="353" spans="2:8">
      <c r="B353" t="s">
        <v>442</v>
      </c>
      <c r="C353" t="s">
        <v>184</v>
      </c>
      <c r="D353">
        <v>2959.5</v>
      </c>
      <c r="E353">
        <v>2960</v>
      </c>
      <c r="F353">
        <v>2957.5</v>
      </c>
      <c r="G353">
        <v>2958</v>
      </c>
      <c r="H353">
        <v>26300</v>
      </c>
    </row>
    <row r="354" spans="2:8">
      <c r="B354" t="s">
        <v>442</v>
      </c>
      <c r="C354" t="s">
        <v>185</v>
      </c>
      <c r="D354">
        <v>2958.5</v>
      </c>
      <c r="E354">
        <v>2958.5</v>
      </c>
      <c r="F354">
        <v>2956</v>
      </c>
      <c r="G354">
        <v>2956.5</v>
      </c>
      <c r="H354">
        <v>23100</v>
      </c>
    </row>
    <row r="355" spans="2:8">
      <c r="B355" t="s">
        <v>442</v>
      </c>
      <c r="C355" t="s">
        <v>186</v>
      </c>
      <c r="D355">
        <v>2956.5</v>
      </c>
      <c r="E355">
        <v>2956.5</v>
      </c>
      <c r="F355">
        <v>2951.5</v>
      </c>
      <c r="G355">
        <v>2951.5</v>
      </c>
      <c r="H355">
        <v>53700</v>
      </c>
    </row>
    <row r="356" spans="2:8">
      <c r="B356" t="s">
        <v>442</v>
      </c>
      <c r="C356" t="s">
        <v>187</v>
      </c>
      <c r="D356">
        <v>2951.5</v>
      </c>
      <c r="E356">
        <v>2952.5</v>
      </c>
      <c r="F356">
        <v>2946</v>
      </c>
      <c r="G356">
        <v>2946</v>
      </c>
      <c r="H356">
        <v>160000</v>
      </c>
    </row>
    <row r="357" spans="2:8">
      <c r="B357" t="s">
        <v>442</v>
      </c>
      <c r="C357" t="s">
        <v>188</v>
      </c>
      <c r="D357">
        <v>2946</v>
      </c>
      <c r="E357">
        <v>2949.5</v>
      </c>
      <c r="F357">
        <v>2946</v>
      </c>
      <c r="G357">
        <v>2948.5</v>
      </c>
      <c r="H357">
        <v>19100</v>
      </c>
    </row>
    <row r="358" spans="2:8">
      <c r="B358" t="s">
        <v>442</v>
      </c>
      <c r="C358" t="s">
        <v>189</v>
      </c>
      <c r="D358">
        <v>2948</v>
      </c>
      <c r="E358">
        <v>2949</v>
      </c>
      <c r="F358">
        <v>2947</v>
      </c>
      <c r="G358">
        <v>2949</v>
      </c>
      <c r="H358">
        <v>18900</v>
      </c>
    </row>
    <row r="359" spans="2:8">
      <c r="B359" t="s">
        <v>442</v>
      </c>
      <c r="C359" t="s">
        <v>190</v>
      </c>
      <c r="D359">
        <v>2949</v>
      </c>
      <c r="E359">
        <v>2950.5</v>
      </c>
      <c r="F359">
        <v>2949</v>
      </c>
      <c r="G359">
        <v>2949.5</v>
      </c>
      <c r="H359">
        <v>20300</v>
      </c>
    </row>
    <row r="360" spans="2:8">
      <c r="B360" t="s">
        <v>442</v>
      </c>
      <c r="C360" t="s">
        <v>191</v>
      </c>
      <c r="D360">
        <v>2949</v>
      </c>
      <c r="E360">
        <v>2952.5</v>
      </c>
      <c r="F360">
        <v>2949</v>
      </c>
      <c r="G360">
        <v>2951.5</v>
      </c>
      <c r="H360">
        <v>18100</v>
      </c>
    </row>
    <row r="361" spans="2:8">
      <c r="B361" t="s">
        <v>442</v>
      </c>
      <c r="C361" t="s">
        <v>192</v>
      </c>
      <c r="D361">
        <v>2950.5</v>
      </c>
      <c r="E361">
        <v>2952</v>
      </c>
      <c r="F361">
        <v>2949.5</v>
      </c>
      <c r="G361">
        <v>2950.5</v>
      </c>
      <c r="H361">
        <v>26900</v>
      </c>
    </row>
    <row r="362" spans="2:8">
      <c r="B362" t="s">
        <v>442</v>
      </c>
      <c r="C362" t="s">
        <v>193</v>
      </c>
      <c r="D362">
        <v>2951</v>
      </c>
      <c r="E362">
        <v>2953</v>
      </c>
      <c r="F362">
        <v>2950</v>
      </c>
      <c r="G362">
        <v>2951.5</v>
      </c>
      <c r="H362">
        <v>37400</v>
      </c>
    </row>
    <row r="363" spans="2:8">
      <c r="B363" t="s">
        <v>442</v>
      </c>
      <c r="C363" t="s">
        <v>194</v>
      </c>
      <c r="D363">
        <v>2951</v>
      </c>
      <c r="E363">
        <v>2957</v>
      </c>
      <c r="F363">
        <v>2951</v>
      </c>
      <c r="G363">
        <v>2955.5</v>
      </c>
      <c r="H363">
        <v>26300</v>
      </c>
    </row>
    <row r="364" spans="2:8">
      <c r="B364" t="s">
        <v>442</v>
      </c>
      <c r="C364" t="s">
        <v>195</v>
      </c>
      <c r="D364">
        <v>2955.5</v>
      </c>
      <c r="E364">
        <v>2958</v>
      </c>
      <c r="F364">
        <v>2955.5</v>
      </c>
      <c r="G364">
        <v>2956</v>
      </c>
      <c r="H364">
        <v>15500</v>
      </c>
    </row>
    <row r="365" spans="2:8">
      <c r="B365" t="s">
        <v>442</v>
      </c>
      <c r="C365" t="s">
        <v>196</v>
      </c>
      <c r="D365">
        <v>2956</v>
      </c>
      <c r="E365">
        <v>2958</v>
      </c>
      <c r="F365">
        <v>2955.5</v>
      </c>
      <c r="G365">
        <v>2956.5</v>
      </c>
      <c r="H365">
        <v>12900</v>
      </c>
    </row>
    <row r="366" spans="2:8">
      <c r="B366" t="s">
        <v>442</v>
      </c>
      <c r="C366" t="s">
        <v>197</v>
      </c>
      <c r="D366">
        <v>2956.5</v>
      </c>
      <c r="E366">
        <v>2958</v>
      </c>
      <c r="F366">
        <v>2956.5</v>
      </c>
      <c r="G366">
        <v>2957</v>
      </c>
      <c r="H366">
        <v>19200</v>
      </c>
    </row>
    <row r="367" spans="2:8">
      <c r="B367" t="s">
        <v>442</v>
      </c>
      <c r="C367" t="s">
        <v>198</v>
      </c>
      <c r="D367">
        <v>2957</v>
      </c>
      <c r="E367">
        <v>2957.5</v>
      </c>
      <c r="F367">
        <v>2956.5</v>
      </c>
      <c r="G367">
        <v>2956.5</v>
      </c>
      <c r="H367">
        <v>19200</v>
      </c>
    </row>
    <row r="368" spans="2:8">
      <c r="B368" t="s">
        <v>442</v>
      </c>
      <c r="C368" t="s">
        <v>199</v>
      </c>
      <c r="D368">
        <v>2956.5</v>
      </c>
      <c r="E368">
        <v>2956.5</v>
      </c>
      <c r="F368">
        <v>2954</v>
      </c>
      <c r="G368">
        <v>2955</v>
      </c>
      <c r="H368">
        <v>21900</v>
      </c>
    </row>
    <row r="369" spans="2:8">
      <c r="B369" t="s">
        <v>442</v>
      </c>
      <c r="C369" t="s">
        <v>200</v>
      </c>
      <c r="D369">
        <v>2955</v>
      </c>
      <c r="E369">
        <v>2956.5</v>
      </c>
      <c r="F369">
        <v>2953.5</v>
      </c>
      <c r="G369">
        <v>2956</v>
      </c>
      <c r="H369">
        <v>21800</v>
      </c>
    </row>
    <row r="370" spans="2:8">
      <c r="B370" t="s">
        <v>442</v>
      </c>
      <c r="C370" t="s">
        <v>201</v>
      </c>
      <c r="D370">
        <v>2955.5</v>
      </c>
      <c r="E370">
        <v>2956</v>
      </c>
      <c r="F370">
        <v>2954.5</v>
      </c>
      <c r="G370">
        <v>2956</v>
      </c>
      <c r="H370">
        <v>9900</v>
      </c>
    </row>
    <row r="371" spans="2:8">
      <c r="B371" t="s">
        <v>442</v>
      </c>
      <c r="C371" t="s">
        <v>202</v>
      </c>
      <c r="D371">
        <v>2956</v>
      </c>
      <c r="E371">
        <v>2957.5</v>
      </c>
      <c r="F371">
        <v>2955.5</v>
      </c>
      <c r="G371">
        <v>2957</v>
      </c>
      <c r="H371">
        <v>18100</v>
      </c>
    </row>
    <row r="372" spans="2:8">
      <c r="B372" t="s">
        <v>442</v>
      </c>
      <c r="C372" t="s">
        <v>203</v>
      </c>
      <c r="D372">
        <v>2957</v>
      </c>
      <c r="E372">
        <v>2957.5</v>
      </c>
      <c r="F372">
        <v>2956</v>
      </c>
      <c r="G372">
        <v>2956</v>
      </c>
      <c r="H372">
        <v>16700</v>
      </c>
    </row>
    <row r="373" spans="2:8">
      <c r="B373" t="s">
        <v>442</v>
      </c>
      <c r="C373" t="s">
        <v>204</v>
      </c>
      <c r="D373">
        <v>2956</v>
      </c>
      <c r="E373">
        <v>2957.5</v>
      </c>
      <c r="F373">
        <v>2955.5</v>
      </c>
      <c r="G373">
        <v>2956.5</v>
      </c>
      <c r="H373">
        <v>21400</v>
      </c>
    </row>
    <row r="374" spans="2:8">
      <c r="B374" t="s">
        <v>442</v>
      </c>
      <c r="C374" t="s">
        <v>205</v>
      </c>
      <c r="D374">
        <v>2956</v>
      </c>
      <c r="E374">
        <v>2956.5</v>
      </c>
      <c r="F374">
        <v>2954</v>
      </c>
      <c r="G374">
        <v>2954.5</v>
      </c>
      <c r="H374">
        <v>38300</v>
      </c>
    </row>
    <row r="375" spans="2:8">
      <c r="B375" t="s">
        <v>442</v>
      </c>
      <c r="C375" t="s">
        <v>206</v>
      </c>
      <c r="D375">
        <v>2954</v>
      </c>
      <c r="E375">
        <v>2954.5</v>
      </c>
      <c r="F375">
        <v>2953</v>
      </c>
      <c r="G375">
        <v>2953</v>
      </c>
      <c r="H375">
        <v>13900</v>
      </c>
    </row>
    <row r="376" spans="2:8">
      <c r="B376" t="s">
        <v>442</v>
      </c>
      <c r="C376" t="s">
        <v>207</v>
      </c>
      <c r="D376">
        <v>2953.5</v>
      </c>
      <c r="E376">
        <v>2953.5</v>
      </c>
      <c r="F376">
        <v>2949.5</v>
      </c>
      <c r="G376">
        <v>2949.5</v>
      </c>
      <c r="H376">
        <v>35100</v>
      </c>
    </row>
    <row r="377" spans="2:8">
      <c r="B377" t="s">
        <v>442</v>
      </c>
      <c r="C377" t="s">
        <v>208</v>
      </c>
      <c r="D377">
        <v>2949.5</v>
      </c>
      <c r="E377">
        <v>2951</v>
      </c>
      <c r="F377">
        <v>2949.5</v>
      </c>
      <c r="G377">
        <v>2951</v>
      </c>
      <c r="H377">
        <v>10700</v>
      </c>
    </row>
    <row r="378" spans="2:8">
      <c r="B378" t="s">
        <v>442</v>
      </c>
      <c r="C378" t="s">
        <v>209</v>
      </c>
      <c r="D378">
        <v>2951</v>
      </c>
      <c r="E378">
        <v>2951.5</v>
      </c>
      <c r="F378">
        <v>2951</v>
      </c>
      <c r="G378">
        <v>2951</v>
      </c>
      <c r="H378">
        <v>9900</v>
      </c>
    </row>
    <row r="379" spans="2:8">
      <c r="B379" t="s">
        <v>442</v>
      </c>
      <c r="C379" t="s">
        <v>210</v>
      </c>
      <c r="D379">
        <v>2950.5</v>
      </c>
      <c r="E379">
        <v>2951</v>
      </c>
      <c r="F379">
        <v>2948</v>
      </c>
      <c r="G379">
        <v>2948</v>
      </c>
      <c r="H379">
        <v>31500</v>
      </c>
    </row>
    <row r="380" spans="2:8">
      <c r="B380" t="s">
        <v>442</v>
      </c>
      <c r="C380" t="s">
        <v>211</v>
      </c>
      <c r="D380">
        <v>2947.5</v>
      </c>
      <c r="E380">
        <v>2948</v>
      </c>
      <c r="F380">
        <v>2945</v>
      </c>
      <c r="G380">
        <v>2946</v>
      </c>
      <c r="H380">
        <v>51300</v>
      </c>
    </row>
    <row r="381" spans="2:8">
      <c r="B381" t="s">
        <v>442</v>
      </c>
      <c r="C381" t="s">
        <v>212</v>
      </c>
      <c r="D381">
        <v>2946.5</v>
      </c>
      <c r="E381">
        <v>2947.5</v>
      </c>
      <c r="F381">
        <v>2946.5</v>
      </c>
      <c r="G381">
        <v>2947.5</v>
      </c>
      <c r="H381">
        <v>13500</v>
      </c>
    </row>
    <row r="382" spans="2:8">
      <c r="B382" t="s">
        <v>442</v>
      </c>
      <c r="C382" t="s">
        <v>213</v>
      </c>
      <c r="D382">
        <v>2947</v>
      </c>
      <c r="E382">
        <v>2947</v>
      </c>
      <c r="F382">
        <v>2946</v>
      </c>
      <c r="G382">
        <v>2946</v>
      </c>
      <c r="H382">
        <v>11800</v>
      </c>
    </row>
    <row r="383" spans="2:8">
      <c r="B383" t="s">
        <v>442</v>
      </c>
      <c r="C383" t="s">
        <v>214</v>
      </c>
      <c r="D383">
        <v>2946</v>
      </c>
      <c r="E383">
        <v>2948</v>
      </c>
      <c r="F383">
        <v>2945</v>
      </c>
      <c r="G383">
        <v>2948</v>
      </c>
      <c r="H383">
        <v>34200</v>
      </c>
    </row>
    <row r="384" spans="2:8">
      <c r="B384" t="s">
        <v>442</v>
      </c>
      <c r="C384" t="s">
        <v>215</v>
      </c>
      <c r="D384">
        <v>2947.5</v>
      </c>
      <c r="E384">
        <v>2948</v>
      </c>
      <c r="F384">
        <v>2945.5</v>
      </c>
      <c r="G384">
        <v>2947.5</v>
      </c>
      <c r="H384">
        <v>11800</v>
      </c>
    </row>
    <row r="385" spans="2:8">
      <c r="B385" t="s">
        <v>442</v>
      </c>
      <c r="C385" t="s">
        <v>216</v>
      </c>
      <c r="D385">
        <v>2947</v>
      </c>
      <c r="E385">
        <v>2947</v>
      </c>
      <c r="F385">
        <v>2946.5</v>
      </c>
      <c r="G385">
        <v>2947</v>
      </c>
      <c r="H385">
        <v>11800</v>
      </c>
    </row>
    <row r="386" spans="2:8">
      <c r="B386" t="s">
        <v>442</v>
      </c>
      <c r="C386" t="s">
        <v>217</v>
      </c>
      <c r="D386">
        <v>2947</v>
      </c>
      <c r="E386">
        <v>2948.5</v>
      </c>
      <c r="F386">
        <v>2946.5</v>
      </c>
      <c r="G386">
        <v>2948</v>
      </c>
      <c r="H386">
        <v>13900</v>
      </c>
    </row>
    <row r="387" spans="2:8">
      <c r="B387" t="s">
        <v>442</v>
      </c>
      <c r="C387" t="s">
        <v>218</v>
      </c>
      <c r="D387">
        <v>2948</v>
      </c>
      <c r="E387">
        <v>2948</v>
      </c>
      <c r="F387">
        <v>2946.5</v>
      </c>
      <c r="G387">
        <v>2947</v>
      </c>
      <c r="H387">
        <v>12500</v>
      </c>
    </row>
    <row r="388" spans="2:8">
      <c r="B388" t="s">
        <v>442</v>
      </c>
      <c r="C388" t="s">
        <v>219</v>
      </c>
      <c r="D388">
        <v>2947</v>
      </c>
      <c r="E388">
        <v>2947</v>
      </c>
      <c r="F388">
        <v>2945.5</v>
      </c>
      <c r="G388">
        <v>2945.5</v>
      </c>
      <c r="H388">
        <v>18400</v>
      </c>
    </row>
    <row r="389" spans="2:8">
      <c r="B389" t="s">
        <v>442</v>
      </c>
      <c r="C389" t="s">
        <v>220</v>
      </c>
      <c r="D389">
        <v>2946</v>
      </c>
      <c r="E389">
        <v>2946</v>
      </c>
      <c r="F389">
        <v>2944</v>
      </c>
      <c r="G389">
        <v>2944.5</v>
      </c>
      <c r="H389">
        <v>32700</v>
      </c>
    </row>
    <row r="390" spans="2:8">
      <c r="B390" t="s">
        <v>442</v>
      </c>
      <c r="C390" t="s">
        <v>221</v>
      </c>
      <c r="D390">
        <v>2944.5</v>
      </c>
      <c r="E390">
        <v>2945.5</v>
      </c>
      <c r="F390">
        <v>2943.5</v>
      </c>
      <c r="G390">
        <v>2944</v>
      </c>
      <c r="H390">
        <v>23800</v>
      </c>
    </row>
    <row r="391" spans="2:8">
      <c r="B391" t="s">
        <v>442</v>
      </c>
      <c r="C391" t="s">
        <v>222</v>
      </c>
      <c r="D391">
        <v>2944</v>
      </c>
      <c r="E391">
        <v>2944</v>
      </c>
      <c r="F391">
        <v>2943.5</v>
      </c>
      <c r="G391">
        <v>2943.5</v>
      </c>
      <c r="H391">
        <v>16800</v>
      </c>
    </row>
    <row r="392" spans="2:8">
      <c r="B392" t="s">
        <v>442</v>
      </c>
      <c r="C392" t="s">
        <v>223</v>
      </c>
      <c r="D392">
        <v>2943</v>
      </c>
      <c r="E392">
        <v>2943</v>
      </c>
      <c r="F392">
        <v>2941.5</v>
      </c>
      <c r="G392">
        <v>2942</v>
      </c>
      <c r="H392">
        <v>26600</v>
      </c>
    </row>
    <row r="393" spans="2:8">
      <c r="B393" t="s">
        <v>442</v>
      </c>
      <c r="C393" t="s">
        <v>224</v>
      </c>
      <c r="D393">
        <v>2942.5</v>
      </c>
      <c r="E393">
        <v>2943.5</v>
      </c>
      <c r="F393">
        <v>2942</v>
      </c>
      <c r="G393">
        <v>2943.5</v>
      </c>
      <c r="H393">
        <v>8900</v>
      </c>
    </row>
    <row r="394" spans="2:8">
      <c r="B394" t="s">
        <v>442</v>
      </c>
      <c r="C394" t="s">
        <v>225</v>
      </c>
      <c r="D394">
        <v>2943.5</v>
      </c>
      <c r="E394">
        <v>2944.5</v>
      </c>
      <c r="F394">
        <v>2943</v>
      </c>
      <c r="G394">
        <v>2944</v>
      </c>
      <c r="H394">
        <v>8200</v>
      </c>
    </row>
    <row r="395" spans="2:8">
      <c r="B395" t="s">
        <v>442</v>
      </c>
      <c r="C395" t="s">
        <v>226</v>
      </c>
      <c r="D395">
        <v>2944</v>
      </c>
      <c r="E395">
        <v>2945.5</v>
      </c>
      <c r="F395">
        <v>2944</v>
      </c>
      <c r="G395">
        <v>2945</v>
      </c>
      <c r="H395">
        <v>12000</v>
      </c>
    </row>
    <row r="396" spans="2:8">
      <c r="B396" t="s">
        <v>442</v>
      </c>
      <c r="C396" t="s">
        <v>227</v>
      </c>
      <c r="D396">
        <v>2945</v>
      </c>
      <c r="E396">
        <v>2946.5</v>
      </c>
      <c r="F396">
        <v>2944.5</v>
      </c>
      <c r="G396">
        <v>2946.5</v>
      </c>
      <c r="H396">
        <v>13600</v>
      </c>
    </row>
    <row r="397" spans="2:8">
      <c r="B397" t="s">
        <v>442</v>
      </c>
      <c r="C397" t="s">
        <v>228</v>
      </c>
      <c r="D397">
        <v>2946.5</v>
      </c>
      <c r="E397">
        <v>2948</v>
      </c>
      <c r="F397">
        <v>2946.5</v>
      </c>
      <c r="G397">
        <v>2948</v>
      </c>
      <c r="H397">
        <v>15600</v>
      </c>
    </row>
    <row r="398" spans="2:8">
      <c r="B398" t="s">
        <v>442</v>
      </c>
      <c r="C398" t="s">
        <v>229</v>
      </c>
      <c r="D398">
        <v>2948</v>
      </c>
      <c r="E398">
        <v>2949</v>
      </c>
      <c r="F398">
        <v>2948</v>
      </c>
      <c r="G398">
        <v>2949</v>
      </c>
      <c r="H398">
        <v>10000</v>
      </c>
    </row>
    <row r="399" spans="2:8">
      <c r="B399" t="s">
        <v>442</v>
      </c>
      <c r="C399" t="s">
        <v>230</v>
      </c>
      <c r="D399">
        <v>2949</v>
      </c>
      <c r="E399">
        <v>2949.5</v>
      </c>
      <c r="F399">
        <v>2946.5</v>
      </c>
      <c r="G399">
        <v>2947</v>
      </c>
      <c r="H399">
        <v>15000</v>
      </c>
    </row>
    <row r="400" spans="2:8">
      <c r="B400" t="s">
        <v>442</v>
      </c>
      <c r="C400" t="s">
        <v>231</v>
      </c>
      <c r="D400">
        <v>2946.5</v>
      </c>
      <c r="E400">
        <v>2946.5</v>
      </c>
      <c r="F400">
        <v>2945</v>
      </c>
      <c r="G400">
        <v>2946</v>
      </c>
      <c r="H400">
        <v>12200</v>
      </c>
    </row>
    <row r="401" spans="2:8">
      <c r="B401" t="s">
        <v>442</v>
      </c>
      <c r="C401" t="s">
        <v>232</v>
      </c>
      <c r="D401">
        <v>2946</v>
      </c>
      <c r="E401">
        <v>2946.5</v>
      </c>
      <c r="F401">
        <v>2944.5</v>
      </c>
      <c r="G401">
        <v>2944.5</v>
      </c>
      <c r="H401">
        <v>18900</v>
      </c>
    </row>
    <row r="402" spans="2:8">
      <c r="B402" t="s">
        <v>442</v>
      </c>
      <c r="C402" t="s">
        <v>233</v>
      </c>
      <c r="D402">
        <v>2944.5</v>
      </c>
      <c r="E402">
        <v>2945.5</v>
      </c>
      <c r="F402">
        <v>2944</v>
      </c>
      <c r="G402">
        <v>2945</v>
      </c>
      <c r="H402">
        <v>23900</v>
      </c>
    </row>
    <row r="403" spans="2:8">
      <c r="B403" t="s">
        <v>442</v>
      </c>
      <c r="C403" t="s">
        <v>234</v>
      </c>
      <c r="D403">
        <v>2945</v>
      </c>
      <c r="E403">
        <v>2945.5</v>
      </c>
      <c r="F403">
        <v>2944.5</v>
      </c>
      <c r="G403">
        <v>2945.5</v>
      </c>
      <c r="H403">
        <v>22100</v>
      </c>
    </row>
    <row r="404" spans="2:8">
      <c r="B404" t="s">
        <v>442</v>
      </c>
      <c r="C404" t="s">
        <v>235</v>
      </c>
      <c r="D404">
        <v>2945.5</v>
      </c>
      <c r="E404">
        <v>2948.5</v>
      </c>
      <c r="F404">
        <v>2945.5</v>
      </c>
      <c r="G404">
        <v>2946.5</v>
      </c>
      <c r="H404">
        <v>21100</v>
      </c>
    </row>
    <row r="405" spans="2:8">
      <c r="B405" t="s">
        <v>442</v>
      </c>
      <c r="C405" t="s">
        <v>236</v>
      </c>
      <c r="D405">
        <v>2946</v>
      </c>
      <c r="E405">
        <v>2948</v>
      </c>
      <c r="F405">
        <v>2945.5</v>
      </c>
      <c r="G405">
        <v>2948</v>
      </c>
      <c r="H405">
        <v>16400</v>
      </c>
    </row>
    <row r="406" spans="2:8">
      <c r="B406" t="s">
        <v>442</v>
      </c>
      <c r="C406" t="s">
        <v>237</v>
      </c>
      <c r="D406">
        <v>2948</v>
      </c>
      <c r="E406">
        <v>2949</v>
      </c>
      <c r="F406">
        <v>2948</v>
      </c>
      <c r="G406">
        <v>2949</v>
      </c>
      <c r="H406">
        <v>2600</v>
      </c>
    </row>
    <row r="407" spans="2:8">
      <c r="B407" t="s">
        <v>442</v>
      </c>
      <c r="C407" t="s">
        <v>238</v>
      </c>
      <c r="D407">
        <v>2949</v>
      </c>
      <c r="E407">
        <v>2949</v>
      </c>
      <c r="F407">
        <v>2949</v>
      </c>
      <c r="G407">
        <v>2949</v>
      </c>
      <c r="H407">
        <v>1200</v>
      </c>
    </row>
    <row r="408" spans="2:8">
      <c r="B408" t="s">
        <v>442</v>
      </c>
      <c r="C408" t="s">
        <v>239</v>
      </c>
      <c r="D408">
        <v>2948.5</v>
      </c>
      <c r="E408">
        <v>2949</v>
      </c>
      <c r="F408">
        <v>2947.5</v>
      </c>
      <c r="G408">
        <v>2949</v>
      </c>
      <c r="H408">
        <v>22900</v>
      </c>
    </row>
    <row r="409" spans="2:8">
      <c r="B409" t="s">
        <v>442</v>
      </c>
      <c r="C409" t="s">
        <v>240</v>
      </c>
      <c r="D409">
        <v>2949.5</v>
      </c>
      <c r="E409">
        <v>2950.5</v>
      </c>
      <c r="F409">
        <v>2949</v>
      </c>
      <c r="G409">
        <v>2950.5</v>
      </c>
      <c r="H409">
        <v>22200</v>
      </c>
    </row>
    <row r="410" spans="2:8">
      <c r="B410" t="s">
        <v>442</v>
      </c>
      <c r="C410" t="s">
        <v>241</v>
      </c>
      <c r="D410">
        <v>2951</v>
      </c>
      <c r="E410">
        <v>2953</v>
      </c>
      <c r="F410">
        <v>2951</v>
      </c>
      <c r="G410">
        <v>2953</v>
      </c>
      <c r="H410">
        <v>6400</v>
      </c>
    </row>
    <row r="411" spans="2:8">
      <c r="B411" t="s">
        <v>442</v>
      </c>
      <c r="C411" t="s">
        <v>242</v>
      </c>
      <c r="D411">
        <v>2953</v>
      </c>
      <c r="E411">
        <v>2954</v>
      </c>
      <c r="F411">
        <v>2952</v>
      </c>
      <c r="G411">
        <v>2952.5</v>
      </c>
      <c r="H411">
        <v>14300</v>
      </c>
    </row>
    <row r="412" spans="2:8">
      <c r="B412" t="s">
        <v>442</v>
      </c>
      <c r="C412" t="s">
        <v>243</v>
      </c>
      <c r="D412">
        <v>2952</v>
      </c>
      <c r="E412">
        <v>2954</v>
      </c>
      <c r="F412">
        <v>2952</v>
      </c>
      <c r="G412">
        <v>2953</v>
      </c>
      <c r="H412">
        <v>12900</v>
      </c>
    </row>
    <row r="413" spans="2:8">
      <c r="B413" t="s">
        <v>442</v>
      </c>
      <c r="C413" t="s">
        <v>244</v>
      </c>
      <c r="D413">
        <v>2953</v>
      </c>
      <c r="E413">
        <v>2953</v>
      </c>
      <c r="F413">
        <v>2953</v>
      </c>
      <c r="G413">
        <v>2953</v>
      </c>
      <c r="H413">
        <v>6400</v>
      </c>
    </row>
    <row r="414" spans="2:8">
      <c r="B414" t="s">
        <v>442</v>
      </c>
      <c r="C414" t="s">
        <v>245</v>
      </c>
      <c r="D414">
        <v>2953</v>
      </c>
      <c r="E414">
        <v>2953.5</v>
      </c>
      <c r="F414">
        <v>2951.5</v>
      </c>
      <c r="G414">
        <v>2952</v>
      </c>
      <c r="H414">
        <v>13600</v>
      </c>
    </row>
    <row r="415" spans="2:8">
      <c r="B415" t="s">
        <v>442</v>
      </c>
      <c r="C415" t="s">
        <v>246</v>
      </c>
      <c r="D415">
        <v>2952</v>
      </c>
      <c r="E415">
        <v>2952</v>
      </c>
      <c r="F415">
        <v>2950.5</v>
      </c>
      <c r="G415">
        <v>2951</v>
      </c>
      <c r="H415">
        <v>15600</v>
      </c>
    </row>
    <row r="416" spans="2:8">
      <c r="B416" t="s">
        <v>442</v>
      </c>
      <c r="C416" t="s">
        <v>247</v>
      </c>
      <c r="D416">
        <v>2951</v>
      </c>
      <c r="E416">
        <v>2951</v>
      </c>
      <c r="F416">
        <v>2948</v>
      </c>
      <c r="G416">
        <v>2948</v>
      </c>
      <c r="H416">
        <v>17700</v>
      </c>
    </row>
    <row r="417" spans="2:8">
      <c r="B417" t="s">
        <v>442</v>
      </c>
      <c r="C417" t="s">
        <v>248</v>
      </c>
      <c r="D417">
        <v>2948.5</v>
      </c>
      <c r="E417">
        <v>2948.5</v>
      </c>
      <c r="F417">
        <v>2947</v>
      </c>
      <c r="G417">
        <v>2948</v>
      </c>
      <c r="H417">
        <v>5800</v>
      </c>
    </row>
    <row r="418" spans="2:8">
      <c r="B418" t="s">
        <v>442</v>
      </c>
      <c r="C418" t="s">
        <v>249</v>
      </c>
      <c r="D418">
        <v>2947.5</v>
      </c>
      <c r="E418">
        <v>2947.5</v>
      </c>
      <c r="F418">
        <v>2947</v>
      </c>
      <c r="G418">
        <v>2947</v>
      </c>
      <c r="H418">
        <v>5200</v>
      </c>
    </row>
    <row r="419" spans="2:8">
      <c r="B419" t="s">
        <v>442</v>
      </c>
      <c r="C419" t="s">
        <v>250</v>
      </c>
      <c r="D419">
        <v>2947</v>
      </c>
      <c r="E419">
        <v>2947.5</v>
      </c>
      <c r="F419">
        <v>2945</v>
      </c>
      <c r="G419">
        <v>2947</v>
      </c>
      <c r="H419">
        <v>20600</v>
      </c>
    </row>
    <row r="420" spans="2:8">
      <c r="B420" t="s">
        <v>442</v>
      </c>
      <c r="C420" t="s">
        <v>251</v>
      </c>
      <c r="D420">
        <v>2947</v>
      </c>
      <c r="E420">
        <v>2947</v>
      </c>
      <c r="F420">
        <v>2945.5</v>
      </c>
      <c r="G420">
        <v>2945.5</v>
      </c>
      <c r="H420">
        <v>7300</v>
      </c>
    </row>
    <row r="421" spans="2:8">
      <c r="B421" t="s">
        <v>442</v>
      </c>
      <c r="C421" t="s">
        <v>252</v>
      </c>
      <c r="D421">
        <v>2945.5</v>
      </c>
      <c r="E421">
        <v>2946</v>
      </c>
      <c r="F421">
        <v>2945.5</v>
      </c>
      <c r="G421">
        <v>2946</v>
      </c>
      <c r="H421">
        <v>9200</v>
      </c>
    </row>
    <row r="422" spans="2:8">
      <c r="B422" t="s">
        <v>442</v>
      </c>
      <c r="C422" t="s">
        <v>253</v>
      </c>
      <c r="D422">
        <v>2946</v>
      </c>
      <c r="E422">
        <v>2946</v>
      </c>
      <c r="F422">
        <v>2945.5</v>
      </c>
      <c r="G422">
        <v>2946</v>
      </c>
      <c r="H422">
        <v>12200</v>
      </c>
    </row>
    <row r="423" spans="2:8">
      <c r="B423" t="s">
        <v>442</v>
      </c>
      <c r="C423" t="s">
        <v>254</v>
      </c>
      <c r="D423">
        <v>2946</v>
      </c>
      <c r="E423">
        <v>2946.5</v>
      </c>
      <c r="F423">
        <v>2945.5</v>
      </c>
      <c r="G423">
        <v>2945.5</v>
      </c>
      <c r="H423">
        <v>13900</v>
      </c>
    </row>
    <row r="424" spans="2:8">
      <c r="B424" t="s">
        <v>442</v>
      </c>
      <c r="C424" t="s">
        <v>255</v>
      </c>
      <c r="D424">
        <v>2945.5</v>
      </c>
      <c r="E424">
        <v>2947</v>
      </c>
      <c r="F424">
        <v>2945</v>
      </c>
      <c r="G424">
        <v>2947</v>
      </c>
      <c r="H424">
        <v>11400</v>
      </c>
    </row>
    <row r="425" spans="2:8">
      <c r="B425" t="s">
        <v>442</v>
      </c>
      <c r="C425" t="s">
        <v>256</v>
      </c>
      <c r="D425">
        <v>2947</v>
      </c>
      <c r="E425">
        <v>2947.5</v>
      </c>
      <c r="F425">
        <v>2946.5</v>
      </c>
      <c r="G425">
        <v>2947</v>
      </c>
      <c r="H425">
        <v>13000</v>
      </c>
    </row>
    <row r="426" spans="2:8">
      <c r="B426" t="s">
        <v>442</v>
      </c>
      <c r="C426" t="s">
        <v>257</v>
      </c>
      <c r="D426">
        <v>2947.5</v>
      </c>
      <c r="E426">
        <v>2949</v>
      </c>
      <c r="F426">
        <v>2947</v>
      </c>
      <c r="G426">
        <v>2949</v>
      </c>
      <c r="H426">
        <v>7500</v>
      </c>
    </row>
    <row r="427" spans="2:8">
      <c r="B427" t="s">
        <v>442</v>
      </c>
      <c r="C427" t="s">
        <v>258</v>
      </c>
      <c r="D427">
        <v>2948.5</v>
      </c>
      <c r="E427">
        <v>2949</v>
      </c>
      <c r="F427">
        <v>2947</v>
      </c>
      <c r="G427">
        <v>2947</v>
      </c>
      <c r="H427">
        <v>12800</v>
      </c>
    </row>
    <row r="428" spans="2:8">
      <c r="B428" t="s">
        <v>442</v>
      </c>
      <c r="C428" t="s">
        <v>259</v>
      </c>
      <c r="D428">
        <v>2947</v>
      </c>
      <c r="E428">
        <v>2948</v>
      </c>
      <c r="F428">
        <v>2947</v>
      </c>
      <c r="G428">
        <v>2948</v>
      </c>
      <c r="H428">
        <v>5100</v>
      </c>
    </row>
    <row r="429" spans="2:8">
      <c r="B429" t="s">
        <v>442</v>
      </c>
      <c r="C429" t="s">
        <v>260</v>
      </c>
      <c r="D429">
        <v>2948</v>
      </c>
      <c r="E429">
        <v>2948</v>
      </c>
      <c r="F429">
        <v>2947</v>
      </c>
      <c r="G429">
        <v>2947</v>
      </c>
      <c r="H429">
        <v>5900</v>
      </c>
    </row>
    <row r="430" spans="2:8">
      <c r="B430" t="s">
        <v>442</v>
      </c>
      <c r="C430" t="s">
        <v>261</v>
      </c>
      <c r="D430">
        <v>2947.5</v>
      </c>
      <c r="E430">
        <v>2947.5</v>
      </c>
      <c r="F430">
        <v>2947</v>
      </c>
      <c r="G430">
        <v>2947</v>
      </c>
      <c r="H430">
        <v>900</v>
      </c>
    </row>
    <row r="431" spans="2:8">
      <c r="B431" t="s">
        <v>442</v>
      </c>
      <c r="C431" t="s">
        <v>262</v>
      </c>
      <c r="D431">
        <v>2947.5</v>
      </c>
      <c r="E431">
        <v>2947.5</v>
      </c>
      <c r="F431">
        <v>2946.5</v>
      </c>
      <c r="G431">
        <v>2947</v>
      </c>
      <c r="H431">
        <v>10700</v>
      </c>
    </row>
    <row r="432" spans="2:8">
      <c r="B432" t="s">
        <v>442</v>
      </c>
      <c r="C432" t="s">
        <v>263</v>
      </c>
      <c r="D432">
        <v>2947.5</v>
      </c>
      <c r="E432">
        <v>2949.5</v>
      </c>
      <c r="F432">
        <v>2947</v>
      </c>
      <c r="G432">
        <v>2949.5</v>
      </c>
      <c r="H432">
        <v>11000</v>
      </c>
    </row>
    <row r="433" spans="2:8">
      <c r="B433" t="s">
        <v>442</v>
      </c>
      <c r="C433" t="s">
        <v>264</v>
      </c>
      <c r="D433">
        <v>2949.5</v>
      </c>
      <c r="E433">
        <v>2950.5</v>
      </c>
      <c r="F433">
        <v>2949.5</v>
      </c>
      <c r="G433">
        <v>2949.5</v>
      </c>
      <c r="H433">
        <v>8400</v>
      </c>
    </row>
    <row r="434" spans="2:8">
      <c r="B434" t="s">
        <v>442</v>
      </c>
      <c r="C434" t="s">
        <v>265</v>
      </c>
      <c r="D434">
        <v>2949</v>
      </c>
      <c r="E434">
        <v>2949</v>
      </c>
      <c r="F434">
        <v>2945.5</v>
      </c>
      <c r="G434">
        <v>2945.5</v>
      </c>
      <c r="H434">
        <v>19800</v>
      </c>
    </row>
    <row r="435" spans="2:8">
      <c r="B435" t="s">
        <v>442</v>
      </c>
      <c r="C435" t="s">
        <v>266</v>
      </c>
      <c r="D435">
        <v>2946</v>
      </c>
      <c r="E435">
        <v>2947</v>
      </c>
      <c r="F435">
        <v>2945.5</v>
      </c>
      <c r="G435">
        <v>2946</v>
      </c>
      <c r="H435">
        <v>20200</v>
      </c>
    </row>
    <row r="436" spans="2:8">
      <c r="B436" t="s">
        <v>442</v>
      </c>
      <c r="C436" t="s">
        <v>267</v>
      </c>
      <c r="D436">
        <v>2946.5</v>
      </c>
      <c r="E436">
        <v>2946.5</v>
      </c>
      <c r="F436">
        <v>2946</v>
      </c>
      <c r="G436">
        <v>2946.5</v>
      </c>
      <c r="H436">
        <v>3800</v>
      </c>
    </row>
    <row r="437" spans="2:8">
      <c r="B437" t="s">
        <v>442</v>
      </c>
      <c r="C437" t="s">
        <v>268</v>
      </c>
      <c r="D437">
        <v>2946.5</v>
      </c>
      <c r="E437">
        <v>2948</v>
      </c>
      <c r="F437">
        <v>2946.5</v>
      </c>
      <c r="G437">
        <v>2948</v>
      </c>
      <c r="H437">
        <v>8200</v>
      </c>
    </row>
    <row r="438" spans="2:8">
      <c r="B438" t="s">
        <v>442</v>
      </c>
      <c r="C438" t="s">
        <v>269</v>
      </c>
      <c r="D438">
        <v>2948.5</v>
      </c>
      <c r="E438">
        <v>2950</v>
      </c>
      <c r="F438">
        <v>2948.5</v>
      </c>
      <c r="G438">
        <v>2950</v>
      </c>
      <c r="H438">
        <v>7800</v>
      </c>
    </row>
    <row r="439" spans="2:8">
      <c r="B439" t="s">
        <v>442</v>
      </c>
      <c r="C439" t="s">
        <v>270</v>
      </c>
      <c r="D439">
        <v>2949.5</v>
      </c>
      <c r="E439">
        <v>2949.5</v>
      </c>
      <c r="F439">
        <v>2948.5</v>
      </c>
      <c r="G439">
        <v>2948.5</v>
      </c>
      <c r="H439">
        <v>8400</v>
      </c>
    </row>
    <row r="440" spans="2:8">
      <c r="B440" t="s">
        <v>442</v>
      </c>
      <c r="C440" t="s">
        <v>271</v>
      </c>
      <c r="D440">
        <v>2948.5</v>
      </c>
      <c r="E440">
        <v>2950</v>
      </c>
      <c r="F440">
        <v>2948.5</v>
      </c>
      <c r="G440">
        <v>2950</v>
      </c>
      <c r="H440">
        <v>7700</v>
      </c>
    </row>
    <row r="441" spans="2:8">
      <c r="B441" t="s">
        <v>442</v>
      </c>
      <c r="C441" t="s">
        <v>272</v>
      </c>
      <c r="D441">
        <v>2950</v>
      </c>
      <c r="E441">
        <v>2950</v>
      </c>
      <c r="F441">
        <v>2949</v>
      </c>
      <c r="G441">
        <v>2949.5</v>
      </c>
      <c r="H441">
        <v>5100</v>
      </c>
    </row>
    <row r="442" spans="2:8">
      <c r="B442" t="s">
        <v>442</v>
      </c>
      <c r="C442" t="s">
        <v>273</v>
      </c>
      <c r="D442">
        <v>2949.5</v>
      </c>
      <c r="E442">
        <v>2950.5</v>
      </c>
      <c r="F442">
        <v>2949</v>
      </c>
      <c r="G442">
        <v>2950.5</v>
      </c>
      <c r="H442">
        <v>9500</v>
      </c>
    </row>
    <row r="443" spans="2:8">
      <c r="B443" t="s">
        <v>442</v>
      </c>
      <c r="C443" t="s">
        <v>274</v>
      </c>
      <c r="D443">
        <v>2951</v>
      </c>
      <c r="E443">
        <v>2951.5</v>
      </c>
      <c r="F443">
        <v>2950.5</v>
      </c>
      <c r="G443">
        <v>2951</v>
      </c>
      <c r="H443">
        <v>8600</v>
      </c>
    </row>
    <row r="444" spans="2:8">
      <c r="B444" t="s">
        <v>442</v>
      </c>
      <c r="C444" t="s">
        <v>275</v>
      </c>
      <c r="D444">
        <v>2950.5</v>
      </c>
      <c r="E444">
        <v>2951</v>
      </c>
      <c r="F444">
        <v>2950</v>
      </c>
      <c r="G444">
        <v>2950.5</v>
      </c>
      <c r="H444">
        <v>14400</v>
      </c>
    </row>
    <row r="445" spans="2:8">
      <c r="B445" t="s">
        <v>442</v>
      </c>
      <c r="C445" t="s">
        <v>276</v>
      </c>
      <c r="D445">
        <v>2950</v>
      </c>
      <c r="E445">
        <v>2950</v>
      </c>
      <c r="F445">
        <v>2948.5</v>
      </c>
      <c r="G445">
        <v>2948.5</v>
      </c>
      <c r="H445">
        <v>17600</v>
      </c>
    </row>
    <row r="446" spans="2:8">
      <c r="B446" t="s">
        <v>442</v>
      </c>
      <c r="C446" t="s">
        <v>277</v>
      </c>
      <c r="D446">
        <v>2948</v>
      </c>
      <c r="E446">
        <v>2948</v>
      </c>
      <c r="F446">
        <v>2947.5</v>
      </c>
      <c r="G446">
        <v>2948</v>
      </c>
      <c r="H446">
        <v>7500</v>
      </c>
    </row>
    <row r="447" spans="2:8">
      <c r="B447" t="s">
        <v>442</v>
      </c>
      <c r="C447" t="s">
        <v>278</v>
      </c>
      <c r="D447">
        <v>2947.5</v>
      </c>
      <c r="E447">
        <v>2949</v>
      </c>
      <c r="F447">
        <v>2947.5</v>
      </c>
      <c r="G447">
        <v>2948</v>
      </c>
      <c r="H447">
        <v>8900</v>
      </c>
    </row>
    <row r="448" spans="2:8">
      <c r="B448" t="s">
        <v>442</v>
      </c>
      <c r="C448" t="s">
        <v>279</v>
      </c>
      <c r="D448">
        <v>2948.5</v>
      </c>
      <c r="E448">
        <v>2948.5</v>
      </c>
      <c r="F448">
        <v>2946.5</v>
      </c>
      <c r="G448">
        <v>2946.5</v>
      </c>
      <c r="H448">
        <v>17500</v>
      </c>
    </row>
    <row r="449" spans="2:8">
      <c r="B449" t="s">
        <v>442</v>
      </c>
      <c r="C449" t="s">
        <v>280</v>
      </c>
      <c r="D449">
        <v>2946.5</v>
      </c>
      <c r="E449">
        <v>2948.5</v>
      </c>
      <c r="F449">
        <v>2946.5</v>
      </c>
      <c r="G449">
        <v>2948.5</v>
      </c>
      <c r="H449">
        <v>7300</v>
      </c>
    </row>
    <row r="450" spans="2:8">
      <c r="B450" t="s">
        <v>442</v>
      </c>
      <c r="C450" t="s">
        <v>281</v>
      </c>
      <c r="D450">
        <v>2948.5</v>
      </c>
      <c r="E450">
        <v>2949</v>
      </c>
      <c r="F450">
        <v>2948.5</v>
      </c>
      <c r="G450">
        <v>2949</v>
      </c>
      <c r="H450">
        <v>2300</v>
      </c>
    </row>
    <row r="451" spans="2:8">
      <c r="B451" t="s">
        <v>442</v>
      </c>
      <c r="C451" t="s">
        <v>282</v>
      </c>
      <c r="D451">
        <v>2949</v>
      </c>
      <c r="E451">
        <v>2949</v>
      </c>
      <c r="F451">
        <v>2948</v>
      </c>
      <c r="G451">
        <v>2948</v>
      </c>
      <c r="H451">
        <v>12100</v>
      </c>
    </row>
    <row r="452" spans="2:8">
      <c r="B452" t="s">
        <v>442</v>
      </c>
      <c r="C452" t="s">
        <v>283</v>
      </c>
      <c r="D452">
        <v>2948.5</v>
      </c>
      <c r="E452">
        <v>2948.5</v>
      </c>
      <c r="F452">
        <v>2947.5</v>
      </c>
      <c r="G452">
        <v>2948.5</v>
      </c>
      <c r="H452">
        <v>7700</v>
      </c>
    </row>
    <row r="453" spans="2:8">
      <c r="B453" t="s">
        <v>442</v>
      </c>
      <c r="C453" t="s">
        <v>284</v>
      </c>
      <c r="D453">
        <v>2948.5</v>
      </c>
      <c r="E453">
        <v>2948.5</v>
      </c>
      <c r="F453">
        <v>2948.5</v>
      </c>
      <c r="G453">
        <v>2948.5</v>
      </c>
      <c r="H453">
        <v>2200</v>
      </c>
    </row>
    <row r="454" spans="2:8">
      <c r="B454" t="s">
        <v>442</v>
      </c>
      <c r="C454" t="s">
        <v>285</v>
      </c>
      <c r="D454">
        <v>2948</v>
      </c>
      <c r="E454">
        <v>2948.5</v>
      </c>
      <c r="F454">
        <v>2946</v>
      </c>
      <c r="G454">
        <v>2946</v>
      </c>
      <c r="H454">
        <v>14600</v>
      </c>
    </row>
    <row r="455" spans="2:8">
      <c r="B455" t="s">
        <v>442</v>
      </c>
      <c r="C455" t="s">
        <v>286</v>
      </c>
      <c r="D455">
        <v>2946</v>
      </c>
      <c r="E455">
        <v>2946.5</v>
      </c>
      <c r="F455">
        <v>2945</v>
      </c>
      <c r="G455">
        <v>2945</v>
      </c>
      <c r="H455">
        <v>8200</v>
      </c>
    </row>
    <row r="456" spans="2:8">
      <c r="B456" t="s">
        <v>442</v>
      </c>
      <c r="C456" t="s">
        <v>287</v>
      </c>
      <c r="D456">
        <v>2945.5</v>
      </c>
      <c r="E456">
        <v>2945.5</v>
      </c>
      <c r="F456">
        <v>2942.5</v>
      </c>
      <c r="G456">
        <v>2943</v>
      </c>
      <c r="H456">
        <v>36200</v>
      </c>
    </row>
    <row r="457" spans="2:8">
      <c r="B457" t="s">
        <v>442</v>
      </c>
      <c r="C457" t="s">
        <v>288</v>
      </c>
      <c r="D457">
        <v>2943</v>
      </c>
      <c r="E457">
        <v>2945</v>
      </c>
      <c r="F457">
        <v>2942.5</v>
      </c>
      <c r="G457">
        <v>2945</v>
      </c>
      <c r="H457">
        <v>13900</v>
      </c>
    </row>
    <row r="458" spans="2:8">
      <c r="B458" t="s">
        <v>442</v>
      </c>
      <c r="C458" t="s">
        <v>289</v>
      </c>
      <c r="D458">
        <v>2945</v>
      </c>
      <c r="E458">
        <v>2946.5</v>
      </c>
      <c r="F458">
        <v>2945</v>
      </c>
      <c r="G458">
        <v>2946.5</v>
      </c>
      <c r="H458">
        <v>7600</v>
      </c>
    </row>
    <row r="459" spans="2:8">
      <c r="B459" t="s">
        <v>442</v>
      </c>
      <c r="C459" t="s">
        <v>290</v>
      </c>
      <c r="D459">
        <v>2946.5</v>
      </c>
      <c r="E459">
        <v>2946.5</v>
      </c>
      <c r="F459">
        <v>2945.5</v>
      </c>
      <c r="G459">
        <v>2945.5</v>
      </c>
      <c r="H459">
        <v>10000</v>
      </c>
    </row>
    <row r="460" spans="2:8">
      <c r="B460" t="s">
        <v>442</v>
      </c>
      <c r="C460" t="s">
        <v>291</v>
      </c>
      <c r="D460">
        <v>2945.5</v>
      </c>
      <c r="E460">
        <v>2947.5</v>
      </c>
      <c r="F460">
        <v>2945.5</v>
      </c>
      <c r="G460">
        <v>2947.5</v>
      </c>
      <c r="H460">
        <v>6500</v>
      </c>
    </row>
    <row r="461" spans="2:8">
      <c r="B461" t="s">
        <v>442</v>
      </c>
      <c r="C461" t="s">
        <v>292</v>
      </c>
      <c r="D461">
        <v>2947</v>
      </c>
      <c r="E461">
        <v>2947.5</v>
      </c>
      <c r="F461">
        <v>2947</v>
      </c>
      <c r="G461">
        <v>2947.5</v>
      </c>
      <c r="H461">
        <v>3700</v>
      </c>
    </row>
    <row r="462" spans="2:8">
      <c r="B462" t="s">
        <v>442</v>
      </c>
      <c r="C462" t="s">
        <v>293</v>
      </c>
      <c r="D462">
        <v>2947</v>
      </c>
      <c r="E462">
        <v>2947.5</v>
      </c>
      <c r="F462">
        <v>2947</v>
      </c>
      <c r="G462">
        <v>2947.5</v>
      </c>
      <c r="H462">
        <v>6100</v>
      </c>
    </row>
    <row r="463" spans="2:8">
      <c r="B463" t="s">
        <v>442</v>
      </c>
      <c r="C463" t="s">
        <v>294</v>
      </c>
      <c r="D463">
        <v>2947</v>
      </c>
      <c r="E463">
        <v>2947</v>
      </c>
      <c r="F463">
        <v>2945</v>
      </c>
      <c r="G463">
        <v>2945</v>
      </c>
      <c r="H463">
        <v>14800</v>
      </c>
    </row>
    <row r="464" spans="2:8">
      <c r="B464" t="s">
        <v>442</v>
      </c>
      <c r="C464" t="s">
        <v>295</v>
      </c>
      <c r="D464">
        <v>2945</v>
      </c>
      <c r="E464">
        <v>2945</v>
      </c>
      <c r="F464">
        <v>2944</v>
      </c>
      <c r="G464">
        <v>2944.5</v>
      </c>
      <c r="H464">
        <v>8600</v>
      </c>
    </row>
    <row r="465" spans="2:8">
      <c r="B465" t="s">
        <v>442</v>
      </c>
      <c r="C465" t="s">
        <v>296</v>
      </c>
      <c r="D465">
        <v>2945</v>
      </c>
      <c r="E465">
        <v>2945</v>
      </c>
      <c r="F465">
        <v>2944.5</v>
      </c>
      <c r="G465">
        <v>2944.5</v>
      </c>
      <c r="H465">
        <v>2100</v>
      </c>
    </row>
    <row r="466" spans="2:8">
      <c r="B466" t="s">
        <v>442</v>
      </c>
      <c r="C466" t="s">
        <v>297</v>
      </c>
      <c r="D466">
        <v>2945</v>
      </c>
      <c r="E466">
        <v>2945</v>
      </c>
      <c r="F466">
        <v>2943.5</v>
      </c>
      <c r="G466">
        <v>2943.5</v>
      </c>
      <c r="H466">
        <v>16600</v>
      </c>
    </row>
    <row r="467" spans="2:8">
      <c r="B467" t="s">
        <v>442</v>
      </c>
      <c r="C467" t="s">
        <v>298</v>
      </c>
      <c r="D467">
        <v>2943.5</v>
      </c>
      <c r="E467">
        <v>2944.5</v>
      </c>
      <c r="F467">
        <v>2943.5</v>
      </c>
      <c r="G467">
        <v>2944</v>
      </c>
      <c r="H467">
        <v>11500</v>
      </c>
    </row>
    <row r="468" spans="2:8">
      <c r="B468" t="s">
        <v>442</v>
      </c>
      <c r="C468" t="s">
        <v>299</v>
      </c>
      <c r="D468">
        <v>2944</v>
      </c>
      <c r="E468">
        <v>2944.5</v>
      </c>
      <c r="F468">
        <v>2944</v>
      </c>
      <c r="G468">
        <v>2944.5</v>
      </c>
      <c r="H468">
        <v>2200</v>
      </c>
    </row>
    <row r="469" spans="2:8">
      <c r="B469" t="s">
        <v>442</v>
      </c>
      <c r="C469" t="s">
        <v>300</v>
      </c>
      <c r="D469">
        <v>2944</v>
      </c>
      <c r="E469">
        <v>2944.5</v>
      </c>
      <c r="F469">
        <v>2943</v>
      </c>
      <c r="G469">
        <v>2943</v>
      </c>
      <c r="H469">
        <v>10000</v>
      </c>
    </row>
    <row r="470" spans="2:8">
      <c r="B470" t="s">
        <v>442</v>
      </c>
      <c r="C470" t="s">
        <v>301</v>
      </c>
      <c r="D470">
        <v>2943.5</v>
      </c>
      <c r="E470">
        <v>2944</v>
      </c>
      <c r="F470">
        <v>2943</v>
      </c>
      <c r="G470">
        <v>2943.5</v>
      </c>
      <c r="H470">
        <v>9900</v>
      </c>
    </row>
    <row r="471" spans="2:8">
      <c r="B471" t="s">
        <v>442</v>
      </c>
      <c r="C471" t="s">
        <v>302</v>
      </c>
      <c r="D471">
        <v>2943.5</v>
      </c>
      <c r="E471">
        <v>2944</v>
      </c>
      <c r="F471">
        <v>2942</v>
      </c>
      <c r="G471">
        <v>2942.5</v>
      </c>
      <c r="H471">
        <v>14000</v>
      </c>
    </row>
    <row r="472" spans="2:8">
      <c r="B472" t="s">
        <v>442</v>
      </c>
      <c r="C472" t="s">
        <v>303</v>
      </c>
      <c r="D472">
        <v>2942.5</v>
      </c>
      <c r="E472">
        <v>2942.5</v>
      </c>
      <c r="F472">
        <v>2941.5</v>
      </c>
      <c r="G472">
        <v>2941.5</v>
      </c>
      <c r="H472">
        <v>13000</v>
      </c>
    </row>
    <row r="473" spans="2:8">
      <c r="B473" t="s">
        <v>442</v>
      </c>
      <c r="C473" t="s">
        <v>304</v>
      </c>
      <c r="D473">
        <v>2942</v>
      </c>
      <c r="E473">
        <v>2942</v>
      </c>
      <c r="F473">
        <v>2940.5</v>
      </c>
      <c r="G473">
        <v>2941</v>
      </c>
      <c r="H473">
        <v>23200</v>
      </c>
    </row>
    <row r="474" spans="2:8">
      <c r="B474" t="s">
        <v>442</v>
      </c>
      <c r="C474" t="s">
        <v>305</v>
      </c>
      <c r="D474">
        <v>2940.5</v>
      </c>
      <c r="E474">
        <v>2942.5</v>
      </c>
      <c r="F474">
        <v>2940.5</v>
      </c>
      <c r="G474">
        <v>2942.5</v>
      </c>
      <c r="H474">
        <v>18000</v>
      </c>
    </row>
    <row r="475" spans="2:8">
      <c r="B475" t="s">
        <v>442</v>
      </c>
      <c r="C475" t="s">
        <v>306</v>
      </c>
      <c r="D475">
        <v>2942.5</v>
      </c>
      <c r="E475">
        <v>2943</v>
      </c>
      <c r="F475">
        <v>2942.5</v>
      </c>
      <c r="G475">
        <v>2943</v>
      </c>
      <c r="H475">
        <v>3600</v>
      </c>
    </row>
    <row r="476" spans="2:8">
      <c r="B476" t="s">
        <v>442</v>
      </c>
      <c r="C476" t="s">
        <v>307</v>
      </c>
      <c r="D476">
        <v>2943.5</v>
      </c>
      <c r="E476">
        <v>2943.5</v>
      </c>
      <c r="F476">
        <v>2942.5</v>
      </c>
      <c r="G476">
        <v>2942.5</v>
      </c>
      <c r="H476">
        <v>13000</v>
      </c>
    </row>
    <row r="477" spans="2:8">
      <c r="B477" t="s">
        <v>442</v>
      </c>
      <c r="C477" t="s">
        <v>308</v>
      </c>
      <c r="D477">
        <v>2942</v>
      </c>
      <c r="E477">
        <v>2943</v>
      </c>
      <c r="F477">
        <v>2942</v>
      </c>
      <c r="G477">
        <v>2943</v>
      </c>
      <c r="H477">
        <v>11200</v>
      </c>
    </row>
    <row r="478" spans="2:8">
      <c r="B478" t="s">
        <v>442</v>
      </c>
      <c r="C478" t="s">
        <v>309</v>
      </c>
      <c r="D478">
        <v>2942.5</v>
      </c>
      <c r="E478">
        <v>2943.5</v>
      </c>
      <c r="F478">
        <v>2942</v>
      </c>
      <c r="G478">
        <v>2943.5</v>
      </c>
      <c r="H478">
        <v>13200</v>
      </c>
    </row>
    <row r="479" spans="2:8">
      <c r="B479" t="s">
        <v>442</v>
      </c>
      <c r="C479" t="s">
        <v>310</v>
      </c>
      <c r="D479">
        <v>2943</v>
      </c>
      <c r="E479">
        <v>2943</v>
      </c>
      <c r="F479">
        <v>2942.5</v>
      </c>
      <c r="G479">
        <v>2943</v>
      </c>
      <c r="H479">
        <v>4700</v>
      </c>
    </row>
    <row r="480" spans="2:8">
      <c r="B480" t="s">
        <v>442</v>
      </c>
      <c r="C480" t="s">
        <v>311</v>
      </c>
      <c r="D480">
        <v>2942.5</v>
      </c>
      <c r="E480">
        <v>2943.5</v>
      </c>
      <c r="F480">
        <v>2942.5</v>
      </c>
      <c r="G480">
        <v>2943.5</v>
      </c>
      <c r="H480">
        <v>6200</v>
      </c>
    </row>
    <row r="481" spans="2:8">
      <c r="B481" t="s">
        <v>442</v>
      </c>
      <c r="C481" t="s">
        <v>312</v>
      </c>
      <c r="D481">
        <v>2943.5</v>
      </c>
      <c r="E481">
        <v>2943.5</v>
      </c>
      <c r="F481">
        <v>2942</v>
      </c>
      <c r="G481">
        <v>2942</v>
      </c>
      <c r="H481">
        <v>10700</v>
      </c>
    </row>
    <row r="482" spans="2:8">
      <c r="B482" t="s">
        <v>442</v>
      </c>
      <c r="C482" t="s">
        <v>313</v>
      </c>
      <c r="D482">
        <v>2942</v>
      </c>
      <c r="E482">
        <v>2942.5</v>
      </c>
      <c r="F482">
        <v>2940.5</v>
      </c>
      <c r="G482">
        <v>2940.5</v>
      </c>
      <c r="H482">
        <v>15400</v>
      </c>
    </row>
    <row r="483" spans="2:8">
      <c r="B483" t="s">
        <v>442</v>
      </c>
      <c r="C483" t="s">
        <v>314</v>
      </c>
      <c r="D483">
        <v>2940.5</v>
      </c>
      <c r="E483">
        <v>2942</v>
      </c>
      <c r="F483">
        <v>2940.5</v>
      </c>
      <c r="G483">
        <v>2941.5</v>
      </c>
      <c r="H483">
        <v>9800</v>
      </c>
    </row>
    <row r="484" spans="2:8">
      <c r="B484" t="s">
        <v>442</v>
      </c>
      <c r="C484" t="s">
        <v>315</v>
      </c>
      <c r="D484">
        <v>2941.5</v>
      </c>
      <c r="E484">
        <v>2941.5</v>
      </c>
      <c r="F484">
        <v>2940</v>
      </c>
      <c r="G484">
        <v>2941.5</v>
      </c>
      <c r="H484">
        <v>18400</v>
      </c>
    </row>
    <row r="485" spans="2:8">
      <c r="B485" t="s">
        <v>442</v>
      </c>
      <c r="C485" t="s">
        <v>316</v>
      </c>
      <c r="D485">
        <v>2940.5</v>
      </c>
      <c r="E485">
        <v>2940.5</v>
      </c>
      <c r="F485">
        <v>2940.5</v>
      </c>
      <c r="G485">
        <v>2940.5</v>
      </c>
      <c r="H485">
        <v>9400</v>
      </c>
    </row>
    <row r="486" spans="2:8">
      <c r="B486" t="s">
        <v>442</v>
      </c>
      <c r="C486" t="s">
        <v>317</v>
      </c>
      <c r="D486">
        <v>2940</v>
      </c>
      <c r="E486">
        <v>2943.5</v>
      </c>
      <c r="F486">
        <v>2939.5</v>
      </c>
      <c r="G486">
        <v>2941.5</v>
      </c>
      <c r="H486">
        <v>188300</v>
      </c>
    </row>
    <row r="487" spans="2:8">
      <c r="B487" t="s">
        <v>442</v>
      </c>
      <c r="C487" t="s">
        <v>318</v>
      </c>
      <c r="D487">
        <v>2941.5</v>
      </c>
      <c r="E487">
        <v>2943.5</v>
      </c>
      <c r="F487">
        <v>2940.5</v>
      </c>
      <c r="G487">
        <v>2941.5</v>
      </c>
      <c r="H487">
        <v>30000</v>
      </c>
    </row>
    <row r="488" spans="2:8">
      <c r="B488" t="s">
        <v>442</v>
      </c>
      <c r="C488" t="s">
        <v>319</v>
      </c>
      <c r="D488">
        <v>2941</v>
      </c>
      <c r="E488">
        <v>2941.5</v>
      </c>
      <c r="F488">
        <v>2940</v>
      </c>
      <c r="G488">
        <v>2940</v>
      </c>
      <c r="H488">
        <v>21900</v>
      </c>
    </row>
    <row r="489" spans="2:8">
      <c r="B489" t="s">
        <v>442</v>
      </c>
      <c r="C489" t="s">
        <v>320</v>
      </c>
      <c r="D489">
        <v>2940.5</v>
      </c>
      <c r="E489">
        <v>2940.5</v>
      </c>
      <c r="F489">
        <v>2939</v>
      </c>
      <c r="G489">
        <v>2939</v>
      </c>
      <c r="H489">
        <v>20700</v>
      </c>
    </row>
    <row r="490" spans="2:8">
      <c r="B490" t="s">
        <v>442</v>
      </c>
      <c r="C490" t="s">
        <v>321</v>
      </c>
      <c r="D490">
        <v>2939</v>
      </c>
      <c r="E490">
        <v>2940</v>
      </c>
      <c r="F490">
        <v>2939</v>
      </c>
      <c r="G490">
        <v>2940</v>
      </c>
      <c r="H490">
        <v>9200</v>
      </c>
    </row>
    <row r="491" spans="2:8">
      <c r="B491" t="s">
        <v>442</v>
      </c>
      <c r="C491" t="s">
        <v>322</v>
      </c>
      <c r="D491">
        <v>2940</v>
      </c>
      <c r="E491">
        <v>2942</v>
      </c>
      <c r="F491">
        <v>2940</v>
      </c>
      <c r="G491">
        <v>2941</v>
      </c>
      <c r="H491">
        <v>33700</v>
      </c>
    </row>
    <row r="492" spans="2:8">
      <c r="B492" t="s">
        <v>442</v>
      </c>
      <c r="C492" t="s">
        <v>323</v>
      </c>
      <c r="D492">
        <v>2941</v>
      </c>
      <c r="E492">
        <v>2941.5</v>
      </c>
      <c r="F492">
        <v>2940.5</v>
      </c>
      <c r="G492">
        <v>2941.5</v>
      </c>
      <c r="H492">
        <v>7900</v>
      </c>
    </row>
    <row r="493" spans="2:8">
      <c r="B493" t="s">
        <v>442</v>
      </c>
      <c r="C493" t="s">
        <v>324</v>
      </c>
      <c r="D493">
        <v>2941</v>
      </c>
      <c r="E493">
        <v>2941</v>
      </c>
      <c r="F493">
        <v>2940.5</v>
      </c>
      <c r="G493">
        <v>2941</v>
      </c>
      <c r="H493">
        <v>16500</v>
      </c>
    </row>
    <row r="494" spans="2:8">
      <c r="B494" t="s">
        <v>442</v>
      </c>
      <c r="C494" t="s">
        <v>325</v>
      </c>
      <c r="D494">
        <v>2941.5</v>
      </c>
      <c r="E494">
        <v>2942.5</v>
      </c>
      <c r="F494">
        <v>2941</v>
      </c>
      <c r="G494">
        <v>2942.5</v>
      </c>
      <c r="H494">
        <v>12600</v>
      </c>
    </row>
    <row r="495" spans="2:8">
      <c r="B495" t="s">
        <v>442</v>
      </c>
      <c r="C495" t="s">
        <v>326</v>
      </c>
      <c r="D495">
        <v>2943</v>
      </c>
      <c r="E495">
        <v>2943</v>
      </c>
      <c r="F495">
        <v>2942</v>
      </c>
      <c r="G495">
        <v>2942.5</v>
      </c>
      <c r="H495">
        <v>16400</v>
      </c>
    </row>
    <row r="496" spans="2:8">
      <c r="B496" t="s">
        <v>442</v>
      </c>
      <c r="C496" t="s">
        <v>327</v>
      </c>
      <c r="D496">
        <v>2942</v>
      </c>
      <c r="E496">
        <v>2942</v>
      </c>
      <c r="F496">
        <v>2940.5</v>
      </c>
      <c r="G496">
        <v>2941</v>
      </c>
      <c r="H496">
        <v>13100</v>
      </c>
    </row>
    <row r="497" spans="2:8">
      <c r="B497" t="s">
        <v>442</v>
      </c>
      <c r="C497" t="s">
        <v>328</v>
      </c>
      <c r="D497">
        <v>2941</v>
      </c>
      <c r="E497">
        <v>2941</v>
      </c>
      <c r="F497">
        <v>2940.5</v>
      </c>
      <c r="G497">
        <v>2941</v>
      </c>
      <c r="H497">
        <v>6700</v>
      </c>
    </row>
    <row r="498" spans="2:8">
      <c r="B498" t="s">
        <v>442</v>
      </c>
      <c r="C498" t="s">
        <v>329</v>
      </c>
      <c r="D498">
        <v>2940.5</v>
      </c>
      <c r="E498">
        <v>2940.5</v>
      </c>
      <c r="F498">
        <v>2939.5</v>
      </c>
      <c r="G498">
        <v>2939.5</v>
      </c>
      <c r="H498">
        <v>22800</v>
      </c>
    </row>
    <row r="499" spans="2:8">
      <c r="B499" t="s">
        <v>442</v>
      </c>
      <c r="C499" t="s">
        <v>330</v>
      </c>
      <c r="D499">
        <v>2939.5</v>
      </c>
      <c r="E499">
        <v>2941.5</v>
      </c>
      <c r="F499">
        <v>2939.5</v>
      </c>
      <c r="G499">
        <v>2941.5</v>
      </c>
      <c r="H499">
        <v>23700</v>
      </c>
    </row>
    <row r="500" spans="2:8">
      <c r="B500" t="s">
        <v>442</v>
      </c>
      <c r="C500" t="s">
        <v>331</v>
      </c>
      <c r="D500">
        <v>2941.5</v>
      </c>
      <c r="E500">
        <v>2941.5</v>
      </c>
      <c r="F500">
        <v>2940.5</v>
      </c>
      <c r="G500">
        <v>2941</v>
      </c>
      <c r="H500">
        <v>6500</v>
      </c>
    </row>
    <row r="501" spans="2:8">
      <c r="B501" t="s">
        <v>442</v>
      </c>
      <c r="C501" t="s">
        <v>332</v>
      </c>
      <c r="D501">
        <v>2941</v>
      </c>
      <c r="E501">
        <v>2941</v>
      </c>
      <c r="F501">
        <v>2940.5</v>
      </c>
      <c r="G501">
        <v>2941</v>
      </c>
      <c r="H501">
        <v>4200</v>
      </c>
    </row>
    <row r="502" spans="2:8">
      <c r="B502" t="s">
        <v>442</v>
      </c>
      <c r="C502" t="s">
        <v>333</v>
      </c>
      <c r="D502">
        <v>2940.5</v>
      </c>
      <c r="E502">
        <v>2941</v>
      </c>
      <c r="F502">
        <v>2940</v>
      </c>
      <c r="G502">
        <v>2940.5</v>
      </c>
      <c r="H502">
        <v>8000</v>
      </c>
    </row>
    <row r="503" spans="2:8">
      <c r="B503" t="s">
        <v>442</v>
      </c>
      <c r="C503" t="s">
        <v>334</v>
      </c>
      <c r="D503">
        <v>2940</v>
      </c>
      <c r="E503">
        <v>2941</v>
      </c>
      <c r="F503">
        <v>2940</v>
      </c>
      <c r="G503">
        <v>2940</v>
      </c>
      <c r="H503">
        <v>24400</v>
      </c>
    </row>
    <row r="504" spans="2:8">
      <c r="B504" t="s">
        <v>442</v>
      </c>
      <c r="C504" t="s">
        <v>335</v>
      </c>
      <c r="D504">
        <v>2940</v>
      </c>
      <c r="E504">
        <v>2940</v>
      </c>
      <c r="F504">
        <v>2939.5</v>
      </c>
      <c r="G504">
        <v>2939.5</v>
      </c>
      <c r="H504">
        <v>11200</v>
      </c>
    </row>
    <row r="505" spans="2:8">
      <c r="B505" t="s">
        <v>442</v>
      </c>
      <c r="C505" t="s">
        <v>336</v>
      </c>
      <c r="D505">
        <v>2939.5</v>
      </c>
      <c r="E505">
        <v>2940</v>
      </c>
      <c r="F505">
        <v>2939.5</v>
      </c>
      <c r="G505">
        <v>2940</v>
      </c>
      <c r="H505">
        <v>6900</v>
      </c>
    </row>
    <row r="506" spans="2:8">
      <c r="B506" t="s">
        <v>442</v>
      </c>
      <c r="C506" t="s">
        <v>337</v>
      </c>
      <c r="D506">
        <v>2940</v>
      </c>
      <c r="E506">
        <v>2940</v>
      </c>
      <c r="F506">
        <v>2939.5</v>
      </c>
      <c r="G506">
        <v>2940</v>
      </c>
      <c r="H506">
        <v>5800</v>
      </c>
    </row>
    <row r="507" spans="2:8">
      <c r="B507" t="s">
        <v>442</v>
      </c>
      <c r="C507" t="s">
        <v>338</v>
      </c>
      <c r="D507">
        <v>2940</v>
      </c>
      <c r="E507">
        <v>2941</v>
      </c>
      <c r="F507">
        <v>2939</v>
      </c>
      <c r="G507">
        <v>2939</v>
      </c>
      <c r="H507">
        <v>28200</v>
      </c>
    </row>
    <row r="508" spans="2:8">
      <c r="B508" t="s">
        <v>442</v>
      </c>
      <c r="C508" t="s">
        <v>339</v>
      </c>
      <c r="D508">
        <v>2939</v>
      </c>
      <c r="E508">
        <v>2939</v>
      </c>
      <c r="F508">
        <v>2938</v>
      </c>
      <c r="G508">
        <v>2938.5</v>
      </c>
      <c r="H508">
        <v>23200</v>
      </c>
    </row>
    <row r="509" spans="2:8">
      <c r="B509" t="s">
        <v>442</v>
      </c>
      <c r="C509" t="s">
        <v>340</v>
      </c>
      <c r="D509">
        <v>2938.5</v>
      </c>
      <c r="E509">
        <v>2938.5</v>
      </c>
      <c r="F509">
        <v>2938</v>
      </c>
      <c r="G509">
        <v>2938</v>
      </c>
      <c r="H509">
        <v>15400</v>
      </c>
    </row>
    <row r="510" spans="2:8">
      <c r="B510" t="s">
        <v>442</v>
      </c>
      <c r="C510" t="s">
        <v>341</v>
      </c>
      <c r="D510">
        <v>2938</v>
      </c>
      <c r="E510">
        <v>2938</v>
      </c>
      <c r="F510">
        <v>2937</v>
      </c>
      <c r="G510">
        <v>2937</v>
      </c>
      <c r="H510">
        <v>27100</v>
      </c>
    </row>
    <row r="511" spans="2:8">
      <c r="B511" t="s">
        <v>442</v>
      </c>
      <c r="C511" t="s">
        <v>342</v>
      </c>
      <c r="D511">
        <v>2937</v>
      </c>
      <c r="E511">
        <v>2939</v>
      </c>
      <c r="F511">
        <v>2937</v>
      </c>
      <c r="G511">
        <v>2939</v>
      </c>
      <c r="H511">
        <v>16800</v>
      </c>
    </row>
    <row r="512" spans="2:8">
      <c r="B512" t="s">
        <v>442</v>
      </c>
      <c r="C512" t="s">
        <v>343</v>
      </c>
      <c r="D512">
        <v>2939.5</v>
      </c>
      <c r="E512">
        <v>2940.5</v>
      </c>
      <c r="F512">
        <v>2939.5</v>
      </c>
      <c r="G512">
        <v>2940.5</v>
      </c>
      <c r="H512">
        <v>9600</v>
      </c>
    </row>
    <row r="513" spans="2:8">
      <c r="B513" t="s">
        <v>442</v>
      </c>
      <c r="C513" t="s">
        <v>344</v>
      </c>
      <c r="D513">
        <v>2940.5</v>
      </c>
      <c r="E513">
        <v>2940.5</v>
      </c>
      <c r="F513">
        <v>2940</v>
      </c>
      <c r="G513">
        <v>2940</v>
      </c>
      <c r="H513">
        <v>9400</v>
      </c>
    </row>
    <row r="514" spans="2:8">
      <c r="B514" t="s">
        <v>442</v>
      </c>
      <c r="C514" t="s">
        <v>345</v>
      </c>
      <c r="D514">
        <v>2940</v>
      </c>
      <c r="E514">
        <v>2941</v>
      </c>
      <c r="F514">
        <v>2940</v>
      </c>
      <c r="G514">
        <v>2941</v>
      </c>
      <c r="H514">
        <v>8000</v>
      </c>
    </row>
    <row r="515" spans="2:8">
      <c r="B515" t="s">
        <v>442</v>
      </c>
      <c r="C515" t="s">
        <v>346</v>
      </c>
      <c r="D515">
        <v>2941</v>
      </c>
      <c r="E515">
        <v>2941</v>
      </c>
      <c r="F515">
        <v>2940.5</v>
      </c>
      <c r="G515">
        <v>2940.5</v>
      </c>
      <c r="H515">
        <v>2500</v>
      </c>
    </row>
    <row r="516" spans="2:8">
      <c r="B516" t="s">
        <v>442</v>
      </c>
      <c r="C516" t="s">
        <v>347</v>
      </c>
      <c r="D516">
        <v>2940.5</v>
      </c>
      <c r="E516">
        <v>2941.5</v>
      </c>
      <c r="F516">
        <v>2940.5</v>
      </c>
      <c r="G516">
        <v>2941</v>
      </c>
      <c r="H516">
        <v>23700</v>
      </c>
    </row>
    <row r="517" spans="2:8">
      <c r="B517" t="s">
        <v>442</v>
      </c>
      <c r="C517" t="s">
        <v>348</v>
      </c>
      <c r="D517">
        <v>2941</v>
      </c>
      <c r="E517">
        <v>2941</v>
      </c>
      <c r="F517">
        <v>2939.5</v>
      </c>
      <c r="G517">
        <v>2940</v>
      </c>
      <c r="H517">
        <v>15900</v>
      </c>
    </row>
    <row r="518" spans="2:8">
      <c r="B518" t="s">
        <v>442</v>
      </c>
      <c r="C518" t="s">
        <v>349</v>
      </c>
      <c r="D518">
        <v>2940</v>
      </c>
      <c r="E518">
        <v>2940.5</v>
      </c>
      <c r="F518">
        <v>2939.5</v>
      </c>
      <c r="G518">
        <v>2939.5</v>
      </c>
      <c r="H518">
        <v>19400</v>
      </c>
    </row>
    <row r="519" spans="2:8">
      <c r="B519" t="s">
        <v>442</v>
      </c>
      <c r="C519" t="s">
        <v>350</v>
      </c>
      <c r="D519">
        <v>2940</v>
      </c>
      <c r="E519">
        <v>2941</v>
      </c>
      <c r="F519">
        <v>2939</v>
      </c>
      <c r="G519">
        <v>2941</v>
      </c>
      <c r="H519">
        <v>13200</v>
      </c>
    </row>
    <row r="520" spans="2:8">
      <c r="B520" t="s">
        <v>442</v>
      </c>
      <c r="C520" t="s">
        <v>351</v>
      </c>
      <c r="D520">
        <v>2940.5</v>
      </c>
      <c r="E520">
        <v>2940.5</v>
      </c>
      <c r="F520">
        <v>2938</v>
      </c>
      <c r="G520">
        <v>2939</v>
      </c>
      <c r="H520">
        <v>20700</v>
      </c>
    </row>
    <row r="521" spans="2:8">
      <c r="B521" t="s">
        <v>442</v>
      </c>
      <c r="C521" t="s">
        <v>352</v>
      </c>
      <c r="D521">
        <v>2939.5</v>
      </c>
      <c r="E521">
        <v>2940</v>
      </c>
      <c r="F521">
        <v>2939.5</v>
      </c>
      <c r="G521">
        <v>2940</v>
      </c>
      <c r="H521">
        <v>7300</v>
      </c>
    </row>
    <row r="522" spans="2:8">
      <c r="B522" t="s">
        <v>442</v>
      </c>
      <c r="C522" t="s">
        <v>353</v>
      </c>
      <c r="D522">
        <v>2940</v>
      </c>
      <c r="E522">
        <v>2940.5</v>
      </c>
      <c r="F522">
        <v>2940</v>
      </c>
      <c r="G522">
        <v>2940.5</v>
      </c>
      <c r="H522">
        <v>8900</v>
      </c>
    </row>
    <row r="523" spans="2:8">
      <c r="B523" t="s">
        <v>442</v>
      </c>
      <c r="C523" t="s">
        <v>354</v>
      </c>
      <c r="D523">
        <v>2940</v>
      </c>
      <c r="E523">
        <v>2940</v>
      </c>
      <c r="F523">
        <v>2940</v>
      </c>
      <c r="G523">
        <v>2940</v>
      </c>
      <c r="H523">
        <v>13500</v>
      </c>
    </row>
    <row r="524" spans="2:8">
      <c r="B524" t="s">
        <v>442</v>
      </c>
      <c r="C524" t="s">
        <v>355</v>
      </c>
      <c r="D524">
        <v>2940.5</v>
      </c>
      <c r="E524">
        <v>2940.5</v>
      </c>
      <c r="F524">
        <v>2940</v>
      </c>
      <c r="G524">
        <v>2940.5</v>
      </c>
      <c r="H524">
        <v>16700</v>
      </c>
    </row>
    <row r="525" spans="2:8">
      <c r="B525" t="s">
        <v>442</v>
      </c>
      <c r="C525" t="s">
        <v>356</v>
      </c>
      <c r="D525">
        <v>2940.5</v>
      </c>
      <c r="E525">
        <v>2940.5</v>
      </c>
      <c r="F525">
        <v>2939.5</v>
      </c>
      <c r="G525">
        <v>2940</v>
      </c>
      <c r="H525">
        <v>6800</v>
      </c>
    </row>
    <row r="526" spans="2:8">
      <c r="B526" t="s">
        <v>442</v>
      </c>
      <c r="C526" t="s">
        <v>357</v>
      </c>
      <c r="D526">
        <v>2939.5</v>
      </c>
      <c r="E526">
        <v>2940</v>
      </c>
      <c r="F526">
        <v>2938</v>
      </c>
      <c r="G526">
        <v>2938</v>
      </c>
      <c r="H526">
        <v>13200</v>
      </c>
    </row>
    <row r="527" spans="2:8">
      <c r="B527" t="s">
        <v>442</v>
      </c>
      <c r="C527" t="s">
        <v>358</v>
      </c>
      <c r="D527">
        <v>2938</v>
      </c>
      <c r="E527">
        <v>2939</v>
      </c>
      <c r="F527">
        <v>2938</v>
      </c>
      <c r="G527">
        <v>2938.5</v>
      </c>
      <c r="H527">
        <v>7200</v>
      </c>
    </row>
    <row r="528" spans="2:8">
      <c r="B528" t="s">
        <v>442</v>
      </c>
      <c r="C528" t="s">
        <v>359</v>
      </c>
      <c r="D528">
        <v>2938.5</v>
      </c>
      <c r="E528">
        <v>2939.5</v>
      </c>
      <c r="F528">
        <v>2938.5</v>
      </c>
      <c r="G528">
        <v>2939.5</v>
      </c>
      <c r="H528">
        <v>7900</v>
      </c>
    </row>
    <row r="529" spans="2:8">
      <c r="B529" t="s">
        <v>442</v>
      </c>
      <c r="C529" t="s">
        <v>360</v>
      </c>
      <c r="D529">
        <v>2939.5</v>
      </c>
      <c r="E529">
        <v>2939.5</v>
      </c>
      <c r="F529">
        <v>2939</v>
      </c>
      <c r="G529">
        <v>2939</v>
      </c>
      <c r="H529">
        <v>3000</v>
      </c>
    </row>
    <row r="530" spans="2:8">
      <c r="B530" t="s">
        <v>442</v>
      </c>
      <c r="C530" t="s">
        <v>361</v>
      </c>
      <c r="D530">
        <v>2939.5</v>
      </c>
      <c r="E530">
        <v>2939.5</v>
      </c>
      <c r="F530">
        <v>2939</v>
      </c>
      <c r="G530">
        <v>2939.5</v>
      </c>
      <c r="H530">
        <v>10600</v>
      </c>
    </row>
    <row r="531" spans="2:8">
      <c r="B531" t="s">
        <v>442</v>
      </c>
      <c r="C531" t="s">
        <v>362</v>
      </c>
      <c r="D531">
        <v>2940</v>
      </c>
      <c r="E531">
        <v>2940</v>
      </c>
      <c r="F531">
        <v>2939.5</v>
      </c>
      <c r="G531">
        <v>2940</v>
      </c>
      <c r="H531">
        <v>4600</v>
      </c>
    </row>
    <row r="532" spans="2:8">
      <c r="B532" t="s">
        <v>442</v>
      </c>
      <c r="C532" t="s">
        <v>363</v>
      </c>
      <c r="D532">
        <v>2940</v>
      </c>
      <c r="E532">
        <v>2940</v>
      </c>
      <c r="F532">
        <v>2939.5</v>
      </c>
      <c r="G532">
        <v>2939.5</v>
      </c>
      <c r="H532">
        <v>8400</v>
      </c>
    </row>
    <row r="533" spans="2:8">
      <c r="B533" t="s">
        <v>442</v>
      </c>
      <c r="C533" t="s">
        <v>364</v>
      </c>
      <c r="D533">
        <v>2940</v>
      </c>
      <c r="E533">
        <v>2940</v>
      </c>
      <c r="F533">
        <v>2940</v>
      </c>
      <c r="G533">
        <v>2940</v>
      </c>
      <c r="H533">
        <v>7300</v>
      </c>
    </row>
    <row r="534" spans="2:8">
      <c r="B534" t="s">
        <v>442</v>
      </c>
      <c r="C534" t="s">
        <v>365</v>
      </c>
      <c r="D534">
        <v>2940</v>
      </c>
      <c r="E534">
        <v>2940</v>
      </c>
      <c r="F534">
        <v>2939.5</v>
      </c>
      <c r="G534">
        <v>2940</v>
      </c>
      <c r="H534">
        <v>10900</v>
      </c>
    </row>
    <row r="535" spans="2:8">
      <c r="B535" t="s">
        <v>442</v>
      </c>
      <c r="C535" t="s">
        <v>366</v>
      </c>
      <c r="D535">
        <v>2940</v>
      </c>
      <c r="E535">
        <v>2941</v>
      </c>
      <c r="F535">
        <v>2940</v>
      </c>
      <c r="G535">
        <v>2940.5</v>
      </c>
      <c r="H535">
        <v>9000</v>
      </c>
    </row>
    <row r="536" spans="2:8">
      <c r="B536" t="s">
        <v>442</v>
      </c>
      <c r="C536" t="s">
        <v>367</v>
      </c>
      <c r="D536">
        <v>2940.5</v>
      </c>
      <c r="E536">
        <v>2940.5</v>
      </c>
      <c r="F536">
        <v>2940</v>
      </c>
      <c r="G536">
        <v>2940</v>
      </c>
      <c r="H536">
        <v>8800</v>
      </c>
    </row>
    <row r="537" spans="2:8">
      <c r="B537" t="s">
        <v>442</v>
      </c>
      <c r="C537" t="s">
        <v>368</v>
      </c>
      <c r="D537">
        <v>2939.5</v>
      </c>
      <c r="E537">
        <v>2939.5</v>
      </c>
      <c r="F537">
        <v>2938.5</v>
      </c>
      <c r="G537">
        <v>2938.5</v>
      </c>
      <c r="H537">
        <v>10600</v>
      </c>
    </row>
    <row r="538" spans="2:8">
      <c r="B538" t="s">
        <v>442</v>
      </c>
      <c r="C538" t="s">
        <v>369</v>
      </c>
      <c r="D538">
        <v>2938.5</v>
      </c>
      <c r="E538">
        <v>2939</v>
      </c>
      <c r="F538">
        <v>2938.5</v>
      </c>
      <c r="G538">
        <v>2939</v>
      </c>
      <c r="H538">
        <v>12700</v>
      </c>
    </row>
    <row r="539" spans="2:8">
      <c r="B539" t="s">
        <v>442</v>
      </c>
      <c r="C539" t="s">
        <v>370</v>
      </c>
      <c r="D539">
        <v>2939</v>
      </c>
      <c r="E539">
        <v>2939</v>
      </c>
      <c r="F539">
        <v>2938.5</v>
      </c>
      <c r="G539">
        <v>2938.5</v>
      </c>
      <c r="H539">
        <v>5600</v>
      </c>
    </row>
    <row r="540" spans="2:8">
      <c r="B540" t="s">
        <v>442</v>
      </c>
      <c r="C540" t="s">
        <v>371</v>
      </c>
      <c r="D540">
        <v>2938</v>
      </c>
      <c r="E540">
        <v>2939</v>
      </c>
      <c r="F540">
        <v>2938</v>
      </c>
      <c r="G540">
        <v>2939</v>
      </c>
      <c r="H540">
        <v>5500</v>
      </c>
    </row>
    <row r="541" spans="2:8">
      <c r="B541" t="s">
        <v>442</v>
      </c>
      <c r="C541" t="s">
        <v>372</v>
      </c>
      <c r="D541">
        <v>2939</v>
      </c>
      <c r="E541">
        <v>2939</v>
      </c>
      <c r="F541">
        <v>2938.5</v>
      </c>
      <c r="G541">
        <v>2938.5</v>
      </c>
      <c r="H541">
        <v>5100</v>
      </c>
    </row>
    <row r="542" spans="2:8">
      <c r="B542" t="s">
        <v>442</v>
      </c>
      <c r="C542" t="s">
        <v>373</v>
      </c>
      <c r="D542">
        <v>2938.5</v>
      </c>
      <c r="E542">
        <v>2939.5</v>
      </c>
      <c r="F542">
        <v>2938.5</v>
      </c>
      <c r="G542">
        <v>2939</v>
      </c>
      <c r="H542">
        <v>6500</v>
      </c>
    </row>
    <row r="543" spans="2:8">
      <c r="B543" t="s">
        <v>442</v>
      </c>
      <c r="C543" t="s">
        <v>374</v>
      </c>
      <c r="D543">
        <v>2939</v>
      </c>
      <c r="E543">
        <v>2939.5</v>
      </c>
      <c r="F543">
        <v>2939</v>
      </c>
      <c r="G543">
        <v>2939.5</v>
      </c>
      <c r="H543">
        <v>3500</v>
      </c>
    </row>
    <row r="544" spans="2:8">
      <c r="B544" t="s">
        <v>442</v>
      </c>
      <c r="C544" t="s">
        <v>375</v>
      </c>
      <c r="D544">
        <v>2939.5</v>
      </c>
      <c r="E544">
        <v>2939.5</v>
      </c>
      <c r="F544">
        <v>2938.5</v>
      </c>
      <c r="G544">
        <v>2938.5</v>
      </c>
      <c r="H544">
        <v>14100</v>
      </c>
    </row>
    <row r="545" spans="2:8">
      <c r="B545" t="s">
        <v>442</v>
      </c>
      <c r="C545" t="s">
        <v>376</v>
      </c>
      <c r="D545">
        <v>2938.5</v>
      </c>
      <c r="E545">
        <v>2939</v>
      </c>
      <c r="F545">
        <v>2938.5</v>
      </c>
      <c r="G545">
        <v>2938.5</v>
      </c>
      <c r="H545">
        <v>1100</v>
      </c>
    </row>
    <row r="546" spans="2:8">
      <c r="B546" t="s">
        <v>442</v>
      </c>
      <c r="C546" t="s">
        <v>377</v>
      </c>
      <c r="D546">
        <v>2938.5</v>
      </c>
      <c r="E546">
        <v>2939</v>
      </c>
      <c r="F546">
        <v>2938</v>
      </c>
      <c r="G546">
        <v>2938.5</v>
      </c>
      <c r="H546">
        <v>27300</v>
      </c>
    </row>
    <row r="547" spans="2:8">
      <c r="B547" t="s">
        <v>442</v>
      </c>
      <c r="C547" t="s">
        <v>378</v>
      </c>
      <c r="D547">
        <v>2938.5</v>
      </c>
      <c r="E547">
        <v>2939</v>
      </c>
      <c r="F547">
        <v>2938.5</v>
      </c>
      <c r="G547">
        <v>2939</v>
      </c>
      <c r="H547">
        <v>5200</v>
      </c>
    </row>
    <row r="548" spans="2:8">
      <c r="B548" t="s">
        <v>442</v>
      </c>
      <c r="C548" t="s">
        <v>379</v>
      </c>
      <c r="D548">
        <v>2939</v>
      </c>
      <c r="E548">
        <v>2939.5</v>
      </c>
      <c r="F548">
        <v>2939</v>
      </c>
      <c r="G548">
        <v>2939.5</v>
      </c>
      <c r="H548">
        <v>7300</v>
      </c>
    </row>
    <row r="549" spans="2:8">
      <c r="B549" t="s">
        <v>442</v>
      </c>
      <c r="C549" t="s">
        <v>380</v>
      </c>
      <c r="D549">
        <v>2940</v>
      </c>
      <c r="E549">
        <v>2940</v>
      </c>
      <c r="F549">
        <v>2939</v>
      </c>
      <c r="G549">
        <v>2939.5</v>
      </c>
      <c r="H549">
        <v>4200</v>
      </c>
    </row>
    <row r="550" spans="2:8">
      <c r="B550" t="s">
        <v>442</v>
      </c>
      <c r="C550" t="s">
        <v>381</v>
      </c>
      <c r="D550">
        <v>2939.5</v>
      </c>
      <c r="E550">
        <v>2939.5</v>
      </c>
      <c r="F550">
        <v>2939.5</v>
      </c>
      <c r="G550">
        <v>2939.5</v>
      </c>
      <c r="H550">
        <v>5100</v>
      </c>
    </row>
    <row r="551" spans="2:8">
      <c r="B551" t="s">
        <v>442</v>
      </c>
      <c r="C551" t="s">
        <v>382</v>
      </c>
      <c r="D551">
        <v>2939</v>
      </c>
      <c r="E551">
        <v>2939.5</v>
      </c>
      <c r="F551">
        <v>2939</v>
      </c>
      <c r="G551">
        <v>2939.5</v>
      </c>
      <c r="H551">
        <v>4400</v>
      </c>
    </row>
    <row r="552" spans="2:8">
      <c r="B552" t="s">
        <v>442</v>
      </c>
      <c r="C552" t="s">
        <v>383</v>
      </c>
      <c r="D552">
        <v>2939.5</v>
      </c>
      <c r="E552">
        <v>2939.5</v>
      </c>
      <c r="F552">
        <v>2939</v>
      </c>
      <c r="G552">
        <v>2939.5</v>
      </c>
      <c r="H552">
        <v>20800</v>
      </c>
    </row>
    <row r="553" spans="2:8">
      <c r="B553" t="s">
        <v>442</v>
      </c>
      <c r="C553" t="s">
        <v>384</v>
      </c>
      <c r="D553">
        <v>2939.5</v>
      </c>
      <c r="E553">
        <v>2939.5</v>
      </c>
      <c r="F553">
        <v>2938.5</v>
      </c>
      <c r="G553">
        <v>2939</v>
      </c>
      <c r="H553">
        <v>7400</v>
      </c>
    </row>
    <row r="554" spans="2:8">
      <c r="B554" t="s">
        <v>442</v>
      </c>
      <c r="C554" t="s">
        <v>385</v>
      </c>
      <c r="D554">
        <v>2938.5</v>
      </c>
      <c r="E554">
        <v>2939</v>
      </c>
      <c r="F554">
        <v>2938</v>
      </c>
      <c r="G554">
        <v>2939</v>
      </c>
      <c r="H554">
        <v>24400</v>
      </c>
    </row>
    <row r="555" spans="2:8">
      <c r="B555" t="s">
        <v>442</v>
      </c>
      <c r="C555" t="s">
        <v>386</v>
      </c>
      <c r="D555">
        <v>2939</v>
      </c>
      <c r="E555">
        <v>2939</v>
      </c>
      <c r="F555">
        <v>2938.5</v>
      </c>
      <c r="G555">
        <v>2938.5</v>
      </c>
      <c r="H555">
        <v>6500</v>
      </c>
    </row>
    <row r="556" spans="2:8">
      <c r="B556" t="s">
        <v>442</v>
      </c>
      <c r="C556" t="s">
        <v>387</v>
      </c>
      <c r="D556">
        <v>2939</v>
      </c>
      <c r="E556">
        <v>2939.5</v>
      </c>
      <c r="F556">
        <v>2939</v>
      </c>
      <c r="G556">
        <v>2939.5</v>
      </c>
      <c r="H556">
        <v>2700</v>
      </c>
    </row>
    <row r="557" spans="2:8">
      <c r="B557" t="s">
        <v>442</v>
      </c>
      <c r="C557" t="s">
        <v>388</v>
      </c>
      <c r="D557">
        <v>2939.5</v>
      </c>
      <c r="E557">
        <v>2939.5</v>
      </c>
      <c r="F557">
        <v>2939</v>
      </c>
      <c r="G557">
        <v>2939.5</v>
      </c>
      <c r="H557">
        <v>4900</v>
      </c>
    </row>
    <row r="558" spans="2:8">
      <c r="B558" t="s">
        <v>442</v>
      </c>
      <c r="C558" t="s">
        <v>389</v>
      </c>
      <c r="D558">
        <v>2939</v>
      </c>
      <c r="E558">
        <v>2939.5</v>
      </c>
      <c r="F558">
        <v>2938</v>
      </c>
      <c r="G558">
        <v>2938</v>
      </c>
      <c r="H558">
        <v>13100</v>
      </c>
    </row>
    <row r="559" spans="2:8">
      <c r="B559" t="s">
        <v>442</v>
      </c>
      <c r="C559" t="s">
        <v>390</v>
      </c>
      <c r="D559">
        <v>2938</v>
      </c>
      <c r="E559">
        <v>2938.5</v>
      </c>
      <c r="F559">
        <v>2937</v>
      </c>
      <c r="G559">
        <v>2937</v>
      </c>
      <c r="H559">
        <v>12500</v>
      </c>
    </row>
    <row r="560" spans="2:8">
      <c r="B560" t="s">
        <v>442</v>
      </c>
      <c r="C560" t="s">
        <v>391</v>
      </c>
      <c r="D560">
        <v>2937</v>
      </c>
      <c r="E560">
        <v>2937</v>
      </c>
      <c r="F560">
        <v>2934.5</v>
      </c>
      <c r="G560">
        <v>2935</v>
      </c>
      <c r="H560">
        <v>81500</v>
      </c>
    </row>
    <row r="561" spans="2:8">
      <c r="B561" t="s">
        <v>442</v>
      </c>
      <c r="C561" t="s">
        <v>392</v>
      </c>
      <c r="D561">
        <v>2935.5</v>
      </c>
      <c r="E561">
        <v>2937</v>
      </c>
      <c r="F561">
        <v>2935.5</v>
      </c>
      <c r="G561">
        <v>2937</v>
      </c>
      <c r="H561">
        <v>6300</v>
      </c>
    </row>
    <row r="562" spans="2:8">
      <c r="B562" t="s">
        <v>442</v>
      </c>
      <c r="C562" t="s">
        <v>393</v>
      </c>
      <c r="D562">
        <v>2936.5</v>
      </c>
      <c r="E562">
        <v>2936.5</v>
      </c>
      <c r="F562">
        <v>2934.5</v>
      </c>
      <c r="G562">
        <v>2934.5</v>
      </c>
      <c r="H562">
        <v>9100</v>
      </c>
    </row>
    <row r="563" spans="2:8">
      <c r="B563" t="s">
        <v>442</v>
      </c>
      <c r="C563" t="s">
        <v>394</v>
      </c>
      <c r="D563">
        <v>2935</v>
      </c>
      <c r="E563">
        <v>2935</v>
      </c>
      <c r="F563">
        <v>2934</v>
      </c>
      <c r="G563">
        <v>2934</v>
      </c>
      <c r="H563">
        <v>10000</v>
      </c>
    </row>
    <row r="564" spans="2:8">
      <c r="B564" t="s">
        <v>442</v>
      </c>
      <c r="C564" t="s">
        <v>395</v>
      </c>
      <c r="D564">
        <v>2934</v>
      </c>
      <c r="E564">
        <v>2934.5</v>
      </c>
      <c r="F564">
        <v>2934</v>
      </c>
      <c r="G564">
        <v>2934.5</v>
      </c>
      <c r="H564">
        <v>9100</v>
      </c>
    </row>
    <row r="565" spans="2:8">
      <c r="B565" t="s">
        <v>442</v>
      </c>
      <c r="C565" t="s">
        <v>396</v>
      </c>
      <c r="D565">
        <v>2934</v>
      </c>
      <c r="E565">
        <v>2934.5</v>
      </c>
      <c r="F565">
        <v>2933.5</v>
      </c>
      <c r="G565">
        <v>2934</v>
      </c>
      <c r="H565">
        <v>14000</v>
      </c>
    </row>
    <row r="566" spans="2:8">
      <c r="B566" t="s">
        <v>442</v>
      </c>
      <c r="C566" t="s">
        <v>397</v>
      </c>
      <c r="D566">
        <v>2934</v>
      </c>
      <c r="E566">
        <v>2934.5</v>
      </c>
      <c r="F566">
        <v>2933.5</v>
      </c>
      <c r="G566">
        <v>2934</v>
      </c>
      <c r="H566">
        <v>9300</v>
      </c>
    </row>
    <row r="567" spans="2:8">
      <c r="B567" t="s">
        <v>442</v>
      </c>
      <c r="C567" t="s">
        <v>398</v>
      </c>
      <c r="D567">
        <v>2933.5</v>
      </c>
      <c r="E567">
        <v>2934.5</v>
      </c>
      <c r="F567">
        <v>2933</v>
      </c>
      <c r="G567">
        <v>2934.5</v>
      </c>
      <c r="H567">
        <v>16200</v>
      </c>
    </row>
    <row r="568" spans="2:8">
      <c r="B568" t="s">
        <v>442</v>
      </c>
      <c r="C568" t="s">
        <v>399</v>
      </c>
      <c r="D568">
        <v>2935</v>
      </c>
      <c r="E568">
        <v>2935.5</v>
      </c>
      <c r="F568">
        <v>2935</v>
      </c>
      <c r="G568">
        <v>2935.5</v>
      </c>
      <c r="H568">
        <v>6000</v>
      </c>
    </row>
    <row r="569" spans="2:8">
      <c r="B569" t="s">
        <v>442</v>
      </c>
      <c r="C569" t="s">
        <v>400</v>
      </c>
      <c r="D569">
        <v>2936</v>
      </c>
      <c r="E569">
        <v>2936</v>
      </c>
      <c r="F569">
        <v>2935</v>
      </c>
      <c r="G569">
        <v>2935.5</v>
      </c>
      <c r="H569">
        <v>12100</v>
      </c>
    </row>
    <row r="570" spans="2:8">
      <c r="B570" t="s">
        <v>442</v>
      </c>
      <c r="C570" t="s">
        <v>401</v>
      </c>
      <c r="D570">
        <v>2935.5</v>
      </c>
      <c r="E570">
        <v>2935.5</v>
      </c>
      <c r="F570">
        <v>2935</v>
      </c>
      <c r="G570">
        <v>2935.5</v>
      </c>
      <c r="H570">
        <v>9700</v>
      </c>
    </row>
    <row r="571" spans="2:8">
      <c r="B571" t="s">
        <v>442</v>
      </c>
      <c r="C571" t="s">
        <v>402</v>
      </c>
      <c r="D571">
        <v>2935.5</v>
      </c>
      <c r="E571">
        <v>2935.5</v>
      </c>
      <c r="F571">
        <v>2934.5</v>
      </c>
      <c r="G571">
        <v>2935</v>
      </c>
      <c r="H571">
        <v>9700</v>
      </c>
    </row>
    <row r="572" spans="2:8">
      <c r="B572" t="s">
        <v>442</v>
      </c>
      <c r="C572" t="s">
        <v>403</v>
      </c>
      <c r="D572">
        <v>2935</v>
      </c>
      <c r="E572">
        <v>2935</v>
      </c>
      <c r="F572">
        <v>2934</v>
      </c>
      <c r="G572">
        <v>2934.5</v>
      </c>
      <c r="H572">
        <v>13500</v>
      </c>
    </row>
    <row r="573" spans="2:8">
      <c r="B573" t="s">
        <v>442</v>
      </c>
      <c r="C573" t="s">
        <v>404</v>
      </c>
      <c r="D573">
        <v>2934.5</v>
      </c>
      <c r="E573">
        <v>2935</v>
      </c>
      <c r="F573">
        <v>2934</v>
      </c>
      <c r="G573">
        <v>2934.5</v>
      </c>
      <c r="H573">
        <v>7100</v>
      </c>
    </row>
    <row r="574" spans="2:8">
      <c r="B574" t="s">
        <v>442</v>
      </c>
      <c r="C574" t="s">
        <v>405</v>
      </c>
      <c r="D574">
        <v>2934.5</v>
      </c>
      <c r="E574">
        <v>2935</v>
      </c>
      <c r="F574">
        <v>2934.5</v>
      </c>
      <c r="G574">
        <v>2935</v>
      </c>
      <c r="H574">
        <v>4600</v>
      </c>
    </row>
    <row r="575" spans="2:8">
      <c r="B575" t="s">
        <v>442</v>
      </c>
      <c r="C575" t="s">
        <v>406</v>
      </c>
      <c r="D575">
        <v>2934.5</v>
      </c>
      <c r="E575">
        <v>2935.5</v>
      </c>
      <c r="F575">
        <v>2934.5</v>
      </c>
      <c r="G575">
        <v>2935.5</v>
      </c>
      <c r="H575">
        <v>5700</v>
      </c>
    </row>
    <row r="576" spans="2:8">
      <c r="B576" t="s">
        <v>442</v>
      </c>
      <c r="C576" t="s">
        <v>407</v>
      </c>
      <c r="D576">
        <v>2935.5</v>
      </c>
      <c r="E576">
        <v>2935.5</v>
      </c>
      <c r="F576">
        <v>2933</v>
      </c>
      <c r="G576">
        <v>2933</v>
      </c>
      <c r="H576">
        <v>31900</v>
      </c>
    </row>
    <row r="577" spans="2:8">
      <c r="B577" t="s">
        <v>442</v>
      </c>
      <c r="C577" t="s">
        <v>408</v>
      </c>
      <c r="D577">
        <v>2934</v>
      </c>
      <c r="E577">
        <v>2934</v>
      </c>
      <c r="F577">
        <v>2933.5</v>
      </c>
      <c r="G577">
        <v>2934</v>
      </c>
      <c r="H577">
        <v>3800</v>
      </c>
    </row>
    <row r="578" spans="2:8">
      <c r="B578" t="s">
        <v>442</v>
      </c>
      <c r="C578" t="s">
        <v>409</v>
      </c>
      <c r="D578">
        <v>2934</v>
      </c>
      <c r="E578">
        <v>2934.5</v>
      </c>
      <c r="F578">
        <v>2933.5</v>
      </c>
      <c r="G578">
        <v>2933.5</v>
      </c>
      <c r="H578">
        <v>12600</v>
      </c>
    </row>
    <row r="579" spans="2:8">
      <c r="B579" t="s">
        <v>442</v>
      </c>
      <c r="C579" t="s">
        <v>410</v>
      </c>
      <c r="D579">
        <v>2933.5</v>
      </c>
      <c r="E579">
        <v>2934</v>
      </c>
      <c r="F579">
        <v>2933.5</v>
      </c>
      <c r="G579">
        <v>2934</v>
      </c>
      <c r="H579">
        <v>2600</v>
      </c>
    </row>
    <row r="580" spans="2:8">
      <c r="B580" t="s">
        <v>442</v>
      </c>
      <c r="C580" t="s">
        <v>411</v>
      </c>
      <c r="D580">
        <v>2934</v>
      </c>
      <c r="E580">
        <v>2934</v>
      </c>
      <c r="F580">
        <v>2933.5</v>
      </c>
      <c r="G580">
        <v>2934</v>
      </c>
      <c r="H580">
        <v>3200</v>
      </c>
    </row>
    <row r="581" spans="2:8">
      <c r="B581" t="s">
        <v>442</v>
      </c>
      <c r="C581" t="s">
        <v>412</v>
      </c>
      <c r="D581">
        <v>2934</v>
      </c>
      <c r="E581">
        <v>2935</v>
      </c>
      <c r="F581">
        <v>2934</v>
      </c>
      <c r="G581">
        <v>2935</v>
      </c>
      <c r="H581">
        <v>13100</v>
      </c>
    </row>
    <row r="582" spans="2:8">
      <c r="B582" t="s">
        <v>442</v>
      </c>
      <c r="C582" t="s">
        <v>413</v>
      </c>
      <c r="D582">
        <v>2935</v>
      </c>
      <c r="E582">
        <v>2935</v>
      </c>
      <c r="F582">
        <v>2934.5</v>
      </c>
      <c r="G582">
        <v>2935</v>
      </c>
      <c r="H582">
        <v>3900</v>
      </c>
    </row>
    <row r="583" spans="2:8">
      <c r="B583" t="s">
        <v>442</v>
      </c>
      <c r="C583" t="s">
        <v>414</v>
      </c>
      <c r="D583">
        <v>2935</v>
      </c>
      <c r="E583">
        <v>2935</v>
      </c>
      <c r="F583">
        <v>2935</v>
      </c>
      <c r="G583">
        <v>2935</v>
      </c>
      <c r="H583">
        <v>8600</v>
      </c>
    </row>
    <row r="584" spans="2:8">
      <c r="B584" t="s">
        <v>442</v>
      </c>
      <c r="C584" t="s">
        <v>415</v>
      </c>
      <c r="D584">
        <v>2934.5</v>
      </c>
      <c r="E584">
        <v>2935</v>
      </c>
      <c r="F584">
        <v>2934.5</v>
      </c>
      <c r="G584">
        <v>2934.5</v>
      </c>
      <c r="H584">
        <v>3300</v>
      </c>
    </row>
    <row r="585" spans="2:8">
      <c r="B585" t="s">
        <v>442</v>
      </c>
      <c r="C585" t="s">
        <v>416</v>
      </c>
      <c r="D585">
        <v>2934.5</v>
      </c>
      <c r="E585">
        <v>2934.5</v>
      </c>
      <c r="F585">
        <v>2934</v>
      </c>
      <c r="G585">
        <v>2934.5</v>
      </c>
      <c r="H585">
        <v>9900</v>
      </c>
    </row>
    <row r="586" spans="2:8">
      <c r="B586" t="s">
        <v>442</v>
      </c>
      <c r="C586" t="s">
        <v>417</v>
      </c>
      <c r="D586">
        <v>2934</v>
      </c>
      <c r="E586">
        <v>2934.5</v>
      </c>
      <c r="F586">
        <v>2934</v>
      </c>
      <c r="G586">
        <v>2934.5</v>
      </c>
      <c r="H586">
        <v>8500</v>
      </c>
    </row>
    <row r="587" spans="2:8">
      <c r="B587" t="s">
        <v>442</v>
      </c>
      <c r="C587" t="s">
        <v>418</v>
      </c>
      <c r="D587">
        <v>2934</v>
      </c>
      <c r="E587">
        <v>2934.5</v>
      </c>
      <c r="F587">
        <v>2933.5</v>
      </c>
      <c r="G587">
        <v>2933.5</v>
      </c>
      <c r="H587">
        <v>13900</v>
      </c>
    </row>
    <row r="588" spans="2:8">
      <c r="B588" t="s">
        <v>442</v>
      </c>
      <c r="C588" t="s">
        <v>419</v>
      </c>
      <c r="D588">
        <v>2933.5</v>
      </c>
      <c r="E588">
        <v>2933.5</v>
      </c>
      <c r="F588">
        <v>2932.5</v>
      </c>
      <c r="G588">
        <v>2933</v>
      </c>
      <c r="H588">
        <v>19100</v>
      </c>
    </row>
    <row r="589" spans="2:8">
      <c r="B589" t="s">
        <v>442</v>
      </c>
      <c r="C589" t="s">
        <v>420</v>
      </c>
      <c r="D589">
        <v>2933</v>
      </c>
      <c r="E589">
        <v>2933</v>
      </c>
      <c r="F589">
        <v>2933</v>
      </c>
      <c r="G589">
        <v>2933</v>
      </c>
      <c r="H589">
        <v>2700</v>
      </c>
    </row>
    <row r="590" spans="2:8">
      <c r="B590" t="s">
        <v>442</v>
      </c>
      <c r="C590" t="s">
        <v>421</v>
      </c>
      <c r="D590">
        <v>2932.5</v>
      </c>
      <c r="E590">
        <v>2933</v>
      </c>
      <c r="F590">
        <v>2932.5</v>
      </c>
      <c r="G590">
        <v>2933</v>
      </c>
      <c r="H590">
        <v>2200</v>
      </c>
    </row>
    <row r="591" spans="2:8">
      <c r="B591" t="s">
        <v>442</v>
      </c>
      <c r="C591" t="s">
        <v>422</v>
      </c>
      <c r="D591">
        <v>2933</v>
      </c>
      <c r="E591">
        <v>2933.5</v>
      </c>
      <c r="F591">
        <v>2933</v>
      </c>
      <c r="G591">
        <v>2933.5</v>
      </c>
      <c r="H591">
        <v>16400</v>
      </c>
    </row>
    <row r="592" spans="2:8">
      <c r="B592" t="s">
        <v>442</v>
      </c>
      <c r="C592" t="s">
        <v>423</v>
      </c>
      <c r="D592">
        <v>2933.5</v>
      </c>
      <c r="E592">
        <v>2933.5</v>
      </c>
      <c r="F592">
        <v>2932.5</v>
      </c>
      <c r="G592">
        <v>2932.5</v>
      </c>
      <c r="H592">
        <v>10200</v>
      </c>
    </row>
    <row r="593" spans="2:8">
      <c r="B593" t="s">
        <v>442</v>
      </c>
      <c r="C593" t="s">
        <v>424</v>
      </c>
      <c r="D593">
        <v>2932.5</v>
      </c>
      <c r="E593">
        <v>2933</v>
      </c>
      <c r="F593">
        <v>2932.5</v>
      </c>
      <c r="G593">
        <v>2932.5</v>
      </c>
      <c r="H593">
        <v>10300</v>
      </c>
    </row>
    <row r="594" spans="2:8">
      <c r="B594" t="s">
        <v>442</v>
      </c>
      <c r="C594" t="s">
        <v>425</v>
      </c>
      <c r="D594">
        <v>2933</v>
      </c>
      <c r="E594">
        <v>2933.5</v>
      </c>
      <c r="F594">
        <v>2933</v>
      </c>
      <c r="G594">
        <v>2933</v>
      </c>
      <c r="H594">
        <v>6100</v>
      </c>
    </row>
    <row r="595" spans="2:8">
      <c r="B595" t="s">
        <v>442</v>
      </c>
      <c r="C595" t="s">
        <v>426</v>
      </c>
      <c r="D595">
        <v>2933.5</v>
      </c>
      <c r="E595">
        <v>2934</v>
      </c>
      <c r="F595">
        <v>2933.5</v>
      </c>
      <c r="G595">
        <v>2933.5</v>
      </c>
      <c r="H595">
        <v>13600</v>
      </c>
    </row>
    <row r="596" spans="2:8">
      <c r="B596" t="s">
        <v>442</v>
      </c>
      <c r="C596" t="s">
        <v>427</v>
      </c>
      <c r="D596">
        <v>2933.5</v>
      </c>
      <c r="E596">
        <v>2933.5</v>
      </c>
      <c r="F596">
        <v>2933</v>
      </c>
      <c r="G596">
        <v>2933.5</v>
      </c>
      <c r="H596">
        <v>3500</v>
      </c>
    </row>
    <row r="597" spans="2:8">
      <c r="B597" t="s">
        <v>442</v>
      </c>
      <c r="C597" t="s">
        <v>428</v>
      </c>
      <c r="D597">
        <v>2933.5</v>
      </c>
      <c r="E597">
        <v>2934</v>
      </c>
      <c r="F597">
        <v>2933.5</v>
      </c>
      <c r="G597">
        <v>2934</v>
      </c>
      <c r="H597">
        <v>10800</v>
      </c>
    </row>
    <row r="598" spans="2:8">
      <c r="B598" t="s">
        <v>442</v>
      </c>
      <c r="C598" t="s">
        <v>429</v>
      </c>
      <c r="D598">
        <v>2934</v>
      </c>
      <c r="E598">
        <v>2934</v>
      </c>
      <c r="F598">
        <v>2932</v>
      </c>
      <c r="G598">
        <v>2932.5</v>
      </c>
      <c r="H598">
        <v>24700</v>
      </c>
    </row>
    <row r="599" spans="2:8">
      <c r="B599" t="s">
        <v>442</v>
      </c>
      <c r="C599" t="s">
        <v>430</v>
      </c>
      <c r="D599">
        <v>2932</v>
      </c>
      <c r="E599">
        <v>2932.5</v>
      </c>
      <c r="F599">
        <v>2931.5</v>
      </c>
      <c r="G599">
        <v>2931.5</v>
      </c>
      <c r="H599">
        <v>27500</v>
      </c>
    </row>
    <row r="600" spans="2:8">
      <c r="B600" t="s">
        <v>442</v>
      </c>
      <c r="C600" t="s">
        <v>431</v>
      </c>
      <c r="D600">
        <v>2932</v>
      </c>
      <c r="E600">
        <v>2934</v>
      </c>
      <c r="F600">
        <v>2932</v>
      </c>
      <c r="G600">
        <v>2933.5</v>
      </c>
      <c r="H600">
        <v>15400</v>
      </c>
    </row>
    <row r="601" spans="2:8">
      <c r="B601" t="s">
        <v>442</v>
      </c>
      <c r="C601" t="s">
        <v>9</v>
      </c>
      <c r="D601">
        <v>2933</v>
      </c>
      <c r="E601">
        <v>2933</v>
      </c>
      <c r="F601">
        <v>2932.5</v>
      </c>
      <c r="G601">
        <v>2933</v>
      </c>
      <c r="H601">
        <v>10800</v>
      </c>
    </row>
    <row r="602" spans="2:8">
      <c r="B602" t="s">
        <v>442</v>
      </c>
      <c r="C602" t="s">
        <v>10</v>
      </c>
      <c r="D602">
        <v>2933</v>
      </c>
      <c r="E602">
        <v>2933.5</v>
      </c>
      <c r="F602">
        <v>2933</v>
      </c>
      <c r="G602">
        <v>2933.5</v>
      </c>
      <c r="H602">
        <v>2700</v>
      </c>
    </row>
    <row r="603" spans="2:8">
      <c r="B603" t="s">
        <v>442</v>
      </c>
      <c r="C603" t="s">
        <v>11</v>
      </c>
      <c r="D603">
        <v>2933</v>
      </c>
      <c r="E603">
        <v>2933</v>
      </c>
      <c r="F603">
        <v>2932</v>
      </c>
      <c r="G603">
        <v>2932</v>
      </c>
      <c r="H603">
        <v>11600</v>
      </c>
    </row>
    <row r="604" spans="2:8">
      <c r="B604" t="s">
        <v>442</v>
      </c>
      <c r="C604" t="s">
        <v>12</v>
      </c>
      <c r="D604">
        <v>2932.5</v>
      </c>
      <c r="E604">
        <v>2932.5</v>
      </c>
      <c r="F604">
        <v>2932</v>
      </c>
      <c r="G604">
        <v>2932.5</v>
      </c>
      <c r="H604">
        <v>11100</v>
      </c>
    </row>
    <row r="605" spans="2:8">
      <c r="B605" t="s">
        <v>442</v>
      </c>
      <c r="C605" t="s">
        <v>13</v>
      </c>
      <c r="D605">
        <v>2932.5</v>
      </c>
      <c r="E605">
        <v>2932.5</v>
      </c>
      <c r="F605">
        <v>2931.5</v>
      </c>
      <c r="G605">
        <v>2931.5</v>
      </c>
      <c r="H605">
        <v>14600</v>
      </c>
    </row>
    <row r="606" spans="2:8">
      <c r="B606" t="s">
        <v>442</v>
      </c>
      <c r="C606" t="s">
        <v>14</v>
      </c>
      <c r="D606">
        <v>2931.5</v>
      </c>
      <c r="E606">
        <v>2932</v>
      </c>
      <c r="F606">
        <v>2931.5</v>
      </c>
      <c r="G606">
        <v>2932</v>
      </c>
      <c r="H606">
        <v>6800</v>
      </c>
    </row>
    <row r="607" spans="2:8">
      <c r="B607" t="s">
        <v>442</v>
      </c>
      <c r="C607" t="s">
        <v>15</v>
      </c>
      <c r="D607">
        <v>2931.5</v>
      </c>
      <c r="E607">
        <v>2932</v>
      </c>
      <c r="F607">
        <v>2931.5</v>
      </c>
      <c r="G607">
        <v>2932</v>
      </c>
      <c r="H607">
        <v>12400</v>
      </c>
    </row>
    <row r="608" spans="2:8">
      <c r="B608" t="s">
        <v>442</v>
      </c>
      <c r="C608" t="s">
        <v>16</v>
      </c>
      <c r="D608">
        <v>2932</v>
      </c>
      <c r="E608">
        <v>2932</v>
      </c>
      <c r="F608">
        <v>2929</v>
      </c>
      <c r="G608">
        <v>2929</v>
      </c>
      <c r="H608">
        <v>80600</v>
      </c>
    </row>
    <row r="609" spans="2:8">
      <c r="B609" t="s">
        <v>442</v>
      </c>
      <c r="C609" t="s">
        <v>17</v>
      </c>
      <c r="D609">
        <v>2929</v>
      </c>
      <c r="E609">
        <v>2929.5</v>
      </c>
      <c r="F609">
        <v>2929</v>
      </c>
      <c r="G609">
        <v>2929.5</v>
      </c>
      <c r="H609">
        <v>3400</v>
      </c>
    </row>
    <row r="610" spans="2:8">
      <c r="B610" t="s">
        <v>442</v>
      </c>
      <c r="C610" t="s">
        <v>18</v>
      </c>
      <c r="D610">
        <v>2929.5</v>
      </c>
      <c r="E610">
        <v>2929.5</v>
      </c>
      <c r="F610">
        <v>2929</v>
      </c>
      <c r="G610">
        <v>2929.5</v>
      </c>
      <c r="H610">
        <v>11200</v>
      </c>
    </row>
    <row r="611" spans="2:8">
      <c r="B611" t="s">
        <v>442</v>
      </c>
      <c r="C611" t="s">
        <v>19</v>
      </c>
      <c r="D611">
        <v>2929</v>
      </c>
      <c r="E611">
        <v>2929</v>
      </c>
      <c r="F611">
        <v>2928</v>
      </c>
      <c r="G611">
        <v>2928.5</v>
      </c>
      <c r="H611">
        <v>24100</v>
      </c>
    </row>
    <row r="612" spans="2:8">
      <c r="B612" t="s">
        <v>442</v>
      </c>
      <c r="C612" t="s">
        <v>20</v>
      </c>
      <c r="D612">
        <v>2928.5</v>
      </c>
      <c r="E612">
        <v>2928.5</v>
      </c>
      <c r="F612">
        <v>2928</v>
      </c>
      <c r="G612">
        <v>2928</v>
      </c>
      <c r="H612">
        <v>14700</v>
      </c>
    </row>
    <row r="613" spans="2:8">
      <c r="B613" t="s">
        <v>442</v>
      </c>
      <c r="C613" t="s">
        <v>21</v>
      </c>
      <c r="D613">
        <v>2928</v>
      </c>
      <c r="E613">
        <v>2929.5</v>
      </c>
      <c r="F613">
        <v>2928</v>
      </c>
      <c r="G613">
        <v>2929.5</v>
      </c>
      <c r="H613">
        <v>19600</v>
      </c>
    </row>
    <row r="614" spans="2:8">
      <c r="B614" t="s">
        <v>442</v>
      </c>
      <c r="C614" t="s">
        <v>22</v>
      </c>
      <c r="D614">
        <v>2929.5</v>
      </c>
      <c r="E614">
        <v>2930</v>
      </c>
      <c r="F614">
        <v>2929.5</v>
      </c>
      <c r="G614">
        <v>2930</v>
      </c>
      <c r="H614">
        <v>10200</v>
      </c>
    </row>
    <row r="615" spans="2:8">
      <c r="B615" t="s">
        <v>442</v>
      </c>
      <c r="C615" t="s">
        <v>23</v>
      </c>
      <c r="D615">
        <v>2929.5</v>
      </c>
      <c r="E615">
        <v>2930</v>
      </c>
      <c r="F615">
        <v>2929</v>
      </c>
      <c r="G615">
        <v>2929</v>
      </c>
      <c r="H615">
        <v>9700</v>
      </c>
    </row>
    <row r="616" spans="2:8">
      <c r="B616" t="s">
        <v>442</v>
      </c>
      <c r="C616" t="s">
        <v>24</v>
      </c>
      <c r="D616">
        <v>2929.5</v>
      </c>
      <c r="E616">
        <v>2930</v>
      </c>
      <c r="F616">
        <v>2929</v>
      </c>
      <c r="G616">
        <v>2930</v>
      </c>
      <c r="H616">
        <v>13200</v>
      </c>
    </row>
    <row r="617" spans="2:8">
      <c r="B617" t="s">
        <v>442</v>
      </c>
      <c r="C617" t="s">
        <v>25</v>
      </c>
      <c r="D617">
        <v>2930</v>
      </c>
      <c r="E617">
        <v>2931</v>
      </c>
      <c r="F617">
        <v>2929.5</v>
      </c>
      <c r="G617">
        <v>2931</v>
      </c>
      <c r="H617">
        <v>18100</v>
      </c>
    </row>
    <row r="618" spans="2:8">
      <c r="B618" t="s">
        <v>442</v>
      </c>
      <c r="C618" t="s">
        <v>26</v>
      </c>
      <c r="D618">
        <v>2931</v>
      </c>
      <c r="E618">
        <v>2931</v>
      </c>
      <c r="F618">
        <v>2928.5</v>
      </c>
      <c r="G618">
        <v>2929</v>
      </c>
      <c r="H618">
        <v>21800</v>
      </c>
    </row>
    <row r="619" spans="2:8">
      <c r="B619" t="s">
        <v>442</v>
      </c>
      <c r="C619" t="s">
        <v>27</v>
      </c>
      <c r="D619">
        <v>2929</v>
      </c>
      <c r="E619">
        <v>2929.5</v>
      </c>
      <c r="F619">
        <v>2929</v>
      </c>
      <c r="G619">
        <v>2929</v>
      </c>
      <c r="H619">
        <v>7300</v>
      </c>
    </row>
    <row r="620" spans="2:8">
      <c r="B620" t="s">
        <v>442</v>
      </c>
      <c r="C620" t="s">
        <v>28</v>
      </c>
      <c r="D620">
        <v>2929.5</v>
      </c>
      <c r="E620">
        <v>2929.5</v>
      </c>
      <c r="F620">
        <v>2929</v>
      </c>
      <c r="G620">
        <v>2929.5</v>
      </c>
      <c r="H620">
        <v>6600</v>
      </c>
    </row>
    <row r="621" spans="2:8">
      <c r="B621" t="s">
        <v>442</v>
      </c>
      <c r="C621" t="s">
        <v>29</v>
      </c>
      <c r="D621">
        <v>2929.5</v>
      </c>
      <c r="E621">
        <v>2931.5</v>
      </c>
      <c r="F621">
        <v>2929.5</v>
      </c>
      <c r="G621">
        <v>2931.5</v>
      </c>
      <c r="H621">
        <v>19400</v>
      </c>
    </row>
    <row r="622" spans="2:8">
      <c r="B622" t="s">
        <v>442</v>
      </c>
      <c r="C622" t="s">
        <v>30</v>
      </c>
      <c r="D622">
        <v>2931.5</v>
      </c>
      <c r="E622">
        <v>2932.5</v>
      </c>
      <c r="F622">
        <v>2931.5</v>
      </c>
      <c r="G622">
        <v>2932.5</v>
      </c>
      <c r="H622">
        <v>15400</v>
      </c>
    </row>
    <row r="623" spans="2:8">
      <c r="B623" t="s">
        <v>442</v>
      </c>
      <c r="C623" t="s">
        <v>31</v>
      </c>
      <c r="D623">
        <v>2932.5</v>
      </c>
      <c r="E623">
        <v>2932.5</v>
      </c>
      <c r="F623">
        <v>2931.5</v>
      </c>
      <c r="G623">
        <v>2932.5</v>
      </c>
      <c r="H623">
        <v>15200</v>
      </c>
    </row>
    <row r="624" spans="2:8">
      <c r="B624" t="s">
        <v>442</v>
      </c>
      <c r="C624" t="s">
        <v>32</v>
      </c>
      <c r="D624">
        <v>2932</v>
      </c>
      <c r="E624">
        <v>2933.5</v>
      </c>
      <c r="F624">
        <v>2932</v>
      </c>
      <c r="G624">
        <v>2932.5</v>
      </c>
      <c r="H624">
        <v>23800</v>
      </c>
    </row>
    <row r="625" spans="2:8">
      <c r="B625" t="s">
        <v>442</v>
      </c>
      <c r="C625" t="s">
        <v>33</v>
      </c>
      <c r="D625">
        <v>2932.5</v>
      </c>
      <c r="E625">
        <v>2933.5</v>
      </c>
      <c r="F625">
        <v>2932</v>
      </c>
      <c r="G625">
        <v>2932.5</v>
      </c>
      <c r="H625">
        <v>12700</v>
      </c>
    </row>
    <row r="626" spans="2:8">
      <c r="B626" t="s">
        <v>442</v>
      </c>
      <c r="C626" t="s">
        <v>34</v>
      </c>
      <c r="D626">
        <v>2932</v>
      </c>
      <c r="E626">
        <v>2933</v>
      </c>
      <c r="F626">
        <v>2932</v>
      </c>
      <c r="G626">
        <v>2933</v>
      </c>
      <c r="H626">
        <v>8200</v>
      </c>
    </row>
    <row r="627" spans="2:8">
      <c r="B627" t="s">
        <v>442</v>
      </c>
      <c r="C627" t="s">
        <v>35</v>
      </c>
      <c r="D627">
        <v>2933</v>
      </c>
      <c r="E627">
        <v>2933.5</v>
      </c>
      <c r="F627">
        <v>2933</v>
      </c>
      <c r="G627">
        <v>2933.5</v>
      </c>
      <c r="H627">
        <v>7600</v>
      </c>
    </row>
    <row r="628" spans="2:8">
      <c r="B628" t="s">
        <v>442</v>
      </c>
      <c r="C628" t="s">
        <v>36</v>
      </c>
      <c r="D628">
        <v>2933.5</v>
      </c>
      <c r="E628">
        <v>2934</v>
      </c>
      <c r="F628">
        <v>2933</v>
      </c>
      <c r="G628">
        <v>2933.5</v>
      </c>
      <c r="H628">
        <v>11000</v>
      </c>
    </row>
    <row r="629" spans="2:8">
      <c r="B629" t="s">
        <v>442</v>
      </c>
      <c r="C629" t="s">
        <v>37</v>
      </c>
      <c r="D629">
        <v>2933.5</v>
      </c>
      <c r="E629">
        <v>2934</v>
      </c>
      <c r="F629">
        <v>2933</v>
      </c>
      <c r="G629">
        <v>2934</v>
      </c>
      <c r="H629">
        <v>7000</v>
      </c>
    </row>
    <row r="630" spans="2:8">
      <c r="B630" t="s">
        <v>442</v>
      </c>
      <c r="C630" t="s">
        <v>38</v>
      </c>
      <c r="D630">
        <v>2934</v>
      </c>
      <c r="E630">
        <v>2934.5</v>
      </c>
      <c r="F630">
        <v>2933.5</v>
      </c>
      <c r="G630">
        <v>2934.5</v>
      </c>
      <c r="H630">
        <v>9300</v>
      </c>
    </row>
    <row r="631" spans="2:8">
      <c r="B631" t="s">
        <v>442</v>
      </c>
      <c r="C631" t="s">
        <v>39</v>
      </c>
      <c r="D631">
        <v>2934.5</v>
      </c>
      <c r="E631">
        <v>2934.5</v>
      </c>
      <c r="F631">
        <v>2934</v>
      </c>
      <c r="G631">
        <v>2934.5</v>
      </c>
      <c r="H631">
        <v>11500</v>
      </c>
    </row>
    <row r="632" spans="2:8">
      <c r="B632" t="s">
        <v>442</v>
      </c>
      <c r="C632" t="s">
        <v>40</v>
      </c>
      <c r="D632">
        <v>2934</v>
      </c>
      <c r="E632">
        <v>2935</v>
      </c>
      <c r="F632">
        <v>2934</v>
      </c>
      <c r="G632">
        <v>2934.5</v>
      </c>
      <c r="H632">
        <v>20800</v>
      </c>
    </row>
    <row r="633" spans="2:8">
      <c r="B633" t="s">
        <v>442</v>
      </c>
      <c r="C633" t="s">
        <v>41</v>
      </c>
      <c r="D633">
        <v>2934</v>
      </c>
      <c r="E633">
        <v>2935</v>
      </c>
      <c r="F633">
        <v>2934</v>
      </c>
      <c r="G633">
        <v>2934</v>
      </c>
      <c r="H633">
        <v>15000</v>
      </c>
    </row>
    <row r="634" spans="2:8">
      <c r="B634" t="s">
        <v>442</v>
      </c>
      <c r="C634" t="s">
        <v>42</v>
      </c>
      <c r="D634">
        <v>2934</v>
      </c>
      <c r="E634">
        <v>2934</v>
      </c>
      <c r="F634">
        <v>2933.5</v>
      </c>
      <c r="G634">
        <v>2934</v>
      </c>
      <c r="H634">
        <v>13800</v>
      </c>
    </row>
    <row r="635" spans="2:8">
      <c r="B635" t="s">
        <v>442</v>
      </c>
      <c r="C635" t="s">
        <v>43</v>
      </c>
      <c r="D635">
        <v>2933.5</v>
      </c>
      <c r="E635">
        <v>2934.5</v>
      </c>
      <c r="F635">
        <v>2933.5</v>
      </c>
      <c r="G635">
        <v>2934.5</v>
      </c>
      <c r="H635">
        <v>14300</v>
      </c>
    </row>
    <row r="636" spans="2:8">
      <c r="B636" t="s">
        <v>442</v>
      </c>
      <c r="C636" t="s">
        <v>44</v>
      </c>
      <c r="D636">
        <v>2934.5</v>
      </c>
      <c r="E636">
        <v>2935.5</v>
      </c>
      <c r="F636">
        <v>2933.5</v>
      </c>
      <c r="G636">
        <v>2935</v>
      </c>
      <c r="H636">
        <v>23900</v>
      </c>
    </row>
    <row r="637" spans="2:8">
      <c r="B637" t="s">
        <v>442</v>
      </c>
      <c r="C637" t="s">
        <v>45</v>
      </c>
      <c r="D637">
        <v>2935</v>
      </c>
      <c r="E637">
        <v>2936.5</v>
      </c>
      <c r="F637">
        <v>2934.5</v>
      </c>
      <c r="G637">
        <v>2934.5</v>
      </c>
      <c r="H637">
        <v>25600</v>
      </c>
    </row>
    <row r="638" spans="2:8">
      <c r="B638" t="s">
        <v>442</v>
      </c>
      <c r="C638" t="s">
        <v>46</v>
      </c>
      <c r="D638">
        <v>2934.5</v>
      </c>
      <c r="E638">
        <v>2935</v>
      </c>
      <c r="F638">
        <v>2934.5</v>
      </c>
      <c r="G638">
        <v>2935</v>
      </c>
      <c r="H638">
        <v>7600</v>
      </c>
    </row>
    <row r="639" spans="2:8">
      <c r="B639" t="s">
        <v>442</v>
      </c>
      <c r="C639" t="s">
        <v>47</v>
      </c>
      <c r="D639">
        <v>2935</v>
      </c>
      <c r="E639">
        <v>2935.5</v>
      </c>
      <c r="F639">
        <v>2934.5</v>
      </c>
      <c r="G639">
        <v>2935</v>
      </c>
      <c r="H639">
        <v>20800</v>
      </c>
    </row>
    <row r="640" spans="2:8">
      <c r="B640" t="s">
        <v>442</v>
      </c>
      <c r="C640" t="s">
        <v>48</v>
      </c>
      <c r="D640">
        <v>2934.5</v>
      </c>
      <c r="E640">
        <v>2935</v>
      </c>
      <c r="F640">
        <v>2934.5</v>
      </c>
      <c r="G640">
        <v>2935</v>
      </c>
      <c r="H640">
        <v>6400</v>
      </c>
    </row>
    <row r="641" spans="2:8">
      <c r="B641" t="s">
        <v>442</v>
      </c>
      <c r="C641" t="s">
        <v>49</v>
      </c>
      <c r="D641">
        <v>2935</v>
      </c>
      <c r="E641">
        <v>2935.5</v>
      </c>
      <c r="F641">
        <v>2935</v>
      </c>
      <c r="G641">
        <v>2935.5</v>
      </c>
      <c r="H641">
        <v>22400</v>
      </c>
    </row>
    <row r="642" spans="2:8">
      <c r="B642" t="s">
        <v>442</v>
      </c>
      <c r="C642" t="s">
        <v>50</v>
      </c>
      <c r="D642">
        <v>2935.5</v>
      </c>
      <c r="E642">
        <v>2936</v>
      </c>
      <c r="F642">
        <v>2935</v>
      </c>
      <c r="G642">
        <v>2935.5</v>
      </c>
      <c r="H642">
        <v>22800</v>
      </c>
    </row>
    <row r="643" spans="2:8">
      <c r="B643" t="s">
        <v>442</v>
      </c>
      <c r="C643" t="s">
        <v>51</v>
      </c>
      <c r="D643">
        <v>2935.5</v>
      </c>
      <c r="E643">
        <v>2937.5</v>
      </c>
      <c r="F643">
        <v>2935.5</v>
      </c>
      <c r="G643">
        <v>2937</v>
      </c>
      <c r="H643">
        <v>23400</v>
      </c>
    </row>
    <row r="644" spans="2:8">
      <c r="B644" t="s">
        <v>442</v>
      </c>
      <c r="C644" t="s">
        <v>52</v>
      </c>
      <c r="D644">
        <v>2937</v>
      </c>
      <c r="E644">
        <v>2937</v>
      </c>
      <c r="F644">
        <v>2936</v>
      </c>
      <c r="G644">
        <v>2936</v>
      </c>
      <c r="H644">
        <v>19700</v>
      </c>
    </row>
    <row r="645" spans="2:8">
      <c r="B645" t="s">
        <v>442</v>
      </c>
      <c r="C645" t="s">
        <v>53</v>
      </c>
      <c r="D645">
        <v>2936</v>
      </c>
      <c r="E645">
        <v>2938</v>
      </c>
      <c r="F645">
        <v>2936</v>
      </c>
      <c r="G645">
        <v>2937.5</v>
      </c>
      <c r="H645">
        <v>29700</v>
      </c>
    </row>
    <row r="646" spans="2:8">
      <c r="B646" t="s">
        <v>442</v>
      </c>
      <c r="C646" t="s">
        <v>54</v>
      </c>
      <c r="D646">
        <v>2937.5</v>
      </c>
      <c r="E646">
        <v>2940</v>
      </c>
      <c r="F646">
        <v>2937.5</v>
      </c>
      <c r="G646">
        <v>2939.5</v>
      </c>
      <c r="H646">
        <v>16000</v>
      </c>
    </row>
    <row r="647" spans="2:8">
      <c r="B647" t="s">
        <v>442</v>
      </c>
      <c r="C647" t="s">
        <v>55</v>
      </c>
      <c r="D647">
        <v>2940</v>
      </c>
      <c r="E647">
        <v>2941</v>
      </c>
      <c r="F647">
        <v>2940</v>
      </c>
      <c r="G647">
        <v>2940</v>
      </c>
      <c r="H647">
        <v>32100</v>
      </c>
    </row>
    <row r="648" spans="2:8">
      <c r="B648" t="s">
        <v>442</v>
      </c>
      <c r="C648" t="s">
        <v>56</v>
      </c>
      <c r="D648">
        <v>2940</v>
      </c>
      <c r="E648">
        <v>2940</v>
      </c>
      <c r="F648">
        <v>2938</v>
      </c>
      <c r="G648">
        <v>2938</v>
      </c>
      <c r="H648">
        <v>27100</v>
      </c>
    </row>
    <row r="649" spans="2:8">
      <c r="B649" t="s">
        <v>442</v>
      </c>
      <c r="C649" t="s">
        <v>57</v>
      </c>
      <c r="D649">
        <v>2938</v>
      </c>
      <c r="E649">
        <v>2939.5</v>
      </c>
      <c r="F649">
        <v>2937.5</v>
      </c>
      <c r="G649">
        <v>2939</v>
      </c>
      <c r="H649">
        <v>28600</v>
      </c>
    </row>
    <row r="650" spans="2:8">
      <c r="B650" t="s">
        <v>442</v>
      </c>
      <c r="C650" t="s">
        <v>58</v>
      </c>
      <c r="D650">
        <v>2939</v>
      </c>
      <c r="E650">
        <v>2940</v>
      </c>
      <c r="F650">
        <v>2939</v>
      </c>
      <c r="G650">
        <v>2939.5</v>
      </c>
      <c r="H650">
        <v>23000</v>
      </c>
    </row>
    <row r="651" spans="2:8">
      <c r="B651" t="s">
        <v>442</v>
      </c>
      <c r="C651" t="s">
        <v>59</v>
      </c>
      <c r="D651">
        <v>2939.5</v>
      </c>
      <c r="E651">
        <v>2940</v>
      </c>
      <c r="F651">
        <v>2939</v>
      </c>
      <c r="G651">
        <v>2939.5</v>
      </c>
      <c r="H651">
        <v>19800</v>
      </c>
    </row>
    <row r="652" spans="2:8">
      <c r="B652" t="s">
        <v>442</v>
      </c>
      <c r="C652" t="s">
        <v>60</v>
      </c>
      <c r="D652">
        <v>2939.5</v>
      </c>
      <c r="E652">
        <v>2940</v>
      </c>
      <c r="F652">
        <v>2939</v>
      </c>
      <c r="G652">
        <v>2939.5</v>
      </c>
      <c r="H652">
        <v>15800</v>
      </c>
    </row>
    <row r="653" spans="2:8">
      <c r="B653" t="s">
        <v>442</v>
      </c>
      <c r="C653" t="s">
        <v>61</v>
      </c>
      <c r="D653">
        <v>2939.5</v>
      </c>
      <c r="E653">
        <v>2939.5</v>
      </c>
      <c r="F653">
        <v>2937.5</v>
      </c>
      <c r="G653">
        <v>2938</v>
      </c>
      <c r="H653">
        <v>57600</v>
      </c>
    </row>
    <row r="654" spans="2:8">
      <c r="B654" t="s">
        <v>442</v>
      </c>
      <c r="C654" t="s">
        <v>62</v>
      </c>
      <c r="D654">
        <v>2938.5</v>
      </c>
      <c r="E654">
        <v>2940</v>
      </c>
      <c r="F654">
        <v>2938.5</v>
      </c>
      <c r="G654">
        <v>2939.5</v>
      </c>
      <c r="H654">
        <v>18900</v>
      </c>
    </row>
    <row r="655" spans="2:8">
      <c r="B655" t="s">
        <v>442</v>
      </c>
      <c r="C655" t="s">
        <v>63</v>
      </c>
      <c r="D655">
        <v>2939.5</v>
      </c>
      <c r="E655">
        <v>2940.5</v>
      </c>
      <c r="F655">
        <v>2939</v>
      </c>
      <c r="G655">
        <v>2939</v>
      </c>
      <c r="H655">
        <v>27300</v>
      </c>
    </row>
    <row r="656" spans="2:8">
      <c r="B656" t="s">
        <v>442</v>
      </c>
      <c r="C656" t="s">
        <v>64</v>
      </c>
      <c r="D656">
        <v>2939.5</v>
      </c>
      <c r="E656">
        <v>2941.5</v>
      </c>
      <c r="F656">
        <v>2939</v>
      </c>
      <c r="G656">
        <v>2939.5</v>
      </c>
      <c r="H656">
        <v>36800</v>
      </c>
    </row>
    <row r="657" spans="2:8">
      <c r="B657" t="s">
        <v>442</v>
      </c>
      <c r="C657" t="s">
        <v>65</v>
      </c>
      <c r="D657">
        <v>2939.5</v>
      </c>
      <c r="E657">
        <v>2940</v>
      </c>
      <c r="F657">
        <v>2939.5</v>
      </c>
      <c r="G657">
        <v>2940</v>
      </c>
      <c r="H657">
        <v>4200</v>
      </c>
    </row>
    <row r="658" spans="2:8">
      <c r="B658" t="s">
        <v>442</v>
      </c>
      <c r="C658" t="s">
        <v>66</v>
      </c>
      <c r="D658">
        <v>2940</v>
      </c>
      <c r="E658">
        <v>2940</v>
      </c>
      <c r="F658">
        <v>2939</v>
      </c>
      <c r="G658">
        <v>2940</v>
      </c>
      <c r="H658">
        <v>23500</v>
      </c>
    </row>
    <row r="659" spans="2:8">
      <c r="B659" t="s">
        <v>442</v>
      </c>
      <c r="C659" t="s">
        <v>164</v>
      </c>
      <c r="D659">
        <v>2939.5</v>
      </c>
      <c r="E659">
        <v>2941.5</v>
      </c>
      <c r="F659">
        <v>2939.5</v>
      </c>
      <c r="G659">
        <v>2940</v>
      </c>
      <c r="H659">
        <v>25800</v>
      </c>
    </row>
    <row r="660" spans="2:8">
      <c r="B660" t="s">
        <v>442</v>
      </c>
      <c r="C660" t="s">
        <v>165</v>
      </c>
      <c r="D660">
        <v>2939.5</v>
      </c>
      <c r="E660">
        <v>2942</v>
      </c>
      <c r="F660">
        <v>2939.5</v>
      </c>
      <c r="G660">
        <v>2940</v>
      </c>
      <c r="H660">
        <v>25500</v>
      </c>
    </row>
    <row r="661" spans="2:8">
      <c r="B661" t="s">
        <v>442</v>
      </c>
      <c r="C661" t="s">
        <v>67</v>
      </c>
      <c r="D661" t="s">
        <v>8</v>
      </c>
      <c r="E661" t="s">
        <v>8</v>
      </c>
      <c r="F661" t="s">
        <v>8</v>
      </c>
      <c r="G661" t="s">
        <v>8</v>
      </c>
      <c r="H661">
        <v>0</v>
      </c>
    </row>
    <row r="662" spans="2:8">
      <c r="B662" t="s">
        <v>442</v>
      </c>
      <c r="C662" t="s">
        <v>68</v>
      </c>
      <c r="D662" t="s">
        <v>8</v>
      </c>
      <c r="E662" t="s">
        <v>8</v>
      </c>
      <c r="F662" t="s">
        <v>8</v>
      </c>
      <c r="G662" t="s">
        <v>8</v>
      </c>
      <c r="H662">
        <v>0</v>
      </c>
    </row>
    <row r="663" spans="2:8">
      <c r="B663" t="s">
        <v>442</v>
      </c>
      <c r="C663" t="s">
        <v>69</v>
      </c>
      <c r="D663" t="s">
        <v>8</v>
      </c>
      <c r="E663" t="s">
        <v>8</v>
      </c>
      <c r="F663" t="s">
        <v>8</v>
      </c>
      <c r="G663" t="s">
        <v>8</v>
      </c>
      <c r="H663">
        <v>0</v>
      </c>
    </row>
    <row r="664" spans="2:8">
      <c r="B664" t="s">
        <v>442</v>
      </c>
      <c r="C664" t="s">
        <v>70</v>
      </c>
      <c r="D664" t="s">
        <v>8</v>
      </c>
      <c r="E664" t="s">
        <v>8</v>
      </c>
      <c r="F664" t="s">
        <v>8</v>
      </c>
      <c r="G664" t="s">
        <v>8</v>
      </c>
      <c r="H664">
        <v>0</v>
      </c>
    </row>
    <row r="665" spans="2:8">
      <c r="B665" t="s">
        <v>442</v>
      </c>
      <c r="C665" t="s">
        <v>71</v>
      </c>
      <c r="D665" t="s">
        <v>8</v>
      </c>
      <c r="E665" t="s">
        <v>8</v>
      </c>
      <c r="F665" t="s">
        <v>8</v>
      </c>
      <c r="G665" t="s">
        <v>8</v>
      </c>
      <c r="H665">
        <v>0</v>
      </c>
    </row>
    <row r="666" spans="2:8">
      <c r="B666" t="s">
        <v>442</v>
      </c>
      <c r="C666" t="s">
        <v>72</v>
      </c>
      <c r="D666">
        <v>2944</v>
      </c>
      <c r="E666">
        <v>2944</v>
      </c>
      <c r="F666">
        <v>2944</v>
      </c>
      <c r="G666">
        <v>2944</v>
      </c>
      <c r="H666">
        <v>1983100</v>
      </c>
    </row>
    <row r="667" spans="2:8">
      <c r="B667" t="s">
        <v>443</v>
      </c>
      <c r="C667" t="s">
        <v>166</v>
      </c>
      <c r="D667">
        <v>2955.5</v>
      </c>
      <c r="E667">
        <v>2968</v>
      </c>
      <c r="F667">
        <v>2954</v>
      </c>
      <c r="G667">
        <v>2959.5</v>
      </c>
      <c r="H667">
        <v>473900</v>
      </c>
    </row>
    <row r="668" spans="2:8">
      <c r="B668" t="s">
        <v>443</v>
      </c>
      <c r="C668" t="s">
        <v>167</v>
      </c>
      <c r="D668">
        <v>2960</v>
      </c>
      <c r="E668">
        <v>2962.5</v>
      </c>
      <c r="F668">
        <v>2954</v>
      </c>
      <c r="G668">
        <v>2960.5</v>
      </c>
      <c r="H668">
        <v>82400</v>
      </c>
    </row>
    <row r="669" spans="2:8">
      <c r="B669" t="s">
        <v>443</v>
      </c>
      <c r="C669" t="s">
        <v>168</v>
      </c>
      <c r="D669">
        <v>2960.5</v>
      </c>
      <c r="E669">
        <v>2963</v>
      </c>
      <c r="F669">
        <v>2955</v>
      </c>
      <c r="G669">
        <v>2957.5</v>
      </c>
      <c r="H669">
        <v>45600</v>
      </c>
    </row>
    <row r="670" spans="2:8">
      <c r="B670" t="s">
        <v>443</v>
      </c>
      <c r="C670" t="s">
        <v>169</v>
      </c>
      <c r="D670">
        <v>2958.5</v>
      </c>
      <c r="E670">
        <v>2959</v>
      </c>
      <c r="F670">
        <v>2950.5</v>
      </c>
      <c r="G670">
        <v>2955</v>
      </c>
      <c r="H670">
        <v>73000</v>
      </c>
    </row>
    <row r="671" spans="2:8">
      <c r="B671" t="s">
        <v>443</v>
      </c>
      <c r="C671" t="s">
        <v>170</v>
      </c>
      <c r="D671">
        <v>2955.5</v>
      </c>
      <c r="E671">
        <v>2958.5</v>
      </c>
      <c r="F671">
        <v>2955</v>
      </c>
      <c r="G671">
        <v>2957.5</v>
      </c>
      <c r="H671">
        <v>25100</v>
      </c>
    </row>
    <row r="672" spans="2:8">
      <c r="B672" t="s">
        <v>443</v>
      </c>
      <c r="C672" t="s">
        <v>171</v>
      </c>
      <c r="D672">
        <v>2957.5</v>
      </c>
      <c r="E672">
        <v>2958</v>
      </c>
      <c r="F672">
        <v>2955</v>
      </c>
      <c r="G672">
        <v>2957.5</v>
      </c>
      <c r="H672">
        <v>26700</v>
      </c>
    </row>
    <row r="673" spans="2:8">
      <c r="B673" t="s">
        <v>443</v>
      </c>
      <c r="C673" t="s">
        <v>172</v>
      </c>
      <c r="D673">
        <v>2958</v>
      </c>
      <c r="E673">
        <v>2960</v>
      </c>
      <c r="F673">
        <v>2957</v>
      </c>
      <c r="G673">
        <v>2958</v>
      </c>
      <c r="H673">
        <v>41700</v>
      </c>
    </row>
    <row r="674" spans="2:8">
      <c r="B674" t="s">
        <v>443</v>
      </c>
      <c r="C674" t="s">
        <v>173</v>
      </c>
      <c r="D674">
        <v>2957.5</v>
      </c>
      <c r="E674">
        <v>2959</v>
      </c>
      <c r="F674">
        <v>2956</v>
      </c>
      <c r="G674">
        <v>2959</v>
      </c>
      <c r="H674">
        <v>22500</v>
      </c>
    </row>
    <row r="675" spans="2:8">
      <c r="B675" t="s">
        <v>443</v>
      </c>
      <c r="C675" t="s">
        <v>174</v>
      </c>
      <c r="D675">
        <v>2958</v>
      </c>
      <c r="E675">
        <v>2960</v>
      </c>
      <c r="F675">
        <v>2954.5</v>
      </c>
      <c r="G675">
        <v>2955</v>
      </c>
      <c r="H675">
        <v>40800</v>
      </c>
    </row>
    <row r="676" spans="2:8">
      <c r="B676" t="s">
        <v>443</v>
      </c>
      <c r="C676" t="s">
        <v>175</v>
      </c>
      <c r="D676">
        <v>2954.5</v>
      </c>
      <c r="E676">
        <v>2959</v>
      </c>
      <c r="F676">
        <v>2954</v>
      </c>
      <c r="G676">
        <v>2958.5</v>
      </c>
      <c r="H676">
        <v>33000</v>
      </c>
    </row>
    <row r="677" spans="2:8">
      <c r="B677" t="s">
        <v>443</v>
      </c>
      <c r="C677" t="s">
        <v>176</v>
      </c>
      <c r="D677">
        <v>2959</v>
      </c>
      <c r="E677">
        <v>2960</v>
      </c>
      <c r="F677">
        <v>2954.5</v>
      </c>
      <c r="G677">
        <v>2955</v>
      </c>
      <c r="H677">
        <v>39100</v>
      </c>
    </row>
    <row r="678" spans="2:8">
      <c r="B678" t="s">
        <v>443</v>
      </c>
      <c r="C678" t="s">
        <v>177</v>
      </c>
      <c r="D678">
        <v>2955</v>
      </c>
      <c r="E678">
        <v>2959.5</v>
      </c>
      <c r="F678">
        <v>2954.5</v>
      </c>
      <c r="G678">
        <v>2958.5</v>
      </c>
      <c r="H678">
        <v>29100</v>
      </c>
    </row>
    <row r="679" spans="2:8">
      <c r="B679" t="s">
        <v>443</v>
      </c>
      <c r="C679" t="s">
        <v>178</v>
      </c>
      <c r="D679">
        <v>2958.5</v>
      </c>
      <c r="E679">
        <v>2962</v>
      </c>
      <c r="F679">
        <v>2957</v>
      </c>
      <c r="G679">
        <v>2961.5</v>
      </c>
      <c r="H679">
        <v>42300</v>
      </c>
    </row>
    <row r="680" spans="2:8">
      <c r="B680" t="s">
        <v>443</v>
      </c>
      <c r="C680" t="s">
        <v>179</v>
      </c>
      <c r="D680">
        <v>2961.5</v>
      </c>
      <c r="E680">
        <v>2963.5</v>
      </c>
      <c r="F680">
        <v>2959.5</v>
      </c>
      <c r="G680">
        <v>2960.5</v>
      </c>
      <c r="H680">
        <v>36900</v>
      </c>
    </row>
    <row r="681" spans="2:8">
      <c r="B681" t="s">
        <v>443</v>
      </c>
      <c r="C681" t="s">
        <v>180</v>
      </c>
      <c r="D681">
        <v>2959.5</v>
      </c>
      <c r="E681">
        <v>2961.5</v>
      </c>
      <c r="F681">
        <v>2958.5</v>
      </c>
      <c r="G681">
        <v>2959.5</v>
      </c>
      <c r="H681">
        <v>21400</v>
      </c>
    </row>
    <row r="682" spans="2:8">
      <c r="B682" t="s">
        <v>443</v>
      </c>
      <c r="C682" t="s">
        <v>181</v>
      </c>
      <c r="D682">
        <v>2960</v>
      </c>
      <c r="E682">
        <v>2962</v>
      </c>
      <c r="F682">
        <v>2957.5</v>
      </c>
      <c r="G682">
        <v>2961.5</v>
      </c>
      <c r="H682">
        <v>90500</v>
      </c>
    </row>
    <row r="683" spans="2:8">
      <c r="B683" t="s">
        <v>443</v>
      </c>
      <c r="C683" t="s">
        <v>182</v>
      </c>
      <c r="D683">
        <v>2961.5</v>
      </c>
      <c r="E683">
        <v>2962.5</v>
      </c>
      <c r="F683">
        <v>2959.5</v>
      </c>
      <c r="G683">
        <v>2961</v>
      </c>
      <c r="H683">
        <v>14900</v>
      </c>
    </row>
    <row r="684" spans="2:8">
      <c r="B684" t="s">
        <v>443</v>
      </c>
      <c r="C684" t="s">
        <v>183</v>
      </c>
      <c r="D684">
        <v>2961</v>
      </c>
      <c r="E684">
        <v>2962.5</v>
      </c>
      <c r="F684">
        <v>2960.5</v>
      </c>
      <c r="G684">
        <v>2961.5</v>
      </c>
      <c r="H684">
        <v>13100</v>
      </c>
    </row>
    <row r="685" spans="2:8">
      <c r="B685" t="s">
        <v>443</v>
      </c>
      <c r="C685" t="s">
        <v>184</v>
      </c>
      <c r="D685">
        <v>2961.5</v>
      </c>
      <c r="E685">
        <v>2962</v>
      </c>
      <c r="F685">
        <v>2958</v>
      </c>
      <c r="G685">
        <v>2959</v>
      </c>
      <c r="H685">
        <v>19800</v>
      </c>
    </row>
    <row r="686" spans="2:8">
      <c r="B686" t="s">
        <v>443</v>
      </c>
      <c r="C686" t="s">
        <v>185</v>
      </c>
      <c r="D686">
        <v>2959</v>
      </c>
      <c r="E686">
        <v>2960.5</v>
      </c>
      <c r="F686">
        <v>2959</v>
      </c>
      <c r="G686">
        <v>2960</v>
      </c>
      <c r="H686">
        <v>9200</v>
      </c>
    </row>
    <row r="687" spans="2:8">
      <c r="B687" t="s">
        <v>443</v>
      </c>
      <c r="C687" t="s">
        <v>186</v>
      </c>
      <c r="D687">
        <v>2960.5</v>
      </c>
      <c r="E687">
        <v>2964.5</v>
      </c>
      <c r="F687">
        <v>2960.5</v>
      </c>
      <c r="G687">
        <v>2961.5</v>
      </c>
      <c r="H687">
        <v>19800</v>
      </c>
    </row>
    <row r="688" spans="2:8">
      <c r="B688" t="s">
        <v>443</v>
      </c>
      <c r="C688" t="s">
        <v>187</v>
      </c>
      <c r="D688">
        <v>2961</v>
      </c>
      <c r="E688">
        <v>2961</v>
      </c>
      <c r="F688">
        <v>2957.5</v>
      </c>
      <c r="G688">
        <v>2958.5</v>
      </c>
      <c r="H688">
        <v>27100</v>
      </c>
    </row>
    <row r="689" spans="2:8">
      <c r="B689" t="s">
        <v>443</v>
      </c>
      <c r="C689" t="s">
        <v>188</v>
      </c>
      <c r="D689">
        <v>2958</v>
      </c>
      <c r="E689">
        <v>2959</v>
      </c>
      <c r="F689">
        <v>2957</v>
      </c>
      <c r="G689">
        <v>2959</v>
      </c>
      <c r="H689">
        <v>11400</v>
      </c>
    </row>
    <row r="690" spans="2:8">
      <c r="B690" t="s">
        <v>443</v>
      </c>
      <c r="C690" t="s">
        <v>189</v>
      </c>
      <c r="D690">
        <v>2958.5</v>
      </c>
      <c r="E690">
        <v>2959</v>
      </c>
      <c r="F690">
        <v>2957.5</v>
      </c>
      <c r="G690">
        <v>2959</v>
      </c>
      <c r="H690">
        <v>9600</v>
      </c>
    </row>
    <row r="691" spans="2:8">
      <c r="B691" t="s">
        <v>443</v>
      </c>
      <c r="C691" t="s">
        <v>190</v>
      </c>
      <c r="D691">
        <v>2958.5</v>
      </c>
      <c r="E691">
        <v>2958.5</v>
      </c>
      <c r="F691">
        <v>2956.5</v>
      </c>
      <c r="G691">
        <v>2957</v>
      </c>
      <c r="H691">
        <v>27400</v>
      </c>
    </row>
    <row r="692" spans="2:8">
      <c r="B692" t="s">
        <v>443</v>
      </c>
      <c r="C692" t="s">
        <v>191</v>
      </c>
      <c r="D692">
        <v>2957</v>
      </c>
      <c r="E692">
        <v>2958</v>
      </c>
      <c r="F692">
        <v>2956.5</v>
      </c>
      <c r="G692">
        <v>2957</v>
      </c>
      <c r="H692">
        <v>21900</v>
      </c>
    </row>
    <row r="693" spans="2:8">
      <c r="B693" t="s">
        <v>443</v>
      </c>
      <c r="C693" t="s">
        <v>192</v>
      </c>
      <c r="D693">
        <v>2957</v>
      </c>
      <c r="E693">
        <v>2957.5</v>
      </c>
      <c r="F693">
        <v>2954.5</v>
      </c>
      <c r="G693">
        <v>2957</v>
      </c>
      <c r="H693">
        <v>31800</v>
      </c>
    </row>
    <row r="694" spans="2:8">
      <c r="B694" t="s">
        <v>443</v>
      </c>
      <c r="C694" t="s">
        <v>193</v>
      </c>
      <c r="D694">
        <v>2956.5</v>
      </c>
      <c r="E694">
        <v>2958</v>
      </c>
      <c r="F694">
        <v>2955</v>
      </c>
      <c r="G694">
        <v>2958</v>
      </c>
      <c r="H694">
        <v>30300</v>
      </c>
    </row>
    <row r="695" spans="2:8">
      <c r="B695" t="s">
        <v>443</v>
      </c>
      <c r="C695" t="s">
        <v>194</v>
      </c>
      <c r="D695">
        <v>2958</v>
      </c>
      <c r="E695">
        <v>2959</v>
      </c>
      <c r="F695">
        <v>2957.5</v>
      </c>
      <c r="G695">
        <v>2958</v>
      </c>
      <c r="H695">
        <v>8500</v>
      </c>
    </row>
    <row r="696" spans="2:8">
      <c r="B696" t="s">
        <v>443</v>
      </c>
      <c r="C696" t="s">
        <v>195</v>
      </c>
      <c r="D696">
        <v>2958.5</v>
      </c>
      <c r="E696">
        <v>2958.5</v>
      </c>
      <c r="F696">
        <v>2957</v>
      </c>
      <c r="G696">
        <v>2958.5</v>
      </c>
      <c r="H696">
        <v>11400</v>
      </c>
    </row>
    <row r="697" spans="2:8">
      <c r="B697" t="s">
        <v>443</v>
      </c>
      <c r="C697" t="s">
        <v>196</v>
      </c>
      <c r="D697">
        <v>2958</v>
      </c>
      <c r="E697">
        <v>2963</v>
      </c>
      <c r="F697">
        <v>2958</v>
      </c>
      <c r="G697">
        <v>2961</v>
      </c>
      <c r="H697">
        <v>35300</v>
      </c>
    </row>
    <row r="698" spans="2:8">
      <c r="B698" t="s">
        <v>443</v>
      </c>
      <c r="C698" t="s">
        <v>197</v>
      </c>
      <c r="D698">
        <v>2961.5</v>
      </c>
      <c r="E698">
        <v>2963.5</v>
      </c>
      <c r="F698">
        <v>2961</v>
      </c>
      <c r="G698">
        <v>2963.5</v>
      </c>
      <c r="H698">
        <v>18300</v>
      </c>
    </row>
    <row r="699" spans="2:8">
      <c r="B699" t="s">
        <v>443</v>
      </c>
      <c r="C699" t="s">
        <v>198</v>
      </c>
      <c r="D699">
        <v>2963</v>
      </c>
      <c r="E699">
        <v>2964.5</v>
      </c>
      <c r="F699">
        <v>2962.5</v>
      </c>
      <c r="G699">
        <v>2964.5</v>
      </c>
      <c r="H699">
        <v>18500</v>
      </c>
    </row>
    <row r="700" spans="2:8">
      <c r="B700" t="s">
        <v>443</v>
      </c>
      <c r="C700" t="s">
        <v>199</v>
      </c>
      <c r="D700">
        <v>2964</v>
      </c>
      <c r="E700">
        <v>2964</v>
      </c>
      <c r="F700">
        <v>2961</v>
      </c>
      <c r="G700">
        <v>2962</v>
      </c>
      <c r="H700">
        <v>62700</v>
      </c>
    </row>
    <row r="701" spans="2:8">
      <c r="B701" t="s">
        <v>443</v>
      </c>
      <c r="C701" t="s">
        <v>200</v>
      </c>
      <c r="D701">
        <v>2962.5</v>
      </c>
      <c r="E701">
        <v>2964.5</v>
      </c>
      <c r="F701">
        <v>2961.5</v>
      </c>
      <c r="G701">
        <v>2964.5</v>
      </c>
      <c r="H701">
        <v>20300</v>
      </c>
    </row>
    <row r="702" spans="2:8">
      <c r="B702" t="s">
        <v>443</v>
      </c>
      <c r="C702" t="s">
        <v>201</v>
      </c>
      <c r="D702">
        <v>2964</v>
      </c>
      <c r="E702">
        <v>2967.5</v>
      </c>
      <c r="F702">
        <v>2964</v>
      </c>
      <c r="G702">
        <v>2965</v>
      </c>
      <c r="H702">
        <v>98100</v>
      </c>
    </row>
    <row r="703" spans="2:8">
      <c r="B703" t="s">
        <v>443</v>
      </c>
      <c r="C703" t="s">
        <v>202</v>
      </c>
      <c r="D703">
        <v>2965</v>
      </c>
      <c r="E703">
        <v>2966.5</v>
      </c>
      <c r="F703">
        <v>2963</v>
      </c>
      <c r="G703">
        <v>2964.5</v>
      </c>
      <c r="H703">
        <v>14000</v>
      </c>
    </row>
    <row r="704" spans="2:8">
      <c r="B704" t="s">
        <v>443</v>
      </c>
      <c r="C704" t="s">
        <v>203</v>
      </c>
      <c r="D704">
        <v>2964</v>
      </c>
      <c r="E704">
        <v>2964.5</v>
      </c>
      <c r="F704">
        <v>2963.5</v>
      </c>
      <c r="G704">
        <v>2964.5</v>
      </c>
      <c r="H704">
        <v>3200</v>
      </c>
    </row>
    <row r="705" spans="2:8">
      <c r="B705" t="s">
        <v>443</v>
      </c>
      <c r="C705" t="s">
        <v>204</v>
      </c>
      <c r="D705">
        <v>2964</v>
      </c>
      <c r="E705">
        <v>2964</v>
      </c>
      <c r="F705">
        <v>2962</v>
      </c>
      <c r="G705">
        <v>2962</v>
      </c>
      <c r="H705">
        <v>15500</v>
      </c>
    </row>
    <row r="706" spans="2:8">
      <c r="B706" t="s">
        <v>443</v>
      </c>
      <c r="C706" t="s">
        <v>205</v>
      </c>
      <c r="D706">
        <v>2962</v>
      </c>
      <c r="E706">
        <v>2962.5</v>
      </c>
      <c r="F706">
        <v>2961.5</v>
      </c>
      <c r="G706">
        <v>2962</v>
      </c>
      <c r="H706">
        <v>3100</v>
      </c>
    </row>
    <row r="707" spans="2:8">
      <c r="B707" t="s">
        <v>443</v>
      </c>
      <c r="C707" t="s">
        <v>206</v>
      </c>
      <c r="D707">
        <v>2962</v>
      </c>
      <c r="E707">
        <v>2962</v>
      </c>
      <c r="F707">
        <v>2959</v>
      </c>
      <c r="G707">
        <v>2959.5</v>
      </c>
      <c r="H707">
        <v>18100</v>
      </c>
    </row>
    <row r="708" spans="2:8">
      <c r="B708" t="s">
        <v>443</v>
      </c>
      <c r="C708" t="s">
        <v>207</v>
      </c>
      <c r="D708">
        <v>2959</v>
      </c>
      <c r="E708">
        <v>2960</v>
      </c>
      <c r="F708">
        <v>2957.5</v>
      </c>
      <c r="G708">
        <v>2958.5</v>
      </c>
      <c r="H708">
        <v>19000</v>
      </c>
    </row>
    <row r="709" spans="2:8">
      <c r="B709" t="s">
        <v>443</v>
      </c>
      <c r="C709" t="s">
        <v>208</v>
      </c>
      <c r="D709">
        <v>2958.5</v>
      </c>
      <c r="E709">
        <v>2960.5</v>
      </c>
      <c r="F709">
        <v>2958</v>
      </c>
      <c r="G709">
        <v>2960.5</v>
      </c>
      <c r="H709">
        <v>13800</v>
      </c>
    </row>
    <row r="710" spans="2:8">
      <c r="B710" t="s">
        <v>443</v>
      </c>
      <c r="C710" t="s">
        <v>209</v>
      </c>
      <c r="D710">
        <v>2960.5</v>
      </c>
      <c r="E710">
        <v>2961</v>
      </c>
      <c r="F710">
        <v>2958.5</v>
      </c>
      <c r="G710">
        <v>2959</v>
      </c>
      <c r="H710">
        <v>17700</v>
      </c>
    </row>
    <row r="711" spans="2:8">
      <c r="B711" t="s">
        <v>443</v>
      </c>
      <c r="C711" t="s">
        <v>210</v>
      </c>
      <c r="D711">
        <v>2958</v>
      </c>
      <c r="E711">
        <v>2959</v>
      </c>
      <c r="F711">
        <v>2957.5</v>
      </c>
      <c r="G711">
        <v>2958.5</v>
      </c>
      <c r="H711">
        <v>8800</v>
      </c>
    </row>
    <row r="712" spans="2:8">
      <c r="B712" t="s">
        <v>443</v>
      </c>
      <c r="C712" t="s">
        <v>211</v>
      </c>
      <c r="D712">
        <v>2958.5</v>
      </c>
      <c r="E712">
        <v>2959.5</v>
      </c>
      <c r="F712">
        <v>2958.5</v>
      </c>
      <c r="G712">
        <v>2959</v>
      </c>
      <c r="H712">
        <v>10500</v>
      </c>
    </row>
    <row r="713" spans="2:8">
      <c r="B713" t="s">
        <v>443</v>
      </c>
      <c r="C713" t="s">
        <v>212</v>
      </c>
      <c r="D713">
        <v>2959.5</v>
      </c>
      <c r="E713">
        <v>2959.5</v>
      </c>
      <c r="F713">
        <v>2957.5</v>
      </c>
      <c r="G713">
        <v>2958.5</v>
      </c>
      <c r="H713">
        <v>27300</v>
      </c>
    </row>
    <row r="714" spans="2:8">
      <c r="B714" t="s">
        <v>443</v>
      </c>
      <c r="C714" t="s">
        <v>213</v>
      </c>
      <c r="D714">
        <v>2959</v>
      </c>
      <c r="E714">
        <v>2959.5</v>
      </c>
      <c r="F714">
        <v>2958</v>
      </c>
      <c r="G714">
        <v>2958.5</v>
      </c>
      <c r="H714">
        <v>5500</v>
      </c>
    </row>
    <row r="715" spans="2:8">
      <c r="B715" t="s">
        <v>443</v>
      </c>
      <c r="C715" t="s">
        <v>214</v>
      </c>
      <c r="D715">
        <v>2958</v>
      </c>
      <c r="E715">
        <v>2960</v>
      </c>
      <c r="F715">
        <v>2957</v>
      </c>
      <c r="G715">
        <v>2960</v>
      </c>
      <c r="H715">
        <v>13000</v>
      </c>
    </row>
    <row r="716" spans="2:8">
      <c r="B716" t="s">
        <v>443</v>
      </c>
      <c r="C716" t="s">
        <v>215</v>
      </c>
      <c r="D716">
        <v>2959.5</v>
      </c>
      <c r="E716">
        <v>2960.5</v>
      </c>
      <c r="F716">
        <v>2958.5</v>
      </c>
      <c r="G716">
        <v>2959</v>
      </c>
      <c r="H716">
        <v>7800</v>
      </c>
    </row>
    <row r="717" spans="2:8">
      <c r="B717" t="s">
        <v>443</v>
      </c>
      <c r="C717" t="s">
        <v>216</v>
      </c>
      <c r="D717">
        <v>2959</v>
      </c>
      <c r="E717">
        <v>2959</v>
      </c>
      <c r="F717">
        <v>2958</v>
      </c>
      <c r="G717">
        <v>2959</v>
      </c>
      <c r="H717">
        <v>5500</v>
      </c>
    </row>
    <row r="718" spans="2:8">
      <c r="B718" t="s">
        <v>443</v>
      </c>
      <c r="C718" t="s">
        <v>217</v>
      </c>
      <c r="D718">
        <v>2958.5</v>
      </c>
      <c r="E718">
        <v>2960</v>
      </c>
      <c r="F718">
        <v>2958</v>
      </c>
      <c r="G718">
        <v>2959</v>
      </c>
      <c r="H718">
        <v>25400</v>
      </c>
    </row>
    <row r="719" spans="2:8">
      <c r="B719" t="s">
        <v>443</v>
      </c>
      <c r="C719" t="s">
        <v>218</v>
      </c>
      <c r="D719">
        <v>2959</v>
      </c>
      <c r="E719">
        <v>2961</v>
      </c>
      <c r="F719">
        <v>2958.5</v>
      </c>
      <c r="G719">
        <v>2961</v>
      </c>
      <c r="H719">
        <v>15600</v>
      </c>
    </row>
    <row r="720" spans="2:8">
      <c r="B720" t="s">
        <v>443</v>
      </c>
      <c r="C720" t="s">
        <v>219</v>
      </c>
      <c r="D720">
        <v>2960.5</v>
      </c>
      <c r="E720">
        <v>2960.5</v>
      </c>
      <c r="F720">
        <v>2958</v>
      </c>
      <c r="G720">
        <v>2958.5</v>
      </c>
      <c r="H720">
        <v>11800</v>
      </c>
    </row>
    <row r="721" spans="2:8">
      <c r="B721" t="s">
        <v>443</v>
      </c>
      <c r="C721" t="s">
        <v>220</v>
      </c>
      <c r="D721">
        <v>2958.5</v>
      </c>
      <c r="E721">
        <v>2958.5</v>
      </c>
      <c r="F721">
        <v>2957.5</v>
      </c>
      <c r="G721">
        <v>2958.5</v>
      </c>
      <c r="H721">
        <v>3600</v>
      </c>
    </row>
    <row r="722" spans="2:8">
      <c r="B722" t="s">
        <v>443</v>
      </c>
      <c r="C722" t="s">
        <v>221</v>
      </c>
      <c r="D722">
        <v>2958</v>
      </c>
      <c r="E722">
        <v>2959.5</v>
      </c>
      <c r="F722">
        <v>2958</v>
      </c>
      <c r="G722">
        <v>2958.5</v>
      </c>
      <c r="H722">
        <v>17300</v>
      </c>
    </row>
    <row r="723" spans="2:8">
      <c r="B723" t="s">
        <v>443</v>
      </c>
      <c r="C723" t="s">
        <v>222</v>
      </c>
      <c r="D723">
        <v>2958</v>
      </c>
      <c r="E723">
        <v>2958.5</v>
      </c>
      <c r="F723">
        <v>2958</v>
      </c>
      <c r="G723">
        <v>2958.5</v>
      </c>
      <c r="H723">
        <v>5500</v>
      </c>
    </row>
    <row r="724" spans="2:8">
      <c r="B724" t="s">
        <v>443</v>
      </c>
      <c r="C724" t="s">
        <v>223</v>
      </c>
      <c r="D724">
        <v>2957.5</v>
      </c>
      <c r="E724">
        <v>2959</v>
      </c>
      <c r="F724">
        <v>2957.5</v>
      </c>
      <c r="G724">
        <v>2958</v>
      </c>
      <c r="H724">
        <v>8700</v>
      </c>
    </row>
    <row r="725" spans="2:8">
      <c r="B725" t="s">
        <v>443</v>
      </c>
      <c r="C725" t="s">
        <v>224</v>
      </c>
      <c r="D725">
        <v>2958</v>
      </c>
      <c r="E725">
        <v>2959</v>
      </c>
      <c r="F725">
        <v>2958</v>
      </c>
      <c r="G725">
        <v>2958.5</v>
      </c>
      <c r="H725">
        <v>6400</v>
      </c>
    </row>
    <row r="726" spans="2:8">
      <c r="B726" t="s">
        <v>443</v>
      </c>
      <c r="C726" t="s">
        <v>225</v>
      </c>
      <c r="D726">
        <v>2958</v>
      </c>
      <c r="E726">
        <v>2958.5</v>
      </c>
      <c r="F726">
        <v>2957.5</v>
      </c>
      <c r="G726">
        <v>2958</v>
      </c>
      <c r="H726">
        <v>32100</v>
      </c>
    </row>
    <row r="727" spans="2:8">
      <c r="B727" t="s">
        <v>443</v>
      </c>
      <c r="C727" t="s">
        <v>226</v>
      </c>
      <c r="D727">
        <v>2958</v>
      </c>
      <c r="E727">
        <v>2959</v>
      </c>
      <c r="F727">
        <v>2957</v>
      </c>
      <c r="G727">
        <v>2958.5</v>
      </c>
      <c r="H727">
        <v>8100</v>
      </c>
    </row>
    <row r="728" spans="2:8">
      <c r="B728" t="s">
        <v>443</v>
      </c>
      <c r="C728" t="s">
        <v>227</v>
      </c>
      <c r="D728">
        <v>2958</v>
      </c>
      <c r="E728">
        <v>2959</v>
      </c>
      <c r="F728">
        <v>2957.5</v>
      </c>
      <c r="G728">
        <v>2959</v>
      </c>
      <c r="H728">
        <v>19000</v>
      </c>
    </row>
    <row r="729" spans="2:8">
      <c r="B729" t="s">
        <v>443</v>
      </c>
      <c r="C729" t="s">
        <v>228</v>
      </c>
      <c r="D729">
        <v>2959</v>
      </c>
      <c r="E729">
        <v>2960.5</v>
      </c>
      <c r="F729">
        <v>2958</v>
      </c>
      <c r="G729">
        <v>2960.5</v>
      </c>
      <c r="H729">
        <v>11500</v>
      </c>
    </row>
    <row r="730" spans="2:8">
      <c r="B730" t="s">
        <v>443</v>
      </c>
      <c r="C730" t="s">
        <v>229</v>
      </c>
      <c r="D730">
        <v>2960.5</v>
      </c>
      <c r="E730">
        <v>2960.5</v>
      </c>
      <c r="F730">
        <v>2958.5</v>
      </c>
      <c r="G730">
        <v>2960.5</v>
      </c>
      <c r="H730">
        <v>12300</v>
      </c>
    </row>
    <row r="731" spans="2:8">
      <c r="B731" t="s">
        <v>443</v>
      </c>
      <c r="C731" t="s">
        <v>230</v>
      </c>
      <c r="D731">
        <v>2960.5</v>
      </c>
      <c r="E731">
        <v>2961</v>
      </c>
      <c r="F731">
        <v>2960</v>
      </c>
      <c r="G731">
        <v>2961</v>
      </c>
      <c r="H731">
        <v>5300</v>
      </c>
    </row>
    <row r="732" spans="2:8">
      <c r="B732" t="s">
        <v>443</v>
      </c>
      <c r="C732" t="s">
        <v>231</v>
      </c>
      <c r="D732">
        <v>2960.5</v>
      </c>
      <c r="E732">
        <v>2961.5</v>
      </c>
      <c r="F732">
        <v>2960.5</v>
      </c>
      <c r="G732">
        <v>2960.5</v>
      </c>
      <c r="H732">
        <v>7500</v>
      </c>
    </row>
    <row r="733" spans="2:8">
      <c r="B733" t="s">
        <v>443</v>
      </c>
      <c r="C733" t="s">
        <v>232</v>
      </c>
      <c r="D733">
        <v>2961</v>
      </c>
      <c r="E733">
        <v>2962</v>
      </c>
      <c r="F733">
        <v>2959</v>
      </c>
      <c r="G733">
        <v>2960.5</v>
      </c>
      <c r="H733">
        <v>26400</v>
      </c>
    </row>
    <row r="734" spans="2:8">
      <c r="B734" t="s">
        <v>443</v>
      </c>
      <c r="C734" t="s">
        <v>233</v>
      </c>
      <c r="D734">
        <v>2961</v>
      </c>
      <c r="E734">
        <v>2962</v>
      </c>
      <c r="F734">
        <v>2960.5</v>
      </c>
      <c r="G734">
        <v>2961</v>
      </c>
      <c r="H734">
        <v>5500</v>
      </c>
    </row>
    <row r="735" spans="2:8">
      <c r="B735" t="s">
        <v>443</v>
      </c>
      <c r="C735" t="s">
        <v>234</v>
      </c>
      <c r="D735">
        <v>2960.5</v>
      </c>
      <c r="E735">
        <v>2960.5</v>
      </c>
      <c r="F735">
        <v>2958</v>
      </c>
      <c r="G735">
        <v>2958.5</v>
      </c>
      <c r="H735">
        <v>13200</v>
      </c>
    </row>
    <row r="736" spans="2:8">
      <c r="B736" t="s">
        <v>443</v>
      </c>
      <c r="C736" t="s">
        <v>235</v>
      </c>
      <c r="D736">
        <v>2958.5</v>
      </c>
      <c r="E736">
        <v>2960.5</v>
      </c>
      <c r="F736">
        <v>2958</v>
      </c>
      <c r="G736">
        <v>2959.5</v>
      </c>
      <c r="H736">
        <v>9000</v>
      </c>
    </row>
    <row r="737" spans="2:8">
      <c r="B737" t="s">
        <v>443</v>
      </c>
      <c r="C737" t="s">
        <v>236</v>
      </c>
      <c r="D737">
        <v>2959.5</v>
      </c>
      <c r="E737">
        <v>2959.5</v>
      </c>
      <c r="F737">
        <v>2958</v>
      </c>
      <c r="G737">
        <v>2959</v>
      </c>
      <c r="H737">
        <v>5000</v>
      </c>
    </row>
    <row r="738" spans="2:8">
      <c r="B738" t="s">
        <v>443</v>
      </c>
      <c r="C738" t="s">
        <v>237</v>
      </c>
      <c r="D738">
        <v>2959</v>
      </c>
      <c r="E738">
        <v>2960.5</v>
      </c>
      <c r="F738">
        <v>2958</v>
      </c>
      <c r="G738">
        <v>2960.5</v>
      </c>
      <c r="H738">
        <v>4600</v>
      </c>
    </row>
    <row r="739" spans="2:8">
      <c r="B739" t="s">
        <v>443</v>
      </c>
      <c r="C739" t="s">
        <v>238</v>
      </c>
      <c r="D739">
        <v>2959.5</v>
      </c>
      <c r="E739">
        <v>2961</v>
      </c>
      <c r="F739">
        <v>2959.5</v>
      </c>
      <c r="G739">
        <v>2961</v>
      </c>
      <c r="H739">
        <v>14600</v>
      </c>
    </row>
    <row r="740" spans="2:8">
      <c r="B740" t="s">
        <v>443</v>
      </c>
      <c r="C740" t="s">
        <v>239</v>
      </c>
      <c r="D740">
        <v>2960.5</v>
      </c>
      <c r="E740">
        <v>2961.5</v>
      </c>
      <c r="F740">
        <v>2960.5</v>
      </c>
      <c r="G740">
        <v>2961.5</v>
      </c>
      <c r="H740">
        <v>4700</v>
      </c>
    </row>
    <row r="741" spans="2:8">
      <c r="B741" t="s">
        <v>443</v>
      </c>
      <c r="C741" t="s">
        <v>240</v>
      </c>
      <c r="D741">
        <v>2962</v>
      </c>
      <c r="E741">
        <v>2962</v>
      </c>
      <c r="F741">
        <v>2961</v>
      </c>
      <c r="G741">
        <v>2961</v>
      </c>
      <c r="H741">
        <v>2500</v>
      </c>
    </row>
    <row r="742" spans="2:8">
      <c r="B742" t="s">
        <v>443</v>
      </c>
      <c r="C742" t="s">
        <v>241</v>
      </c>
      <c r="D742">
        <v>2961.5</v>
      </c>
      <c r="E742">
        <v>2962</v>
      </c>
      <c r="F742">
        <v>2960.5</v>
      </c>
      <c r="G742">
        <v>2960.5</v>
      </c>
      <c r="H742">
        <v>7300</v>
      </c>
    </row>
    <row r="743" spans="2:8">
      <c r="B743" t="s">
        <v>443</v>
      </c>
      <c r="C743" t="s">
        <v>242</v>
      </c>
      <c r="D743">
        <v>2961</v>
      </c>
      <c r="E743">
        <v>2961.5</v>
      </c>
      <c r="F743">
        <v>2959.5</v>
      </c>
      <c r="G743">
        <v>2961.5</v>
      </c>
      <c r="H743">
        <v>9600</v>
      </c>
    </row>
    <row r="744" spans="2:8">
      <c r="B744" t="s">
        <v>443</v>
      </c>
      <c r="C744" t="s">
        <v>243</v>
      </c>
      <c r="D744">
        <v>2961</v>
      </c>
      <c r="E744">
        <v>2962.5</v>
      </c>
      <c r="F744">
        <v>2961</v>
      </c>
      <c r="G744">
        <v>2961</v>
      </c>
      <c r="H744">
        <v>7300</v>
      </c>
    </row>
    <row r="745" spans="2:8">
      <c r="B745" t="s">
        <v>443</v>
      </c>
      <c r="C745" t="s">
        <v>244</v>
      </c>
      <c r="D745">
        <v>2961</v>
      </c>
      <c r="E745">
        <v>2961.5</v>
      </c>
      <c r="F745">
        <v>2960.5</v>
      </c>
      <c r="G745">
        <v>2960.5</v>
      </c>
      <c r="H745">
        <v>4600</v>
      </c>
    </row>
    <row r="746" spans="2:8">
      <c r="B746" t="s">
        <v>443</v>
      </c>
      <c r="C746" t="s">
        <v>245</v>
      </c>
      <c r="D746">
        <v>2960</v>
      </c>
      <c r="E746">
        <v>2960.5</v>
      </c>
      <c r="F746">
        <v>2960</v>
      </c>
      <c r="G746">
        <v>2960.5</v>
      </c>
      <c r="H746">
        <v>2700</v>
      </c>
    </row>
    <row r="747" spans="2:8">
      <c r="B747" t="s">
        <v>443</v>
      </c>
      <c r="C747" t="s">
        <v>246</v>
      </c>
      <c r="D747">
        <v>2960.5</v>
      </c>
      <c r="E747">
        <v>2961.5</v>
      </c>
      <c r="F747">
        <v>2960.5</v>
      </c>
      <c r="G747">
        <v>2961</v>
      </c>
      <c r="H747">
        <v>4200</v>
      </c>
    </row>
    <row r="748" spans="2:8">
      <c r="B748" t="s">
        <v>443</v>
      </c>
      <c r="C748" t="s">
        <v>247</v>
      </c>
      <c r="D748">
        <v>2961</v>
      </c>
      <c r="E748">
        <v>2962</v>
      </c>
      <c r="F748">
        <v>2961</v>
      </c>
      <c r="G748">
        <v>2962</v>
      </c>
      <c r="H748">
        <v>6900</v>
      </c>
    </row>
    <row r="749" spans="2:8">
      <c r="B749" t="s">
        <v>443</v>
      </c>
      <c r="C749" t="s">
        <v>248</v>
      </c>
      <c r="D749">
        <v>2962</v>
      </c>
      <c r="E749">
        <v>2968</v>
      </c>
      <c r="F749">
        <v>2962</v>
      </c>
      <c r="G749">
        <v>2968</v>
      </c>
      <c r="H749">
        <v>22300</v>
      </c>
    </row>
    <row r="750" spans="2:8">
      <c r="B750" t="s">
        <v>443</v>
      </c>
      <c r="C750" t="s">
        <v>249</v>
      </c>
      <c r="D750">
        <v>2967.5</v>
      </c>
      <c r="E750">
        <v>2968</v>
      </c>
      <c r="F750">
        <v>2967</v>
      </c>
      <c r="G750">
        <v>2967.5</v>
      </c>
      <c r="H750">
        <v>4900</v>
      </c>
    </row>
    <row r="751" spans="2:8">
      <c r="B751" t="s">
        <v>443</v>
      </c>
      <c r="C751" t="s">
        <v>250</v>
      </c>
      <c r="D751">
        <v>2967</v>
      </c>
      <c r="E751">
        <v>2967.5</v>
      </c>
      <c r="F751">
        <v>2966.5</v>
      </c>
      <c r="G751">
        <v>2967</v>
      </c>
      <c r="H751">
        <v>7200</v>
      </c>
    </row>
    <row r="752" spans="2:8">
      <c r="B752" t="s">
        <v>443</v>
      </c>
      <c r="C752" t="s">
        <v>251</v>
      </c>
      <c r="D752">
        <v>2967</v>
      </c>
      <c r="E752">
        <v>2967</v>
      </c>
      <c r="F752">
        <v>2964.5</v>
      </c>
      <c r="G752">
        <v>2965.5</v>
      </c>
      <c r="H752">
        <v>8800</v>
      </c>
    </row>
    <row r="753" spans="2:8">
      <c r="B753" t="s">
        <v>443</v>
      </c>
      <c r="C753" t="s">
        <v>252</v>
      </c>
      <c r="D753">
        <v>2965</v>
      </c>
      <c r="E753">
        <v>2966</v>
      </c>
      <c r="F753">
        <v>2965</v>
      </c>
      <c r="G753">
        <v>2965.5</v>
      </c>
      <c r="H753">
        <v>11400</v>
      </c>
    </row>
    <row r="754" spans="2:8">
      <c r="B754" t="s">
        <v>443</v>
      </c>
      <c r="C754" t="s">
        <v>253</v>
      </c>
      <c r="D754">
        <v>2965.5</v>
      </c>
      <c r="E754">
        <v>2968</v>
      </c>
      <c r="F754">
        <v>2965.5</v>
      </c>
      <c r="G754">
        <v>2968</v>
      </c>
      <c r="H754">
        <v>5400</v>
      </c>
    </row>
    <row r="755" spans="2:8">
      <c r="B755" t="s">
        <v>443</v>
      </c>
      <c r="C755" t="s">
        <v>254</v>
      </c>
      <c r="D755">
        <v>2967.5</v>
      </c>
      <c r="E755">
        <v>2968</v>
      </c>
      <c r="F755">
        <v>2966.5</v>
      </c>
      <c r="G755">
        <v>2967</v>
      </c>
      <c r="H755">
        <v>13400</v>
      </c>
    </row>
    <row r="756" spans="2:8">
      <c r="B756" t="s">
        <v>443</v>
      </c>
      <c r="C756" t="s">
        <v>255</v>
      </c>
      <c r="D756">
        <v>2966.5</v>
      </c>
      <c r="E756">
        <v>2970</v>
      </c>
      <c r="F756">
        <v>2966.5</v>
      </c>
      <c r="G756">
        <v>2970</v>
      </c>
      <c r="H756">
        <v>27300</v>
      </c>
    </row>
    <row r="757" spans="2:8">
      <c r="B757" t="s">
        <v>443</v>
      </c>
      <c r="C757" t="s">
        <v>256</v>
      </c>
      <c r="D757">
        <v>2969.5</v>
      </c>
      <c r="E757">
        <v>2969.5</v>
      </c>
      <c r="F757">
        <v>2967.5</v>
      </c>
      <c r="G757">
        <v>2969</v>
      </c>
      <c r="H757">
        <v>13200</v>
      </c>
    </row>
    <row r="758" spans="2:8">
      <c r="B758" t="s">
        <v>443</v>
      </c>
      <c r="C758" t="s">
        <v>257</v>
      </c>
      <c r="D758">
        <v>2968</v>
      </c>
      <c r="E758">
        <v>2968</v>
      </c>
      <c r="F758">
        <v>2966.5</v>
      </c>
      <c r="G758">
        <v>2966.5</v>
      </c>
      <c r="H758">
        <v>11200</v>
      </c>
    </row>
    <row r="759" spans="2:8">
      <c r="B759" t="s">
        <v>443</v>
      </c>
      <c r="C759" t="s">
        <v>258</v>
      </c>
      <c r="D759">
        <v>2967</v>
      </c>
      <c r="E759">
        <v>2968.5</v>
      </c>
      <c r="F759">
        <v>2967</v>
      </c>
      <c r="G759">
        <v>2967.5</v>
      </c>
      <c r="H759">
        <v>9900</v>
      </c>
    </row>
    <row r="760" spans="2:8">
      <c r="B760" t="s">
        <v>443</v>
      </c>
      <c r="C760" t="s">
        <v>259</v>
      </c>
      <c r="D760">
        <v>2967.5</v>
      </c>
      <c r="E760">
        <v>2971</v>
      </c>
      <c r="F760">
        <v>2967.5</v>
      </c>
      <c r="G760">
        <v>2970</v>
      </c>
      <c r="H760">
        <v>27500</v>
      </c>
    </row>
    <row r="761" spans="2:8">
      <c r="B761" t="s">
        <v>443</v>
      </c>
      <c r="C761" t="s">
        <v>260</v>
      </c>
      <c r="D761">
        <v>2970</v>
      </c>
      <c r="E761">
        <v>2971</v>
      </c>
      <c r="F761">
        <v>2969.5</v>
      </c>
      <c r="G761">
        <v>2970</v>
      </c>
      <c r="H761">
        <v>10100</v>
      </c>
    </row>
    <row r="762" spans="2:8">
      <c r="B762" t="s">
        <v>443</v>
      </c>
      <c r="C762" t="s">
        <v>261</v>
      </c>
      <c r="D762">
        <v>2970</v>
      </c>
      <c r="E762">
        <v>2972</v>
      </c>
      <c r="F762">
        <v>2970</v>
      </c>
      <c r="G762">
        <v>2970.5</v>
      </c>
      <c r="H762">
        <v>16000</v>
      </c>
    </row>
    <row r="763" spans="2:8">
      <c r="B763" t="s">
        <v>443</v>
      </c>
      <c r="C763" t="s">
        <v>262</v>
      </c>
      <c r="D763">
        <v>2971.5</v>
      </c>
      <c r="E763">
        <v>2973</v>
      </c>
      <c r="F763">
        <v>2971</v>
      </c>
      <c r="G763">
        <v>2971</v>
      </c>
      <c r="H763">
        <v>16200</v>
      </c>
    </row>
    <row r="764" spans="2:8">
      <c r="B764" t="s">
        <v>443</v>
      </c>
      <c r="C764" t="s">
        <v>263</v>
      </c>
      <c r="D764">
        <v>2970.5</v>
      </c>
      <c r="E764">
        <v>2971</v>
      </c>
      <c r="F764">
        <v>2968.5</v>
      </c>
      <c r="G764">
        <v>2969</v>
      </c>
      <c r="H764">
        <v>19600</v>
      </c>
    </row>
    <row r="765" spans="2:8">
      <c r="B765" t="s">
        <v>443</v>
      </c>
      <c r="C765" t="s">
        <v>264</v>
      </c>
      <c r="D765">
        <v>2969</v>
      </c>
      <c r="E765">
        <v>2970</v>
      </c>
      <c r="F765">
        <v>2968.5</v>
      </c>
      <c r="G765">
        <v>2968.5</v>
      </c>
      <c r="H765">
        <v>13500</v>
      </c>
    </row>
    <row r="766" spans="2:8">
      <c r="B766" t="s">
        <v>443</v>
      </c>
      <c r="C766" t="s">
        <v>265</v>
      </c>
      <c r="D766">
        <v>2968.5</v>
      </c>
      <c r="E766">
        <v>2968.5</v>
      </c>
      <c r="F766">
        <v>2967.5</v>
      </c>
      <c r="G766">
        <v>2967.5</v>
      </c>
      <c r="H766">
        <v>13900</v>
      </c>
    </row>
    <row r="767" spans="2:8">
      <c r="B767" t="s">
        <v>443</v>
      </c>
      <c r="C767" t="s">
        <v>266</v>
      </c>
      <c r="D767">
        <v>2968</v>
      </c>
      <c r="E767">
        <v>2970</v>
      </c>
      <c r="F767">
        <v>2968</v>
      </c>
      <c r="G767">
        <v>2969.5</v>
      </c>
      <c r="H767">
        <v>18300</v>
      </c>
    </row>
    <row r="768" spans="2:8">
      <c r="B768" t="s">
        <v>443</v>
      </c>
      <c r="C768" t="s">
        <v>267</v>
      </c>
      <c r="D768">
        <v>2969.5</v>
      </c>
      <c r="E768">
        <v>2970</v>
      </c>
      <c r="F768">
        <v>2968.5</v>
      </c>
      <c r="G768">
        <v>2970</v>
      </c>
      <c r="H768">
        <v>7700</v>
      </c>
    </row>
    <row r="769" spans="2:8">
      <c r="B769" t="s">
        <v>443</v>
      </c>
      <c r="C769" t="s">
        <v>268</v>
      </c>
      <c r="D769">
        <v>2969.5</v>
      </c>
      <c r="E769">
        <v>2972</v>
      </c>
      <c r="F769">
        <v>2969.5</v>
      </c>
      <c r="G769">
        <v>2971</v>
      </c>
      <c r="H769">
        <v>98700</v>
      </c>
    </row>
    <row r="770" spans="2:8">
      <c r="B770" t="s">
        <v>443</v>
      </c>
      <c r="C770" t="s">
        <v>269</v>
      </c>
      <c r="D770">
        <v>2971</v>
      </c>
      <c r="E770">
        <v>2971</v>
      </c>
      <c r="F770">
        <v>2965.5</v>
      </c>
      <c r="G770">
        <v>2965.5</v>
      </c>
      <c r="H770">
        <v>47300</v>
      </c>
    </row>
    <row r="771" spans="2:8">
      <c r="B771" t="s">
        <v>443</v>
      </c>
      <c r="C771" t="s">
        <v>270</v>
      </c>
      <c r="D771">
        <v>2965.5</v>
      </c>
      <c r="E771">
        <v>2965.5</v>
      </c>
      <c r="F771">
        <v>2963.5</v>
      </c>
      <c r="G771">
        <v>2963.5</v>
      </c>
      <c r="H771">
        <v>15100</v>
      </c>
    </row>
    <row r="772" spans="2:8">
      <c r="B772" t="s">
        <v>443</v>
      </c>
      <c r="C772" t="s">
        <v>271</v>
      </c>
      <c r="D772">
        <v>2964</v>
      </c>
      <c r="E772">
        <v>2964</v>
      </c>
      <c r="F772">
        <v>2964</v>
      </c>
      <c r="G772">
        <v>2964</v>
      </c>
      <c r="H772">
        <v>8800</v>
      </c>
    </row>
    <row r="773" spans="2:8">
      <c r="B773" t="s">
        <v>443</v>
      </c>
      <c r="C773" t="s">
        <v>272</v>
      </c>
      <c r="D773">
        <v>2964.5</v>
      </c>
      <c r="E773">
        <v>2967.5</v>
      </c>
      <c r="F773">
        <v>2964.5</v>
      </c>
      <c r="G773">
        <v>2967.5</v>
      </c>
      <c r="H773">
        <v>26700</v>
      </c>
    </row>
    <row r="774" spans="2:8">
      <c r="B774" t="s">
        <v>443</v>
      </c>
      <c r="C774" t="s">
        <v>273</v>
      </c>
      <c r="D774">
        <v>2967.5</v>
      </c>
      <c r="E774">
        <v>2968</v>
      </c>
      <c r="F774">
        <v>2967</v>
      </c>
      <c r="G774">
        <v>2967</v>
      </c>
      <c r="H774">
        <v>9000</v>
      </c>
    </row>
    <row r="775" spans="2:8">
      <c r="B775" t="s">
        <v>443</v>
      </c>
      <c r="C775" t="s">
        <v>274</v>
      </c>
      <c r="D775">
        <v>2967</v>
      </c>
      <c r="E775">
        <v>2968.5</v>
      </c>
      <c r="F775">
        <v>2967</v>
      </c>
      <c r="G775">
        <v>2968</v>
      </c>
      <c r="H775">
        <v>6300</v>
      </c>
    </row>
    <row r="776" spans="2:8">
      <c r="B776" t="s">
        <v>443</v>
      </c>
      <c r="C776" t="s">
        <v>275</v>
      </c>
      <c r="D776">
        <v>2968.5</v>
      </c>
      <c r="E776">
        <v>2970</v>
      </c>
      <c r="F776">
        <v>2968.5</v>
      </c>
      <c r="G776">
        <v>2970</v>
      </c>
      <c r="H776">
        <v>11800</v>
      </c>
    </row>
    <row r="777" spans="2:8">
      <c r="B777" t="s">
        <v>443</v>
      </c>
      <c r="C777" t="s">
        <v>276</v>
      </c>
      <c r="D777">
        <v>2969.5</v>
      </c>
      <c r="E777">
        <v>2970</v>
      </c>
      <c r="F777">
        <v>2969.5</v>
      </c>
      <c r="G777">
        <v>2969.5</v>
      </c>
      <c r="H777">
        <v>14500</v>
      </c>
    </row>
    <row r="778" spans="2:8">
      <c r="B778" t="s">
        <v>443</v>
      </c>
      <c r="C778" t="s">
        <v>277</v>
      </c>
      <c r="D778">
        <v>2969.5</v>
      </c>
      <c r="E778">
        <v>2970</v>
      </c>
      <c r="F778">
        <v>2968.5</v>
      </c>
      <c r="G778">
        <v>2968.5</v>
      </c>
      <c r="H778">
        <v>8200</v>
      </c>
    </row>
    <row r="779" spans="2:8">
      <c r="B779" t="s">
        <v>443</v>
      </c>
      <c r="C779" t="s">
        <v>278</v>
      </c>
      <c r="D779">
        <v>2969</v>
      </c>
      <c r="E779">
        <v>2969</v>
      </c>
      <c r="F779">
        <v>2968</v>
      </c>
      <c r="G779">
        <v>2968</v>
      </c>
      <c r="H779">
        <v>10800</v>
      </c>
    </row>
    <row r="780" spans="2:8">
      <c r="B780" t="s">
        <v>443</v>
      </c>
      <c r="C780" t="s">
        <v>279</v>
      </c>
      <c r="D780">
        <v>2967.5</v>
      </c>
      <c r="E780">
        <v>2969.5</v>
      </c>
      <c r="F780">
        <v>2967</v>
      </c>
      <c r="G780">
        <v>2969</v>
      </c>
      <c r="H780">
        <v>25000</v>
      </c>
    </row>
    <row r="781" spans="2:8">
      <c r="B781" t="s">
        <v>443</v>
      </c>
      <c r="C781" t="s">
        <v>280</v>
      </c>
      <c r="D781">
        <v>2969</v>
      </c>
      <c r="E781">
        <v>2969</v>
      </c>
      <c r="F781">
        <v>2968</v>
      </c>
      <c r="G781">
        <v>2968.5</v>
      </c>
      <c r="H781">
        <v>13100</v>
      </c>
    </row>
    <row r="782" spans="2:8">
      <c r="B782" t="s">
        <v>443</v>
      </c>
      <c r="C782" t="s">
        <v>281</v>
      </c>
      <c r="D782">
        <v>2968</v>
      </c>
      <c r="E782">
        <v>2968</v>
      </c>
      <c r="F782">
        <v>2966.5</v>
      </c>
      <c r="G782">
        <v>2967</v>
      </c>
      <c r="H782">
        <v>9000</v>
      </c>
    </row>
    <row r="783" spans="2:8">
      <c r="B783" t="s">
        <v>443</v>
      </c>
      <c r="C783" t="s">
        <v>282</v>
      </c>
      <c r="D783">
        <v>2967</v>
      </c>
      <c r="E783">
        <v>2967</v>
      </c>
      <c r="F783">
        <v>2965.5</v>
      </c>
      <c r="G783">
        <v>2966</v>
      </c>
      <c r="H783">
        <v>7800</v>
      </c>
    </row>
    <row r="784" spans="2:8">
      <c r="B784" t="s">
        <v>443</v>
      </c>
      <c r="C784" t="s">
        <v>283</v>
      </c>
      <c r="D784">
        <v>2965.5</v>
      </c>
      <c r="E784">
        <v>2966</v>
      </c>
      <c r="F784">
        <v>2963.5</v>
      </c>
      <c r="G784">
        <v>2963.5</v>
      </c>
      <c r="H784">
        <v>11500</v>
      </c>
    </row>
    <row r="785" spans="2:8">
      <c r="B785" t="s">
        <v>443</v>
      </c>
      <c r="C785" t="s">
        <v>284</v>
      </c>
      <c r="D785">
        <v>2963.5</v>
      </c>
      <c r="E785">
        <v>2965</v>
      </c>
      <c r="F785">
        <v>2963.5</v>
      </c>
      <c r="G785">
        <v>2964.5</v>
      </c>
      <c r="H785">
        <v>10000</v>
      </c>
    </row>
    <row r="786" spans="2:8">
      <c r="B786" t="s">
        <v>443</v>
      </c>
      <c r="C786" t="s">
        <v>285</v>
      </c>
      <c r="D786">
        <v>2965</v>
      </c>
      <c r="E786">
        <v>2965</v>
      </c>
      <c r="F786">
        <v>2964</v>
      </c>
      <c r="G786">
        <v>2965</v>
      </c>
      <c r="H786">
        <v>12700</v>
      </c>
    </row>
    <row r="787" spans="2:8">
      <c r="B787" t="s">
        <v>443</v>
      </c>
      <c r="C787" t="s">
        <v>286</v>
      </c>
      <c r="D787">
        <v>2964.5</v>
      </c>
      <c r="E787">
        <v>2966</v>
      </c>
      <c r="F787">
        <v>2964</v>
      </c>
      <c r="G787">
        <v>2966</v>
      </c>
      <c r="H787">
        <v>15900</v>
      </c>
    </row>
    <row r="788" spans="2:8">
      <c r="B788" t="s">
        <v>443</v>
      </c>
      <c r="C788" t="s">
        <v>287</v>
      </c>
      <c r="D788">
        <v>2966</v>
      </c>
      <c r="E788">
        <v>2966</v>
      </c>
      <c r="F788">
        <v>2964.5</v>
      </c>
      <c r="G788">
        <v>2965</v>
      </c>
      <c r="H788">
        <v>9300</v>
      </c>
    </row>
    <row r="789" spans="2:8">
      <c r="B789" t="s">
        <v>443</v>
      </c>
      <c r="C789" t="s">
        <v>288</v>
      </c>
      <c r="D789">
        <v>2965.5</v>
      </c>
      <c r="E789">
        <v>2966</v>
      </c>
      <c r="F789">
        <v>2963.5</v>
      </c>
      <c r="G789">
        <v>2963.5</v>
      </c>
      <c r="H789">
        <v>14400</v>
      </c>
    </row>
    <row r="790" spans="2:8">
      <c r="B790" t="s">
        <v>443</v>
      </c>
      <c r="C790" t="s">
        <v>289</v>
      </c>
      <c r="D790">
        <v>2963.5</v>
      </c>
      <c r="E790">
        <v>2964</v>
      </c>
      <c r="F790">
        <v>2962.5</v>
      </c>
      <c r="G790">
        <v>2962.5</v>
      </c>
      <c r="H790">
        <v>6300</v>
      </c>
    </row>
    <row r="791" spans="2:8">
      <c r="B791" t="s">
        <v>443</v>
      </c>
      <c r="C791" t="s">
        <v>290</v>
      </c>
      <c r="D791">
        <v>2962.5</v>
      </c>
      <c r="E791">
        <v>2963.5</v>
      </c>
      <c r="F791">
        <v>2962.5</v>
      </c>
      <c r="G791">
        <v>2962.5</v>
      </c>
      <c r="H791">
        <v>17900</v>
      </c>
    </row>
    <row r="792" spans="2:8">
      <c r="B792" t="s">
        <v>443</v>
      </c>
      <c r="C792" t="s">
        <v>291</v>
      </c>
      <c r="D792">
        <v>2962.5</v>
      </c>
      <c r="E792">
        <v>2964</v>
      </c>
      <c r="F792">
        <v>2962.5</v>
      </c>
      <c r="G792">
        <v>2964</v>
      </c>
      <c r="H792">
        <v>13100</v>
      </c>
    </row>
    <row r="793" spans="2:8">
      <c r="B793" t="s">
        <v>443</v>
      </c>
      <c r="C793" t="s">
        <v>292</v>
      </c>
      <c r="D793">
        <v>2963.5</v>
      </c>
      <c r="E793">
        <v>2964</v>
      </c>
      <c r="F793">
        <v>2963.5</v>
      </c>
      <c r="G793">
        <v>2963.5</v>
      </c>
      <c r="H793">
        <v>7300</v>
      </c>
    </row>
    <row r="794" spans="2:8">
      <c r="B794" t="s">
        <v>443</v>
      </c>
      <c r="C794" t="s">
        <v>293</v>
      </c>
      <c r="D794">
        <v>2964</v>
      </c>
      <c r="E794">
        <v>2964</v>
      </c>
      <c r="F794">
        <v>2963</v>
      </c>
      <c r="G794">
        <v>2963.5</v>
      </c>
      <c r="H794">
        <v>7900</v>
      </c>
    </row>
    <row r="795" spans="2:8">
      <c r="B795" t="s">
        <v>443</v>
      </c>
      <c r="C795" t="s">
        <v>294</v>
      </c>
      <c r="D795">
        <v>2963</v>
      </c>
      <c r="E795">
        <v>2963.5</v>
      </c>
      <c r="F795">
        <v>2962</v>
      </c>
      <c r="G795">
        <v>2963.5</v>
      </c>
      <c r="H795">
        <v>36800</v>
      </c>
    </row>
    <row r="796" spans="2:8">
      <c r="B796" t="s">
        <v>443</v>
      </c>
      <c r="C796" t="s">
        <v>295</v>
      </c>
      <c r="D796">
        <v>2963.5</v>
      </c>
      <c r="E796">
        <v>2964</v>
      </c>
      <c r="F796">
        <v>2963</v>
      </c>
      <c r="G796">
        <v>2963</v>
      </c>
      <c r="H796">
        <v>5600</v>
      </c>
    </row>
    <row r="797" spans="2:8">
      <c r="B797" t="s">
        <v>443</v>
      </c>
      <c r="C797" t="s">
        <v>296</v>
      </c>
      <c r="D797">
        <v>2963</v>
      </c>
      <c r="E797">
        <v>2963.5</v>
      </c>
      <c r="F797">
        <v>2963</v>
      </c>
      <c r="G797">
        <v>2963</v>
      </c>
      <c r="H797">
        <v>2500</v>
      </c>
    </row>
    <row r="798" spans="2:8">
      <c r="B798" t="s">
        <v>443</v>
      </c>
      <c r="C798" t="s">
        <v>297</v>
      </c>
      <c r="D798">
        <v>2963</v>
      </c>
      <c r="E798">
        <v>2963</v>
      </c>
      <c r="F798">
        <v>2962</v>
      </c>
      <c r="G798">
        <v>2962.5</v>
      </c>
      <c r="H798">
        <v>11700</v>
      </c>
    </row>
    <row r="799" spans="2:8">
      <c r="B799" t="s">
        <v>443</v>
      </c>
      <c r="C799" t="s">
        <v>298</v>
      </c>
      <c r="D799">
        <v>2963</v>
      </c>
      <c r="E799">
        <v>2963</v>
      </c>
      <c r="F799">
        <v>2962.5</v>
      </c>
      <c r="G799">
        <v>2963</v>
      </c>
      <c r="H799">
        <v>4500</v>
      </c>
    </row>
    <row r="800" spans="2:8">
      <c r="B800" t="s">
        <v>443</v>
      </c>
      <c r="C800" t="s">
        <v>299</v>
      </c>
      <c r="D800">
        <v>2962.5</v>
      </c>
      <c r="E800">
        <v>2962.5</v>
      </c>
      <c r="F800">
        <v>2962</v>
      </c>
      <c r="G800">
        <v>2962.5</v>
      </c>
      <c r="H800">
        <v>8600</v>
      </c>
    </row>
    <row r="801" spans="2:8">
      <c r="B801" t="s">
        <v>443</v>
      </c>
      <c r="C801" t="s">
        <v>300</v>
      </c>
      <c r="D801">
        <v>2962.5</v>
      </c>
      <c r="E801">
        <v>2963</v>
      </c>
      <c r="F801">
        <v>2962.5</v>
      </c>
      <c r="G801">
        <v>2962.5</v>
      </c>
      <c r="H801">
        <v>4800</v>
      </c>
    </row>
    <row r="802" spans="2:8">
      <c r="B802" t="s">
        <v>443</v>
      </c>
      <c r="C802" t="s">
        <v>301</v>
      </c>
      <c r="D802">
        <v>2962.5</v>
      </c>
      <c r="E802">
        <v>2964</v>
      </c>
      <c r="F802">
        <v>2962.5</v>
      </c>
      <c r="G802">
        <v>2964</v>
      </c>
      <c r="H802">
        <v>5300</v>
      </c>
    </row>
    <row r="803" spans="2:8">
      <c r="B803" t="s">
        <v>443</v>
      </c>
      <c r="C803" t="s">
        <v>302</v>
      </c>
      <c r="D803">
        <v>2964</v>
      </c>
      <c r="E803">
        <v>2964</v>
      </c>
      <c r="F803">
        <v>2963.5</v>
      </c>
      <c r="G803">
        <v>2963.5</v>
      </c>
      <c r="H803">
        <v>2100</v>
      </c>
    </row>
    <row r="804" spans="2:8">
      <c r="B804" t="s">
        <v>443</v>
      </c>
      <c r="C804" t="s">
        <v>303</v>
      </c>
      <c r="D804">
        <v>2963.5</v>
      </c>
      <c r="E804">
        <v>2966.5</v>
      </c>
      <c r="F804">
        <v>2963.5</v>
      </c>
      <c r="G804">
        <v>2965</v>
      </c>
      <c r="H804">
        <v>60100</v>
      </c>
    </row>
    <row r="805" spans="2:8">
      <c r="B805" t="s">
        <v>443</v>
      </c>
      <c r="C805" t="s">
        <v>304</v>
      </c>
      <c r="D805">
        <v>2964.5</v>
      </c>
      <c r="E805">
        <v>2964.5</v>
      </c>
      <c r="F805">
        <v>2964</v>
      </c>
      <c r="G805">
        <v>2964.5</v>
      </c>
      <c r="H805">
        <v>18000</v>
      </c>
    </row>
    <row r="806" spans="2:8">
      <c r="B806" t="s">
        <v>443</v>
      </c>
      <c r="C806" t="s">
        <v>305</v>
      </c>
      <c r="D806">
        <v>2964</v>
      </c>
      <c r="E806">
        <v>2964.5</v>
      </c>
      <c r="F806">
        <v>2964</v>
      </c>
      <c r="G806">
        <v>2964</v>
      </c>
      <c r="H806">
        <v>1600</v>
      </c>
    </row>
    <row r="807" spans="2:8">
      <c r="B807" t="s">
        <v>443</v>
      </c>
      <c r="C807" t="s">
        <v>306</v>
      </c>
      <c r="D807">
        <v>2964</v>
      </c>
      <c r="E807">
        <v>2964.5</v>
      </c>
      <c r="F807">
        <v>2963</v>
      </c>
      <c r="G807">
        <v>2964</v>
      </c>
      <c r="H807">
        <v>11800</v>
      </c>
    </row>
    <row r="808" spans="2:8">
      <c r="B808" t="s">
        <v>443</v>
      </c>
      <c r="C808" t="s">
        <v>307</v>
      </c>
      <c r="D808">
        <v>2964.5</v>
      </c>
      <c r="E808">
        <v>2964.5</v>
      </c>
      <c r="F808">
        <v>2964</v>
      </c>
      <c r="G808">
        <v>2964</v>
      </c>
      <c r="H808">
        <v>4400</v>
      </c>
    </row>
    <row r="809" spans="2:8">
      <c r="B809" t="s">
        <v>443</v>
      </c>
      <c r="C809" t="s">
        <v>308</v>
      </c>
      <c r="D809">
        <v>2964</v>
      </c>
      <c r="E809">
        <v>2964.5</v>
      </c>
      <c r="F809">
        <v>2964</v>
      </c>
      <c r="G809">
        <v>2964.5</v>
      </c>
      <c r="H809">
        <v>4400</v>
      </c>
    </row>
    <row r="810" spans="2:8">
      <c r="B810" t="s">
        <v>443</v>
      </c>
      <c r="C810" t="s">
        <v>309</v>
      </c>
      <c r="D810">
        <v>2964.5</v>
      </c>
      <c r="E810">
        <v>2965</v>
      </c>
      <c r="F810">
        <v>2963</v>
      </c>
      <c r="G810">
        <v>2963</v>
      </c>
      <c r="H810">
        <v>21700</v>
      </c>
    </row>
    <row r="811" spans="2:8">
      <c r="B811" t="s">
        <v>443</v>
      </c>
      <c r="C811" t="s">
        <v>310</v>
      </c>
      <c r="D811">
        <v>2963.5</v>
      </c>
      <c r="E811">
        <v>2964.5</v>
      </c>
      <c r="F811">
        <v>2963.5</v>
      </c>
      <c r="G811">
        <v>2964.5</v>
      </c>
      <c r="H811">
        <v>3100</v>
      </c>
    </row>
    <row r="812" spans="2:8">
      <c r="B812" t="s">
        <v>443</v>
      </c>
      <c r="C812" t="s">
        <v>311</v>
      </c>
      <c r="D812">
        <v>2964.5</v>
      </c>
      <c r="E812">
        <v>2965</v>
      </c>
      <c r="F812">
        <v>2964.5</v>
      </c>
      <c r="G812">
        <v>2964.5</v>
      </c>
      <c r="H812">
        <v>4600</v>
      </c>
    </row>
    <row r="813" spans="2:8">
      <c r="B813" t="s">
        <v>443</v>
      </c>
      <c r="C813" t="s">
        <v>312</v>
      </c>
      <c r="D813">
        <v>2964.5</v>
      </c>
      <c r="E813">
        <v>2965</v>
      </c>
      <c r="F813">
        <v>2964.5</v>
      </c>
      <c r="G813">
        <v>2964.5</v>
      </c>
      <c r="H813">
        <v>6200</v>
      </c>
    </row>
    <row r="814" spans="2:8">
      <c r="B814" t="s">
        <v>443</v>
      </c>
      <c r="C814" t="s">
        <v>313</v>
      </c>
      <c r="D814">
        <v>2965</v>
      </c>
      <c r="E814">
        <v>2965</v>
      </c>
      <c r="F814">
        <v>2964</v>
      </c>
      <c r="G814">
        <v>2964.5</v>
      </c>
      <c r="H814">
        <v>15500</v>
      </c>
    </row>
    <row r="815" spans="2:8">
      <c r="B815" t="s">
        <v>443</v>
      </c>
      <c r="C815" t="s">
        <v>314</v>
      </c>
      <c r="D815">
        <v>2965</v>
      </c>
      <c r="E815">
        <v>2966</v>
      </c>
      <c r="F815">
        <v>2964.5</v>
      </c>
      <c r="G815">
        <v>2965.5</v>
      </c>
      <c r="H815">
        <v>10200</v>
      </c>
    </row>
    <row r="816" spans="2:8">
      <c r="B816" t="s">
        <v>443</v>
      </c>
      <c r="C816" t="s">
        <v>315</v>
      </c>
      <c r="D816">
        <v>2966</v>
      </c>
      <c r="E816">
        <v>2966</v>
      </c>
      <c r="F816">
        <v>2965</v>
      </c>
      <c r="G816">
        <v>2965.5</v>
      </c>
      <c r="H816">
        <v>15200</v>
      </c>
    </row>
    <row r="817" spans="2:8">
      <c r="B817" t="s">
        <v>443</v>
      </c>
      <c r="C817" t="s">
        <v>316</v>
      </c>
      <c r="D817">
        <v>2965.5</v>
      </c>
      <c r="E817">
        <v>2965.5</v>
      </c>
      <c r="F817">
        <v>2965.5</v>
      </c>
      <c r="G817">
        <v>2965.5</v>
      </c>
      <c r="H817">
        <v>3500</v>
      </c>
    </row>
    <row r="818" spans="2:8">
      <c r="B818" t="s">
        <v>443</v>
      </c>
      <c r="C818" t="s">
        <v>317</v>
      </c>
      <c r="D818">
        <v>2960</v>
      </c>
      <c r="E818">
        <v>2966.5</v>
      </c>
      <c r="F818">
        <v>2956</v>
      </c>
      <c r="G818">
        <v>2957</v>
      </c>
      <c r="H818">
        <v>146400</v>
      </c>
    </row>
    <row r="819" spans="2:8">
      <c r="B819" t="s">
        <v>443</v>
      </c>
      <c r="C819" t="s">
        <v>318</v>
      </c>
      <c r="D819">
        <v>2957.5</v>
      </c>
      <c r="E819">
        <v>2960</v>
      </c>
      <c r="F819">
        <v>2955</v>
      </c>
      <c r="G819">
        <v>2957.5</v>
      </c>
      <c r="H819">
        <v>34200</v>
      </c>
    </row>
    <row r="820" spans="2:8">
      <c r="B820" t="s">
        <v>443</v>
      </c>
      <c r="C820" t="s">
        <v>319</v>
      </c>
      <c r="D820">
        <v>2958</v>
      </c>
      <c r="E820">
        <v>2961</v>
      </c>
      <c r="F820">
        <v>2958</v>
      </c>
      <c r="G820">
        <v>2961</v>
      </c>
      <c r="H820">
        <v>25800</v>
      </c>
    </row>
    <row r="821" spans="2:8">
      <c r="B821" t="s">
        <v>443</v>
      </c>
      <c r="C821" t="s">
        <v>320</v>
      </c>
      <c r="D821">
        <v>2961</v>
      </c>
      <c r="E821">
        <v>2964</v>
      </c>
      <c r="F821">
        <v>2961</v>
      </c>
      <c r="G821">
        <v>2962</v>
      </c>
      <c r="H821">
        <v>17300</v>
      </c>
    </row>
    <row r="822" spans="2:8">
      <c r="B822" t="s">
        <v>443</v>
      </c>
      <c r="C822" t="s">
        <v>321</v>
      </c>
      <c r="D822">
        <v>2961.5</v>
      </c>
      <c r="E822">
        <v>2962</v>
      </c>
      <c r="F822">
        <v>2960</v>
      </c>
      <c r="G822">
        <v>2961.5</v>
      </c>
      <c r="H822">
        <v>17200</v>
      </c>
    </row>
    <row r="823" spans="2:8">
      <c r="B823" t="s">
        <v>443</v>
      </c>
      <c r="C823" t="s">
        <v>322</v>
      </c>
      <c r="D823">
        <v>2962</v>
      </c>
      <c r="E823">
        <v>2963</v>
      </c>
      <c r="F823">
        <v>2962</v>
      </c>
      <c r="G823">
        <v>2962</v>
      </c>
      <c r="H823">
        <v>8500</v>
      </c>
    </row>
    <row r="824" spans="2:8">
      <c r="B824" t="s">
        <v>443</v>
      </c>
      <c r="C824" t="s">
        <v>323</v>
      </c>
      <c r="D824">
        <v>2962.5</v>
      </c>
      <c r="E824">
        <v>2963.5</v>
      </c>
      <c r="F824">
        <v>2962.5</v>
      </c>
      <c r="G824">
        <v>2963</v>
      </c>
      <c r="H824">
        <v>15700</v>
      </c>
    </row>
    <row r="825" spans="2:8">
      <c r="B825" t="s">
        <v>443</v>
      </c>
      <c r="C825" t="s">
        <v>324</v>
      </c>
      <c r="D825">
        <v>2963.5</v>
      </c>
      <c r="E825">
        <v>2964.5</v>
      </c>
      <c r="F825">
        <v>2962.5</v>
      </c>
      <c r="G825">
        <v>2963</v>
      </c>
      <c r="H825">
        <v>29600</v>
      </c>
    </row>
    <row r="826" spans="2:8">
      <c r="B826" t="s">
        <v>443</v>
      </c>
      <c r="C826" t="s">
        <v>325</v>
      </c>
      <c r="D826">
        <v>2963.5</v>
      </c>
      <c r="E826">
        <v>2964</v>
      </c>
      <c r="F826">
        <v>2963</v>
      </c>
      <c r="G826">
        <v>2963</v>
      </c>
      <c r="H826">
        <v>12200</v>
      </c>
    </row>
    <row r="827" spans="2:8">
      <c r="B827" t="s">
        <v>443</v>
      </c>
      <c r="C827" t="s">
        <v>326</v>
      </c>
      <c r="D827">
        <v>2963.5</v>
      </c>
      <c r="E827">
        <v>2964</v>
      </c>
      <c r="F827">
        <v>2962</v>
      </c>
      <c r="G827">
        <v>2962</v>
      </c>
      <c r="H827">
        <v>15000</v>
      </c>
    </row>
    <row r="828" spans="2:8">
      <c r="B828" t="s">
        <v>443</v>
      </c>
      <c r="C828" t="s">
        <v>327</v>
      </c>
      <c r="D828">
        <v>2962.5</v>
      </c>
      <c r="E828">
        <v>2962.5</v>
      </c>
      <c r="F828">
        <v>2961.5</v>
      </c>
      <c r="G828">
        <v>2962.5</v>
      </c>
      <c r="H828">
        <v>12800</v>
      </c>
    </row>
    <row r="829" spans="2:8">
      <c r="B829" t="s">
        <v>443</v>
      </c>
      <c r="C829" t="s">
        <v>328</v>
      </c>
      <c r="D829">
        <v>2963</v>
      </c>
      <c r="E829">
        <v>2963</v>
      </c>
      <c r="F829">
        <v>2962.5</v>
      </c>
      <c r="G829">
        <v>2962.5</v>
      </c>
      <c r="H829">
        <v>2000</v>
      </c>
    </row>
    <row r="830" spans="2:8">
      <c r="B830" t="s">
        <v>443</v>
      </c>
      <c r="C830" t="s">
        <v>329</v>
      </c>
      <c r="D830">
        <v>2963</v>
      </c>
      <c r="E830">
        <v>2963</v>
      </c>
      <c r="F830">
        <v>2961</v>
      </c>
      <c r="G830">
        <v>2961</v>
      </c>
      <c r="H830">
        <v>16400</v>
      </c>
    </row>
    <row r="831" spans="2:8">
      <c r="B831" t="s">
        <v>443</v>
      </c>
      <c r="C831" t="s">
        <v>330</v>
      </c>
      <c r="D831">
        <v>2961.5</v>
      </c>
      <c r="E831">
        <v>2961.5</v>
      </c>
      <c r="F831">
        <v>2961</v>
      </c>
      <c r="G831">
        <v>2961.5</v>
      </c>
      <c r="H831">
        <v>8900</v>
      </c>
    </row>
    <row r="832" spans="2:8">
      <c r="B832" t="s">
        <v>443</v>
      </c>
      <c r="C832" t="s">
        <v>331</v>
      </c>
      <c r="D832">
        <v>2961.5</v>
      </c>
      <c r="E832">
        <v>2962</v>
      </c>
      <c r="F832">
        <v>2961</v>
      </c>
      <c r="G832">
        <v>2962</v>
      </c>
      <c r="H832">
        <v>3300</v>
      </c>
    </row>
    <row r="833" spans="2:8">
      <c r="B833" t="s">
        <v>443</v>
      </c>
      <c r="C833" t="s">
        <v>332</v>
      </c>
      <c r="D833">
        <v>2962</v>
      </c>
      <c r="E833">
        <v>2962.5</v>
      </c>
      <c r="F833">
        <v>2961.5</v>
      </c>
      <c r="G833">
        <v>2962.5</v>
      </c>
      <c r="H833">
        <v>9100</v>
      </c>
    </row>
    <row r="834" spans="2:8">
      <c r="B834" t="s">
        <v>443</v>
      </c>
      <c r="C834" t="s">
        <v>333</v>
      </c>
      <c r="D834">
        <v>2962</v>
      </c>
      <c r="E834">
        <v>2963</v>
      </c>
      <c r="F834">
        <v>2962</v>
      </c>
      <c r="G834">
        <v>2963</v>
      </c>
      <c r="H834">
        <v>6700</v>
      </c>
    </row>
    <row r="835" spans="2:8">
      <c r="B835" t="s">
        <v>443</v>
      </c>
      <c r="C835" t="s">
        <v>334</v>
      </c>
      <c r="D835">
        <v>2963.5</v>
      </c>
      <c r="E835">
        <v>2964</v>
      </c>
      <c r="F835">
        <v>2963.5</v>
      </c>
      <c r="G835">
        <v>2963.5</v>
      </c>
      <c r="H835">
        <v>12700</v>
      </c>
    </row>
    <row r="836" spans="2:8">
      <c r="B836" t="s">
        <v>443</v>
      </c>
      <c r="C836" t="s">
        <v>335</v>
      </c>
      <c r="D836">
        <v>2963.5</v>
      </c>
      <c r="E836">
        <v>2963.5</v>
      </c>
      <c r="F836">
        <v>2960</v>
      </c>
      <c r="G836">
        <v>2961.5</v>
      </c>
      <c r="H836">
        <v>28300</v>
      </c>
    </row>
    <row r="837" spans="2:8">
      <c r="B837" t="s">
        <v>443</v>
      </c>
      <c r="C837" t="s">
        <v>336</v>
      </c>
      <c r="D837">
        <v>2961</v>
      </c>
      <c r="E837">
        <v>2961</v>
      </c>
      <c r="F837">
        <v>2959</v>
      </c>
      <c r="G837">
        <v>2959.5</v>
      </c>
      <c r="H837">
        <v>12900</v>
      </c>
    </row>
    <row r="838" spans="2:8">
      <c r="B838" t="s">
        <v>443</v>
      </c>
      <c r="C838" t="s">
        <v>337</v>
      </c>
      <c r="D838">
        <v>2959.5</v>
      </c>
      <c r="E838">
        <v>2959.5</v>
      </c>
      <c r="F838">
        <v>2959</v>
      </c>
      <c r="G838">
        <v>2959</v>
      </c>
      <c r="H838">
        <v>8800</v>
      </c>
    </row>
    <row r="839" spans="2:8">
      <c r="B839" t="s">
        <v>443</v>
      </c>
      <c r="C839" t="s">
        <v>338</v>
      </c>
      <c r="D839">
        <v>2959</v>
      </c>
      <c r="E839">
        <v>2959</v>
      </c>
      <c r="F839">
        <v>2958.5</v>
      </c>
      <c r="G839">
        <v>2958.5</v>
      </c>
      <c r="H839">
        <v>1600</v>
      </c>
    </row>
    <row r="840" spans="2:8">
      <c r="B840" t="s">
        <v>443</v>
      </c>
      <c r="C840" t="s">
        <v>339</v>
      </c>
      <c r="D840">
        <v>2959</v>
      </c>
      <c r="E840">
        <v>2959</v>
      </c>
      <c r="F840">
        <v>2958</v>
      </c>
      <c r="G840">
        <v>2958</v>
      </c>
      <c r="H840">
        <v>14800</v>
      </c>
    </row>
    <row r="841" spans="2:8">
      <c r="B841" t="s">
        <v>443</v>
      </c>
      <c r="C841" t="s">
        <v>340</v>
      </c>
      <c r="D841">
        <v>2957.5</v>
      </c>
      <c r="E841">
        <v>2957.5</v>
      </c>
      <c r="F841">
        <v>2956</v>
      </c>
      <c r="G841">
        <v>2956.5</v>
      </c>
      <c r="H841">
        <v>5100</v>
      </c>
    </row>
    <row r="842" spans="2:8">
      <c r="B842" t="s">
        <v>443</v>
      </c>
      <c r="C842" t="s">
        <v>341</v>
      </c>
      <c r="D842">
        <v>2957</v>
      </c>
      <c r="E842">
        <v>2957.5</v>
      </c>
      <c r="F842">
        <v>2956</v>
      </c>
      <c r="G842">
        <v>2956.5</v>
      </c>
      <c r="H842">
        <v>9500</v>
      </c>
    </row>
    <row r="843" spans="2:8">
      <c r="B843" t="s">
        <v>443</v>
      </c>
      <c r="C843" t="s">
        <v>342</v>
      </c>
      <c r="D843">
        <v>2956.5</v>
      </c>
      <c r="E843">
        <v>2957</v>
      </c>
      <c r="F843">
        <v>2955</v>
      </c>
      <c r="G843">
        <v>2955.5</v>
      </c>
      <c r="H843">
        <v>15200</v>
      </c>
    </row>
    <row r="844" spans="2:8">
      <c r="B844" t="s">
        <v>443</v>
      </c>
      <c r="C844" t="s">
        <v>343</v>
      </c>
      <c r="D844">
        <v>2955.5</v>
      </c>
      <c r="E844">
        <v>2955.5</v>
      </c>
      <c r="F844">
        <v>2955</v>
      </c>
      <c r="G844">
        <v>2955</v>
      </c>
      <c r="H844">
        <v>2200</v>
      </c>
    </row>
    <row r="845" spans="2:8">
      <c r="B845" t="s">
        <v>443</v>
      </c>
      <c r="C845" t="s">
        <v>344</v>
      </c>
      <c r="D845">
        <v>2955.5</v>
      </c>
      <c r="E845">
        <v>2958</v>
      </c>
      <c r="F845">
        <v>2955.5</v>
      </c>
      <c r="G845">
        <v>2958</v>
      </c>
      <c r="H845">
        <v>7400</v>
      </c>
    </row>
    <row r="846" spans="2:8">
      <c r="B846" t="s">
        <v>443</v>
      </c>
      <c r="C846" t="s">
        <v>345</v>
      </c>
      <c r="D846">
        <v>2958</v>
      </c>
      <c r="E846">
        <v>2958</v>
      </c>
      <c r="F846">
        <v>2956.5</v>
      </c>
      <c r="G846">
        <v>2957</v>
      </c>
      <c r="H846">
        <v>13000</v>
      </c>
    </row>
    <row r="847" spans="2:8">
      <c r="B847" t="s">
        <v>443</v>
      </c>
      <c r="C847" t="s">
        <v>346</v>
      </c>
      <c r="D847">
        <v>2957.5</v>
      </c>
      <c r="E847">
        <v>2958.5</v>
      </c>
      <c r="F847">
        <v>2957.5</v>
      </c>
      <c r="G847">
        <v>2957.5</v>
      </c>
      <c r="H847">
        <v>11500</v>
      </c>
    </row>
    <row r="848" spans="2:8">
      <c r="B848" t="s">
        <v>443</v>
      </c>
      <c r="C848" t="s">
        <v>347</v>
      </c>
      <c r="D848">
        <v>2958</v>
      </c>
      <c r="E848">
        <v>2959</v>
      </c>
      <c r="F848">
        <v>2958</v>
      </c>
      <c r="G848">
        <v>2958</v>
      </c>
      <c r="H848">
        <v>7600</v>
      </c>
    </row>
    <row r="849" spans="2:8">
      <c r="B849" t="s">
        <v>443</v>
      </c>
      <c r="C849" t="s">
        <v>348</v>
      </c>
      <c r="D849">
        <v>2958</v>
      </c>
      <c r="E849">
        <v>2958.5</v>
      </c>
      <c r="F849">
        <v>2958</v>
      </c>
      <c r="G849">
        <v>2958.5</v>
      </c>
      <c r="H849">
        <v>8000</v>
      </c>
    </row>
    <row r="850" spans="2:8">
      <c r="B850" t="s">
        <v>443</v>
      </c>
      <c r="C850" t="s">
        <v>349</v>
      </c>
      <c r="D850">
        <v>2958</v>
      </c>
      <c r="E850">
        <v>2958</v>
      </c>
      <c r="F850">
        <v>2958</v>
      </c>
      <c r="G850">
        <v>2958</v>
      </c>
      <c r="H850">
        <v>5600</v>
      </c>
    </row>
    <row r="851" spans="2:8">
      <c r="B851" t="s">
        <v>443</v>
      </c>
      <c r="C851" t="s">
        <v>350</v>
      </c>
      <c r="D851">
        <v>2958.5</v>
      </c>
      <c r="E851">
        <v>2960</v>
      </c>
      <c r="F851">
        <v>2958</v>
      </c>
      <c r="G851">
        <v>2958.5</v>
      </c>
      <c r="H851">
        <v>11200</v>
      </c>
    </row>
    <row r="852" spans="2:8">
      <c r="B852" t="s">
        <v>443</v>
      </c>
      <c r="C852" t="s">
        <v>351</v>
      </c>
      <c r="D852">
        <v>2960</v>
      </c>
      <c r="E852">
        <v>2960</v>
      </c>
      <c r="F852">
        <v>2959</v>
      </c>
      <c r="G852">
        <v>2960</v>
      </c>
      <c r="H852">
        <v>6800</v>
      </c>
    </row>
    <row r="853" spans="2:8">
      <c r="B853" t="s">
        <v>443</v>
      </c>
      <c r="C853" t="s">
        <v>352</v>
      </c>
      <c r="D853">
        <v>2960</v>
      </c>
      <c r="E853">
        <v>2961.5</v>
      </c>
      <c r="F853">
        <v>2960</v>
      </c>
      <c r="G853">
        <v>2960.5</v>
      </c>
      <c r="H853">
        <v>9900</v>
      </c>
    </row>
    <row r="854" spans="2:8">
      <c r="B854" t="s">
        <v>443</v>
      </c>
      <c r="C854" t="s">
        <v>353</v>
      </c>
      <c r="D854">
        <v>2960.5</v>
      </c>
      <c r="E854">
        <v>2961.5</v>
      </c>
      <c r="F854">
        <v>2960.5</v>
      </c>
      <c r="G854">
        <v>2961</v>
      </c>
      <c r="H854">
        <v>5500</v>
      </c>
    </row>
    <row r="855" spans="2:8">
      <c r="B855" t="s">
        <v>443</v>
      </c>
      <c r="C855" t="s">
        <v>354</v>
      </c>
      <c r="D855">
        <v>2961</v>
      </c>
      <c r="E855">
        <v>2961</v>
      </c>
      <c r="F855">
        <v>2960</v>
      </c>
      <c r="G855">
        <v>2961</v>
      </c>
      <c r="H855">
        <v>9600</v>
      </c>
    </row>
    <row r="856" spans="2:8">
      <c r="B856" t="s">
        <v>443</v>
      </c>
      <c r="C856" t="s">
        <v>355</v>
      </c>
      <c r="D856">
        <v>2960.5</v>
      </c>
      <c r="E856">
        <v>2963</v>
      </c>
      <c r="F856">
        <v>2960</v>
      </c>
      <c r="G856">
        <v>2963</v>
      </c>
      <c r="H856">
        <v>10600</v>
      </c>
    </row>
    <row r="857" spans="2:8">
      <c r="B857" t="s">
        <v>443</v>
      </c>
      <c r="C857" t="s">
        <v>356</v>
      </c>
      <c r="D857">
        <v>2963</v>
      </c>
      <c r="E857">
        <v>2963.5</v>
      </c>
      <c r="F857">
        <v>2963</v>
      </c>
      <c r="G857">
        <v>2963</v>
      </c>
      <c r="H857">
        <v>6100</v>
      </c>
    </row>
    <row r="858" spans="2:8">
      <c r="B858" t="s">
        <v>443</v>
      </c>
      <c r="C858" t="s">
        <v>357</v>
      </c>
      <c r="D858">
        <v>2963.5</v>
      </c>
      <c r="E858">
        <v>2963.5</v>
      </c>
      <c r="F858">
        <v>2963</v>
      </c>
      <c r="G858">
        <v>2963.5</v>
      </c>
      <c r="H858">
        <v>4500</v>
      </c>
    </row>
    <row r="859" spans="2:8">
      <c r="B859" t="s">
        <v>443</v>
      </c>
      <c r="C859" t="s">
        <v>358</v>
      </c>
      <c r="D859">
        <v>2964</v>
      </c>
      <c r="E859">
        <v>2964.5</v>
      </c>
      <c r="F859">
        <v>2964</v>
      </c>
      <c r="G859">
        <v>2964.5</v>
      </c>
      <c r="H859">
        <v>11100</v>
      </c>
    </row>
    <row r="860" spans="2:8">
      <c r="B860" t="s">
        <v>443</v>
      </c>
      <c r="C860" t="s">
        <v>359</v>
      </c>
      <c r="D860">
        <v>2964.5</v>
      </c>
      <c r="E860">
        <v>2964.5</v>
      </c>
      <c r="F860">
        <v>2963.5</v>
      </c>
      <c r="G860">
        <v>2964.5</v>
      </c>
      <c r="H860">
        <v>9100</v>
      </c>
    </row>
    <row r="861" spans="2:8">
      <c r="B861" t="s">
        <v>443</v>
      </c>
      <c r="C861" t="s">
        <v>360</v>
      </c>
      <c r="D861">
        <v>2963.5</v>
      </c>
      <c r="E861">
        <v>2964.5</v>
      </c>
      <c r="F861">
        <v>2962</v>
      </c>
      <c r="G861">
        <v>2963</v>
      </c>
      <c r="H861">
        <v>33300</v>
      </c>
    </row>
    <row r="862" spans="2:8">
      <c r="B862" t="s">
        <v>443</v>
      </c>
      <c r="C862" t="s">
        <v>361</v>
      </c>
      <c r="D862">
        <v>2964</v>
      </c>
      <c r="E862">
        <v>2965</v>
      </c>
      <c r="F862">
        <v>2963.5</v>
      </c>
      <c r="G862">
        <v>2964</v>
      </c>
      <c r="H862">
        <v>17200</v>
      </c>
    </row>
    <row r="863" spans="2:8">
      <c r="B863" t="s">
        <v>443</v>
      </c>
      <c r="C863" t="s">
        <v>362</v>
      </c>
      <c r="D863">
        <v>2964</v>
      </c>
      <c r="E863">
        <v>2965</v>
      </c>
      <c r="F863">
        <v>2963</v>
      </c>
      <c r="G863">
        <v>2963</v>
      </c>
      <c r="H863">
        <v>8400</v>
      </c>
    </row>
    <row r="864" spans="2:8">
      <c r="B864" t="s">
        <v>443</v>
      </c>
      <c r="C864" t="s">
        <v>363</v>
      </c>
      <c r="D864">
        <v>2963.5</v>
      </c>
      <c r="E864">
        <v>2964</v>
      </c>
      <c r="F864">
        <v>2963</v>
      </c>
      <c r="G864">
        <v>2963</v>
      </c>
      <c r="H864">
        <v>14600</v>
      </c>
    </row>
    <row r="865" spans="2:8">
      <c r="B865" t="s">
        <v>443</v>
      </c>
      <c r="C865" t="s">
        <v>364</v>
      </c>
      <c r="D865">
        <v>2963</v>
      </c>
      <c r="E865">
        <v>2963.5</v>
      </c>
      <c r="F865">
        <v>2963</v>
      </c>
      <c r="G865">
        <v>2963.5</v>
      </c>
      <c r="H865">
        <v>3500</v>
      </c>
    </row>
    <row r="866" spans="2:8">
      <c r="B866" t="s">
        <v>443</v>
      </c>
      <c r="C866" t="s">
        <v>365</v>
      </c>
      <c r="D866">
        <v>2963.5</v>
      </c>
      <c r="E866">
        <v>2963.5</v>
      </c>
      <c r="F866">
        <v>2961.5</v>
      </c>
      <c r="G866">
        <v>2961.5</v>
      </c>
      <c r="H866">
        <v>12500</v>
      </c>
    </row>
    <row r="867" spans="2:8">
      <c r="B867" t="s">
        <v>443</v>
      </c>
      <c r="C867" t="s">
        <v>366</v>
      </c>
      <c r="D867">
        <v>2961.5</v>
      </c>
      <c r="E867">
        <v>2961.5</v>
      </c>
      <c r="F867">
        <v>2961.5</v>
      </c>
      <c r="G867">
        <v>2961.5</v>
      </c>
      <c r="H867">
        <v>4200</v>
      </c>
    </row>
    <row r="868" spans="2:8">
      <c r="B868" t="s">
        <v>443</v>
      </c>
      <c r="C868" t="s">
        <v>367</v>
      </c>
      <c r="D868">
        <v>2961.5</v>
      </c>
      <c r="E868">
        <v>2962.5</v>
      </c>
      <c r="F868">
        <v>2961.5</v>
      </c>
      <c r="G868">
        <v>2962.5</v>
      </c>
      <c r="H868">
        <v>5400</v>
      </c>
    </row>
    <row r="869" spans="2:8">
      <c r="B869" t="s">
        <v>443</v>
      </c>
      <c r="C869" t="s">
        <v>368</v>
      </c>
      <c r="D869">
        <v>2963</v>
      </c>
      <c r="E869">
        <v>2963.5</v>
      </c>
      <c r="F869">
        <v>2963</v>
      </c>
      <c r="G869">
        <v>2963</v>
      </c>
      <c r="H869">
        <v>9400</v>
      </c>
    </row>
    <row r="870" spans="2:8">
      <c r="B870" t="s">
        <v>443</v>
      </c>
      <c r="C870" t="s">
        <v>369</v>
      </c>
      <c r="D870">
        <v>2963</v>
      </c>
      <c r="E870">
        <v>2963.5</v>
      </c>
      <c r="F870">
        <v>2963</v>
      </c>
      <c r="G870">
        <v>2963</v>
      </c>
      <c r="H870">
        <v>2100</v>
      </c>
    </row>
    <row r="871" spans="2:8">
      <c r="B871" t="s">
        <v>443</v>
      </c>
      <c r="C871" t="s">
        <v>370</v>
      </c>
      <c r="D871">
        <v>2963</v>
      </c>
      <c r="E871">
        <v>2964</v>
      </c>
      <c r="F871">
        <v>2963</v>
      </c>
      <c r="G871">
        <v>2964</v>
      </c>
      <c r="H871">
        <v>3800</v>
      </c>
    </row>
    <row r="872" spans="2:8">
      <c r="B872" t="s">
        <v>443</v>
      </c>
      <c r="C872" t="s">
        <v>371</v>
      </c>
      <c r="D872">
        <v>2964.5</v>
      </c>
      <c r="E872">
        <v>2965</v>
      </c>
      <c r="F872">
        <v>2963.5</v>
      </c>
      <c r="G872">
        <v>2963.5</v>
      </c>
      <c r="H872">
        <v>11300</v>
      </c>
    </row>
    <row r="873" spans="2:8">
      <c r="B873" t="s">
        <v>443</v>
      </c>
      <c r="C873" t="s">
        <v>372</v>
      </c>
      <c r="D873">
        <v>2963.5</v>
      </c>
      <c r="E873">
        <v>2964</v>
      </c>
      <c r="F873">
        <v>2963</v>
      </c>
      <c r="G873">
        <v>2964</v>
      </c>
      <c r="H873">
        <v>2600</v>
      </c>
    </row>
    <row r="874" spans="2:8">
      <c r="B874" t="s">
        <v>443</v>
      </c>
      <c r="C874" t="s">
        <v>373</v>
      </c>
      <c r="D874">
        <v>2964</v>
      </c>
      <c r="E874">
        <v>2964.5</v>
      </c>
      <c r="F874">
        <v>2964</v>
      </c>
      <c r="G874">
        <v>2964.5</v>
      </c>
      <c r="H874">
        <v>2800</v>
      </c>
    </row>
    <row r="875" spans="2:8">
      <c r="B875" t="s">
        <v>443</v>
      </c>
      <c r="C875" t="s">
        <v>374</v>
      </c>
      <c r="D875">
        <v>2964.5</v>
      </c>
      <c r="E875">
        <v>2965</v>
      </c>
      <c r="F875">
        <v>2963.5</v>
      </c>
      <c r="G875">
        <v>2963.5</v>
      </c>
      <c r="H875">
        <v>10300</v>
      </c>
    </row>
    <row r="876" spans="2:8">
      <c r="B876" t="s">
        <v>443</v>
      </c>
      <c r="C876" t="s">
        <v>375</v>
      </c>
      <c r="D876">
        <v>2964.5</v>
      </c>
      <c r="E876">
        <v>2965</v>
      </c>
      <c r="F876">
        <v>2964</v>
      </c>
      <c r="G876">
        <v>2964.5</v>
      </c>
      <c r="H876">
        <v>11300</v>
      </c>
    </row>
    <row r="877" spans="2:8">
      <c r="B877" t="s">
        <v>443</v>
      </c>
      <c r="C877" t="s">
        <v>376</v>
      </c>
      <c r="D877">
        <v>2964</v>
      </c>
      <c r="E877">
        <v>2964.5</v>
      </c>
      <c r="F877">
        <v>2964</v>
      </c>
      <c r="G877">
        <v>2964</v>
      </c>
      <c r="H877">
        <v>2500</v>
      </c>
    </row>
    <row r="878" spans="2:8">
      <c r="B878" t="s">
        <v>443</v>
      </c>
      <c r="C878" t="s">
        <v>377</v>
      </c>
      <c r="D878">
        <v>2964.5</v>
      </c>
      <c r="E878">
        <v>2964.5</v>
      </c>
      <c r="F878">
        <v>2963</v>
      </c>
      <c r="G878">
        <v>2963</v>
      </c>
      <c r="H878">
        <v>9500</v>
      </c>
    </row>
    <row r="879" spans="2:8">
      <c r="B879" t="s">
        <v>443</v>
      </c>
      <c r="C879" t="s">
        <v>378</v>
      </c>
      <c r="D879">
        <v>2963.5</v>
      </c>
      <c r="E879">
        <v>2963.5</v>
      </c>
      <c r="F879">
        <v>2963</v>
      </c>
      <c r="G879">
        <v>2963</v>
      </c>
      <c r="H879">
        <v>1300</v>
      </c>
    </row>
    <row r="880" spans="2:8">
      <c r="B880" t="s">
        <v>443</v>
      </c>
      <c r="C880" t="s">
        <v>379</v>
      </c>
      <c r="D880">
        <v>2963</v>
      </c>
      <c r="E880">
        <v>2963.5</v>
      </c>
      <c r="F880">
        <v>2962</v>
      </c>
      <c r="G880">
        <v>2962.5</v>
      </c>
      <c r="H880">
        <v>23200</v>
      </c>
    </row>
    <row r="881" spans="2:8">
      <c r="B881" t="s">
        <v>443</v>
      </c>
      <c r="C881" t="s">
        <v>380</v>
      </c>
      <c r="D881">
        <v>2963</v>
      </c>
      <c r="E881">
        <v>2963.5</v>
      </c>
      <c r="F881">
        <v>2962.5</v>
      </c>
      <c r="G881">
        <v>2963</v>
      </c>
      <c r="H881">
        <v>3100</v>
      </c>
    </row>
    <row r="882" spans="2:8">
      <c r="B882" t="s">
        <v>443</v>
      </c>
      <c r="C882" t="s">
        <v>381</v>
      </c>
      <c r="D882">
        <v>2963</v>
      </c>
      <c r="E882">
        <v>2963.5</v>
      </c>
      <c r="F882">
        <v>2962.5</v>
      </c>
      <c r="G882">
        <v>2963</v>
      </c>
      <c r="H882">
        <v>10700</v>
      </c>
    </row>
    <row r="883" spans="2:8">
      <c r="B883" t="s">
        <v>443</v>
      </c>
      <c r="C883" t="s">
        <v>382</v>
      </c>
      <c r="D883">
        <v>2963.5</v>
      </c>
      <c r="E883">
        <v>2963.5</v>
      </c>
      <c r="F883">
        <v>2963.5</v>
      </c>
      <c r="G883">
        <v>2963.5</v>
      </c>
      <c r="H883">
        <v>900</v>
      </c>
    </row>
    <row r="884" spans="2:8">
      <c r="B884" t="s">
        <v>443</v>
      </c>
      <c r="C884" t="s">
        <v>383</v>
      </c>
      <c r="D884">
        <v>2964</v>
      </c>
      <c r="E884">
        <v>2964</v>
      </c>
      <c r="F884">
        <v>2963.5</v>
      </c>
      <c r="G884">
        <v>2963.5</v>
      </c>
      <c r="H884">
        <v>10800</v>
      </c>
    </row>
    <row r="885" spans="2:8">
      <c r="B885" t="s">
        <v>443</v>
      </c>
      <c r="C885" t="s">
        <v>384</v>
      </c>
      <c r="D885">
        <v>2963.5</v>
      </c>
      <c r="E885">
        <v>2963.5</v>
      </c>
      <c r="F885">
        <v>2962.5</v>
      </c>
      <c r="G885">
        <v>2962.5</v>
      </c>
      <c r="H885">
        <v>9300</v>
      </c>
    </row>
    <row r="886" spans="2:8">
      <c r="B886" t="s">
        <v>443</v>
      </c>
      <c r="C886" t="s">
        <v>385</v>
      </c>
      <c r="D886">
        <v>2962</v>
      </c>
      <c r="E886">
        <v>2962.5</v>
      </c>
      <c r="F886">
        <v>2962</v>
      </c>
      <c r="G886">
        <v>2962</v>
      </c>
      <c r="H886">
        <v>2500</v>
      </c>
    </row>
    <row r="887" spans="2:8">
      <c r="B887" t="s">
        <v>443</v>
      </c>
      <c r="C887" t="s">
        <v>386</v>
      </c>
      <c r="D887">
        <v>2962.5</v>
      </c>
      <c r="E887">
        <v>2962.5</v>
      </c>
      <c r="F887">
        <v>2961.5</v>
      </c>
      <c r="G887">
        <v>2962.5</v>
      </c>
      <c r="H887">
        <v>8200</v>
      </c>
    </row>
    <row r="888" spans="2:8">
      <c r="B888" t="s">
        <v>443</v>
      </c>
      <c r="C888" t="s">
        <v>387</v>
      </c>
      <c r="D888">
        <v>2962</v>
      </c>
      <c r="E888">
        <v>2962.5</v>
      </c>
      <c r="F888">
        <v>2962</v>
      </c>
      <c r="G888">
        <v>2962</v>
      </c>
      <c r="H888">
        <v>2400</v>
      </c>
    </row>
    <row r="889" spans="2:8">
      <c r="B889" t="s">
        <v>443</v>
      </c>
      <c r="C889" t="s">
        <v>388</v>
      </c>
      <c r="D889">
        <v>2963</v>
      </c>
      <c r="E889">
        <v>2963</v>
      </c>
      <c r="F889">
        <v>2962.5</v>
      </c>
      <c r="G889">
        <v>2962.5</v>
      </c>
      <c r="H889">
        <v>1800</v>
      </c>
    </row>
    <row r="890" spans="2:8">
      <c r="B890" t="s">
        <v>443</v>
      </c>
      <c r="C890" t="s">
        <v>389</v>
      </c>
      <c r="D890">
        <v>2962.5</v>
      </c>
      <c r="E890">
        <v>2962.5</v>
      </c>
      <c r="F890">
        <v>2961</v>
      </c>
      <c r="G890">
        <v>2961.5</v>
      </c>
      <c r="H890">
        <v>18900</v>
      </c>
    </row>
    <row r="891" spans="2:8">
      <c r="B891" t="s">
        <v>443</v>
      </c>
      <c r="C891" t="s">
        <v>390</v>
      </c>
      <c r="D891">
        <v>2961.5</v>
      </c>
      <c r="E891">
        <v>2962</v>
      </c>
      <c r="F891">
        <v>2961.5</v>
      </c>
      <c r="G891">
        <v>2961.5</v>
      </c>
      <c r="H891">
        <v>2600</v>
      </c>
    </row>
    <row r="892" spans="2:8">
      <c r="B892" t="s">
        <v>443</v>
      </c>
      <c r="C892" t="s">
        <v>391</v>
      </c>
      <c r="D892">
        <v>2961.5</v>
      </c>
      <c r="E892">
        <v>2963</v>
      </c>
      <c r="F892">
        <v>2961.5</v>
      </c>
      <c r="G892">
        <v>2962</v>
      </c>
      <c r="H892">
        <v>7900</v>
      </c>
    </row>
    <row r="893" spans="2:8">
      <c r="B893" t="s">
        <v>443</v>
      </c>
      <c r="C893" t="s">
        <v>392</v>
      </c>
      <c r="D893">
        <v>2962.5</v>
      </c>
      <c r="E893">
        <v>2962.5</v>
      </c>
      <c r="F893">
        <v>2962.5</v>
      </c>
      <c r="G893">
        <v>2962.5</v>
      </c>
      <c r="H893">
        <v>4300</v>
      </c>
    </row>
    <row r="894" spans="2:8">
      <c r="B894" t="s">
        <v>443</v>
      </c>
      <c r="C894" t="s">
        <v>393</v>
      </c>
      <c r="D894">
        <v>2962.5</v>
      </c>
      <c r="E894">
        <v>2962.5</v>
      </c>
      <c r="F894">
        <v>2962</v>
      </c>
      <c r="G894">
        <v>2962.5</v>
      </c>
      <c r="H894">
        <v>8500</v>
      </c>
    </row>
    <row r="895" spans="2:8">
      <c r="B895" t="s">
        <v>443</v>
      </c>
      <c r="C895" t="s">
        <v>394</v>
      </c>
      <c r="D895">
        <v>2962</v>
      </c>
      <c r="E895">
        <v>2963</v>
      </c>
      <c r="F895">
        <v>2962</v>
      </c>
      <c r="G895">
        <v>2962.5</v>
      </c>
      <c r="H895">
        <v>7300</v>
      </c>
    </row>
    <row r="896" spans="2:8">
      <c r="B896" t="s">
        <v>443</v>
      </c>
      <c r="C896" t="s">
        <v>395</v>
      </c>
      <c r="D896">
        <v>2962.5</v>
      </c>
      <c r="E896">
        <v>2962.5</v>
      </c>
      <c r="F896">
        <v>2962.5</v>
      </c>
      <c r="G896">
        <v>2962.5</v>
      </c>
      <c r="H896">
        <v>1900</v>
      </c>
    </row>
    <row r="897" spans="2:8">
      <c r="B897" t="s">
        <v>443</v>
      </c>
      <c r="C897" t="s">
        <v>396</v>
      </c>
      <c r="D897">
        <v>2962.5</v>
      </c>
      <c r="E897">
        <v>2963.5</v>
      </c>
      <c r="F897">
        <v>2962.5</v>
      </c>
      <c r="G897">
        <v>2963.5</v>
      </c>
      <c r="H897">
        <v>5300</v>
      </c>
    </row>
    <row r="898" spans="2:8">
      <c r="B898" t="s">
        <v>443</v>
      </c>
      <c r="C898" t="s">
        <v>397</v>
      </c>
      <c r="D898">
        <v>2963</v>
      </c>
      <c r="E898">
        <v>2963</v>
      </c>
      <c r="F898">
        <v>2962.5</v>
      </c>
      <c r="G898">
        <v>2962.5</v>
      </c>
      <c r="H898">
        <v>8900</v>
      </c>
    </row>
    <row r="899" spans="2:8">
      <c r="B899" t="s">
        <v>443</v>
      </c>
      <c r="C899" t="s">
        <v>398</v>
      </c>
      <c r="D899">
        <v>2962.5</v>
      </c>
      <c r="E899">
        <v>2962.5</v>
      </c>
      <c r="F899">
        <v>2961.5</v>
      </c>
      <c r="G899">
        <v>2961.5</v>
      </c>
      <c r="H899">
        <v>7800</v>
      </c>
    </row>
    <row r="900" spans="2:8">
      <c r="B900" t="s">
        <v>443</v>
      </c>
      <c r="C900" t="s">
        <v>399</v>
      </c>
      <c r="D900">
        <v>2962</v>
      </c>
      <c r="E900">
        <v>2962</v>
      </c>
      <c r="F900">
        <v>2961.5</v>
      </c>
      <c r="G900">
        <v>2962</v>
      </c>
      <c r="H900">
        <v>2300</v>
      </c>
    </row>
    <row r="901" spans="2:8">
      <c r="B901" t="s">
        <v>443</v>
      </c>
      <c r="C901" t="s">
        <v>400</v>
      </c>
      <c r="D901">
        <v>2962</v>
      </c>
      <c r="E901">
        <v>2962.5</v>
      </c>
      <c r="F901">
        <v>2962</v>
      </c>
      <c r="G901">
        <v>2962.5</v>
      </c>
      <c r="H901">
        <v>4700</v>
      </c>
    </row>
    <row r="902" spans="2:8">
      <c r="B902" t="s">
        <v>443</v>
      </c>
      <c r="C902" t="s">
        <v>401</v>
      </c>
      <c r="D902">
        <v>2962</v>
      </c>
      <c r="E902">
        <v>2962</v>
      </c>
      <c r="F902">
        <v>2961.5</v>
      </c>
      <c r="G902">
        <v>2962</v>
      </c>
      <c r="H902">
        <v>13700</v>
      </c>
    </row>
    <row r="903" spans="2:8">
      <c r="B903" t="s">
        <v>443</v>
      </c>
      <c r="C903" t="s">
        <v>402</v>
      </c>
      <c r="D903">
        <v>2962</v>
      </c>
      <c r="E903">
        <v>2962</v>
      </c>
      <c r="F903">
        <v>2961.5</v>
      </c>
      <c r="G903">
        <v>2962</v>
      </c>
      <c r="H903">
        <v>1500</v>
      </c>
    </row>
    <row r="904" spans="2:8">
      <c r="B904" t="s">
        <v>443</v>
      </c>
      <c r="C904" t="s">
        <v>403</v>
      </c>
      <c r="D904">
        <v>2962</v>
      </c>
      <c r="E904">
        <v>2962.5</v>
      </c>
      <c r="F904">
        <v>2962</v>
      </c>
      <c r="G904">
        <v>2962</v>
      </c>
      <c r="H904">
        <v>3200</v>
      </c>
    </row>
    <row r="905" spans="2:8">
      <c r="B905" t="s">
        <v>443</v>
      </c>
      <c r="C905" t="s">
        <v>404</v>
      </c>
      <c r="D905">
        <v>2962</v>
      </c>
      <c r="E905">
        <v>2962</v>
      </c>
      <c r="F905">
        <v>2961</v>
      </c>
      <c r="G905">
        <v>2961.5</v>
      </c>
      <c r="H905">
        <v>12800</v>
      </c>
    </row>
    <row r="906" spans="2:8">
      <c r="B906" t="s">
        <v>443</v>
      </c>
      <c r="C906" t="s">
        <v>405</v>
      </c>
      <c r="D906">
        <v>2962</v>
      </c>
      <c r="E906">
        <v>2962</v>
      </c>
      <c r="F906">
        <v>2961.5</v>
      </c>
      <c r="G906">
        <v>2961.5</v>
      </c>
      <c r="H906">
        <v>5400</v>
      </c>
    </row>
    <row r="907" spans="2:8">
      <c r="B907" t="s">
        <v>443</v>
      </c>
      <c r="C907" t="s">
        <v>406</v>
      </c>
      <c r="D907">
        <v>2962</v>
      </c>
      <c r="E907">
        <v>2962.5</v>
      </c>
      <c r="F907">
        <v>2961.5</v>
      </c>
      <c r="G907">
        <v>2962</v>
      </c>
      <c r="H907">
        <v>8200</v>
      </c>
    </row>
    <row r="908" spans="2:8">
      <c r="B908" t="s">
        <v>443</v>
      </c>
      <c r="C908" t="s">
        <v>407</v>
      </c>
      <c r="D908">
        <v>2961.5</v>
      </c>
      <c r="E908">
        <v>2962.5</v>
      </c>
      <c r="F908">
        <v>2960.5</v>
      </c>
      <c r="G908">
        <v>2962</v>
      </c>
      <c r="H908">
        <v>10800</v>
      </c>
    </row>
    <row r="909" spans="2:8">
      <c r="B909" t="s">
        <v>443</v>
      </c>
      <c r="C909" t="s">
        <v>408</v>
      </c>
      <c r="D909">
        <v>2962</v>
      </c>
      <c r="E909">
        <v>2962</v>
      </c>
      <c r="F909">
        <v>2961.5</v>
      </c>
      <c r="G909">
        <v>2961.5</v>
      </c>
      <c r="H909">
        <v>6600</v>
      </c>
    </row>
    <row r="910" spans="2:8">
      <c r="B910" t="s">
        <v>443</v>
      </c>
      <c r="C910" t="s">
        <v>409</v>
      </c>
      <c r="D910">
        <v>2961.5</v>
      </c>
      <c r="E910">
        <v>2962</v>
      </c>
      <c r="F910">
        <v>2961.5</v>
      </c>
      <c r="G910">
        <v>2962</v>
      </c>
      <c r="H910">
        <v>600</v>
      </c>
    </row>
    <row r="911" spans="2:8">
      <c r="B911" t="s">
        <v>443</v>
      </c>
      <c r="C911" t="s">
        <v>410</v>
      </c>
      <c r="D911">
        <v>2962</v>
      </c>
      <c r="E911">
        <v>2962.5</v>
      </c>
      <c r="F911">
        <v>2962</v>
      </c>
      <c r="G911">
        <v>2962.5</v>
      </c>
      <c r="H911">
        <v>4800</v>
      </c>
    </row>
    <row r="912" spans="2:8">
      <c r="B912" t="s">
        <v>443</v>
      </c>
      <c r="C912" t="s">
        <v>411</v>
      </c>
      <c r="D912">
        <v>2962</v>
      </c>
      <c r="E912">
        <v>2962.5</v>
      </c>
      <c r="F912">
        <v>2961.5</v>
      </c>
      <c r="G912">
        <v>2962</v>
      </c>
      <c r="H912">
        <v>8300</v>
      </c>
    </row>
    <row r="913" spans="2:8">
      <c r="B913" t="s">
        <v>443</v>
      </c>
      <c r="C913" t="s">
        <v>412</v>
      </c>
      <c r="D913">
        <v>2962.5</v>
      </c>
      <c r="E913">
        <v>2962.5</v>
      </c>
      <c r="F913">
        <v>2961.5</v>
      </c>
      <c r="G913">
        <v>2961.5</v>
      </c>
      <c r="H913">
        <v>11000</v>
      </c>
    </row>
    <row r="914" spans="2:8">
      <c r="B914" t="s">
        <v>443</v>
      </c>
      <c r="C914" t="s">
        <v>413</v>
      </c>
      <c r="D914">
        <v>2962</v>
      </c>
      <c r="E914">
        <v>2962.5</v>
      </c>
      <c r="F914">
        <v>2961.5</v>
      </c>
      <c r="G914">
        <v>2961.5</v>
      </c>
      <c r="H914">
        <v>13800</v>
      </c>
    </row>
    <row r="915" spans="2:8">
      <c r="B915" t="s">
        <v>443</v>
      </c>
      <c r="C915" t="s">
        <v>414</v>
      </c>
      <c r="D915">
        <v>2962</v>
      </c>
      <c r="E915">
        <v>2962</v>
      </c>
      <c r="F915">
        <v>2961.5</v>
      </c>
      <c r="G915">
        <v>2961.5</v>
      </c>
      <c r="H915">
        <v>6500</v>
      </c>
    </row>
    <row r="916" spans="2:8">
      <c r="B916" t="s">
        <v>443</v>
      </c>
      <c r="C916" t="s">
        <v>415</v>
      </c>
      <c r="D916">
        <v>2961</v>
      </c>
      <c r="E916">
        <v>2961</v>
      </c>
      <c r="F916">
        <v>2960.5</v>
      </c>
      <c r="G916">
        <v>2960.5</v>
      </c>
      <c r="H916">
        <v>5500</v>
      </c>
    </row>
    <row r="917" spans="2:8">
      <c r="B917" t="s">
        <v>443</v>
      </c>
      <c r="C917" t="s">
        <v>416</v>
      </c>
      <c r="D917">
        <v>2960</v>
      </c>
      <c r="E917">
        <v>2960.5</v>
      </c>
      <c r="F917">
        <v>2959.5</v>
      </c>
      <c r="G917">
        <v>2960.5</v>
      </c>
      <c r="H917">
        <v>11200</v>
      </c>
    </row>
    <row r="918" spans="2:8">
      <c r="B918" t="s">
        <v>443</v>
      </c>
      <c r="C918" t="s">
        <v>417</v>
      </c>
      <c r="D918">
        <v>2960.5</v>
      </c>
      <c r="E918">
        <v>2960.5</v>
      </c>
      <c r="F918">
        <v>2958</v>
      </c>
      <c r="G918">
        <v>2958</v>
      </c>
      <c r="H918">
        <v>13800</v>
      </c>
    </row>
    <row r="919" spans="2:8">
      <c r="B919" t="s">
        <v>443</v>
      </c>
      <c r="C919" t="s">
        <v>418</v>
      </c>
      <c r="D919">
        <v>2958.5</v>
      </c>
      <c r="E919">
        <v>2958.5</v>
      </c>
      <c r="F919">
        <v>2956</v>
      </c>
      <c r="G919">
        <v>2957.5</v>
      </c>
      <c r="H919">
        <v>36800</v>
      </c>
    </row>
    <row r="920" spans="2:8">
      <c r="B920" t="s">
        <v>443</v>
      </c>
      <c r="C920" t="s">
        <v>419</v>
      </c>
      <c r="D920">
        <v>2957.5</v>
      </c>
      <c r="E920">
        <v>2958.5</v>
      </c>
      <c r="F920">
        <v>2956</v>
      </c>
      <c r="G920">
        <v>2957.5</v>
      </c>
      <c r="H920">
        <v>29100</v>
      </c>
    </row>
    <row r="921" spans="2:8">
      <c r="B921" t="s">
        <v>443</v>
      </c>
      <c r="C921" t="s">
        <v>420</v>
      </c>
      <c r="D921">
        <v>2957.5</v>
      </c>
      <c r="E921">
        <v>2958</v>
      </c>
      <c r="F921">
        <v>2957</v>
      </c>
      <c r="G921">
        <v>2958</v>
      </c>
      <c r="H921">
        <v>3800</v>
      </c>
    </row>
    <row r="922" spans="2:8">
      <c r="B922" t="s">
        <v>443</v>
      </c>
      <c r="C922" t="s">
        <v>421</v>
      </c>
      <c r="D922">
        <v>2958.5</v>
      </c>
      <c r="E922">
        <v>2959</v>
      </c>
      <c r="F922">
        <v>2957</v>
      </c>
      <c r="G922">
        <v>2957</v>
      </c>
      <c r="H922">
        <v>10800</v>
      </c>
    </row>
    <row r="923" spans="2:8">
      <c r="B923" t="s">
        <v>443</v>
      </c>
      <c r="C923" t="s">
        <v>422</v>
      </c>
      <c r="D923">
        <v>2958</v>
      </c>
      <c r="E923">
        <v>2958.5</v>
      </c>
      <c r="F923">
        <v>2958</v>
      </c>
      <c r="G923">
        <v>2958</v>
      </c>
      <c r="H923">
        <v>5100</v>
      </c>
    </row>
    <row r="924" spans="2:8">
      <c r="B924" t="s">
        <v>443</v>
      </c>
      <c r="C924" t="s">
        <v>423</v>
      </c>
      <c r="D924">
        <v>2958</v>
      </c>
      <c r="E924">
        <v>2958.5</v>
      </c>
      <c r="F924">
        <v>2958</v>
      </c>
      <c r="G924">
        <v>2958.5</v>
      </c>
      <c r="H924">
        <v>1000</v>
      </c>
    </row>
    <row r="925" spans="2:8">
      <c r="B925" t="s">
        <v>443</v>
      </c>
      <c r="C925" t="s">
        <v>424</v>
      </c>
      <c r="D925">
        <v>2958</v>
      </c>
      <c r="E925">
        <v>2958.5</v>
      </c>
      <c r="F925">
        <v>2956</v>
      </c>
      <c r="G925">
        <v>2957.5</v>
      </c>
      <c r="H925">
        <v>24300</v>
      </c>
    </row>
    <row r="926" spans="2:8">
      <c r="B926" t="s">
        <v>443</v>
      </c>
      <c r="C926" t="s">
        <v>425</v>
      </c>
      <c r="D926">
        <v>2957.5</v>
      </c>
      <c r="E926">
        <v>2957.5</v>
      </c>
      <c r="F926">
        <v>2957.5</v>
      </c>
      <c r="G926">
        <v>2957.5</v>
      </c>
      <c r="H926">
        <v>1300</v>
      </c>
    </row>
    <row r="927" spans="2:8">
      <c r="B927" t="s">
        <v>443</v>
      </c>
      <c r="C927" t="s">
        <v>426</v>
      </c>
      <c r="D927">
        <v>2957.5</v>
      </c>
      <c r="E927">
        <v>2957.5</v>
      </c>
      <c r="F927">
        <v>2956.5</v>
      </c>
      <c r="G927">
        <v>2957.5</v>
      </c>
      <c r="H927">
        <v>9900</v>
      </c>
    </row>
    <row r="928" spans="2:8">
      <c r="B928" t="s">
        <v>443</v>
      </c>
      <c r="C928" t="s">
        <v>427</v>
      </c>
      <c r="D928">
        <v>2958</v>
      </c>
      <c r="E928">
        <v>2958</v>
      </c>
      <c r="F928">
        <v>2956.5</v>
      </c>
      <c r="G928">
        <v>2956.5</v>
      </c>
      <c r="H928">
        <v>10300</v>
      </c>
    </row>
    <row r="929" spans="2:8">
      <c r="B929" t="s">
        <v>443</v>
      </c>
      <c r="C929" t="s">
        <v>428</v>
      </c>
      <c r="D929">
        <v>2956</v>
      </c>
      <c r="E929">
        <v>2957</v>
      </c>
      <c r="F929">
        <v>2956</v>
      </c>
      <c r="G929">
        <v>2957</v>
      </c>
      <c r="H929">
        <v>7000</v>
      </c>
    </row>
    <row r="930" spans="2:8">
      <c r="B930" t="s">
        <v>443</v>
      </c>
      <c r="C930" t="s">
        <v>429</v>
      </c>
      <c r="D930">
        <v>2957.5</v>
      </c>
      <c r="E930">
        <v>2957.5</v>
      </c>
      <c r="F930">
        <v>2956.5</v>
      </c>
      <c r="G930">
        <v>2956.5</v>
      </c>
      <c r="H930">
        <v>7800</v>
      </c>
    </row>
    <row r="931" spans="2:8">
      <c r="B931" t="s">
        <v>443</v>
      </c>
      <c r="C931" t="s">
        <v>430</v>
      </c>
      <c r="D931">
        <v>2956.5</v>
      </c>
      <c r="E931">
        <v>2957</v>
      </c>
      <c r="F931">
        <v>2956.5</v>
      </c>
      <c r="G931">
        <v>2957</v>
      </c>
      <c r="H931">
        <v>2000</v>
      </c>
    </row>
    <row r="932" spans="2:8">
      <c r="B932" t="s">
        <v>443</v>
      </c>
      <c r="C932" t="s">
        <v>431</v>
      </c>
      <c r="D932">
        <v>2957</v>
      </c>
      <c r="E932">
        <v>2957.5</v>
      </c>
      <c r="F932">
        <v>2956.5</v>
      </c>
      <c r="G932">
        <v>2957</v>
      </c>
      <c r="H932">
        <v>12800</v>
      </c>
    </row>
    <row r="933" spans="2:8">
      <c r="B933" t="s">
        <v>443</v>
      </c>
      <c r="C933" t="s">
        <v>9</v>
      </c>
      <c r="D933">
        <v>2957</v>
      </c>
      <c r="E933">
        <v>2957</v>
      </c>
      <c r="F933">
        <v>2956.5</v>
      </c>
      <c r="G933">
        <v>2956.5</v>
      </c>
      <c r="H933">
        <v>5500</v>
      </c>
    </row>
    <row r="934" spans="2:8">
      <c r="B934" t="s">
        <v>443</v>
      </c>
      <c r="C934" t="s">
        <v>10</v>
      </c>
      <c r="D934">
        <v>2956.5</v>
      </c>
      <c r="E934">
        <v>2957</v>
      </c>
      <c r="F934">
        <v>2956</v>
      </c>
      <c r="G934">
        <v>2956.5</v>
      </c>
      <c r="H934">
        <v>7700</v>
      </c>
    </row>
    <row r="935" spans="2:8">
      <c r="B935" t="s">
        <v>443</v>
      </c>
      <c r="C935" t="s">
        <v>11</v>
      </c>
      <c r="D935">
        <v>2956.5</v>
      </c>
      <c r="E935">
        <v>2956.5</v>
      </c>
      <c r="F935">
        <v>2956</v>
      </c>
      <c r="G935">
        <v>2956.5</v>
      </c>
      <c r="H935">
        <v>3400</v>
      </c>
    </row>
    <row r="936" spans="2:8">
      <c r="B936" t="s">
        <v>443</v>
      </c>
      <c r="C936" t="s">
        <v>12</v>
      </c>
      <c r="D936">
        <v>2956.5</v>
      </c>
      <c r="E936">
        <v>2957</v>
      </c>
      <c r="F936">
        <v>2956</v>
      </c>
      <c r="G936">
        <v>2956.5</v>
      </c>
      <c r="H936">
        <v>6300</v>
      </c>
    </row>
    <row r="937" spans="2:8">
      <c r="B937" t="s">
        <v>443</v>
      </c>
      <c r="C937" t="s">
        <v>13</v>
      </c>
      <c r="D937">
        <v>2956.5</v>
      </c>
      <c r="E937">
        <v>2958</v>
      </c>
      <c r="F937">
        <v>2956.5</v>
      </c>
      <c r="G937">
        <v>2958</v>
      </c>
      <c r="H937">
        <v>8100</v>
      </c>
    </row>
    <row r="938" spans="2:8">
      <c r="B938" t="s">
        <v>443</v>
      </c>
      <c r="C938" t="s">
        <v>14</v>
      </c>
      <c r="D938">
        <v>2958</v>
      </c>
      <c r="E938">
        <v>2958.5</v>
      </c>
      <c r="F938">
        <v>2958</v>
      </c>
      <c r="G938">
        <v>2958.5</v>
      </c>
      <c r="H938">
        <v>6500</v>
      </c>
    </row>
    <row r="939" spans="2:8">
      <c r="B939" t="s">
        <v>443</v>
      </c>
      <c r="C939" t="s">
        <v>15</v>
      </c>
      <c r="D939">
        <v>2958.5</v>
      </c>
      <c r="E939">
        <v>2960</v>
      </c>
      <c r="F939">
        <v>2958</v>
      </c>
      <c r="G939">
        <v>2958.5</v>
      </c>
      <c r="H939">
        <v>14500</v>
      </c>
    </row>
    <row r="940" spans="2:8">
      <c r="B940" t="s">
        <v>443</v>
      </c>
      <c r="C940" t="s">
        <v>16</v>
      </c>
      <c r="D940">
        <v>2958.5</v>
      </c>
      <c r="E940">
        <v>2959</v>
      </c>
      <c r="F940">
        <v>2958.5</v>
      </c>
      <c r="G940">
        <v>2959</v>
      </c>
      <c r="H940">
        <v>4400</v>
      </c>
    </row>
    <row r="941" spans="2:8">
      <c r="B941" t="s">
        <v>443</v>
      </c>
      <c r="C941" t="s">
        <v>17</v>
      </c>
      <c r="D941">
        <v>2959.5</v>
      </c>
      <c r="E941">
        <v>2960</v>
      </c>
      <c r="F941">
        <v>2959.5</v>
      </c>
      <c r="G941">
        <v>2960</v>
      </c>
      <c r="H941">
        <v>2700</v>
      </c>
    </row>
    <row r="942" spans="2:8">
      <c r="B942" t="s">
        <v>443</v>
      </c>
      <c r="C942" t="s">
        <v>18</v>
      </c>
      <c r="D942">
        <v>2960</v>
      </c>
      <c r="E942">
        <v>2960.5</v>
      </c>
      <c r="F942">
        <v>2959.5</v>
      </c>
      <c r="G942">
        <v>2960</v>
      </c>
      <c r="H942">
        <v>8000</v>
      </c>
    </row>
    <row r="943" spans="2:8">
      <c r="B943" t="s">
        <v>443</v>
      </c>
      <c r="C943" t="s">
        <v>19</v>
      </c>
      <c r="D943">
        <v>2959.5</v>
      </c>
      <c r="E943">
        <v>2960.5</v>
      </c>
      <c r="F943">
        <v>2959.5</v>
      </c>
      <c r="G943">
        <v>2959.5</v>
      </c>
      <c r="H943">
        <v>10000</v>
      </c>
    </row>
    <row r="944" spans="2:8">
      <c r="B944" t="s">
        <v>443</v>
      </c>
      <c r="C944" t="s">
        <v>20</v>
      </c>
      <c r="D944">
        <v>2960</v>
      </c>
      <c r="E944">
        <v>2960</v>
      </c>
      <c r="F944">
        <v>2959</v>
      </c>
      <c r="G944">
        <v>2959.5</v>
      </c>
      <c r="H944">
        <v>8900</v>
      </c>
    </row>
    <row r="945" spans="2:8">
      <c r="B945" t="s">
        <v>443</v>
      </c>
      <c r="C945" t="s">
        <v>21</v>
      </c>
      <c r="D945">
        <v>2959.5</v>
      </c>
      <c r="E945">
        <v>2959.5</v>
      </c>
      <c r="F945">
        <v>2958.5</v>
      </c>
      <c r="G945">
        <v>2958.5</v>
      </c>
      <c r="H945">
        <v>11500</v>
      </c>
    </row>
    <row r="946" spans="2:8">
      <c r="B946" t="s">
        <v>443</v>
      </c>
      <c r="C946" t="s">
        <v>22</v>
      </c>
      <c r="D946">
        <v>2958.5</v>
      </c>
      <c r="E946">
        <v>2959.5</v>
      </c>
      <c r="F946">
        <v>2958</v>
      </c>
      <c r="G946">
        <v>2959.5</v>
      </c>
      <c r="H946">
        <v>8500</v>
      </c>
    </row>
    <row r="947" spans="2:8">
      <c r="B947" t="s">
        <v>443</v>
      </c>
      <c r="C947" t="s">
        <v>23</v>
      </c>
      <c r="D947">
        <v>2959.5</v>
      </c>
      <c r="E947">
        <v>2960.5</v>
      </c>
      <c r="F947">
        <v>2959</v>
      </c>
      <c r="G947">
        <v>2960.5</v>
      </c>
      <c r="H947">
        <v>3300</v>
      </c>
    </row>
    <row r="948" spans="2:8">
      <c r="B948" t="s">
        <v>443</v>
      </c>
      <c r="C948" t="s">
        <v>24</v>
      </c>
      <c r="D948">
        <v>2960</v>
      </c>
      <c r="E948">
        <v>2960.5</v>
      </c>
      <c r="F948">
        <v>2959.5</v>
      </c>
      <c r="G948">
        <v>2960.5</v>
      </c>
      <c r="H948">
        <v>6800</v>
      </c>
    </row>
    <row r="949" spans="2:8">
      <c r="B949" t="s">
        <v>443</v>
      </c>
      <c r="C949" t="s">
        <v>25</v>
      </c>
      <c r="D949">
        <v>2960.5</v>
      </c>
      <c r="E949">
        <v>2961</v>
      </c>
      <c r="F949">
        <v>2960</v>
      </c>
      <c r="G949">
        <v>2960.5</v>
      </c>
      <c r="H949">
        <v>15900</v>
      </c>
    </row>
    <row r="950" spans="2:8">
      <c r="B950" t="s">
        <v>443</v>
      </c>
      <c r="C950" t="s">
        <v>26</v>
      </c>
      <c r="D950">
        <v>2960.5</v>
      </c>
      <c r="E950">
        <v>2961</v>
      </c>
      <c r="F950">
        <v>2960</v>
      </c>
      <c r="G950">
        <v>2961</v>
      </c>
      <c r="H950">
        <v>7100</v>
      </c>
    </row>
    <row r="951" spans="2:8">
      <c r="B951" t="s">
        <v>443</v>
      </c>
      <c r="C951" t="s">
        <v>27</v>
      </c>
      <c r="D951">
        <v>2961</v>
      </c>
      <c r="E951">
        <v>2961.5</v>
      </c>
      <c r="F951">
        <v>2960.5</v>
      </c>
      <c r="G951">
        <v>2960.5</v>
      </c>
      <c r="H951">
        <v>9000</v>
      </c>
    </row>
    <row r="952" spans="2:8">
      <c r="B952" t="s">
        <v>443</v>
      </c>
      <c r="C952" t="s">
        <v>28</v>
      </c>
      <c r="D952">
        <v>2960.5</v>
      </c>
      <c r="E952">
        <v>2962</v>
      </c>
      <c r="F952">
        <v>2960</v>
      </c>
      <c r="G952">
        <v>2961</v>
      </c>
      <c r="H952">
        <v>22900</v>
      </c>
    </row>
    <row r="953" spans="2:8">
      <c r="B953" t="s">
        <v>443</v>
      </c>
      <c r="C953" t="s">
        <v>29</v>
      </c>
      <c r="D953">
        <v>2961.5</v>
      </c>
      <c r="E953">
        <v>2962.5</v>
      </c>
      <c r="F953">
        <v>2961.5</v>
      </c>
      <c r="G953">
        <v>2962</v>
      </c>
      <c r="H953">
        <v>19500</v>
      </c>
    </row>
    <row r="954" spans="2:8">
      <c r="B954" t="s">
        <v>443</v>
      </c>
      <c r="C954" t="s">
        <v>30</v>
      </c>
      <c r="D954">
        <v>2962</v>
      </c>
      <c r="E954">
        <v>2962</v>
      </c>
      <c r="F954">
        <v>2961.5</v>
      </c>
      <c r="G954">
        <v>2962</v>
      </c>
      <c r="H954">
        <v>13000</v>
      </c>
    </row>
    <row r="955" spans="2:8">
      <c r="B955" t="s">
        <v>443</v>
      </c>
      <c r="C955" t="s">
        <v>31</v>
      </c>
      <c r="D955">
        <v>2962</v>
      </c>
      <c r="E955">
        <v>2962</v>
      </c>
      <c r="F955">
        <v>2961.5</v>
      </c>
      <c r="G955">
        <v>2962</v>
      </c>
      <c r="H955">
        <v>7900</v>
      </c>
    </row>
    <row r="956" spans="2:8">
      <c r="B956" t="s">
        <v>443</v>
      </c>
      <c r="C956" t="s">
        <v>32</v>
      </c>
      <c r="D956">
        <v>2962</v>
      </c>
      <c r="E956">
        <v>2962</v>
      </c>
      <c r="F956">
        <v>2961</v>
      </c>
      <c r="G956">
        <v>2961</v>
      </c>
      <c r="H956">
        <v>12000</v>
      </c>
    </row>
    <row r="957" spans="2:8">
      <c r="B957" t="s">
        <v>443</v>
      </c>
      <c r="C957" t="s">
        <v>33</v>
      </c>
      <c r="D957">
        <v>2961.5</v>
      </c>
      <c r="E957">
        <v>2962.5</v>
      </c>
      <c r="F957">
        <v>2961.5</v>
      </c>
      <c r="G957">
        <v>2962</v>
      </c>
      <c r="H957">
        <v>3500</v>
      </c>
    </row>
    <row r="958" spans="2:8">
      <c r="B958" t="s">
        <v>443</v>
      </c>
      <c r="C958" t="s">
        <v>34</v>
      </c>
      <c r="D958">
        <v>2962.5</v>
      </c>
      <c r="E958">
        <v>2962.5</v>
      </c>
      <c r="F958">
        <v>2961.5</v>
      </c>
      <c r="G958">
        <v>2962</v>
      </c>
      <c r="H958">
        <v>13500</v>
      </c>
    </row>
    <row r="959" spans="2:8">
      <c r="B959" t="s">
        <v>443</v>
      </c>
      <c r="C959" t="s">
        <v>35</v>
      </c>
      <c r="D959">
        <v>2962</v>
      </c>
      <c r="E959">
        <v>2962</v>
      </c>
      <c r="F959">
        <v>2961</v>
      </c>
      <c r="G959">
        <v>2961</v>
      </c>
      <c r="H959">
        <v>10800</v>
      </c>
    </row>
    <row r="960" spans="2:8">
      <c r="B960" t="s">
        <v>443</v>
      </c>
      <c r="C960" t="s">
        <v>36</v>
      </c>
      <c r="D960">
        <v>2961.5</v>
      </c>
      <c r="E960">
        <v>2962</v>
      </c>
      <c r="F960">
        <v>2961.5</v>
      </c>
      <c r="G960">
        <v>2961.5</v>
      </c>
      <c r="H960">
        <v>9100</v>
      </c>
    </row>
    <row r="961" spans="2:8">
      <c r="B961" t="s">
        <v>443</v>
      </c>
      <c r="C961" t="s">
        <v>37</v>
      </c>
      <c r="D961">
        <v>2962</v>
      </c>
      <c r="E961">
        <v>2962.5</v>
      </c>
      <c r="F961">
        <v>2961.5</v>
      </c>
      <c r="G961">
        <v>2962.5</v>
      </c>
      <c r="H961">
        <v>5900</v>
      </c>
    </row>
    <row r="962" spans="2:8">
      <c r="B962" t="s">
        <v>443</v>
      </c>
      <c r="C962" t="s">
        <v>38</v>
      </c>
      <c r="D962">
        <v>2962.5</v>
      </c>
      <c r="E962">
        <v>2963</v>
      </c>
      <c r="F962">
        <v>2962</v>
      </c>
      <c r="G962">
        <v>2962.5</v>
      </c>
      <c r="H962">
        <v>5300</v>
      </c>
    </row>
    <row r="963" spans="2:8">
      <c r="B963" t="s">
        <v>443</v>
      </c>
      <c r="C963" t="s">
        <v>39</v>
      </c>
      <c r="D963">
        <v>2962.5</v>
      </c>
      <c r="E963">
        <v>2963</v>
      </c>
      <c r="F963">
        <v>2962</v>
      </c>
      <c r="G963">
        <v>2962</v>
      </c>
      <c r="H963">
        <v>14300</v>
      </c>
    </row>
    <row r="964" spans="2:8">
      <c r="B964" t="s">
        <v>443</v>
      </c>
      <c r="C964" t="s">
        <v>40</v>
      </c>
      <c r="D964">
        <v>2962</v>
      </c>
      <c r="E964">
        <v>2963</v>
      </c>
      <c r="F964">
        <v>2961.5</v>
      </c>
      <c r="G964">
        <v>2962.5</v>
      </c>
      <c r="H964">
        <v>18600</v>
      </c>
    </row>
    <row r="965" spans="2:8">
      <c r="B965" t="s">
        <v>443</v>
      </c>
      <c r="C965" t="s">
        <v>41</v>
      </c>
      <c r="D965">
        <v>2962.5</v>
      </c>
      <c r="E965">
        <v>2963</v>
      </c>
      <c r="F965">
        <v>2962</v>
      </c>
      <c r="G965">
        <v>2962</v>
      </c>
      <c r="H965">
        <v>9700</v>
      </c>
    </row>
    <row r="966" spans="2:8">
      <c r="B966" t="s">
        <v>443</v>
      </c>
      <c r="C966" t="s">
        <v>42</v>
      </c>
      <c r="D966">
        <v>2962.5</v>
      </c>
      <c r="E966">
        <v>2962.5</v>
      </c>
      <c r="F966">
        <v>2961.5</v>
      </c>
      <c r="G966">
        <v>2962.5</v>
      </c>
      <c r="H966">
        <v>15700</v>
      </c>
    </row>
    <row r="967" spans="2:8">
      <c r="B967" t="s">
        <v>443</v>
      </c>
      <c r="C967" t="s">
        <v>43</v>
      </c>
      <c r="D967">
        <v>2963</v>
      </c>
      <c r="E967">
        <v>2963.5</v>
      </c>
      <c r="F967">
        <v>2963</v>
      </c>
      <c r="G967">
        <v>2963.5</v>
      </c>
      <c r="H967">
        <v>15200</v>
      </c>
    </row>
    <row r="968" spans="2:8">
      <c r="B968" t="s">
        <v>443</v>
      </c>
      <c r="C968" t="s">
        <v>44</v>
      </c>
      <c r="D968">
        <v>2963.5</v>
      </c>
      <c r="E968">
        <v>2964.5</v>
      </c>
      <c r="F968">
        <v>2963</v>
      </c>
      <c r="G968">
        <v>2963.5</v>
      </c>
      <c r="H968">
        <v>25500</v>
      </c>
    </row>
    <row r="969" spans="2:8">
      <c r="B969" t="s">
        <v>443</v>
      </c>
      <c r="C969" t="s">
        <v>45</v>
      </c>
      <c r="D969">
        <v>2964</v>
      </c>
      <c r="E969">
        <v>2964</v>
      </c>
      <c r="F969">
        <v>2962</v>
      </c>
      <c r="G969">
        <v>2962.5</v>
      </c>
      <c r="H969">
        <v>17200</v>
      </c>
    </row>
    <row r="970" spans="2:8">
      <c r="B970" t="s">
        <v>443</v>
      </c>
      <c r="C970" t="s">
        <v>46</v>
      </c>
      <c r="D970">
        <v>2962.5</v>
      </c>
      <c r="E970">
        <v>2963.5</v>
      </c>
      <c r="F970">
        <v>2962.5</v>
      </c>
      <c r="G970">
        <v>2963.5</v>
      </c>
      <c r="H970">
        <v>8700</v>
      </c>
    </row>
    <row r="971" spans="2:8">
      <c r="B971" t="s">
        <v>443</v>
      </c>
      <c r="C971" t="s">
        <v>47</v>
      </c>
      <c r="D971">
        <v>2963.5</v>
      </c>
      <c r="E971">
        <v>2963.5</v>
      </c>
      <c r="F971">
        <v>2962.5</v>
      </c>
      <c r="G971">
        <v>2962.5</v>
      </c>
      <c r="H971">
        <v>17000</v>
      </c>
    </row>
    <row r="972" spans="2:8">
      <c r="B972" t="s">
        <v>443</v>
      </c>
      <c r="C972" t="s">
        <v>48</v>
      </c>
      <c r="D972">
        <v>2962</v>
      </c>
      <c r="E972">
        <v>2963</v>
      </c>
      <c r="F972">
        <v>2962</v>
      </c>
      <c r="G972">
        <v>2962</v>
      </c>
      <c r="H972">
        <v>17000</v>
      </c>
    </row>
    <row r="973" spans="2:8">
      <c r="B973" t="s">
        <v>443</v>
      </c>
      <c r="C973" t="s">
        <v>49</v>
      </c>
      <c r="D973">
        <v>2962</v>
      </c>
      <c r="E973">
        <v>2962.5</v>
      </c>
      <c r="F973">
        <v>2962</v>
      </c>
      <c r="G973">
        <v>2962</v>
      </c>
      <c r="H973">
        <v>16100</v>
      </c>
    </row>
    <row r="974" spans="2:8">
      <c r="B974" t="s">
        <v>443</v>
      </c>
      <c r="C974" t="s">
        <v>50</v>
      </c>
      <c r="D974">
        <v>2962.5</v>
      </c>
      <c r="E974">
        <v>2962.5</v>
      </c>
      <c r="F974">
        <v>2961.5</v>
      </c>
      <c r="G974">
        <v>2962</v>
      </c>
      <c r="H974">
        <v>15400</v>
      </c>
    </row>
    <row r="975" spans="2:8">
      <c r="B975" t="s">
        <v>443</v>
      </c>
      <c r="C975" t="s">
        <v>51</v>
      </c>
      <c r="D975">
        <v>2962</v>
      </c>
      <c r="E975">
        <v>2962.5</v>
      </c>
      <c r="F975">
        <v>2961</v>
      </c>
      <c r="G975">
        <v>2962</v>
      </c>
      <c r="H975">
        <v>28300</v>
      </c>
    </row>
    <row r="976" spans="2:8">
      <c r="B976" t="s">
        <v>443</v>
      </c>
      <c r="C976" t="s">
        <v>52</v>
      </c>
      <c r="D976">
        <v>2962</v>
      </c>
      <c r="E976">
        <v>2962.5</v>
      </c>
      <c r="F976">
        <v>2962</v>
      </c>
      <c r="G976">
        <v>2962</v>
      </c>
      <c r="H976">
        <v>2500</v>
      </c>
    </row>
    <row r="977" spans="2:8">
      <c r="B977" t="s">
        <v>443</v>
      </c>
      <c r="C977" t="s">
        <v>53</v>
      </c>
      <c r="D977">
        <v>2962</v>
      </c>
      <c r="E977">
        <v>2963</v>
      </c>
      <c r="F977">
        <v>2961</v>
      </c>
      <c r="G977">
        <v>2962.5</v>
      </c>
      <c r="H977">
        <v>20300</v>
      </c>
    </row>
    <row r="978" spans="2:8">
      <c r="B978" t="s">
        <v>443</v>
      </c>
      <c r="C978" t="s">
        <v>54</v>
      </c>
      <c r="D978">
        <v>2962.5</v>
      </c>
      <c r="E978">
        <v>2962.5</v>
      </c>
      <c r="F978">
        <v>2962</v>
      </c>
      <c r="G978">
        <v>2962.5</v>
      </c>
      <c r="H978">
        <v>14900</v>
      </c>
    </row>
    <row r="979" spans="2:8">
      <c r="B979" t="s">
        <v>443</v>
      </c>
      <c r="C979" t="s">
        <v>55</v>
      </c>
      <c r="D979">
        <v>2962.5</v>
      </c>
      <c r="E979">
        <v>2962.5</v>
      </c>
      <c r="F979">
        <v>2962</v>
      </c>
      <c r="G979">
        <v>2962.5</v>
      </c>
      <c r="H979">
        <v>12700</v>
      </c>
    </row>
    <row r="980" spans="2:8">
      <c r="B980" t="s">
        <v>443</v>
      </c>
      <c r="C980" t="s">
        <v>56</v>
      </c>
      <c r="D980">
        <v>2962.5</v>
      </c>
      <c r="E980">
        <v>2962.5</v>
      </c>
      <c r="F980">
        <v>2962</v>
      </c>
      <c r="G980">
        <v>2962.5</v>
      </c>
      <c r="H980">
        <v>8400</v>
      </c>
    </row>
    <row r="981" spans="2:8">
      <c r="B981" t="s">
        <v>443</v>
      </c>
      <c r="C981" t="s">
        <v>57</v>
      </c>
      <c r="D981">
        <v>2962.5</v>
      </c>
      <c r="E981">
        <v>2963</v>
      </c>
      <c r="F981">
        <v>2962</v>
      </c>
      <c r="G981">
        <v>2963</v>
      </c>
      <c r="H981">
        <v>19800</v>
      </c>
    </row>
    <row r="982" spans="2:8">
      <c r="B982" t="s">
        <v>443</v>
      </c>
      <c r="C982" t="s">
        <v>58</v>
      </c>
      <c r="D982">
        <v>2963</v>
      </c>
      <c r="E982">
        <v>2964.5</v>
      </c>
      <c r="F982">
        <v>2963</v>
      </c>
      <c r="G982">
        <v>2964.5</v>
      </c>
      <c r="H982">
        <v>17000</v>
      </c>
    </row>
    <row r="983" spans="2:8">
      <c r="B983" t="s">
        <v>443</v>
      </c>
      <c r="C983" t="s">
        <v>59</v>
      </c>
      <c r="D983">
        <v>2964</v>
      </c>
      <c r="E983">
        <v>2964.5</v>
      </c>
      <c r="F983">
        <v>2963</v>
      </c>
      <c r="G983">
        <v>2963.5</v>
      </c>
      <c r="H983">
        <v>44500</v>
      </c>
    </row>
    <row r="984" spans="2:8">
      <c r="B984" t="s">
        <v>443</v>
      </c>
      <c r="C984" t="s">
        <v>60</v>
      </c>
      <c r="D984">
        <v>2963.5</v>
      </c>
      <c r="E984">
        <v>2963.5</v>
      </c>
      <c r="F984">
        <v>2961.5</v>
      </c>
      <c r="G984">
        <v>2962</v>
      </c>
      <c r="H984">
        <v>25900</v>
      </c>
    </row>
    <row r="985" spans="2:8">
      <c r="B985" t="s">
        <v>443</v>
      </c>
      <c r="C985" t="s">
        <v>61</v>
      </c>
      <c r="D985">
        <v>2962</v>
      </c>
      <c r="E985">
        <v>2962.5</v>
      </c>
      <c r="F985">
        <v>2962</v>
      </c>
      <c r="G985">
        <v>2962</v>
      </c>
      <c r="H985">
        <v>4900</v>
      </c>
    </row>
    <row r="986" spans="2:8">
      <c r="B986" t="s">
        <v>443</v>
      </c>
      <c r="C986" t="s">
        <v>62</v>
      </c>
      <c r="D986">
        <v>2962.5</v>
      </c>
      <c r="E986">
        <v>2963.5</v>
      </c>
      <c r="F986">
        <v>2962</v>
      </c>
      <c r="G986">
        <v>2963</v>
      </c>
      <c r="H986">
        <v>26200</v>
      </c>
    </row>
    <row r="987" spans="2:8">
      <c r="B987" t="s">
        <v>443</v>
      </c>
      <c r="C987" t="s">
        <v>63</v>
      </c>
      <c r="D987">
        <v>2963</v>
      </c>
      <c r="E987">
        <v>2963</v>
      </c>
      <c r="F987">
        <v>2962.5</v>
      </c>
      <c r="G987">
        <v>2962.5</v>
      </c>
      <c r="H987">
        <v>11900</v>
      </c>
    </row>
    <row r="988" spans="2:8">
      <c r="B988" t="s">
        <v>443</v>
      </c>
      <c r="C988" t="s">
        <v>64</v>
      </c>
      <c r="D988">
        <v>2962.5</v>
      </c>
      <c r="E988">
        <v>2964.5</v>
      </c>
      <c r="F988">
        <v>2962.5</v>
      </c>
      <c r="G988">
        <v>2964</v>
      </c>
      <c r="H988">
        <v>32900</v>
      </c>
    </row>
    <row r="989" spans="2:8">
      <c r="B989" t="s">
        <v>443</v>
      </c>
      <c r="C989" t="s">
        <v>65</v>
      </c>
      <c r="D989">
        <v>2964</v>
      </c>
      <c r="E989">
        <v>2964</v>
      </c>
      <c r="F989">
        <v>2962.5</v>
      </c>
      <c r="G989">
        <v>2963.5</v>
      </c>
      <c r="H989">
        <v>32500</v>
      </c>
    </row>
    <row r="990" spans="2:8">
      <c r="B990" t="s">
        <v>443</v>
      </c>
      <c r="C990" t="s">
        <v>66</v>
      </c>
      <c r="D990">
        <v>2963.5</v>
      </c>
      <c r="E990">
        <v>2964</v>
      </c>
      <c r="F990">
        <v>2962.5</v>
      </c>
      <c r="G990">
        <v>2963</v>
      </c>
      <c r="H990">
        <v>17800</v>
      </c>
    </row>
    <row r="991" spans="2:8">
      <c r="B991" t="s">
        <v>443</v>
      </c>
      <c r="C991" t="s">
        <v>164</v>
      </c>
      <c r="D991">
        <v>2963</v>
      </c>
      <c r="E991">
        <v>2963</v>
      </c>
      <c r="F991">
        <v>2961.5</v>
      </c>
      <c r="G991">
        <v>2961.5</v>
      </c>
      <c r="H991">
        <v>28900</v>
      </c>
    </row>
    <row r="992" spans="2:8">
      <c r="B992" t="s">
        <v>443</v>
      </c>
      <c r="C992" t="s">
        <v>165</v>
      </c>
      <c r="D992">
        <v>2961.5</v>
      </c>
      <c r="E992">
        <v>2964.5</v>
      </c>
      <c r="F992">
        <v>2960.5</v>
      </c>
      <c r="G992">
        <v>2961</v>
      </c>
      <c r="H992">
        <v>47300</v>
      </c>
    </row>
    <row r="993" spans="2:8">
      <c r="B993" t="s">
        <v>443</v>
      </c>
      <c r="C993" t="s">
        <v>67</v>
      </c>
      <c r="D993" t="s">
        <v>8</v>
      </c>
      <c r="E993" t="s">
        <v>8</v>
      </c>
      <c r="F993" t="s">
        <v>8</v>
      </c>
      <c r="G993" t="s">
        <v>8</v>
      </c>
      <c r="H993">
        <v>0</v>
      </c>
    </row>
    <row r="994" spans="2:8">
      <c r="B994" t="s">
        <v>443</v>
      </c>
      <c r="C994" t="s">
        <v>68</v>
      </c>
      <c r="D994" t="s">
        <v>8</v>
      </c>
      <c r="E994" t="s">
        <v>8</v>
      </c>
      <c r="F994" t="s">
        <v>8</v>
      </c>
      <c r="G994" t="s">
        <v>8</v>
      </c>
      <c r="H994">
        <v>0</v>
      </c>
    </row>
    <row r="995" spans="2:8">
      <c r="B995" t="s">
        <v>443</v>
      </c>
      <c r="C995" t="s">
        <v>69</v>
      </c>
      <c r="D995" t="s">
        <v>8</v>
      </c>
      <c r="E995" t="s">
        <v>8</v>
      </c>
      <c r="F995" t="s">
        <v>8</v>
      </c>
      <c r="G995" t="s">
        <v>8</v>
      </c>
      <c r="H995">
        <v>0</v>
      </c>
    </row>
    <row r="996" spans="2:8">
      <c r="B996" t="s">
        <v>443</v>
      </c>
      <c r="C996" t="s">
        <v>70</v>
      </c>
      <c r="D996" t="s">
        <v>8</v>
      </c>
      <c r="E996" t="s">
        <v>8</v>
      </c>
      <c r="F996" t="s">
        <v>8</v>
      </c>
      <c r="G996" t="s">
        <v>8</v>
      </c>
      <c r="H996">
        <v>0</v>
      </c>
    </row>
    <row r="997" spans="2:8">
      <c r="B997" t="s">
        <v>443</v>
      </c>
      <c r="C997" t="s">
        <v>71</v>
      </c>
      <c r="D997" t="s">
        <v>8</v>
      </c>
      <c r="E997" t="s">
        <v>8</v>
      </c>
      <c r="F997" t="s">
        <v>8</v>
      </c>
      <c r="G997" t="s">
        <v>8</v>
      </c>
      <c r="H997">
        <v>0</v>
      </c>
    </row>
    <row r="998" spans="2:8">
      <c r="B998" t="s">
        <v>443</v>
      </c>
      <c r="C998" t="s">
        <v>72</v>
      </c>
      <c r="D998">
        <v>2966</v>
      </c>
      <c r="E998">
        <v>2966</v>
      </c>
      <c r="F998">
        <v>2966</v>
      </c>
      <c r="G998">
        <v>2966</v>
      </c>
      <c r="H998">
        <v>2024400</v>
      </c>
    </row>
    <row r="999" spans="2:8">
      <c r="B999" t="s">
        <v>463</v>
      </c>
      <c r="C999" t="s">
        <v>166</v>
      </c>
      <c r="D999">
        <v>2973</v>
      </c>
      <c r="E999">
        <v>2982.5</v>
      </c>
      <c r="F999">
        <v>2967</v>
      </c>
      <c r="G999">
        <v>2972.5</v>
      </c>
      <c r="H999">
        <v>446700</v>
      </c>
    </row>
    <row r="1000" spans="2:8">
      <c r="B1000" t="s">
        <v>463</v>
      </c>
      <c r="C1000" t="s">
        <v>167</v>
      </c>
      <c r="D1000">
        <v>2972.5</v>
      </c>
      <c r="E1000">
        <v>2975.5</v>
      </c>
      <c r="F1000">
        <v>2970</v>
      </c>
      <c r="G1000">
        <v>2971</v>
      </c>
      <c r="H1000">
        <v>59800</v>
      </c>
    </row>
    <row r="1001" spans="2:8">
      <c r="B1001" t="s">
        <v>463</v>
      </c>
      <c r="C1001" t="s">
        <v>168</v>
      </c>
      <c r="D1001">
        <v>2970.5</v>
      </c>
      <c r="E1001">
        <v>2970.5</v>
      </c>
      <c r="F1001">
        <v>2967.5</v>
      </c>
      <c r="G1001">
        <v>2969</v>
      </c>
      <c r="H1001">
        <v>44700</v>
      </c>
    </row>
    <row r="1002" spans="2:8">
      <c r="B1002" t="s">
        <v>463</v>
      </c>
      <c r="C1002" t="s">
        <v>169</v>
      </c>
      <c r="D1002">
        <v>2968.5</v>
      </c>
      <c r="E1002">
        <v>2968.5</v>
      </c>
      <c r="F1002">
        <v>2964</v>
      </c>
      <c r="G1002">
        <v>2967</v>
      </c>
      <c r="H1002">
        <v>78400</v>
      </c>
    </row>
    <row r="1003" spans="2:8">
      <c r="B1003" t="s">
        <v>463</v>
      </c>
      <c r="C1003" t="s">
        <v>170</v>
      </c>
      <c r="D1003">
        <v>2967.5</v>
      </c>
      <c r="E1003">
        <v>2972</v>
      </c>
      <c r="F1003">
        <v>2967.5</v>
      </c>
      <c r="G1003">
        <v>2971.5</v>
      </c>
      <c r="H1003">
        <v>30600</v>
      </c>
    </row>
    <row r="1004" spans="2:8">
      <c r="B1004" t="s">
        <v>463</v>
      </c>
      <c r="C1004" t="s">
        <v>171</v>
      </c>
      <c r="D1004">
        <v>2971.5</v>
      </c>
      <c r="E1004">
        <v>2973</v>
      </c>
      <c r="F1004">
        <v>2969</v>
      </c>
      <c r="G1004">
        <v>2970</v>
      </c>
      <c r="H1004">
        <v>47400</v>
      </c>
    </row>
    <row r="1005" spans="2:8">
      <c r="B1005" t="s">
        <v>463</v>
      </c>
      <c r="C1005" t="s">
        <v>172</v>
      </c>
      <c r="D1005">
        <v>2970</v>
      </c>
      <c r="E1005">
        <v>2970</v>
      </c>
      <c r="F1005">
        <v>2963.5</v>
      </c>
      <c r="G1005">
        <v>2965</v>
      </c>
      <c r="H1005">
        <v>48900</v>
      </c>
    </row>
    <row r="1006" spans="2:8">
      <c r="B1006" t="s">
        <v>463</v>
      </c>
      <c r="C1006" t="s">
        <v>173</v>
      </c>
      <c r="D1006">
        <v>2965</v>
      </c>
      <c r="E1006">
        <v>2968</v>
      </c>
      <c r="F1006">
        <v>2963</v>
      </c>
      <c r="G1006">
        <v>2968</v>
      </c>
      <c r="H1006">
        <v>58600</v>
      </c>
    </row>
    <row r="1007" spans="2:8">
      <c r="B1007" t="s">
        <v>463</v>
      </c>
      <c r="C1007" t="s">
        <v>174</v>
      </c>
      <c r="D1007">
        <v>2968.5</v>
      </c>
      <c r="E1007">
        <v>2971</v>
      </c>
      <c r="F1007">
        <v>2966</v>
      </c>
      <c r="G1007">
        <v>2966.5</v>
      </c>
      <c r="H1007">
        <v>35800</v>
      </c>
    </row>
    <row r="1008" spans="2:8">
      <c r="B1008" t="s">
        <v>463</v>
      </c>
      <c r="C1008" t="s">
        <v>175</v>
      </c>
      <c r="D1008">
        <v>2966</v>
      </c>
      <c r="E1008">
        <v>2967.5</v>
      </c>
      <c r="F1008">
        <v>2962.5</v>
      </c>
      <c r="G1008">
        <v>2963</v>
      </c>
      <c r="H1008">
        <v>87100</v>
      </c>
    </row>
    <row r="1009" spans="2:8">
      <c r="B1009" t="s">
        <v>463</v>
      </c>
      <c r="C1009" t="s">
        <v>176</v>
      </c>
      <c r="D1009">
        <v>2963.5</v>
      </c>
      <c r="E1009">
        <v>2964.5</v>
      </c>
      <c r="F1009">
        <v>2963</v>
      </c>
      <c r="G1009">
        <v>2964.5</v>
      </c>
      <c r="H1009">
        <v>31600</v>
      </c>
    </row>
    <row r="1010" spans="2:8">
      <c r="B1010" t="s">
        <v>463</v>
      </c>
      <c r="C1010" t="s">
        <v>177</v>
      </c>
      <c r="D1010">
        <v>2964</v>
      </c>
      <c r="E1010">
        <v>2968.5</v>
      </c>
      <c r="F1010">
        <v>2964</v>
      </c>
      <c r="G1010">
        <v>2966.5</v>
      </c>
      <c r="H1010">
        <v>28100</v>
      </c>
    </row>
    <row r="1011" spans="2:8">
      <c r="B1011" t="s">
        <v>463</v>
      </c>
      <c r="C1011" t="s">
        <v>178</v>
      </c>
      <c r="D1011">
        <v>2966.5</v>
      </c>
      <c r="E1011">
        <v>2971</v>
      </c>
      <c r="F1011">
        <v>2966.5</v>
      </c>
      <c r="G1011">
        <v>2969</v>
      </c>
      <c r="H1011">
        <v>63300</v>
      </c>
    </row>
    <row r="1012" spans="2:8">
      <c r="B1012" t="s">
        <v>463</v>
      </c>
      <c r="C1012" t="s">
        <v>179</v>
      </c>
      <c r="D1012">
        <v>2969</v>
      </c>
      <c r="E1012">
        <v>2970.5</v>
      </c>
      <c r="F1012">
        <v>2966</v>
      </c>
      <c r="G1012">
        <v>2968</v>
      </c>
      <c r="H1012">
        <v>57300</v>
      </c>
    </row>
    <row r="1013" spans="2:8">
      <c r="B1013" t="s">
        <v>463</v>
      </c>
      <c r="C1013" t="s">
        <v>180</v>
      </c>
      <c r="D1013">
        <v>2968</v>
      </c>
      <c r="E1013">
        <v>2968.5</v>
      </c>
      <c r="F1013">
        <v>2965</v>
      </c>
      <c r="G1013">
        <v>2965</v>
      </c>
      <c r="H1013">
        <v>31100</v>
      </c>
    </row>
    <row r="1014" spans="2:8">
      <c r="B1014" t="s">
        <v>463</v>
      </c>
      <c r="C1014" t="s">
        <v>181</v>
      </c>
      <c r="D1014">
        <v>2965.5</v>
      </c>
      <c r="E1014">
        <v>2967.5</v>
      </c>
      <c r="F1014">
        <v>2963.5</v>
      </c>
      <c r="G1014">
        <v>2964</v>
      </c>
      <c r="H1014">
        <v>35400</v>
      </c>
    </row>
    <row r="1015" spans="2:8">
      <c r="B1015" t="s">
        <v>463</v>
      </c>
      <c r="C1015" t="s">
        <v>182</v>
      </c>
      <c r="D1015">
        <v>2964.5</v>
      </c>
      <c r="E1015">
        <v>2967.5</v>
      </c>
      <c r="F1015">
        <v>2964</v>
      </c>
      <c r="G1015">
        <v>2967</v>
      </c>
      <c r="H1015">
        <v>21100</v>
      </c>
    </row>
    <row r="1016" spans="2:8">
      <c r="B1016" t="s">
        <v>463</v>
      </c>
      <c r="C1016" t="s">
        <v>183</v>
      </c>
      <c r="D1016">
        <v>2966.5</v>
      </c>
      <c r="E1016">
        <v>2968</v>
      </c>
      <c r="F1016">
        <v>2966.5</v>
      </c>
      <c r="G1016">
        <v>2967.5</v>
      </c>
      <c r="H1016">
        <v>33100</v>
      </c>
    </row>
    <row r="1017" spans="2:8">
      <c r="B1017" t="s">
        <v>463</v>
      </c>
      <c r="C1017" t="s">
        <v>184</v>
      </c>
      <c r="D1017">
        <v>2967</v>
      </c>
      <c r="E1017">
        <v>2970</v>
      </c>
      <c r="F1017">
        <v>2966</v>
      </c>
      <c r="G1017">
        <v>2970</v>
      </c>
      <c r="H1017">
        <v>27000</v>
      </c>
    </row>
    <row r="1018" spans="2:8">
      <c r="B1018" t="s">
        <v>463</v>
      </c>
      <c r="C1018" t="s">
        <v>185</v>
      </c>
      <c r="D1018">
        <v>2970</v>
      </c>
      <c r="E1018">
        <v>2971.5</v>
      </c>
      <c r="F1018">
        <v>2969.5</v>
      </c>
      <c r="G1018">
        <v>2970.5</v>
      </c>
      <c r="H1018">
        <v>23600</v>
      </c>
    </row>
    <row r="1019" spans="2:8">
      <c r="B1019" t="s">
        <v>463</v>
      </c>
      <c r="C1019" t="s">
        <v>186</v>
      </c>
      <c r="D1019">
        <v>2970</v>
      </c>
      <c r="E1019">
        <v>2971.5</v>
      </c>
      <c r="F1019">
        <v>2969.5</v>
      </c>
      <c r="G1019">
        <v>2971</v>
      </c>
      <c r="H1019">
        <v>16700</v>
      </c>
    </row>
    <row r="1020" spans="2:8">
      <c r="B1020" t="s">
        <v>463</v>
      </c>
      <c r="C1020" t="s">
        <v>187</v>
      </c>
      <c r="D1020">
        <v>2970.5</v>
      </c>
      <c r="E1020">
        <v>2970.5</v>
      </c>
      <c r="F1020">
        <v>2968</v>
      </c>
      <c r="G1020">
        <v>2968</v>
      </c>
      <c r="H1020">
        <v>21500</v>
      </c>
    </row>
    <row r="1021" spans="2:8">
      <c r="B1021" t="s">
        <v>463</v>
      </c>
      <c r="C1021" t="s">
        <v>188</v>
      </c>
      <c r="D1021">
        <v>2968.5</v>
      </c>
      <c r="E1021">
        <v>2969</v>
      </c>
      <c r="F1021">
        <v>2967</v>
      </c>
      <c r="G1021">
        <v>2968.5</v>
      </c>
      <c r="H1021">
        <v>14300</v>
      </c>
    </row>
    <row r="1022" spans="2:8">
      <c r="B1022" t="s">
        <v>463</v>
      </c>
      <c r="C1022" t="s">
        <v>189</v>
      </c>
      <c r="D1022">
        <v>2968</v>
      </c>
      <c r="E1022">
        <v>2971</v>
      </c>
      <c r="F1022">
        <v>2966.5</v>
      </c>
      <c r="G1022">
        <v>2970.5</v>
      </c>
      <c r="H1022">
        <v>40500</v>
      </c>
    </row>
    <row r="1023" spans="2:8">
      <c r="B1023" t="s">
        <v>463</v>
      </c>
      <c r="C1023" t="s">
        <v>190</v>
      </c>
      <c r="D1023">
        <v>2970.5</v>
      </c>
      <c r="E1023">
        <v>2971</v>
      </c>
      <c r="F1023">
        <v>2969</v>
      </c>
      <c r="G1023">
        <v>2969</v>
      </c>
      <c r="H1023">
        <v>14900</v>
      </c>
    </row>
    <row r="1024" spans="2:8">
      <c r="B1024" t="s">
        <v>463</v>
      </c>
      <c r="C1024" t="s">
        <v>191</v>
      </c>
      <c r="D1024">
        <v>2969</v>
      </c>
      <c r="E1024">
        <v>2970.5</v>
      </c>
      <c r="F1024">
        <v>2968</v>
      </c>
      <c r="G1024">
        <v>2969.5</v>
      </c>
      <c r="H1024">
        <v>16300</v>
      </c>
    </row>
    <row r="1025" spans="2:8">
      <c r="B1025" t="s">
        <v>463</v>
      </c>
      <c r="C1025" t="s">
        <v>192</v>
      </c>
      <c r="D1025">
        <v>2969.5</v>
      </c>
      <c r="E1025">
        <v>2969.5</v>
      </c>
      <c r="F1025">
        <v>2968.5</v>
      </c>
      <c r="G1025">
        <v>2968.5</v>
      </c>
      <c r="H1025">
        <v>5400</v>
      </c>
    </row>
    <row r="1026" spans="2:8">
      <c r="B1026" t="s">
        <v>463</v>
      </c>
      <c r="C1026" t="s">
        <v>193</v>
      </c>
      <c r="D1026">
        <v>2968.5</v>
      </c>
      <c r="E1026">
        <v>2968.5</v>
      </c>
      <c r="F1026">
        <v>2966</v>
      </c>
      <c r="G1026">
        <v>2967.5</v>
      </c>
      <c r="H1026">
        <v>35600</v>
      </c>
    </row>
    <row r="1027" spans="2:8">
      <c r="B1027" t="s">
        <v>463</v>
      </c>
      <c r="C1027" t="s">
        <v>194</v>
      </c>
      <c r="D1027">
        <v>2967.5</v>
      </c>
      <c r="E1027">
        <v>2968</v>
      </c>
      <c r="F1027">
        <v>2966</v>
      </c>
      <c r="G1027">
        <v>2967</v>
      </c>
      <c r="H1027">
        <v>24000</v>
      </c>
    </row>
    <row r="1028" spans="2:8">
      <c r="B1028" t="s">
        <v>463</v>
      </c>
      <c r="C1028" t="s">
        <v>195</v>
      </c>
      <c r="D1028">
        <v>2966.5</v>
      </c>
      <c r="E1028">
        <v>2967.5</v>
      </c>
      <c r="F1028">
        <v>2966.5</v>
      </c>
      <c r="G1028">
        <v>2967.5</v>
      </c>
      <c r="H1028">
        <v>12600</v>
      </c>
    </row>
    <row r="1029" spans="2:8">
      <c r="B1029" t="s">
        <v>463</v>
      </c>
      <c r="C1029" t="s">
        <v>196</v>
      </c>
      <c r="D1029">
        <v>2967.5</v>
      </c>
      <c r="E1029">
        <v>2968</v>
      </c>
      <c r="F1029">
        <v>2966</v>
      </c>
      <c r="G1029">
        <v>2967</v>
      </c>
      <c r="H1029">
        <v>30700</v>
      </c>
    </row>
    <row r="1030" spans="2:8">
      <c r="B1030" t="s">
        <v>463</v>
      </c>
      <c r="C1030" t="s">
        <v>197</v>
      </c>
      <c r="D1030">
        <v>2967</v>
      </c>
      <c r="E1030">
        <v>2968</v>
      </c>
      <c r="F1030">
        <v>2967</v>
      </c>
      <c r="G1030">
        <v>2968</v>
      </c>
      <c r="H1030">
        <v>12100</v>
      </c>
    </row>
    <row r="1031" spans="2:8">
      <c r="B1031" t="s">
        <v>463</v>
      </c>
      <c r="C1031" t="s">
        <v>198</v>
      </c>
      <c r="D1031">
        <v>2968</v>
      </c>
      <c r="E1031">
        <v>2968</v>
      </c>
      <c r="F1031">
        <v>2965</v>
      </c>
      <c r="G1031">
        <v>2967</v>
      </c>
      <c r="H1031">
        <v>32700</v>
      </c>
    </row>
    <row r="1032" spans="2:8">
      <c r="B1032" t="s">
        <v>463</v>
      </c>
      <c r="C1032" t="s">
        <v>199</v>
      </c>
      <c r="D1032">
        <v>2967</v>
      </c>
      <c r="E1032">
        <v>2968</v>
      </c>
      <c r="F1032">
        <v>2967</v>
      </c>
      <c r="G1032">
        <v>2967.5</v>
      </c>
      <c r="H1032">
        <v>9300</v>
      </c>
    </row>
    <row r="1033" spans="2:8">
      <c r="B1033" t="s">
        <v>463</v>
      </c>
      <c r="C1033" t="s">
        <v>200</v>
      </c>
      <c r="D1033">
        <v>2967.5</v>
      </c>
      <c r="E1033">
        <v>2969.5</v>
      </c>
      <c r="F1033">
        <v>2967.5</v>
      </c>
      <c r="G1033">
        <v>2969.5</v>
      </c>
      <c r="H1033">
        <v>17900</v>
      </c>
    </row>
    <row r="1034" spans="2:8">
      <c r="B1034" t="s">
        <v>463</v>
      </c>
      <c r="C1034" t="s">
        <v>201</v>
      </c>
      <c r="D1034">
        <v>2969.5</v>
      </c>
      <c r="E1034">
        <v>2971.5</v>
      </c>
      <c r="F1034">
        <v>2968.5</v>
      </c>
      <c r="G1034">
        <v>2971.5</v>
      </c>
      <c r="H1034">
        <v>24600</v>
      </c>
    </row>
    <row r="1035" spans="2:8">
      <c r="B1035" t="s">
        <v>463</v>
      </c>
      <c r="C1035" t="s">
        <v>202</v>
      </c>
      <c r="D1035">
        <v>2971.5</v>
      </c>
      <c r="E1035">
        <v>2972.5</v>
      </c>
      <c r="F1035">
        <v>2971</v>
      </c>
      <c r="G1035">
        <v>2972.5</v>
      </c>
      <c r="H1035">
        <v>12600</v>
      </c>
    </row>
    <row r="1036" spans="2:8">
      <c r="B1036" t="s">
        <v>463</v>
      </c>
      <c r="C1036" t="s">
        <v>203</v>
      </c>
      <c r="D1036">
        <v>2972.5</v>
      </c>
      <c r="E1036">
        <v>2973.5</v>
      </c>
      <c r="F1036">
        <v>2971.5</v>
      </c>
      <c r="G1036">
        <v>2973</v>
      </c>
      <c r="H1036">
        <v>10500</v>
      </c>
    </row>
    <row r="1037" spans="2:8">
      <c r="B1037" t="s">
        <v>463</v>
      </c>
      <c r="C1037" t="s">
        <v>204</v>
      </c>
      <c r="D1037">
        <v>2973.5</v>
      </c>
      <c r="E1037">
        <v>2973.5</v>
      </c>
      <c r="F1037">
        <v>2972.5</v>
      </c>
      <c r="G1037">
        <v>2973.5</v>
      </c>
      <c r="H1037">
        <v>18300</v>
      </c>
    </row>
    <row r="1038" spans="2:8">
      <c r="B1038" t="s">
        <v>463</v>
      </c>
      <c r="C1038" t="s">
        <v>205</v>
      </c>
      <c r="D1038">
        <v>2973</v>
      </c>
      <c r="E1038">
        <v>2973</v>
      </c>
      <c r="F1038">
        <v>2972</v>
      </c>
      <c r="G1038">
        <v>2973</v>
      </c>
      <c r="H1038">
        <v>15700</v>
      </c>
    </row>
    <row r="1039" spans="2:8">
      <c r="B1039" t="s">
        <v>463</v>
      </c>
      <c r="C1039" t="s">
        <v>206</v>
      </c>
      <c r="D1039">
        <v>2973.5</v>
      </c>
      <c r="E1039">
        <v>2974</v>
      </c>
      <c r="F1039">
        <v>2971.5</v>
      </c>
      <c r="G1039">
        <v>2973</v>
      </c>
      <c r="H1039">
        <v>16300</v>
      </c>
    </row>
    <row r="1040" spans="2:8">
      <c r="B1040" t="s">
        <v>463</v>
      </c>
      <c r="C1040" t="s">
        <v>207</v>
      </c>
      <c r="D1040">
        <v>2973.5</v>
      </c>
      <c r="E1040">
        <v>2974</v>
      </c>
      <c r="F1040">
        <v>2971.5</v>
      </c>
      <c r="G1040">
        <v>2973.5</v>
      </c>
      <c r="H1040">
        <v>9300</v>
      </c>
    </row>
    <row r="1041" spans="2:8">
      <c r="B1041" t="s">
        <v>463</v>
      </c>
      <c r="C1041" t="s">
        <v>208</v>
      </c>
      <c r="D1041">
        <v>2974</v>
      </c>
      <c r="E1041">
        <v>2975</v>
      </c>
      <c r="F1041">
        <v>2973.5</v>
      </c>
      <c r="G1041">
        <v>2974.5</v>
      </c>
      <c r="H1041">
        <v>52800</v>
      </c>
    </row>
    <row r="1042" spans="2:8">
      <c r="B1042" t="s">
        <v>463</v>
      </c>
      <c r="C1042" t="s">
        <v>209</v>
      </c>
      <c r="D1042">
        <v>2975</v>
      </c>
      <c r="E1042">
        <v>2978</v>
      </c>
      <c r="F1042">
        <v>2974.5</v>
      </c>
      <c r="G1042">
        <v>2977.5</v>
      </c>
      <c r="H1042">
        <v>14000</v>
      </c>
    </row>
    <row r="1043" spans="2:8">
      <c r="B1043" t="s">
        <v>463</v>
      </c>
      <c r="C1043" t="s">
        <v>210</v>
      </c>
      <c r="D1043">
        <v>2978</v>
      </c>
      <c r="E1043">
        <v>2981</v>
      </c>
      <c r="F1043">
        <v>2978</v>
      </c>
      <c r="G1043">
        <v>2979.5</v>
      </c>
      <c r="H1043">
        <v>48800</v>
      </c>
    </row>
    <row r="1044" spans="2:8">
      <c r="B1044" t="s">
        <v>463</v>
      </c>
      <c r="C1044" t="s">
        <v>211</v>
      </c>
      <c r="D1044">
        <v>2979</v>
      </c>
      <c r="E1044">
        <v>2979.5</v>
      </c>
      <c r="F1044">
        <v>2978</v>
      </c>
      <c r="G1044">
        <v>2979</v>
      </c>
      <c r="H1044">
        <v>18000</v>
      </c>
    </row>
    <row r="1045" spans="2:8">
      <c r="B1045" t="s">
        <v>463</v>
      </c>
      <c r="C1045" t="s">
        <v>212</v>
      </c>
      <c r="D1045">
        <v>2979</v>
      </c>
      <c r="E1045">
        <v>2979</v>
      </c>
      <c r="F1045">
        <v>2976.5</v>
      </c>
      <c r="G1045">
        <v>2977.5</v>
      </c>
      <c r="H1045">
        <v>21500</v>
      </c>
    </row>
    <row r="1046" spans="2:8">
      <c r="B1046" t="s">
        <v>463</v>
      </c>
      <c r="C1046" t="s">
        <v>213</v>
      </c>
      <c r="D1046">
        <v>2977.5</v>
      </c>
      <c r="E1046">
        <v>2980</v>
      </c>
      <c r="F1046">
        <v>2977.5</v>
      </c>
      <c r="G1046">
        <v>2978.5</v>
      </c>
      <c r="H1046">
        <v>9600</v>
      </c>
    </row>
    <row r="1047" spans="2:8">
      <c r="B1047" t="s">
        <v>463</v>
      </c>
      <c r="C1047" t="s">
        <v>214</v>
      </c>
      <c r="D1047">
        <v>2978.5</v>
      </c>
      <c r="E1047">
        <v>2978.5</v>
      </c>
      <c r="F1047">
        <v>2974.5</v>
      </c>
      <c r="G1047">
        <v>2974.5</v>
      </c>
      <c r="H1047">
        <v>20500</v>
      </c>
    </row>
    <row r="1048" spans="2:8">
      <c r="B1048" t="s">
        <v>463</v>
      </c>
      <c r="C1048" t="s">
        <v>215</v>
      </c>
      <c r="D1048">
        <v>2974.5</v>
      </c>
      <c r="E1048">
        <v>2974.5</v>
      </c>
      <c r="F1048">
        <v>2971</v>
      </c>
      <c r="G1048">
        <v>2971</v>
      </c>
      <c r="H1048">
        <v>21600</v>
      </c>
    </row>
    <row r="1049" spans="2:8">
      <c r="B1049" t="s">
        <v>463</v>
      </c>
      <c r="C1049" t="s">
        <v>216</v>
      </c>
      <c r="D1049">
        <v>2971.5</v>
      </c>
      <c r="E1049">
        <v>2972.5</v>
      </c>
      <c r="F1049">
        <v>2971</v>
      </c>
      <c r="G1049">
        <v>2971.5</v>
      </c>
      <c r="H1049">
        <v>12100</v>
      </c>
    </row>
    <row r="1050" spans="2:8">
      <c r="B1050" t="s">
        <v>463</v>
      </c>
      <c r="C1050" t="s">
        <v>217</v>
      </c>
      <c r="D1050">
        <v>2971.5</v>
      </c>
      <c r="E1050">
        <v>2971.5</v>
      </c>
      <c r="F1050">
        <v>2969</v>
      </c>
      <c r="G1050">
        <v>2969.5</v>
      </c>
      <c r="H1050">
        <v>21300</v>
      </c>
    </row>
    <row r="1051" spans="2:8">
      <c r="B1051" t="s">
        <v>463</v>
      </c>
      <c r="C1051" t="s">
        <v>218</v>
      </c>
      <c r="D1051">
        <v>2969.5</v>
      </c>
      <c r="E1051">
        <v>2971</v>
      </c>
      <c r="F1051">
        <v>2969</v>
      </c>
      <c r="G1051">
        <v>2971</v>
      </c>
      <c r="H1051">
        <v>12400</v>
      </c>
    </row>
    <row r="1052" spans="2:8">
      <c r="B1052" t="s">
        <v>463</v>
      </c>
      <c r="C1052" t="s">
        <v>219</v>
      </c>
      <c r="D1052">
        <v>2970.5</v>
      </c>
      <c r="E1052">
        <v>2971</v>
      </c>
      <c r="F1052">
        <v>2970</v>
      </c>
      <c r="G1052">
        <v>2970</v>
      </c>
      <c r="H1052">
        <v>12500</v>
      </c>
    </row>
    <row r="1053" spans="2:8">
      <c r="B1053" t="s">
        <v>463</v>
      </c>
      <c r="C1053" t="s">
        <v>220</v>
      </c>
      <c r="D1053">
        <v>2970</v>
      </c>
      <c r="E1053">
        <v>2972</v>
      </c>
      <c r="F1053">
        <v>2970</v>
      </c>
      <c r="G1053">
        <v>2971</v>
      </c>
      <c r="H1053">
        <v>21000</v>
      </c>
    </row>
    <row r="1054" spans="2:8">
      <c r="B1054" t="s">
        <v>463</v>
      </c>
      <c r="C1054" t="s">
        <v>221</v>
      </c>
      <c r="D1054">
        <v>2970.5</v>
      </c>
      <c r="E1054">
        <v>2972</v>
      </c>
      <c r="F1054">
        <v>2970.5</v>
      </c>
      <c r="G1054">
        <v>2971</v>
      </c>
      <c r="H1054">
        <v>12300</v>
      </c>
    </row>
    <row r="1055" spans="2:8">
      <c r="B1055" t="s">
        <v>463</v>
      </c>
      <c r="C1055" t="s">
        <v>222</v>
      </c>
      <c r="D1055">
        <v>2971</v>
      </c>
      <c r="E1055">
        <v>2971.5</v>
      </c>
      <c r="F1055">
        <v>2970</v>
      </c>
      <c r="G1055">
        <v>2971</v>
      </c>
      <c r="H1055">
        <v>10600</v>
      </c>
    </row>
    <row r="1056" spans="2:8">
      <c r="B1056" t="s">
        <v>463</v>
      </c>
      <c r="C1056" t="s">
        <v>223</v>
      </c>
      <c r="D1056">
        <v>2971</v>
      </c>
      <c r="E1056">
        <v>2971.5</v>
      </c>
      <c r="F1056">
        <v>2970.5</v>
      </c>
      <c r="G1056">
        <v>2970.5</v>
      </c>
      <c r="H1056">
        <v>10700</v>
      </c>
    </row>
    <row r="1057" spans="2:8">
      <c r="B1057" t="s">
        <v>463</v>
      </c>
      <c r="C1057" t="s">
        <v>224</v>
      </c>
      <c r="D1057">
        <v>2970.5</v>
      </c>
      <c r="E1057">
        <v>2972</v>
      </c>
      <c r="F1057">
        <v>2969.5</v>
      </c>
      <c r="G1057">
        <v>2970</v>
      </c>
      <c r="H1057">
        <v>33600</v>
      </c>
    </row>
    <row r="1058" spans="2:8">
      <c r="B1058" t="s">
        <v>463</v>
      </c>
      <c r="C1058" t="s">
        <v>225</v>
      </c>
      <c r="D1058">
        <v>2970</v>
      </c>
      <c r="E1058">
        <v>2970.5</v>
      </c>
      <c r="F1058">
        <v>2970</v>
      </c>
      <c r="G1058">
        <v>2970</v>
      </c>
      <c r="H1058">
        <v>1900</v>
      </c>
    </row>
    <row r="1059" spans="2:8">
      <c r="B1059" t="s">
        <v>463</v>
      </c>
      <c r="C1059" t="s">
        <v>226</v>
      </c>
      <c r="D1059">
        <v>2970</v>
      </c>
      <c r="E1059">
        <v>2970</v>
      </c>
      <c r="F1059">
        <v>2968</v>
      </c>
      <c r="G1059">
        <v>2968</v>
      </c>
      <c r="H1059">
        <v>20100</v>
      </c>
    </row>
    <row r="1060" spans="2:8">
      <c r="B1060" t="s">
        <v>463</v>
      </c>
      <c r="C1060" t="s">
        <v>227</v>
      </c>
      <c r="D1060">
        <v>2968</v>
      </c>
      <c r="E1060">
        <v>2968.5</v>
      </c>
      <c r="F1060">
        <v>2967</v>
      </c>
      <c r="G1060">
        <v>2967.5</v>
      </c>
      <c r="H1060">
        <v>19600</v>
      </c>
    </row>
    <row r="1061" spans="2:8">
      <c r="B1061" t="s">
        <v>463</v>
      </c>
      <c r="C1061" t="s">
        <v>228</v>
      </c>
      <c r="D1061">
        <v>2967.5</v>
      </c>
      <c r="E1061">
        <v>2970</v>
      </c>
      <c r="F1061">
        <v>2967</v>
      </c>
      <c r="G1061">
        <v>2967</v>
      </c>
      <c r="H1061">
        <v>36400</v>
      </c>
    </row>
    <row r="1062" spans="2:8">
      <c r="B1062" t="s">
        <v>463</v>
      </c>
      <c r="C1062" t="s">
        <v>229</v>
      </c>
      <c r="D1062">
        <v>2967</v>
      </c>
      <c r="E1062">
        <v>2967</v>
      </c>
      <c r="F1062">
        <v>2966</v>
      </c>
      <c r="G1062">
        <v>2966.5</v>
      </c>
      <c r="H1062">
        <v>9000</v>
      </c>
    </row>
    <row r="1063" spans="2:8">
      <c r="B1063" t="s">
        <v>463</v>
      </c>
      <c r="C1063" t="s">
        <v>230</v>
      </c>
      <c r="D1063">
        <v>2966</v>
      </c>
      <c r="E1063">
        <v>2968</v>
      </c>
      <c r="F1063">
        <v>2965.5</v>
      </c>
      <c r="G1063">
        <v>2967</v>
      </c>
      <c r="H1063">
        <v>35400</v>
      </c>
    </row>
    <row r="1064" spans="2:8">
      <c r="B1064" t="s">
        <v>463</v>
      </c>
      <c r="C1064" t="s">
        <v>231</v>
      </c>
      <c r="D1064">
        <v>2966.5</v>
      </c>
      <c r="E1064">
        <v>2968</v>
      </c>
      <c r="F1064">
        <v>2965</v>
      </c>
      <c r="G1064">
        <v>2968</v>
      </c>
      <c r="H1064">
        <v>27400</v>
      </c>
    </row>
    <row r="1065" spans="2:8">
      <c r="B1065" t="s">
        <v>463</v>
      </c>
      <c r="C1065" t="s">
        <v>232</v>
      </c>
      <c r="D1065">
        <v>2968</v>
      </c>
      <c r="E1065">
        <v>2969</v>
      </c>
      <c r="F1065">
        <v>2968</v>
      </c>
      <c r="G1065">
        <v>2969</v>
      </c>
      <c r="H1065">
        <v>10200</v>
      </c>
    </row>
    <row r="1066" spans="2:8">
      <c r="B1066" t="s">
        <v>463</v>
      </c>
      <c r="C1066" t="s">
        <v>233</v>
      </c>
      <c r="D1066">
        <v>2969.5</v>
      </c>
      <c r="E1066">
        <v>2970.5</v>
      </c>
      <c r="F1066">
        <v>2968.5</v>
      </c>
      <c r="G1066">
        <v>2969.5</v>
      </c>
      <c r="H1066">
        <v>26200</v>
      </c>
    </row>
    <row r="1067" spans="2:8">
      <c r="B1067" t="s">
        <v>463</v>
      </c>
      <c r="C1067" t="s">
        <v>234</v>
      </c>
      <c r="D1067">
        <v>2969.5</v>
      </c>
      <c r="E1067">
        <v>2970</v>
      </c>
      <c r="F1067">
        <v>2969</v>
      </c>
      <c r="G1067">
        <v>2969.5</v>
      </c>
      <c r="H1067">
        <v>6800</v>
      </c>
    </row>
    <row r="1068" spans="2:8">
      <c r="B1068" t="s">
        <v>463</v>
      </c>
      <c r="C1068" t="s">
        <v>235</v>
      </c>
      <c r="D1068">
        <v>2970</v>
      </c>
      <c r="E1068">
        <v>2970.5</v>
      </c>
      <c r="F1068">
        <v>2969</v>
      </c>
      <c r="G1068">
        <v>2969</v>
      </c>
      <c r="H1068">
        <v>14700</v>
      </c>
    </row>
    <row r="1069" spans="2:8">
      <c r="B1069" t="s">
        <v>463</v>
      </c>
      <c r="C1069" t="s">
        <v>236</v>
      </c>
      <c r="D1069">
        <v>2969</v>
      </c>
      <c r="E1069">
        <v>2969.5</v>
      </c>
      <c r="F1069">
        <v>2969</v>
      </c>
      <c r="G1069">
        <v>2969.5</v>
      </c>
      <c r="H1069">
        <v>6400</v>
      </c>
    </row>
    <row r="1070" spans="2:8">
      <c r="B1070" t="s">
        <v>463</v>
      </c>
      <c r="C1070" t="s">
        <v>237</v>
      </c>
      <c r="D1070">
        <v>2970</v>
      </c>
      <c r="E1070">
        <v>2970.5</v>
      </c>
      <c r="F1070">
        <v>2967</v>
      </c>
      <c r="G1070">
        <v>2968.5</v>
      </c>
      <c r="H1070">
        <v>23100</v>
      </c>
    </row>
    <row r="1071" spans="2:8">
      <c r="B1071" t="s">
        <v>463</v>
      </c>
      <c r="C1071" t="s">
        <v>238</v>
      </c>
      <c r="D1071">
        <v>2968</v>
      </c>
      <c r="E1071">
        <v>2969.5</v>
      </c>
      <c r="F1071">
        <v>2967.5</v>
      </c>
      <c r="G1071">
        <v>2969</v>
      </c>
      <c r="H1071">
        <v>13400</v>
      </c>
    </row>
    <row r="1072" spans="2:8">
      <c r="B1072" t="s">
        <v>463</v>
      </c>
      <c r="C1072" t="s">
        <v>239</v>
      </c>
      <c r="D1072">
        <v>2969.5</v>
      </c>
      <c r="E1072">
        <v>2970.5</v>
      </c>
      <c r="F1072">
        <v>2969.5</v>
      </c>
      <c r="G1072">
        <v>2970.5</v>
      </c>
      <c r="H1072">
        <v>7700</v>
      </c>
    </row>
    <row r="1073" spans="2:8">
      <c r="B1073" t="s">
        <v>463</v>
      </c>
      <c r="C1073" t="s">
        <v>240</v>
      </c>
      <c r="D1073">
        <v>2970.5</v>
      </c>
      <c r="E1073">
        <v>2971</v>
      </c>
      <c r="F1073">
        <v>2970.5</v>
      </c>
      <c r="G1073">
        <v>2971</v>
      </c>
      <c r="H1073">
        <v>8900</v>
      </c>
    </row>
    <row r="1074" spans="2:8">
      <c r="B1074" t="s">
        <v>463</v>
      </c>
      <c r="C1074" t="s">
        <v>241</v>
      </c>
      <c r="D1074">
        <v>2971</v>
      </c>
      <c r="E1074">
        <v>2971</v>
      </c>
      <c r="F1074">
        <v>2969.5</v>
      </c>
      <c r="G1074">
        <v>2970</v>
      </c>
      <c r="H1074">
        <v>25200</v>
      </c>
    </row>
    <row r="1075" spans="2:8">
      <c r="B1075" t="s">
        <v>463</v>
      </c>
      <c r="C1075" t="s">
        <v>242</v>
      </c>
      <c r="D1075">
        <v>2970</v>
      </c>
      <c r="E1075">
        <v>2970.5</v>
      </c>
      <c r="F1075">
        <v>2970</v>
      </c>
      <c r="G1075">
        <v>2970</v>
      </c>
      <c r="H1075">
        <v>12400</v>
      </c>
    </row>
    <row r="1076" spans="2:8">
      <c r="B1076" t="s">
        <v>463</v>
      </c>
      <c r="C1076" t="s">
        <v>243</v>
      </c>
      <c r="D1076">
        <v>2969.5</v>
      </c>
      <c r="E1076">
        <v>2972</v>
      </c>
      <c r="F1076">
        <v>2968.5</v>
      </c>
      <c r="G1076">
        <v>2971</v>
      </c>
      <c r="H1076">
        <v>25800</v>
      </c>
    </row>
    <row r="1077" spans="2:8">
      <c r="B1077" t="s">
        <v>463</v>
      </c>
      <c r="C1077" t="s">
        <v>244</v>
      </c>
      <c r="D1077">
        <v>2970.5</v>
      </c>
      <c r="E1077">
        <v>2971.5</v>
      </c>
      <c r="F1077">
        <v>2970</v>
      </c>
      <c r="G1077">
        <v>2971.5</v>
      </c>
      <c r="H1077">
        <v>14000</v>
      </c>
    </row>
    <row r="1078" spans="2:8">
      <c r="B1078" t="s">
        <v>463</v>
      </c>
      <c r="C1078" t="s">
        <v>245</v>
      </c>
      <c r="D1078">
        <v>2971.5</v>
      </c>
      <c r="E1078">
        <v>2972</v>
      </c>
      <c r="F1078">
        <v>2971</v>
      </c>
      <c r="G1078">
        <v>2971.5</v>
      </c>
      <c r="H1078">
        <v>7900</v>
      </c>
    </row>
    <row r="1079" spans="2:8">
      <c r="B1079" t="s">
        <v>463</v>
      </c>
      <c r="C1079" t="s">
        <v>246</v>
      </c>
      <c r="D1079">
        <v>2971.5</v>
      </c>
      <c r="E1079">
        <v>2972.5</v>
      </c>
      <c r="F1079">
        <v>2971</v>
      </c>
      <c r="G1079">
        <v>2972.5</v>
      </c>
      <c r="H1079">
        <v>11300</v>
      </c>
    </row>
    <row r="1080" spans="2:8">
      <c r="B1080" t="s">
        <v>463</v>
      </c>
      <c r="C1080" t="s">
        <v>247</v>
      </c>
      <c r="D1080">
        <v>2972</v>
      </c>
      <c r="E1080">
        <v>2973.5</v>
      </c>
      <c r="F1080">
        <v>2972</v>
      </c>
      <c r="G1080">
        <v>2973</v>
      </c>
      <c r="H1080">
        <v>10500</v>
      </c>
    </row>
    <row r="1081" spans="2:8">
      <c r="B1081" t="s">
        <v>463</v>
      </c>
      <c r="C1081" t="s">
        <v>248</v>
      </c>
      <c r="D1081">
        <v>2973</v>
      </c>
      <c r="E1081">
        <v>2973</v>
      </c>
      <c r="F1081">
        <v>2973</v>
      </c>
      <c r="G1081">
        <v>2973</v>
      </c>
      <c r="H1081">
        <v>4900</v>
      </c>
    </row>
    <row r="1082" spans="2:8">
      <c r="B1082" t="s">
        <v>463</v>
      </c>
      <c r="C1082" t="s">
        <v>249</v>
      </c>
      <c r="D1082">
        <v>2973</v>
      </c>
      <c r="E1082">
        <v>2973.5</v>
      </c>
      <c r="F1082">
        <v>2973</v>
      </c>
      <c r="G1082">
        <v>2973.5</v>
      </c>
      <c r="H1082">
        <v>10100</v>
      </c>
    </row>
    <row r="1083" spans="2:8">
      <c r="B1083" t="s">
        <v>463</v>
      </c>
      <c r="C1083" t="s">
        <v>250</v>
      </c>
      <c r="D1083">
        <v>2974</v>
      </c>
      <c r="E1083">
        <v>2974</v>
      </c>
      <c r="F1083">
        <v>2972.5</v>
      </c>
      <c r="G1083">
        <v>2973.5</v>
      </c>
      <c r="H1083">
        <v>20600</v>
      </c>
    </row>
    <row r="1084" spans="2:8">
      <c r="B1084" t="s">
        <v>463</v>
      </c>
      <c r="C1084" t="s">
        <v>251</v>
      </c>
      <c r="D1084">
        <v>2974</v>
      </c>
      <c r="E1084">
        <v>2974</v>
      </c>
      <c r="F1084">
        <v>2972.5</v>
      </c>
      <c r="G1084">
        <v>2973</v>
      </c>
      <c r="H1084">
        <v>16800</v>
      </c>
    </row>
    <row r="1085" spans="2:8">
      <c r="B1085" t="s">
        <v>463</v>
      </c>
      <c r="C1085" t="s">
        <v>252</v>
      </c>
      <c r="D1085">
        <v>2973.5</v>
      </c>
      <c r="E1085">
        <v>2974</v>
      </c>
      <c r="F1085">
        <v>2973</v>
      </c>
      <c r="G1085">
        <v>2973.5</v>
      </c>
      <c r="H1085">
        <v>6600</v>
      </c>
    </row>
    <row r="1086" spans="2:8">
      <c r="B1086" t="s">
        <v>463</v>
      </c>
      <c r="C1086" t="s">
        <v>253</v>
      </c>
      <c r="D1086">
        <v>2973</v>
      </c>
      <c r="E1086">
        <v>2974</v>
      </c>
      <c r="F1086">
        <v>2973</v>
      </c>
      <c r="G1086">
        <v>2974</v>
      </c>
      <c r="H1086">
        <v>11800</v>
      </c>
    </row>
    <row r="1087" spans="2:8">
      <c r="B1087" t="s">
        <v>463</v>
      </c>
      <c r="C1087" t="s">
        <v>254</v>
      </c>
      <c r="D1087">
        <v>2974</v>
      </c>
      <c r="E1087">
        <v>2974.5</v>
      </c>
      <c r="F1087">
        <v>2972.5</v>
      </c>
      <c r="G1087">
        <v>2972.5</v>
      </c>
      <c r="H1087">
        <v>20000</v>
      </c>
    </row>
    <row r="1088" spans="2:8">
      <c r="B1088" t="s">
        <v>463</v>
      </c>
      <c r="C1088" t="s">
        <v>255</v>
      </c>
      <c r="D1088">
        <v>2973.5</v>
      </c>
      <c r="E1088">
        <v>2977</v>
      </c>
      <c r="F1088">
        <v>2973.5</v>
      </c>
      <c r="G1088">
        <v>2975.5</v>
      </c>
      <c r="H1088">
        <v>22900</v>
      </c>
    </row>
    <row r="1089" spans="2:8">
      <c r="B1089" t="s">
        <v>463</v>
      </c>
      <c r="C1089" t="s">
        <v>256</v>
      </c>
      <c r="D1089">
        <v>2975.5</v>
      </c>
      <c r="E1089">
        <v>2976.5</v>
      </c>
      <c r="F1089">
        <v>2975.5</v>
      </c>
      <c r="G1089">
        <v>2976</v>
      </c>
      <c r="H1089">
        <v>6200</v>
      </c>
    </row>
    <row r="1090" spans="2:8">
      <c r="B1090" t="s">
        <v>463</v>
      </c>
      <c r="C1090" t="s">
        <v>257</v>
      </c>
      <c r="D1090">
        <v>2976</v>
      </c>
      <c r="E1090">
        <v>2978</v>
      </c>
      <c r="F1090">
        <v>2976</v>
      </c>
      <c r="G1090">
        <v>2976</v>
      </c>
      <c r="H1090">
        <v>17000</v>
      </c>
    </row>
    <row r="1091" spans="2:8">
      <c r="B1091" t="s">
        <v>463</v>
      </c>
      <c r="C1091" t="s">
        <v>258</v>
      </c>
      <c r="D1091">
        <v>2976</v>
      </c>
      <c r="E1091">
        <v>2977.5</v>
      </c>
      <c r="F1091">
        <v>2976</v>
      </c>
      <c r="G1091">
        <v>2977</v>
      </c>
      <c r="H1091">
        <v>13400</v>
      </c>
    </row>
    <row r="1092" spans="2:8">
      <c r="B1092" t="s">
        <v>463</v>
      </c>
      <c r="C1092" t="s">
        <v>259</v>
      </c>
      <c r="D1092">
        <v>2977</v>
      </c>
      <c r="E1092">
        <v>2977</v>
      </c>
      <c r="F1092">
        <v>2975</v>
      </c>
      <c r="G1092">
        <v>2976.5</v>
      </c>
      <c r="H1092">
        <v>25500</v>
      </c>
    </row>
    <row r="1093" spans="2:8">
      <c r="B1093" t="s">
        <v>463</v>
      </c>
      <c r="C1093" t="s">
        <v>260</v>
      </c>
      <c r="D1093">
        <v>2976.5</v>
      </c>
      <c r="E1093">
        <v>2977</v>
      </c>
      <c r="F1093">
        <v>2976.5</v>
      </c>
      <c r="G1093">
        <v>2977</v>
      </c>
      <c r="H1093">
        <v>7300</v>
      </c>
    </row>
    <row r="1094" spans="2:8">
      <c r="B1094" t="s">
        <v>463</v>
      </c>
      <c r="C1094" t="s">
        <v>261</v>
      </c>
      <c r="D1094">
        <v>2977</v>
      </c>
      <c r="E1094">
        <v>2977.5</v>
      </c>
      <c r="F1094">
        <v>2976.5</v>
      </c>
      <c r="G1094">
        <v>2977</v>
      </c>
      <c r="H1094">
        <v>16100</v>
      </c>
    </row>
    <row r="1095" spans="2:8">
      <c r="B1095" t="s">
        <v>463</v>
      </c>
      <c r="C1095" t="s">
        <v>262</v>
      </c>
      <c r="D1095">
        <v>2978</v>
      </c>
      <c r="E1095">
        <v>2978.5</v>
      </c>
      <c r="F1095">
        <v>2977.5</v>
      </c>
      <c r="G1095">
        <v>2978</v>
      </c>
      <c r="H1095">
        <v>17500</v>
      </c>
    </row>
    <row r="1096" spans="2:8">
      <c r="B1096" t="s">
        <v>463</v>
      </c>
      <c r="C1096" t="s">
        <v>263</v>
      </c>
      <c r="D1096">
        <v>2978</v>
      </c>
      <c r="E1096">
        <v>2978</v>
      </c>
      <c r="F1096">
        <v>2976.5</v>
      </c>
      <c r="G1096">
        <v>2977</v>
      </c>
      <c r="H1096">
        <v>16100</v>
      </c>
    </row>
    <row r="1097" spans="2:8">
      <c r="B1097" t="s">
        <v>463</v>
      </c>
      <c r="C1097" t="s">
        <v>264</v>
      </c>
      <c r="D1097">
        <v>2976.5</v>
      </c>
      <c r="E1097">
        <v>2976.5</v>
      </c>
      <c r="F1097">
        <v>2974.5</v>
      </c>
      <c r="G1097">
        <v>2975</v>
      </c>
      <c r="H1097">
        <v>17100</v>
      </c>
    </row>
    <row r="1098" spans="2:8">
      <c r="B1098" t="s">
        <v>463</v>
      </c>
      <c r="C1098" t="s">
        <v>265</v>
      </c>
      <c r="D1098">
        <v>2975</v>
      </c>
      <c r="E1098">
        <v>2975</v>
      </c>
      <c r="F1098">
        <v>2973</v>
      </c>
      <c r="G1098">
        <v>2973</v>
      </c>
      <c r="H1098">
        <v>13700</v>
      </c>
    </row>
    <row r="1099" spans="2:8">
      <c r="B1099" t="s">
        <v>463</v>
      </c>
      <c r="C1099" t="s">
        <v>266</v>
      </c>
      <c r="D1099">
        <v>2973.5</v>
      </c>
      <c r="E1099">
        <v>2974</v>
      </c>
      <c r="F1099">
        <v>2973.5</v>
      </c>
      <c r="G1099">
        <v>2973.5</v>
      </c>
      <c r="H1099">
        <v>7000</v>
      </c>
    </row>
    <row r="1100" spans="2:8">
      <c r="B1100" t="s">
        <v>463</v>
      </c>
      <c r="C1100" t="s">
        <v>267</v>
      </c>
      <c r="D1100">
        <v>2973.5</v>
      </c>
      <c r="E1100">
        <v>2975</v>
      </c>
      <c r="F1100">
        <v>2973</v>
      </c>
      <c r="G1100">
        <v>2975</v>
      </c>
      <c r="H1100">
        <v>10800</v>
      </c>
    </row>
    <row r="1101" spans="2:8">
      <c r="B1101" t="s">
        <v>463</v>
      </c>
      <c r="C1101" t="s">
        <v>268</v>
      </c>
      <c r="D1101">
        <v>2974.5</v>
      </c>
      <c r="E1101">
        <v>2975.5</v>
      </c>
      <c r="F1101">
        <v>2974.5</v>
      </c>
      <c r="G1101">
        <v>2975</v>
      </c>
      <c r="H1101">
        <v>7900</v>
      </c>
    </row>
    <row r="1102" spans="2:8">
      <c r="B1102" t="s">
        <v>463</v>
      </c>
      <c r="C1102" t="s">
        <v>269</v>
      </c>
      <c r="D1102">
        <v>2975</v>
      </c>
      <c r="E1102">
        <v>2975.5</v>
      </c>
      <c r="F1102">
        <v>2974</v>
      </c>
      <c r="G1102">
        <v>2975</v>
      </c>
      <c r="H1102">
        <v>25800</v>
      </c>
    </row>
    <row r="1103" spans="2:8">
      <c r="B1103" t="s">
        <v>463</v>
      </c>
      <c r="C1103" t="s">
        <v>270</v>
      </c>
      <c r="D1103">
        <v>2975</v>
      </c>
      <c r="E1103">
        <v>2975</v>
      </c>
      <c r="F1103">
        <v>2974.5</v>
      </c>
      <c r="G1103">
        <v>2975</v>
      </c>
      <c r="H1103">
        <v>9600</v>
      </c>
    </row>
    <row r="1104" spans="2:8">
      <c r="B1104" t="s">
        <v>463</v>
      </c>
      <c r="C1104" t="s">
        <v>271</v>
      </c>
      <c r="D1104">
        <v>2975.5</v>
      </c>
      <c r="E1104">
        <v>2976</v>
      </c>
      <c r="F1104">
        <v>2974.5</v>
      </c>
      <c r="G1104">
        <v>2976</v>
      </c>
      <c r="H1104">
        <v>20000</v>
      </c>
    </row>
    <row r="1105" spans="2:8">
      <c r="B1105" t="s">
        <v>463</v>
      </c>
      <c r="C1105" t="s">
        <v>272</v>
      </c>
      <c r="D1105">
        <v>2976</v>
      </c>
      <c r="E1105">
        <v>2977</v>
      </c>
      <c r="F1105">
        <v>2976</v>
      </c>
      <c r="G1105">
        <v>2976.5</v>
      </c>
      <c r="H1105">
        <v>12700</v>
      </c>
    </row>
    <row r="1106" spans="2:8">
      <c r="B1106" t="s">
        <v>463</v>
      </c>
      <c r="C1106" t="s">
        <v>273</v>
      </c>
      <c r="D1106">
        <v>2976.5</v>
      </c>
      <c r="E1106">
        <v>2977.5</v>
      </c>
      <c r="F1106">
        <v>2976.5</v>
      </c>
      <c r="G1106">
        <v>2977.5</v>
      </c>
      <c r="H1106">
        <v>11900</v>
      </c>
    </row>
    <row r="1107" spans="2:8">
      <c r="B1107" t="s">
        <v>463</v>
      </c>
      <c r="C1107" t="s">
        <v>274</v>
      </c>
      <c r="D1107">
        <v>2977</v>
      </c>
      <c r="E1107">
        <v>2977.5</v>
      </c>
      <c r="F1107">
        <v>2977</v>
      </c>
      <c r="G1107">
        <v>2977</v>
      </c>
      <c r="H1107">
        <v>6600</v>
      </c>
    </row>
    <row r="1108" spans="2:8">
      <c r="B1108" t="s">
        <v>463</v>
      </c>
      <c r="C1108" t="s">
        <v>275</v>
      </c>
      <c r="D1108">
        <v>2977</v>
      </c>
      <c r="E1108">
        <v>2977.5</v>
      </c>
      <c r="F1108">
        <v>2977</v>
      </c>
      <c r="G1108">
        <v>2977.5</v>
      </c>
      <c r="H1108">
        <v>6000</v>
      </c>
    </row>
    <row r="1109" spans="2:8">
      <c r="B1109" t="s">
        <v>463</v>
      </c>
      <c r="C1109" t="s">
        <v>276</v>
      </c>
      <c r="D1109">
        <v>2977</v>
      </c>
      <c r="E1109">
        <v>2977.5</v>
      </c>
      <c r="F1109">
        <v>2976.5</v>
      </c>
      <c r="G1109">
        <v>2977</v>
      </c>
      <c r="H1109">
        <v>15100</v>
      </c>
    </row>
    <row r="1110" spans="2:8">
      <c r="B1110" t="s">
        <v>463</v>
      </c>
      <c r="C1110" t="s">
        <v>277</v>
      </c>
      <c r="D1110">
        <v>2977</v>
      </c>
      <c r="E1110">
        <v>2977.5</v>
      </c>
      <c r="F1110">
        <v>2974.5</v>
      </c>
      <c r="G1110">
        <v>2975</v>
      </c>
      <c r="H1110">
        <v>20900</v>
      </c>
    </row>
    <row r="1111" spans="2:8">
      <c r="B1111" t="s">
        <v>463</v>
      </c>
      <c r="C1111" t="s">
        <v>278</v>
      </c>
      <c r="D1111">
        <v>2975</v>
      </c>
      <c r="E1111">
        <v>2975.5</v>
      </c>
      <c r="F1111">
        <v>2973.5</v>
      </c>
      <c r="G1111">
        <v>2973.5</v>
      </c>
      <c r="H1111">
        <v>15800</v>
      </c>
    </row>
    <row r="1112" spans="2:8">
      <c r="B1112" t="s">
        <v>463</v>
      </c>
      <c r="C1112" t="s">
        <v>279</v>
      </c>
      <c r="D1112">
        <v>2973.5</v>
      </c>
      <c r="E1112">
        <v>2973.5</v>
      </c>
      <c r="F1112">
        <v>2971.5</v>
      </c>
      <c r="G1112">
        <v>2972.5</v>
      </c>
      <c r="H1112">
        <v>10400</v>
      </c>
    </row>
    <row r="1113" spans="2:8">
      <c r="B1113" t="s">
        <v>463</v>
      </c>
      <c r="C1113" t="s">
        <v>280</v>
      </c>
      <c r="D1113">
        <v>2972.5</v>
      </c>
      <c r="E1113">
        <v>2973.5</v>
      </c>
      <c r="F1113">
        <v>2972.5</v>
      </c>
      <c r="G1113">
        <v>2973.5</v>
      </c>
      <c r="H1113">
        <v>10000</v>
      </c>
    </row>
    <row r="1114" spans="2:8">
      <c r="B1114" t="s">
        <v>463</v>
      </c>
      <c r="C1114" t="s">
        <v>281</v>
      </c>
      <c r="D1114">
        <v>2973.5</v>
      </c>
      <c r="E1114">
        <v>2974.5</v>
      </c>
      <c r="F1114">
        <v>2973.5</v>
      </c>
      <c r="G1114">
        <v>2974.5</v>
      </c>
      <c r="H1114">
        <v>3300</v>
      </c>
    </row>
    <row r="1115" spans="2:8">
      <c r="B1115" t="s">
        <v>463</v>
      </c>
      <c r="C1115" t="s">
        <v>282</v>
      </c>
      <c r="D1115">
        <v>2974.5</v>
      </c>
      <c r="E1115">
        <v>2974.5</v>
      </c>
      <c r="F1115">
        <v>2973.5</v>
      </c>
      <c r="G1115">
        <v>2973.5</v>
      </c>
      <c r="H1115">
        <v>9200</v>
      </c>
    </row>
    <row r="1116" spans="2:8">
      <c r="B1116" t="s">
        <v>463</v>
      </c>
      <c r="C1116" t="s">
        <v>283</v>
      </c>
      <c r="D1116">
        <v>2974</v>
      </c>
      <c r="E1116">
        <v>2974.5</v>
      </c>
      <c r="F1116">
        <v>2973.5</v>
      </c>
      <c r="G1116">
        <v>2974</v>
      </c>
      <c r="H1116">
        <v>8100</v>
      </c>
    </row>
    <row r="1117" spans="2:8">
      <c r="B1117" t="s">
        <v>463</v>
      </c>
      <c r="C1117" t="s">
        <v>284</v>
      </c>
      <c r="D1117">
        <v>2973.5</v>
      </c>
      <c r="E1117">
        <v>2973.5</v>
      </c>
      <c r="F1117">
        <v>2973</v>
      </c>
      <c r="G1117">
        <v>2973</v>
      </c>
      <c r="H1117">
        <v>10800</v>
      </c>
    </row>
    <row r="1118" spans="2:8">
      <c r="B1118" t="s">
        <v>463</v>
      </c>
      <c r="C1118" t="s">
        <v>285</v>
      </c>
      <c r="D1118">
        <v>2973.5</v>
      </c>
      <c r="E1118">
        <v>2974.5</v>
      </c>
      <c r="F1118">
        <v>2973.5</v>
      </c>
      <c r="G1118">
        <v>2974</v>
      </c>
      <c r="H1118">
        <v>14600</v>
      </c>
    </row>
    <row r="1119" spans="2:8">
      <c r="B1119" t="s">
        <v>463</v>
      </c>
      <c r="C1119" t="s">
        <v>286</v>
      </c>
      <c r="D1119">
        <v>2974</v>
      </c>
      <c r="E1119">
        <v>2975.5</v>
      </c>
      <c r="F1119">
        <v>2973</v>
      </c>
      <c r="G1119">
        <v>2975</v>
      </c>
      <c r="H1119">
        <v>14900</v>
      </c>
    </row>
    <row r="1120" spans="2:8">
      <c r="B1120" t="s">
        <v>463</v>
      </c>
      <c r="C1120" t="s">
        <v>287</v>
      </c>
      <c r="D1120">
        <v>2975</v>
      </c>
      <c r="E1120">
        <v>2975</v>
      </c>
      <c r="F1120">
        <v>2974</v>
      </c>
      <c r="G1120">
        <v>2974.5</v>
      </c>
      <c r="H1120">
        <v>9400</v>
      </c>
    </row>
    <row r="1121" spans="2:8">
      <c r="B1121" t="s">
        <v>463</v>
      </c>
      <c r="C1121" t="s">
        <v>288</v>
      </c>
      <c r="D1121">
        <v>2974.5</v>
      </c>
      <c r="E1121">
        <v>2976</v>
      </c>
      <c r="F1121">
        <v>2974</v>
      </c>
      <c r="G1121">
        <v>2976</v>
      </c>
      <c r="H1121">
        <v>17300</v>
      </c>
    </row>
    <row r="1122" spans="2:8">
      <c r="B1122" t="s">
        <v>463</v>
      </c>
      <c r="C1122" t="s">
        <v>289</v>
      </c>
      <c r="D1122">
        <v>2975.5</v>
      </c>
      <c r="E1122">
        <v>2976</v>
      </c>
      <c r="F1122">
        <v>2975.5</v>
      </c>
      <c r="G1122">
        <v>2975.5</v>
      </c>
      <c r="H1122">
        <v>8600</v>
      </c>
    </row>
    <row r="1123" spans="2:8">
      <c r="B1123" t="s">
        <v>463</v>
      </c>
      <c r="C1123" t="s">
        <v>290</v>
      </c>
      <c r="D1123">
        <v>2975.5</v>
      </c>
      <c r="E1123">
        <v>2976</v>
      </c>
      <c r="F1123">
        <v>2975.5</v>
      </c>
      <c r="G1123">
        <v>2976</v>
      </c>
      <c r="H1123">
        <v>3600</v>
      </c>
    </row>
    <row r="1124" spans="2:8">
      <c r="B1124" t="s">
        <v>463</v>
      </c>
      <c r="C1124" t="s">
        <v>291</v>
      </c>
      <c r="D1124">
        <v>2976</v>
      </c>
      <c r="E1124">
        <v>2977.5</v>
      </c>
      <c r="F1124">
        <v>2975.5</v>
      </c>
      <c r="G1124">
        <v>2976.5</v>
      </c>
      <c r="H1124">
        <v>19400</v>
      </c>
    </row>
    <row r="1125" spans="2:8">
      <c r="B1125" t="s">
        <v>463</v>
      </c>
      <c r="C1125" t="s">
        <v>292</v>
      </c>
      <c r="D1125">
        <v>2976</v>
      </c>
      <c r="E1125">
        <v>2976.5</v>
      </c>
      <c r="F1125">
        <v>2975.5</v>
      </c>
      <c r="G1125">
        <v>2975.5</v>
      </c>
      <c r="H1125">
        <v>8700</v>
      </c>
    </row>
    <row r="1126" spans="2:8">
      <c r="B1126" t="s">
        <v>463</v>
      </c>
      <c r="C1126" t="s">
        <v>293</v>
      </c>
      <c r="D1126">
        <v>2975</v>
      </c>
      <c r="E1126">
        <v>2976</v>
      </c>
      <c r="F1126">
        <v>2975</v>
      </c>
      <c r="G1126">
        <v>2976</v>
      </c>
      <c r="H1126">
        <v>4600</v>
      </c>
    </row>
    <row r="1127" spans="2:8">
      <c r="B1127" t="s">
        <v>463</v>
      </c>
      <c r="C1127" t="s">
        <v>294</v>
      </c>
      <c r="D1127">
        <v>2976.5</v>
      </c>
      <c r="E1127">
        <v>2976.5</v>
      </c>
      <c r="F1127">
        <v>2976</v>
      </c>
      <c r="G1127">
        <v>2976</v>
      </c>
      <c r="H1127">
        <v>6700</v>
      </c>
    </row>
    <row r="1128" spans="2:8">
      <c r="B1128" t="s">
        <v>463</v>
      </c>
      <c r="C1128" t="s">
        <v>295</v>
      </c>
      <c r="D1128">
        <v>2976.5</v>
      </c>
      <c r="E1128">
        <v>2976.5</v>
      </c>
      <c r="F1128">
        <v>2975.5</v>
      </c>
      <c r="G1128">
        <v>2975.5</v>
      </c>
      <c r="H1128">
        <v>4600</v>
      </c>
    </row>
    <row r="1129" spans="2:8">
      <c r="B1129" t="s">
        <v>463</v>
      </c>
      <c r="C1129" t="s">
        <v>296</v>
      </c>
      <c r="D1129">
        <v>2976</v>
      </c>
      <c r="E1129">
        <v>2976.5</v>
      </c>
      <c r="F1129">
        <v>2975.5</v>
      </c>
      <c r="G1129">
        <v>2976.5</v>
      </c>
      <c r="H1129">
        <v>14400</v>
      </c>
    </row>
    <row r="1130" spans="2:8">
      <c r="B1130" t="s">
        <v>463</v>
      </c>
      <c r="C1130" t="s">
        <v>297</v>
      </c>
      <c r="D1130">
        <v>2976</v>
      </c>
      <c r="E1130">
        <v>2976.5</v>
      </c>
      <c r="F1130">
        <v>2976</v>
      </c>
      <c r="G1130">
        <v>2976.5</v>
      </c>
      <c r="H1130">
        <v>3200</v>
      </c>
    </row>
    <row r="1131" spans="2:8">
      <c r="B1131" t="s">
        <v>463</v>
      </c>
      <c r="C1131" t="s">
        <v>298</v>
      </c>
      <c r="D1131">
        <v>2976.5</v>
      </c>
      <c r="E1131">
        <v>2977.5</v>
      </c>
      <c r="F1131">
        <v>2976.5</v>
      </c>
      <c r="G1131">
        <v>2977.5</v>
      </c>
      <c r="H1131">
        <v>10600</v>
      </c>
    </row>
    <row r="1132" spans="2:8">
      <c r="B1132" t="s">
        <v>463</v>
      </c>
      <c r="C1132" t="s">
        <v>299</v>
      </c>
      <c r="D1132">
        <v>2977</v>
      </c>
      <c r="E1132">
        <v>2977</v>
      </c>
      <c r="F1132">
        <v>2976.5</v>
      </c>
      <c r="G1132">
        <v>2976.5</v>
      </c>
      <c r="H1132">
        <v>10700</v>
      </c>
    </row>
    <row r="1133" spans="2:8">
      <c r="B1133" t="s">
        <v>463</v>
      </c>
      <c r="C1133" t="s">
        <v>300</v>
      </c>
      <c r="D1133">
        <v>2976.5</v>
      </c>
      <c r="E1133">
        <v>2976.5</v>
      </c>
      <c r="F1133">
        <v>2975.5</v>
      </c>
      <c r="G1133">
        <v>2976</v>
      </c>
      <c r="H1133">
        <v>10800</v>
      </c>
    </row>
    <row r="1134" spans="2:8">
      <c r="B1134" t="s">
        <v>463</v>
      </c>
      <c r="C1134" t="s">
        <v>301</v>
      </c>
      <c r="D1134">
        <v>2976.5</v>
      </c>
      <c r="E1134">
        <v>2976.5</v>
      </c>
      <c r="F1134">
        <v>2974.5</v>
      </c>
      <c r="G1134">
        <v>2975.5</v>
      </c>
      <c r="H1134">
        <v>12800</v>
      </c>
    </row>
    <row r="1135" spans="2:8">
      <c r="B1135" t="s">
        <v>463</v>
      </c>
      <c r="C1135" t="s">
        <v>302</v>
      </c>
      <c r="D1135">
        <v>2975.5</v>
      </c>
      <c r="E1135">
        <v>2975.5</v>
      </c>
      <c r="F1135">
        <v>2975</v>
      </c>
      <c r="G1135">
        <v>2975</v>
      </c>
      <c r="H1135">
        <v>1600</v>
      </c>
    </row>
    <row r="1136" spans="2:8">
      <c r="B1136" t="s">
        <v>463</v>
      </c>
      <c r="C1136" t="s">
        <v>303</v>
      </c>
      <c r="D1136">
        <v>2975</v>
      </c>
      <c r="E1136">
        <v>2975</v>
      </c>
      <c r="F1136">
        <v>2974</v>
      </c>
      <c r="G1136">
        <v>2974.5</v>
      </c>
      <c r="H1136">
        <v>13000</v>
      </c>
    </row>
    <row r="1137" spans="2:8">
      <c r="B1137" t="s">
        <v>463</v>
      </c>
      <c r="C1137" t="s">
        <v>304</v>
      </c>
      <c r="D1137">
        <v>2974.5</v>
      </c>
      <c r="E1137">
        <v>2974.5</v>
      </c>
      <c r="F1137">
        <v>2973.5</v>
      </c>
      <c r="G1137">
        <v>2973.5</v>
      </c>
      <c r="H1137">
        <v>8000</v>
      </c>
    </row>
    <row r="1138" spans="2:8">
      <c r="B1138" t="s">
        <v>463</v>
      </c>
      <c r="C1138" t="s">
        <v>305</v>
      </c>
      <c r="D1138">
        <v>2973.5</v>
      </c>
      <c r="E1138">
        <v>2974</v>
      </c>
      <c r="F1138">
        <v>2972.5</v>
      </c>
      <c r="G1138">
        <v>2973</v>
      </c>
      <c r="H1138">
        <v>14100</v>
      </c>
    </row>
    <row r="1139" spans="2:8">
      <c r="B1139" t="s">
        <v>463</v>
      </c>
      <c r="C1139" t="s">
        <v>306</v>
      </c>
      <c r="D1139">
        <v>2973</v>
      </c>
      <c r="E1139">
        <v>2975</v>
      </c>
      <c r="F1139">
        <v>2972.5</v>
      </c>
      <c r="G1139">
        <v>2975</v>
      </c>
      <c r="H1139">
        <v>22700</v>
      </c>
    </row>
    <row r="1140" spans="2:8">
      <c r="B1140" t="s">
        <v>463</v>
      </c>
      <c r="C1140" t="s">
        <v>307</v>
      </c>
      <c r="D1140">
        <v>2974.5</v>
      </c>
      <c r="E1140">
        <v>2975</v>
      </c>
      <c r="F1140">
        <v>2974.5</v>
      </c>
      <c r="G1140">
        <v>2974.5</v>
      </c>
      <c r="H1140">
        <v>6700</v>
      </c>
    </row>
    <row r="1141" spans="2:8">
      <c r="B1141" t="s">
        <v>463</v>
      </c>
      <c r="C1141" t="s">
        <v>308</v>
      </c>
      <c r="D1141">
        <v>2974.5</v>
      </c>
      <c r="E1141">
        <v>2976</v>
      </c>
      <c r="F1141">
        <v>2974.5</v>
      </c>
      <c r="G1141">
        <v>2975.5</v>
      </c>
      <c r="H1141">
        <v>14800</v>
      </c>
    </row>
    <row r="1142" spans="2:8">
      <c r="B1142" t="s">
        <v>463</v>
      </c>
      <c r="C1142" t="s">
        <v>309</v>
      </c>
      <c r="D1142">
        <v>2975.5</v>
      </c>
      <c r="E1142">
        <v>2976</v>
      </c>
      <c r="F1142">
        <v>2975</v>
      </c>
      <c r="G1142">
        <v>2976</v>
      </c>
      <c r="H1142">
        <v>9800</v>
      </c>
    </row>
    <row r="1143" spans="2:8">
      <c r="B1143" t="s">
        <v>463</v>
      </c>
      <c r="C1143" t="s">
        <v>310</v>
      </c>
      <c r="D1143">
        <v>2976</v>
      </c>
      <c r="E1143">
        <v>2978</v>
      </c>
      <c r="F1143">
        <v>2975.5</v>
      </c>
      <c r="G1143">
        <v>2978</v>
      </c>
      <c r="H1143">
        <v>15700</v>
      </c>
    </row>
    <row r="1144" spans="2:8">
      <c r="B1144" t="s">
        <v>463</v>
      </c>
      <c r="C1144" t="s">
        <v>311</v>
      </c>
      <c r="D1144">
        <v>2978</v>
      </c>
      <c r="E1144">
        <v>2978.5</v>
      </c>
      <c r="F1144">
        <v>2977.5</v>
      </c>
      <c r="G1144">
        <v>2977.5</v>
      </c>
      <c r="H1144">
        <v>16000</v>
      </c>
    </row>
    <row r="1145" spans="2:8">
      <c r="B1145" t="s">
        <v>463</v>
      </c>
      <c r="C1145" t="s">
        <v>312</v>
      </c>
      <c r="D1145">
        <v>2977.5</v>
      </c>
      <c r="E1145">
        <v>2978</v>
      </c>
      <c r="F1145">
        <v>2977.5</v>
      </c>
      <c r="G1145">
        <v>2978</v>
      </c>
      <c r="H1145">
        <v>5500</v>
      </c>
    </row>
    <row r="1146" spans="2:8">
      <c r="B1146" t="s">
        <v>463</v>
      </c>
      <c r="C1146" t="s">
        <v>313</v>
      </c>
      <c r="D1146">
        <v>2978.5</v>
      </c>
      <c r="E1146">
        <v>2979</v>
      </c>
      <c r="F1146">
        <v>2978.5</v>
      </c>
      <c r="G1146">
        <v>2978.5</v>
      </c>
      <c r="H1146">
        <v>8700</v>
      </c>
    </row>
    <row r="1147" spans="2:8">
      <c r="B1147" t="s">
        <v>463</v>
      </c>
      <c r="C1147" t="s">
        <v>314</v>
      </c>
      <c r="D1147">
        <v>2979</v>
      </c>
      <c r="E1147">
        <v>2979.5</v>
      </c>
      <c r="F1147">
        <v>2978.5</v>
      </c>
      <c r="G1147">
        <v>2979</v>
      </c>
      <c r="H1147">
        <v>8000</v>
      </c>
    </row>
    <row r="1148" spans="2:8">
      <c r="B1148" t="s">
        <v>463</v>
      </c>
      <c r="C1148" t="s">
        <v>315</v>
      </c>
      <c r="D1148">
        <v>2978.5</v>
      </c>
      <c r="E1148">
        <v>2979.5</v>
      </c>
      <c r="F1148">
        <v>2978</v>
      </c>
      <c r="G1148">
        <v>2978.5</v>
      </c>
      <c r="H1148">
        <v>12500</v>
      </c>
    </row>
    <row r="1149" spans="2:8">
      <c r="B1149" t="s">
        <v>463</v>
      </c>
      <c r="C1149" t="s">
        <v>316</v>
      </c>
      <c r="D1149">
        <v>2978.5</v>
      </c>
      <c r="E1149">
        <v>2978.5</v>
      </c>
      <c r="F1149">
        <v>2978.5</v>
      </c>
      <c r="G1149">
        <v>2978.5</v>
      </c>
      <c r="H1149">
        <v>4100</v>
      </c>
    </row>
    <row r="1150" spans="2:8">
      <c r="B1150" t="s">
        <v>463</v>
      </c>
      <c r="C1150" t="s">
        <v>317</v>
      </c>
      <c r="D1150">
        <v>2974</v>
      </c>
      <c r="E1150">
        <v>2981</v>
      </c>
      <c r="F1150">
        <v>2973.5</v>
      </c>
      <c r="G1150">
        <v>2980.5</v>
      </c>
      <c r="H1150">
        <v>173800</v>
      </c>
    </row>
    <row r="1151" spans="2:8">
      <c r="B1151" t="s">
        <v>463</v>
      </c>
      <c r="C1151" t="s">
        <v>318</v>
      </c>
      <c r="D1151">
        <v>2980.5</v>
      </c>
      <c r="E1151">
        <v>2982</v>
      </c>
      <c r="F1151">
        <v>2978.5</v>
      </c>
      <c r="G1151">
        <v>2981</v>
      </c>
      <c r="H1151">
        <v>40500</v>
      </c>
    </row>
    <row r="1152" spans="2:8">
      <c r="B1152" t="s">
        <v>463</v>
      </c>
      <c r="C1152" t="s">
        <v>319</v>
      </c>
      <c r="D1152">
        <v>2980.5</v>
      </c>
      <c r="E1152">
        <v>2983.5</v>
      </c>
      <c r="F1152">
        <v>2980</v>
      </c>
      <c r="G1152">
        <v>2983.5</v>
      </c>
      <c r="H1152">
        <v>29400</v>
      </c>
    </row>
    <row r="1153" spans="2:8">
      <c r="B1153" t="s">
        <v>463</v>
      </c>
      <c r="C1153" t="s">
        <v>320</v>
      </c>
      <c r="D1153">
        <v>2983.5</v>
      </c>
      <c r="E1153">
        <v>2985</v>
      </c>
      <c r="F1153">
        <v>2982</v>
      </c>
      <c r="G1153">
        <v>2983</v>
      </c>
      <c r="H1153">
        <v>42800</v>
      </c>
    </row>
    <row r="1154" spans="2:8">
      <c r="B1154" t="s">
        <v>463</v>
      </c>
      <c r="C1154" t="s">
        <v>321</v>
      </c>
      <c r="D1154">
        <v>2982.5</v>
      </c>
      <c r="E1154">
        <v>2984</v>
      </c>
      <c r="F1154">
        <v>2982.5</v>
      </c>
      <c r="G1154">
        <v>2983.5</v>
      </c>
      <c r="H1154">
        <v>13700</v>
      </c>
    </row>
    <row r="1155" spans="2:8">
      <c r="B1155" t="s">
        <v>463</v>
      </c>
      <c r="C1155" t="s">
        <v>322</v>
      </c>
      <c r="D1155">
        <v>2983</v>
      </c>
      <c r="E1155">
        <v>2983.5</v>
      </c>
      <c r="F1155">
        <v>2982.5</v>
      </c>
      <c r="G1155">
        <v>2983</v>
      </c>
      <c r="H1155">
        <v>18100</v>
      </c>
    </row>
    <row r="1156" spans="2:8">
      <c r="B1156" t="s">
        <v>463</v>
      </c>
      <c r="C1156" t="s">
        <v>323</v>
      </c>
      <c r="D1156">
        <v>2983</v>
      </c>
      <c r="E1156">
        <v>2983</v>
      </c>
      <c r="F1156">
        <v>2982.5</v>
      </c>
      <c r="G1156">
        <v>2983</v>
      </c>
      <c r="H1156">
        <v>14400</v>
      </c>
    </row>
    <row r="1157" spans="2:8">
      <c r="B1157" t="s">
        <v>463</v>
      </c>
      <c r="C1157" t="s">
        <v>324</v>
      </c>
      <c r="D1157">
        <v>2983</v>
      </c>
      <c r="E1157">
        <v>2983</v>
      </c>
      <c r="F1157">
        <v>2981</v>
      </c>
      <c r="G1157">
        <v>2981.5</v>
      </c>
      <c r="H1157">
        <v>31800</v>
      </c>
    </row>
    <row r="1158" spans="2:8">
      <c r="B1158" t="s">
        <v>463</v>
      </c>
      <c r="C1158" t="s">
        <v>325</v>
      </c>
      <c r="D1158">
        <v>2981</v>
      </c>
      <c r="E1158">
        <v>2982.5</v>
      </c>
      <c r="F1158">
        <v>2981</v>
      </c>
      <c r="G1158">
        <v>2981.5</v>
      </c>
      <c r="H1158">
        <v>14400</v>
      </c>
    </row>
    <row r="1159" spans="2:8">
      <c r="B1159" t="s">
        <v>463</v>
      </c>
      <c r="C1159" t="s">
        <v>326</v>
      </c>
      <c r="D1159">
        <v>2981.5</v>
      </c>
      <c r="E1159">
        <v>2981.5</v>
      </c>
      <c r="F1159">
        <v>2980.5</v>
      </c>
      <c r="G1159">
        <v>2981.5</v>
      </c>
      <c r="H1159">
        <v>42000</v>
      </c>
    </row>
    <row r="1160" spans="2:8">
      <c r="B1160" t="s">
        <v>463</v>
      </c>
      <c r="C1160" t="s">
        <v>327</v>
      </c>
      <c r="D1160">
        <v>2981.5</v>
      </c>
      <c r="E1160">
        <v>2981.5</v>
      </c>
      <c r="F1160">
        <v>2979</v>
      </c>
      <c r="G1160">
        <v>2979</v>
      </c>
      <c r="H1160">
        <v>33900</v>
      </c>
    </row>
    <row r="1161" spans="2:8">
      <c r="B1161" t="s">
        <v>463</v>
      </c>
      <c r="C1161" t="s">
        <v>328</v>
      </c>
      <c r="D1161">
        <v>2978.5</v>
      </c>
      <c r="E1161">
        <v>2979</v>
      </c>
      <c r="F1161">
        <v>2977.5</v>
      </c>
      <c r="G1161">
        <v>2978.5</v>
      </c>
      <c r="H1161">
        <v>13800</v>
      </c>
    </row>
    <row r="1162" spans="2:8">
      <c r="B1162" t="s">
        <v>463</v>
      </c>
      <c r="C1162" t="s">
        <v>329</v>
      </c>
      <c r="D1162">
        <v>2978.5</v>
      </c>
      <c r="E1162">
        <v>2978.5</v>
      </c>
      <c r="F1162">
        <v>2978</v>
      </c>
      <c r="G1162">
        <v>2978.5</v>
      </c>
      <c r="H1162">
        <v>1500</v>
      </c>
    </row>
    <row r="1163" spans="2:8">
      <c r="B1163" t="s">
        <v>463</v>
      </c>
      <c r="C1163" t="s">
        <v>330</v>
      </c>
      <c r="D1163">
        <v>2978.5</v>
      </c>
      <c r="E1163">
        <v>2978.5</v>
      </c>
      <c r="F1163">
        <v>2976.5</v>
      </c>
      <c r="G1163">
        <v>2977</v>
      </c>
      <c r="H1163">
        <v>21100</v>
      </c>
    </row>
    <row r="1164" spans="2:8">
      <c r="B1164" t="s">
        <v>463</v>
      </c>
      <c r="C1164" t="s">
        <v>331</v>
      </c>
      <c r="D1164">
        <v>2977</v>
      </c>
      <c r="E1164">
        <v>2978.5</v>
      </c>
      <c r="F1164">
        <v>2977</v>
      </c>
      <c r="G1164">
        <v>2978</v>
      </c>
      <c r="H1164">
        <v>8900</v>
      </c>
    </row>
    <row r="1165" spans="2:8">
      <c r="B1165" t="s">
        <v>463</v>
      </c>
      <c r="C1165" t="s">
        <v>332</v>
      </c>
      <c r="D1165">
        <v>2978</v>
      </c>
      <c r="E1165">
        <v>2979</v>
      </c>
      <c r="F1165">
        <v>2978</v>
      </c>
      <c r="G1165">
        <v>2979</v>
      </c>
      <c r="H1165">
        <v>13700</v>
      </c>
    </row>
    <row r="1166" spans="2:8">
      <c r="B1166" t="s">
        <v>463</v>
      </c>
      <c r="C1166" t="s">
        <v>333</v>
      </c>
      <c r="D1166">
        <v>2979</v>
      </c>
      <c r="E1166">
        <v>2981</v>
      </c>
      <c r="F1166">
        <v>2979</v>
      </c>
      <c r="G1166">
        <v>2980</v>
      </c>
      <c r="H1166">
        <v>12400</v>
      </c>
    </row>
    <row r="1167" spans="2:8">
      <c r="B1167" t="s">
        <v>463</v>
      </c>
      <c r="C1167" t="s">
        <v>334</v>
      </c>
      <c r="D1167">
        <v>2980</v>
      </c>
      <c r="E1167">
        <v>2980</v>
      </c>
      <c r="F1167">
        <v>2979.5</v>
      </c>
      <c r="G1167">
        <v>2979.5</v>
      </c>
      <c r="H1167">
        <v>13400</v>
      </c>
    </row>
    <row r="1168" spans="2:8">
      <c r="B1168" t="s">
        <v>463</v>
      </c>
      <c r="C1168" t="s">
        <v>335</v>
      </c>
      <c r="D1168">
        <v>2979.5</v>
      </c>
      <c r="E1168">
        <v>2980</v>
      </c>
      <c r="F1168">
        <v>2979.5</v>
      </c>
      <c r="G1168">
        <v>2980</v>
      </c>
      <c r="H1168">
        <v>5200</v>
      </c>
    </row>
    <row r="1169" spans="2:8">
      <c r="B1169" t="s">
        <v>463</v>
      </c>
      <c r="C1169" t="s">
        <v>336</v>
      </c>
      <c r="D1169">
        <v>2980</v>
      </c>
      <c r="E1169">
        <v>2980</v>
      </c>
      <c r="F1169">
        <v>2978</v>
      </c>
      <c r="G1169">
        <v>2978.5</v>
      </c>
      <c r="H1169">
        <v>20200</v>
      </c>
    </row>
    <row r="1170" spans="2:8">
      <c r="B1170" t="s">
        <v>463</v>
      </c>
      <c r="C1170" t="s">
        <v>337</v>
      </c>
      <c r="D1170">
        <v>2978.5</v>
      </c>
      <c r="E1170">
        <v>2978.5</v>
      </c>
      <c r="F1170">
        <v>2976.5</v>
      </c>
      <c r="G1170">
        <v>2976.5</v>
      </c>
      <c r="H1170">
        <v>7000</v>
      </c>
    </row>
    <row r="1171" spans="2:8">
      <c r="B1171" t="s">
        <v>463</v>
      </c>
      <c r="C1171" t="s">
        <v>338</v>
      </c>
      <c r="D1171">
        <v>2977</v>
      </c>
      <c r="E1171">
        <v>2977</v>
      </c>
      <c r="F1171">
        <v>2976</v>
      </c>
      <c r="G1171">
        <v>2976</v>
      </c>
      <c r="H1171">
        <v>14500</v>
      </c>
    </row>
    <row r="1172" spans="2:8">
      <c r="B1172" t="s">
        <v>463</v>
      </c>
      <c r="C1172" t="s">
        <v>339</v>
      </c>
      <c r="D1172">
        <v>2976</v>
      </c>
      <c r="E1172">
        <v>2977.5</v>
      </c>
      <c r="F1172">
        <v>2976</v>
      </c>
      <c r="G1172">
        <v>2977.5</v>
      </c>
      <c r="H1172">
        <v>10200</v>
      </c>
    </row>
    <row r="1173" spans="2:8">
      <c r="B1173" t="s">
        <v>463</v>
      </c>
      <c r="C1173" t="s">
        <v>340</v>
      </c>
      <c r="D1173">
        <v>2977.5</v>
      </c>
      <c r="E1173">
        <v>2978</v>
      </c>
      <c r="F1173">
        <v>2977</v>
      </c>
      <c r="G1173">
        <v>2978</v>
      </c>
      <c r="H1173">
        <v>9400</v>
      </c>
    </row>
    <row r="1174" spans="2:8">
      <c r="B1174" t="s">
        <v>463</v>
      </c>
      <c r="C1174" t="s">
        <v>341</v>
      </c>
      <c r="D1174">
        <v>2978</v>
      </c>
      <c r="E1174">
        <v>2978</v>
      </c>
      <c r="F1174">
        <v>2977.5</v>
      </c>
      <c r="G1174">
        <v>2978</v>
      </c>
      <c r="H1174">
        <v>7300</v>
      </c>
    </row>
    <row r="1175" spans="2:8">
      <c r="B1175" t="s">
        <v>463</v>
      </c>
      <c r="C1175" t="s">
        <v>342</v>
      </c>
      <c r="D1175">
        <v>2977.5</v>
      </c>
      <c r="E1175">
        <v>2978</v>
      </c>
      <c r="F1175">
        <v>2977.5</v>
      </c>
      <c r="G1175">
        <v>2978</v>
      </c>
      <c r="H1175">
        <v>5200</v>
      </c>
    </row>
    <row r="1176" spans="2:8">
      <c r="B1176" t="s">
        <v>463</v>
      </c>
      <c r="C1176" t="s">
        <v>343</v>
      </c>
      <c r="D1176">
        <v>2978</v>
      </c>
      <c r="E1176">
        <v>2978</v>
      </c>
      <c r="F1176">
        <v>2977.5</v>
      </c>
      <c r="G1176">
        <v>2978</v>
      </c>
      <c r="H1176">
        <v>9200</v>
      </c>
    </row>
    <row r="1177" spans="2:8">
      <c r="B1177" t="s">
        <v>463</v>
      </c>
      <c r="C1177" t="s">
        <v>344</v>
      </c>
      <c r="D1177">
        <v>2978</v>
      </c>
      <c r="E1177">
        <v>2978.5</v>
      </c>
      <c r="F1177">
        <v>2977.5</v>
      </c>
      <c r="G1177">
        <v>2978.5</v>
      </c>
      <c r="H1177">
        <v>9900</v>
      </c>
    </row>
    <row r="1178" spans="2:8">
      <c r="B1178" t="s">
        <v>463</v>
      </c>
      <c r="C1178" t="s">
        <v>345</v>
      </c>
      <c r="D1178">
        <v>2978.5</v>
      </c>
      <c r="E1178">
        <v>2979</v>
      </c>
      <c r="F1178">
        <v>2978</v>
      </c>
      <c r="G1178">
        <v>2978.5</v>
      </c>
      <c r="H1178">
        <v>21900</v>
      </c>
    </row>
    <row r="1179" spans="2:8">
      <c r="B1179" t="s">
        <v>463</v>
      </c>
      <c r="C1179" t="s">
        <v>346</v>
      </c>
      <c r="D1179">
        <v>2978.5</v>
      </c>
      <c r="E1179">
        <v>2981</v>
      </c>
      <c r="F1179">
        <v>2976.5</v>
      </c>
      <c r="G1179">
        <v>2979.5</v>
      </c>
      <c r="H1179">
        <v>52100</v>
      </c>
    </row>
    <row r="1180" spans="2:8">
      <c r="B1180" t="s">
        <v>463</v>
      </c>
      <c r="C1180" t="s">
        <v>347</v>
      </c>
      <c r="D1180">
        <v>2979</v>
      </c>
      <c r="E1180">
        <v>2990.5</v>
      </c>
      <c r="F1180">
        <v>2979</v>
      </c>
      <c r="G1180">
        <v>2979.5</v>
      </c>
      <c r="H1180">
        <v>144400</v>
      </c>
    </row>
    <row r="1181" spans="2:8">
      <c r="B1181" t="s">
        <v>463</v>
      </c>
      <c r="C1181" t="s">
        <v>348</v>
      </c>
      <c r="D1181">
        <v>2980.5</v>
      </c>
      <c r="E1181">
        <v>2983</v>
      </c>
      <c r="F1181">
        <v>2979.5</v>
      </c>
      <c r="G1181">
        <v>2981.5</v>
      </c>
      <c r="H1181">
        <v>38900</v>
      </c>
    </row>
    <row r="1182" spans="2:8">
      <c r="B1182" t="s">
        <v>463</v>
      </c>
      <c r="C1182" t="s">
        <v>349</v>
      </c>
      <c r="D1182">
        <v>2981.5</v>
      </c>
      <c r="E1182">
        <v>2983</v>
      </c>
      <c r="F1182">
        <v>2978.5</v>
      </c>
      <c r="G1182">
        <v>2981.5</v>
      </c>
      <c r="H1182">
        <v>44600</v>
      </c>
    </row>
    <row r="1183" spans="2:8">
      <c r="B1183" t="s">
        <v>463</v>
      </c>
      <c r="C1183" t="s">
        <v>350</v>
      </c>
      <c r="D1183">
        <v>2981</v>
      </c>
      <c r="E1183">
        <v>2985</v>
      </c>
      <c r="F1183">
        <v>2981</v>
      </c>
      <c r="G1183">
        <v>2984</v>
      </c>
      <c r="H1183">
        <v>19300</v>
      </c>
    </row>
    <row r="1184" spans="2:8">
      <c r="B1184" t="s">
        <v>463</v>
      </c>
      <c r="C1184" t="s">
        <v>351</v>
      </c>
      <c r="D1184">
        <v>2983.5</v>
      </c>
      <c r="E1184">
        <v>2986.5</v>
      </c>
      <c r="F1184">
        <v>2983.5</v>
      </c>
      <c r="G1184">
        <v>2985.5</v>
      </c>
      <c r="H1184">
        <v>20900</v>
      </c>
    </row>
    <row r="1185" spans="2:8">
      <c r="B1185" t="s">
        <v>463</v>
      </c>
      <c r="C1185" t="s">
        <v>352</v>
      </c>
      <c r="D1185">
        <v>2985.5</v>
      </c>
      <c r="E1185">
        <v>2985.5</v>
      </c>
      <c r="F1185">
        <v>2982</v>
      </c>
      <c r="G1185">
        <v>2982</v>
      </c>
      <c r="H1185">
        <v>25100</v>
      </c>
    </row>
    <row r="1186" spans="2:8">
      <c r="B1186" t="s">
        <v>463</v>
      </c>
      <c r="C1186" t="s">
        <v>353</v>
      </c>
      <c r="D1186">
        <v>2982</v>
      </c>
      <c r="E1186">
        <v>2983</v>
      </c>
      <c r="F1186">
        <v>2981.5</v>
      </c>
      <c r="G1186">
        <v>2983</v>
      </c>
      <c r="H1186">
        <v>13700</v>
      </c>
    </row>
    <row r="1187" spans="2:8">
      <c r="B1187" t="s">
        <v>463</v>
      </c>
      <c r="C1187" t="s">
        <v>354</v>
      </c>
      <c r="D1187">
        <v>2982.5</v>
      </c>
      <c r="E1187">
        <v>2983</v>
      </c>
      <c r="F1187">
        <v>2980.5</v>
      </c>
      <c r="G1187">
        <v>2980.5</v>
      </c>
      <c r="H1187">
        <v>21300</v>
      </c>
    </row>
    <row r="1188" spans="2:8">
      <c r="B1188" t="s">
        <v>463</v>
      </c>
      <c r="C1188" t="s">
        <v>355</v>
      </c>
      <c r="D1188">
        <v>2980</v>
      </c>
      <c r="E1188">
        <v>2980</v>
      </c>
      <c r="F1188">
        <v>2977.5</v>
      </c>
      <c r="G1188">
        <v>2978.5</v>
      </c>
      <c r="H1188">
        <v>23700</v>
      </c>
    </row>
    <row r="1189" spans="2:8">
      <c r="B1189" t="s">
        <v>463</v>
      </c>
      <c r="C1189" t="s">
        <v>356</v>
      </c>
      <c r="D1189">
        <v>2978</v>
      </c>
      <c r="E1189">
        <v>2979</v>
      </c>
      <c r="F1189">
        <v>2977</v>
      </c>
      <c r="G1189">
        <v>2978</v>
      </c>
      <c r="H1189">
        <v>13900</v>
      </c>
    </row>
    <row r="1190" spans="2:8">
      <c r="B1190" t="s">
        <v>463</v>
      </c>
      <c r="C1190" t="s">
        <v>357</v>
      </c>
      <c r="D1190">
        <v>2978</v>
      </c>
      <c r="E1190">
        <v>2978</v>
      </c>
      <c r="F1190">
        <v>2976</v>
      </c>
      <c r="G1190">
        <v>2977</v>
      </c>
      <c r="H1190">
        <v>13100</v>
      </c>
    </row>
    <row r="1191" spans="2:8">
      <c r="B1191" t="s">
        <v>463</v>
      </c>
      <c r="C1191" t="s">
        <v>358</v>
      </c>
      <c r="D1191">
        <v>2976.5</v>
      </c>
      <c r="E1191">
        <v>2977.5</v>
      </c>
      <c r="F1191">
        <v>2975</v>
      </c>
      <c r="G1191">
        <v>2976.5</v>
      </c>
      <c r="H1191">
        <v>27900</v>
      </c>
    </row>
    <row r="1192" spans="2:8">
      <c r="B1192" t="s">
        <v>463</v>
      </c>
      <c r="C1192" t="s">
        <v>359</v>
      </c>
      <c r="D1192">
        <v>2977</v>
      </c>
      <c r="E1192">
        <v>2978</v>
      </c>
      <c r="F1192">
        <v>2977</v>
      </c>
      <c r="G1192">
        <v>2977</v>
      </c>
      <c r="H1192">
        <v>12000</v>
      </c>
    </row>
    <row r="1193" spans="2:8">
      <c r="B1193" t="s">
        <v>463</v>
      </c>
      <c r="C1193" t="s">
        <v>360</v>
      </c>
      <c r="D1193">
        <v>2977.5</v>
      </c>
      <c r="E1193">
        <v>2978</v>
      </c>
      <c r="F1193">
        <v>2977</v>
      </c>
      <c r="G1193">
        <v>2978</v>
      </c>
      <c r="H1193">
        <v>7000</v>
      </c>
    </row>
    <row r="1194" spans="2:8">
      <c r="B1194" t="s">
        <v>463</v>
      </c>
      <c r="C1194" t="s">
        <v>361</v>
      </c>
      <c r="D1194">
        <v>2978</v>
      </c>
      <c r="E1194">
        <v>2978</v>
      </c>
      <c r="F1194">
        <v>2976</v>
      </c>
      <c r="G1194">
        <v>2976</v>
      </c>
      <c r="H1194">
        <v>18500</v>
      </c>
    </row>
    <row r="1195" spans="2:8">
      <c r="B1195" t="s">
        <v>463</v>
      </c>
      <c r="C1195" t="s">
        <v>362</v>
      </c>
      <c r="D1195">
        <v>2976.5</v>
      </c>
      <c r="E1195">
        <v>2976.5</v>
      </c>
      <c r="F1195">
        <v>2973</v>
      </c>
      <c r="G1195">
        <v>2973.5</v>
      </c>
      <c r="H1195">
        <v>30600</v>
      </c>
    </row>
    <row r="1196" spans="2:8">
      <c r="B1196" t="s">
        <v>463</v>
      </c>
      <c r="C1196" t="s">
        <v>363</v>
      </c>
      <c r="D1196">
        <v>2973.5</v>
      </c>
      <c r="E1196">
        <v>2974.5</v>
      </c>
      <c r="F1196">
        <v>2973</v>
      </c>
      <c r="G1196">
        <v>2974.5</v>
      </c>
      <c r="H1196">
        <v>8400</v>
      </c>
    </row>
    <row r="1197" spans="2:8">
      <c r="B1197" t="s">
        <v>463</v>
      </c>
      <c r="C1197" t="s">
        <v>364</v>
      </c>
      <c r="D1197">
        <v>2974.5</v>
      </c>
      <c r="E1197">
        <v>2975</v>
      </c>
      <c r="F1197">
        <v>2974</v>
      </c>
      <c r="G1197">
        <v>2974</v>
      </c>
      <c r="H1197">
        <v>13000</v>
      </c>
    </row>
    <row r="1198" spans="2:8">
      <c r="B1198" t="s">
        <v>463</v>
      </c>
      <c r="C1198" t="s">
        <v>365</v>
      </c>
      <c r="D1198">
        <v>2974</v>
      </c>
      <c r="E1198">
        <v>2974.5</v>
      </c>
      <c r="F1198">
        <v>2973.5</v>
      </c>
      <c r="G1198">
        <v>2974</v>
      </c>
      <c r="H1198">
        <v>11500</v>
      </c>
    </row>
    <row r="1199" spans="2:8">
      <c r="B1199" t="s">
        <v>463</v>
      </c>
      <c r="C1199" t="s">
        <v>366</v>
      </c>
      <c r="D1199">
        <v>2974</v>
      </c>
      <c r="E1199">
        <v>2975</v>
      </c>
      <c r="F1199">
        <v>2974</v>
      </c>
      <c r="G1199">
        <v>2975</v>
      </c>
      <c r="H1199">
        <v>7800</v>
      </c>
    </row>
    <row r="1200" spans="2:8">
      <c r="B1200" t="s">
        <v>463</v>
      </c>
      <c r="C1200" t="s">
        <v>367</v>
      </c>
      <c r="D1200">
        <v>2975</v>
      </c>
      <c r="E1200">
        <v>2976.5</v>
      </c>
      <c r="F1200">
        <v>2975</v>
      </c>
      <c r="G1200">
        <v>2976.5</v>
      </c>
      <c r="H1200">
        <v>13900</v>
      </c>
    </row>
    <row r="1201" spans="2:8">
      <c r="B1201" t="s">
        <v>463</v>
      </c>
      <c r="C1201" t="s">
        <v>368</v>
      </c>
      <c r="D1201">
        <v>2976</v>
      </c>
      <c r="E1201">
        <v>2977</v>
      </c>
      <c r="F1201">
        <v>2976</v>
      </c>
      <c r="G1201">
        <v>2976.5</v>
      </c>
      <c r="H1201">
        <v>8300</v>
      </c>
    </row>
    <row r="1202" spans="2:8">
      <c r="B1202" t="s">
        <v>463</v>
      </c>
      <c r="C1202" t="s">
        <v>369</v>
      </c>
      <c r="D1202">
        <v>2976.5</v>
      </c>
      <c r="E1202">
        <v>2978</v>
      </c>
      <c r="F1202">
        <v>2976.5</v>
      </c>
      <c r="G1202">
        <v>2978</v>
      </c>
      <c r="H1202">
        <v>27400</v>
      </c>
    </row>
    <row r="1203" spans="2:8">
      <c r="B1203" t="s">
        <v>463</v>
      </c>
      <c r="C1203" t="s">
        <v>370</v>
      </c>
      <c r="D1203">
        <v>2978</v>
      </c>
      <c r="E1203">
        <v>2978.5</v>
      </c>
      <c r="F1203">
        <v>2978</v>
      </c>
      <c r="G1203">
        <v>2978.5</v>
      </c>
      <c r="H1203">
        <v>8000</v>
      </c>
    </row>
    <row r="1204" spans="2:8">
      <c r="B1204" t="s">
        <v>463</v>
      </c>
      <c r="C1204" t="s">
        <v>371</v>
      </c>
      <c r="D1204">
        <v>2978</v>
      </c>
      <c r="E1204">
        <v>2980.5</v>
      </c>
      <c r="F1204">
        <v>2978</v>
      </c>
      <c r="G1204">
        <v>2979.5</v>
      </c>
      <c r="H1204">
        <v>25900</v>
      </c>
    </row>
    <row r="1205" spans="2:8">
      <c r="B1205" t="s">
        <v>463</v>
      </c>
      <c r="C1205" t="s">
        <v>372</v>
      </c>
      <c r="D1205">
        <v>2979.5</v>
      </c>
      <c r="E1205">
        <v>2979.5</v>
      </c>
      <c r="F1205">
        <v>2978.5</v>
      </c>
      <c r="G1205">
        <v>2978.5</v>
      </c>
      <c r="H1205">
        <v>11700</v>
      </c>
    </row>
    <row r="1206" spans="2:8">
      <c r="B1206" t="s">
        <v>463</v>
      </c>
      <c r="C1206" t="s">
        <v>373</v>
      </c>
      <c r="D1206">
        <v>2979</v>
      </c>
      <c r="E1206">
        <v>2979.5</v>
      </c>
      <c r="F1206">
        <v>2977.5</v>
      </c>
      <c r="G1206">
        <v>2978</v>
      </c>
      <c r="H1206">
        <v>16300</v>
      </c>
    </row>
    <row r="1207" spans="2:8">
      <c r="B1207" t="s">
        <v>463</v>
      </c>
      <c r="C1207" t="s">
        <v>374</v>
      </c>
      <c r="D1207">
        <v>2978</v>
      </c>
      <c r="E1207">
        <v>2979.5</v>
      </c>
      <c r="F1207">
        <v>2978</v>
      </c>
      <c r="G1207">
        <v>2979</v>
      </c>
      <c r="H1207">
        <v>13600</v>
      </c>
    </row>
    <row r="1208" spans="2:8">
      <c r="B1208" t="s">
        <v>463</v>
      </c>
      <c r="C1208" t="s">
        <v>375</v>
      </c>
      <c r="D1208">
        <v>2979</v>
      </c>
      <c r="E1208">
        <v>2979.5</v>
      </c>
      <c r="F1208">
        <v>2978</v>
      </c>
      <c r="G1208">
        <v>2978</v>
      </c>
      <c r="H1208">
        <v>7100</v>
      </c>
    </row>
    <row r="1209" spans="2:8">
      <c r="B1209" t="s">
        <v>463</v>
      </c>
      <c r="C1209" t="s">
        <v>376</v>
      </c>
      <c r="D1209">
        <v>2978</v>
      </c>
      <c r="E1209">
        <v>2978.5</v>
      </c>
      <c r="F1209">
        <v>2977.5</v>
      </c>
      <c r="G1209">
        <v>2978</v>
      </c>
      <c r="H1209">
        <v>14700</v>
      </c>
    </row>
    <row r="1210" spans="2:8">
      <c r="B1210" t="s">
        <v>463</v>
      </c>
      <c r="C1210" t="s">
        <v>377</v>
      </c>
      <c r="D1210">
        <v>2978</v>
      </c>
      <c r="E1210">
        <v>2978.5</v>
      </c>
      <c r="F1210">
        <v>2977</v>
      </c>
      <c r="G1210">
        <v>2978.5</v>
      </c>
      <c r="H1210">
        <v>11600</v>
      </c>
    </row>
    <row r="1211" spans="2:8">
      <c r="B1211" t="s">
        <v>463</v>
      </c>
      <c r="C1211" t="s">
        <v>378</v>
      </c>
      <c r="D1211">
        <v>2978</v>
      </c>
      <c r="E1211">
        <v>2979.5</v>
      </c>
      <c r="F1211">
        <v>2977.5</v>
      </c>
      <c r="G1211">
        <v>2979</v>
      </c>
      <c r="H1211">
        <v>10700</v>
      </c>
    </row>
    <row r="1212" spans="2:8">
      <c r="B1212" t="s">
        <v>463</v>
      </c>
      <c r="C1212" t="s">
        <v>379</v>
      </c>
      <c r="D1212">
        <v>2979.5</v>
      </c>
      <c r="E1212">
        <v>2979.5</v>
      </c>
      <c r="F1212">
        <v>2977.5</v>
      </c>
      <c r="G1212">
        <v>2977.5</v>
      </c>
      <c r="H1212">
        <v>12100</v>
      </c>
    </row>
    <row r="1213" spans="2:8">
      <c r="B1213" t="s">
        <v>463</v>
      </c>
      <c r="C1213" t="s">
        <v>380</v>
      </c>
      <c r="D1213">
        <v>2977.5</v>
      </c>
      <c r="E1213">
        <v>2978.5</v>
      </c>
      <c r="F1213">
        <v>2977</v>
      </c>
      <c r="G1213">
        <v>2978</v>
      </c>
      <c r="H1213">
        <v>7000</v>
      </c>
    </row>
    <row r="1214" spans="2:8">
      <c r="B1214" t="s">
        <v>463</v>
      </c>
      <c r="C1214" t="s">
        <v>381</v>
      </c>
      <c r="D1214">
        <v>2978</v>
      </c>
      <c r="E1214">
        <v>2979.5</v>
      </c>
      <c r="F1214">
        <v>2978</v>
      </c>
      <c r="G1214">
        <v>2979.5</v>
      </c>
      <c r="H1214">
        <v>15400</v>
      </c>
    </row>
    <row r="1215" spans="2:8">
      <c r="B1215" t="s">
        <v>463</v>
      </c>
      <c r="C1215" t="s">
        <v>382</v>
      </c>
      <c r="D1215">
        <v>2979</v>
      </c>
      <c r="E1215">
        <v>2979.5</v>
      </c>
      <c r="F1215">
        <v>2978</v>
      </c>
      <c r="G1215">
        <v>2978.5</v>
      </c>
      <c r="H1215">
        <v>11500</v>
      </c>
    </row>
    <row r="1216" spans="2:8">
      <c r="B1216" t="s">
        <v>463</v>
      </c>
      <c r="C1216" t="s">
        <v>383</v>
      </c>
      <c r="D1216">
        <v>2979</v>
      </c>
      <c r="E1216">
        <v>2979.5</v>
      </c>
      <c r="F1216">
        <v>2978.5</v>
      </c>
      <c r="G1216">
        <v>2979</v>
      </c>
      <c r="H1216">
        <v>4200</v>
      </c>
    </row>
    <row r="1217" spans="2:8">
      <c r="B1217" t="s">
        <v>463</v>
      </c>
      <c r="C1217" t="s">
        <v>384</v>
      </c>
      <c r="D1217">
        <v>2979</v>
      </c>
      <c r="E1217">
        <v>2979</v>
      </c>
      <c r="F1217">
        <v>2979</v>
      </c>
      <c r="G1217">
        <v>2979</v>
      </c>
      <c r="H1217">
        <v>9800</v>
      </c>
    </row>
    <row r="1218" spans="2:8">
      <c r="B1218" t="s">
        <v>463</v>
      </c>
      <c r="C1218" t="s">
        <v>385</v>
      </c>
      <c r="D1218">
        <v>2978.5</v>
      </c>
      <c r="E1218">
        <v>2980.5</v>
      </c>
      <c r="F1218">
        <v>2978.5</v>
      </c>
      <c r="G1218">
        <v>2980</v>
      </c>
      <c r="H1218">
        <v>16300</v>
      </c>
    </row>
    <row r="1219" spans="2:8">
      <c r="B1219" t="s">
        <v>463</v>
      </c>
      <c r="C1219" t="s">
        <v>386</v>
      </c>
      <c r="D1219">
        <v>2980</v>
      </c>
      <c r="E1219">
        <v>2981</v>
      </c>
      <c r="F1219">
        <v>2980</v>
      </c>
      <c r="G1219">
        <v>2981</v>
      </c>
      <c r="H1219">
        <v>6900</v>
      </c>
    </row>
    <row r="1220" spans="2:8">
      <c r="B1220" t="s">
        <v>463</v>
      </c>
      <c r="C1220" t="s">
        <v>387</v>
      </c>
      <c r="D1220">
        <v>2980.5</v>
      </c>
      <c r="E1220">
        <v>2981</v>
      </c>
      <c r="F1220">
        <v>2980</v>
      </c>
      <c r="G1220">
        <v>2980.5</v>
      </c>
      <c r="H1220">
        <v>12600</v>
      </c>
    </row>
    <row r="1221" spans="2:8">
      <c r="B1221" t="s">
        <v>463</v>
      </c>
      <c r="C1221" t="s">
        <v>388</v>
      </c>
      <c r="D1221">
        <v>2980</v>
      </c>
      <c r="E1221">
        <v>2980</v>
      </c>
      <c r="F1221">
        <v>2979.5</v>
      </c>
      <c r="G1221">
        <v>2980</v>
      </c>
      <c r="H1221">
        <v>14200</v>
      </c>
    </row>
    <row r="1222" spans="2:8">
      <c r="B1222" t="s">
        <v>463</v>
      </c>
      <c r="C1222" t="s">
        <v>389</v>
      </c>
      <c r="D1222">
        <v>2980</v>
      </c>
      <c r="E1222">
        <v>2981</v>
      </c>
      <c r="F1222">
        <v>2980</v>
      </c>
      <c r="G1222">
        <v>2981</v>
      </c>
      <c r="H1222">
        <v>20800</v>
      </c>
    </row>
    <row r="1223" spans="2:8">
      <c r="B1223" t="s">
        <v>463</v>
      </c>
      <c r="C1223" t="s">
        <v>390</v>
      </c>
      <c r="D1223">
        <v>2980.5</v>
      </c>
      <c r="E1223">
        <v>2980.5</v>
      </c>
      <c r="F1223">
        <v>2980</v>
      </c>
      <c r="G1223">
        <v>2980.5</v>
      </c>
      <c r="H1223">
        <v>5600</v>
      </c>
    </row>
    <row r="1224" spans="2:8">
      <c r="B1224" t="s">
        <v>463</v>
      </c>
      <c r="C1224" t="s">
        <v>391</v>
      </c>
      <c r="D1224">
        <v>2980.5</v>
      </c>
      <c r="E1224">
        <v>2980.5</v>
      </c>
      <c r="F1224">
        <v>2979.5</v>
      </c>
      <c r="G1224">
        <v>2979.5</v>
      </c>
      <c r="H1224">
        <v>11100</v>
      </c>
    </row>
    <row r="1225" spans="2:8">
      <c r="B1225" t="s">
        <v>463</v>
      </c>
      <c r="C1225" t="s">
        <v>392</v>
      </c>
      <c r="D1225">
        <v>2979.5</v>
      </c>
      <c r="E1225">
        <v>2979.5</v>
      </c>
      <c r="F1225">
        <v>2978</v>
      </c>
      <c r="G1225">
        <v>2978</v>
      </c>
      <c r="H1225">
        <v>16400</v>
      </c>
    </row>
    <row r="1226" spans="2:8">
      <c r="B1226" t="s">
        <v>463</v>
      </c>
      <c r="C1226" t="s">
        <v>393</v>
      </c>
      <c r="D1226">
        <v>2978</v>
      </c>
      <c r="E1226">
        <v>2979</v>
      </c>
      <c r="F1226">
        <v>2978</v>
      </c>
      <c r="G1226">
        <v>2979</v>
      </c>
      <c r="H1226">
        <v>5000</v>
      </c>
    </row>
    <row r="1227" spans="2:8">
      <c r="B1227" t="s">
        <v>463</v>
      </c>
      <c r="C1227" t="s">
        <v>394</v>
      </c>
      <c r="D1227">
        <v>2978.5</v>
      </c>
      <c r="E1227">
        <v>2979</v>
      </c>
      <c r="F1227">
        <v>2978.5</v>
      </c>
      <c r="G1227">
        <v>2979</v>
      </c>
      <c r="H1227">
        <v>1200</v>
      </c>
    </row>
    <row r="1228" spans="2:8">
      <c r="B1228" t="s">
        <v>463</v>
      </c>
      <c r="C1228" t="s">
        <v>395</v>
      </c>
      <c r="D1228">
        <v>2979</v>
      </c>
      <c r="E1228">
        <v>2979.5</v>
      </c>
      <c r="F1228">
        <v>2978.5</v>
      </c>
      <c r="G1228">
        <v>2979.5</v>
      </c>
      <c r="H1228">
        <v>11500</v>
      </c>
    </row>
    <row r="1229" spans="2:8">
      <c r="B1229" t="s">
        <v>463</v>
      </c>
      <c r="C1229" t="s">
        <v>396</v>
      </c>
      <c r="D1229">
        <v>2980</v>
      </c>
      <c r="E1229">
        <v>2980.5</v>
      </c>
      <c r="F1229">
        <v>2978</v>
      </c>
      <c r="G1229">
        <v>2978</v>
      </c>
      <c r="H1229">
        <v>23500</v>
      </c>
    </row>
    <row r="1230" spans="2:8">
      <c r="B1230" t="s">
        <v>463</v>
      </c>
      <c r="C1230" t="s">
        <v>397</v>
      </c>
      <c r="D1230">
        <v>2978</v>
      </c>
      <c r="E1230">
        <v>2978.5</v>
      </c>
      <c r="F1230">
        <v>2977.5</v>
      </c>
      <c r="G1230">
        <v>2977.5</v>
      </c>
      <c r="H1230">
        <v>4000</v>
      </c>
    </row>
    <row r="1231" spans="2:8">
      <c r="B1231" t="s">
        <v>463</v>
      </c>
      <c r="C1231" t="s">
        <v>398</v>
      </c>
      <c r="D1231">
        <v>2977.5</v>
      </c>
      <c r="E1231">
        <v>2977.5</v>
      </c>
      <c r="F1231">
        <v>2976</v>
      </c>
      <c r="G1231">
        <v>2977</v>
      </c>
      <c r="H1231">
        <v>15500</v>
      </c>
    </row>
    <row r="1232" spans="2:8">
      <c r="B1232" t="s">
        <v>463</v>
      </c>
      <c r="C1232" t="s">
        <v>399</v>
      </c>
      <c r="D1232">
        <v>2977</v>
      </c>
      <c r="E1232">
        <v>2977</v>
      </c>
      <c r="F1232">
        <v>2976</v>
      </c>
      <c r="G1232">
        <v>2976.5</v>
      </c>
      <c r="H1232">
        <v>18100</v>
      </c>
    </row>
    <row r="1233" spans="2:8">
      <c r="B1233" t="s">
        <v>463</v>
      </c>
      <c r="C1233" t="s">
        <v>400</v>
      </c>
      <c r="D1233">
        <v>2977</v>
      </c>
      <c r="E1233">
        <v>2977</v>
      </c>
      <c r="F1233">
        <v>2976.5</v>
      </c>
      <c r="G1233">
        <v>2977</v>
      </c>
      <c r="H1233">
        <v>6600</v>
      </c>
    </row>
    <row r="1234" spans="2:8">
      <c r="B1234" t="s">
        <v>463</v>
      </c>
      <c r="C1234" t="s">
        <v>401</v>
      </c>
      <c r="D1234">
        <v>2977</v>
      </c>
      <c r="E1234">
        <v>2977</v>
      </c>
      <c r="F1234">
        <v>2976</v>
      </c>
      <c r="G1234">
        <v>2976</v>
      </c>
      <c r="H1234">
        <v>11600</v>
      </c>
    </row>
    <row r="1235" spans="2:8">
      <c r="B1235" t="s">
        <v>463</v>
      </c>
      <c r="C1235" t="s">
        <v>402</v>
      </c>
      <c r="D1235">
        <v>2976</v>
      </c>
      <c r="E1235">
        <v>2976</v>
      </c>
      <c r="F1235">
        <v>2975</v>
      </c>
      <c r="G1235">
        <v>2975.5</v>
      </c>
      <c r="H1235">
        <v>21700</v>
      </c>
    </row>
    <row r="1236" spans="2:8">
      <c r="B1236" t="s">
        <v>463</v>
      </c>
      <c r="C1236" t="s">
        <v>403</v>
      </c>
      <c r="D1236">
        <v>2976</v>
      </c>
      <c r="E1236">
        <v>2976</v>
      </c>
      <c r="F1236">
        <v>2975</v>
      </c>
      <c r="G1236">
        <v>2975</v>
      </c>
      <c r="H1236">
        <v>11800</v>
      </c>
    </row>
    <row r="1237" spans="2:8">
      <c r="B1237" t="s">
        <v>463</v>
      </c>
      <c r="C1237" t="s">
        <v>404</v>
      </c>
      <c r="D1237">
        <v>2975</v>
      </c>
      <c r="E1237">
        <v>2977.5</v>
      </c>
      <c r="F1237">
        <v>2975</v>
      </c>
      <c r="G1237">
        <v>2977.5</v>
      </c>
      <c r="H1237">
        <v>14100</v>
      </c>
    </row>
    <row r="1238" spans="2:8">
      <c r="B1238" t="s">
        <v>463</v>
      </c>
      <c r="C1238" t="s">
        <v>405</v>
      </c>
      <c r="D1238">
        <v>2977.5</v>
      </c>
      <c r="E1238">
        <v>2978.5</v>
      </c>
      <c r="F1238">
        <v>2977.5</v>
      </c>
      <c r="G1238">
        <v>2978.5</v>
      </c>
      <c r="H1238">
        <v>4100</v>
      </c>
    </row>
    <row r="1239" spans="2:8">
      <c r="B1239" t="s">
        <v>463</v>
      </c>
      <c r="C1239" t="s">
        <v>406</v>
      </c>
      <c r="D1239">
        <v>2978.5</v>
      </c>
      <c r="E1239">
        <v>2979.5</v>
      </c>
      <c r="F1239">
        <v>2978.5</v>
      </c>
      <c r="G1239">
        <v>2979</v>
      </c>
      <c r="H1239">
        <v>12400</v>
      </c>
    </row>
    <row r="1240" spans="2:8">
      <c r="B1240" t="s">
        <v>463</v>
      </c>
      <c r="C1240" t="s">
        <v>407</v>
      </c>
      <c r="D1240">
        <v>2979</v>
      </c>
      <c r="E1240">
        <v>2979.5</v>
      </c>
      <c r="F1240">
        <v>2977</v>
      </c>
      <c r="G1240">
        <v>2978</v>
      </c>
      <c r="H1240">
        <v>28400</v>
      </c>
    </row>
    <row r="1241" spans="2:8">
      <c r="B1241" t="s">
        <v>463</v>
      </c>
      <c r="C1241" t="s">
        <v>408</v>
      </c>
      <c r="D1241">
        <v>2977.5</v>
      </c>
      <c r="E1241">
        <v>2977.5</v>
      </c>
      <c r="F1241">
        <v>2976</v>
      </c>
      <c r="G1241">
        <v>2976.5</v>
      </c>
      <c r="H1241">
        <v>15700</v>
      </c>
    </row>
    <row r="1242" spans="2:8">
      <c r="B1242" t="s">
        <v>463</v>
      </c>
      <c r="C1242" t="s">
        <v>409</v>
      </c>
      <c r="D1242">
        <v>2977</v>
      </c>
      <c r="E1242">
        <v>2978.5</v>
      </c>
      <c r="F1242">
        <v>2976</v>
      </c>
      <c r="G1242">
        <v>2978</v>
      </c>
      <c r="H1242">
        <v>35600</v>
      </c>
    </row>
    <row r="1243" spans="2:8">
      <c r="B1243" t="s">
        <v>463</v>
      </c>
      <c r="C1243" t="s">
        <v>410</v>
      </c>
      <c r="D1243">
        <v>2977.5</v>
      </c>
      <c r="E1243">
        <v>2977.5</v>
      </c>
      <c r="F1243">
        <v>2976.5</v>
      </c>
      <c r="G1243">
        <v>2977</v>
      </c>
      <c r="H1243">
        <v>14000</v>
      </c>
    </row>
    <row r="1244" spans="2:8">
      <c r="B1244" t="s">
        <v>463</v>
      </c>
      <c r="C1244" t="s">
        <v>411</v>
      </c>
      <c r="D1244">
        <v>2977</v>
      </c>
      <c r="E1244">
        <v>2977</v>
      </c>
      <c r="F1244">
        <v>2975</v>
      </c>
      <c r="G1244">
        <v>2975</v>
      </c>
      <c r="H1244">
        <v>29700</v>
      </c>
    </row>
    <row r="1245" spans="2:8">
      <c r="B1245" t="s">
        <v>463</v>
      </c>
      <c r="C1245" t="s">
        <v>412</v>
      </c>
      <c r="D1245">
        <v>2975</v>
      </c>
      <c r="E1245">
        <v>2975.5</v>
      </c>
      <c r="F1245">
        <v>2974</v>
      </c>
      <c r="G1245">
        <v>2975.5</v>
      </c>
      <c r="H1245">
        <v>12000</v>
      </c>
    </row>
    <row r="1246" spans="2:8">
      <c r="B1246" t="s">
        <v>463</v>
      </c>
      <c r="C1246" t="s">
        <v>413</v>
      </c>
      <c r="D1246">
        <v>2975</v>
      </c>
      <c r="E1246">
        <v>2976</v>
      </c>
      <c r="F1246">
        <v>2974.5</v>
      </c>
      <c r="G1246">
        <v>2976</v>
      </c>
      <c r="H1246">
        <v>17600</v>
      </c>
    </row>
    <row r="1247" spans="2:8">
      <c r="B1247" t="s">
        <v>463</v>
      </c>
      <c r="C1247" t="s">
        <v>414</v>
      </c>
      <c r="D1247">
        <v>2976</v>
      </c>
      <c r="E1247">
        <v>2976</v>
      </c>
      <c r="F1247">
        <v>2975.5</v>
      </c>
      <c r="G1247">
        <v>2976</v>
      </c>
      <c r="H1247">
        <v>7200</v>
      </c>
    </row>
    <row r="1248" spans="2:8">
      <c r="B1248" t="s">
        <v>463</v>
      </c>
      <c r="C1248" t="s">
        <v>415</v>
      </c>
      <c r="D1248">
        <v>2975.5</v>
      </c>
      <c r="E1248">
        <v>2977</v>
      </c>
      <c r="F1248">
        <v>2975.5</v>
      </c>
      <c r="G1248">
        <v>2975.5</v>
      </c>
      <c r="H1248">
        <v>20600</v>
      </c>
    </row>
    <row r="1249" spans="2:8">
      <c r="B1249" t="s">
        <v>463</v>
      </c>
      <c r="C1249" t="s">
        <v>416</v>
      </c>
      <c r="D1249">
        <v>2976</v>
      </c>
      <c r="E1249">
        <v>2976</v>
      </c>
      <c r="F1249">
        <v>2974</v>
      </c>
      <c r="G1249">
        <v>2975</v>
      </c>
      <c r="H1249">
        <v>27300</v>
      </c>
    </row>
    <row r="1250" spans="2:8">
      <c r="B1250" t="s">
        <v>463</v>
      </c>
      <c r="C1250" t="s">
        <v>417</v>
      </c>
      <c r="D1250">
        <v>2975.5</v>
      </c>
      <c r="E1250">
        <v>2976</v>
      </c>
      <c r="F1250">
        <v>2975.5</v>
      </c>
      <c r="G1250">
        <v>2975.5</v>
      </c>
      <c r="H1250">
        <v>10300</v>
      </c>
    </row>
    <row r="1251" spans="2:8">
      <c r="B1251" t="s">
        <v>463</v>
      </c>
      <c r="C1251" t="s">
        <v>418</v>
      </c>
      <c r="D1251">
        <v>2976</v>
      </c>
      <c r="E1251">
        <v>2976.5</v>
      </c>
      <c r="F1251">
        <v>2974</v>
      </c>
      <c r="G1251">
        <v>2975</v>
      </c>
      <c r="H1251">
        <v>34700</v>
      </c>
    </row>
    <row r="1252" spans="2:8">
      <c r="B1252" t="s">
        <v>463</v>
      </c>
      <c r="C1252" t="s">
        <v>419</v>
      </c>
      <c r="D1252">
        <v>2975</v>
      </c>
      <c r="E1252">
        <v>2975</v>
      </c>
      <c r="F1252">
        <v>2973.5</v>
      </c>
      <c r="G1252">
        <v>2974.5</v>
      </c>
      <c r="H1252">
        <v>17500</v>
      </c>
    </row>
    <row r="1253" spans="2:8">
      <c r="B1253" t="s">
        <v>463</v>
      </c>
      <c r="C1253" t="s">
        <v>420</v>
      </c>
      <c r="D1253">
        <v>2974.5</v>
      </c>
      <c r="E1253">
        <v>2975.5</v>
      </c>
      <c r="F1253">
        <v>2974.5</v>
      </c>
      <c r="G1253">
        <v>2975.5</v>
      </c>
      <c r="H1253">
        <v>9400</v>
      </c>
    </row>
    <row r="1254" spans="2:8">
      <c r="B1254" t="s">
        <v>463</v>
      </c>
      <c r="C1254" t="s">
        <v>421</v>
      </c>
      <c r="D1254">
        <v>2975.5</v>
      </c>
      <c r="E1254">
        <v>2976</v>
      </c>
      <c r="F1254">
        <v>2975.5</v>
      </c>
      <c r="G1254">
        <v>2975.5</v>
      </c>
      <c r="H1254">
        <v>6000</v>
      </c>
    </row>
    <row r="1255" spans="2:8">
      <c r="B1255" t="s">
        <v>463</v>
      </c>
      <c r="C1255" t="s">
        <v>422</v>
      </c>
      <c r="D1255">
        <v>2976</v>
      </c>
      <c r="E1255">
        <v>2976</v>
      </c>
      <c r="F1255">
        <v>2975.5</v>
      </c>
      <c r="G1255">
        <v>2975.5</v>
      </c>
      <c r="H1255">
        <v>10400</v>
      </c>
    </row>
    <row r="1256" spans="2:8">
      <c r="B1256" t="s">
        <v>463</v>
      </c>
      <c r="C1256" t="s">
        <v>423</v>
      </c>
      <c r="D1256">
        <v>2975.5</v>
      </c>
      <c r="E1256">
        <v>2976</v>
      </c>
      <c r="F1256">
        <v>2975</v>
      </c>
      <c r="G1256">
        <v>2976</v>
      </c>
      <c r="H1256">
        <v>17300</v>
      </c>
    </row>
    <row r="1257" spans="2:8">
      <c r="B1257" t="s">
        <v>463</v>
      </c>
      <c r="C1257" t="s">
        <v>424</v>
      </c>
      <c r="D1257">
        <v>2976</v>
      </c>
      <c r="E1257">
        <v>2976</v>
      </c>
      <c r="F1257">
        <v>2974.5</v>
      </c>
      <c r="G1257">
        <v>2975.5</v>
      </c>
      <c r="H1257">
        <v>16500</v>
      </c>
    </row>
    <row r="1258" spans="2:8">
      <c r="B1258" t="s">
        <v>463</v>
      </c>
      <c r="C1258" t="s">
        <v>425</v>
      </c>
      <c r="D1258">
        <v>2975.5</v>
      </c>
      <c r="E1258">
        <v>2976</v>
      </c>
      <c r="F1258">
        <v>2974.5</v>
      </c>
      <c r="G1258">
        <v>2975.5</v>
      </c>
      <c r="H1258">
        <v>14000</v>
      </c>
    </row>
    <row r="1259" spans="2:8">
      <c r="B1259" t="s">
        <v>463</v>
      </c>
      <c r="C1259" t="s">
        <v>426</v>
      </c>
      <c r="D1259">
        <v>2976</v>
      </c>
      <c r="E1259">
        <v>2976.5</v>
      </c>
      <c r="F1259">
        <v>2975</v>
      </c>
      <c r="G1259">
        <v>2976.5</v>
      </c>
      <c r="H1259">
        <v>18300</v>
      </c>
    </row>
    <row r="1260" spans="2:8">
      <c r="B1260" t="s">
        <v>463</v>
      </c>
      <c r="C1260" t="s">
        <v>427</v>
      </c>
      <c r="D1260">
        <v>2976</v>
      </c>
      <c r="E1260">
        <v>2976</v>
      </c>
      <c r="F1260">
        <v>2976</v>
      </c>
      <c r="G1260">
        <v>2976</v>
      </c>
      <c r="H1260">
        <v>8900</v>
      </c>
    </row>
    <row r="1261" spans="2:8">
      <c r="B1261" t="s">
        <v>463</v>
      </c>
      <c r="C1261" t="s">
        <v>428</v>
      </c>
      <c r="D1261">
        <v>2976</v>
      </c>
      <c r="E1261">
        <v>2976</v>
      </c>
      <c r="F1261">
        <v>2974.5</v>
      </c>
      <c r="G1261">
        <v>2975</v>
      </c>
      <c r="H1261">
        <v>17600</v>
      </c>
    </row>
    <row r="1262" spans="2:8">
      <c r="B1262" t="s">
        <v>463</v>
      </c>
      <c r="C1262" t="s">
        <v>429</v>
      </c>
      <c r="D1262">
        <v>2975.5</v>
      </c>
      <c r="E1262">
        <v>2976</v>
      </c>
      <c r="F1262">
        <v>2975</v>
      </c>
      <c r="G1262">
        <v>2975</v>
      </c>
      <c r="H1262">
        <v>10100</v>
      </c>
    </row>
    <row r="1263" spans="2:8">
      <c r="B1263" t="s">
        <v>463</v>
      </c>
      <c r="C1263" t="s">
        <v>430</v>
      </c>
      <c r="D1263">
        <v>2975</v>
      </c>
      <c r="E1263">
        <v>2976.5</v>
      </c>
      <c r="F1263">
        <v>2975</v>
      </c>
      <c r="G1263">
        <v>2976</v>
      </c>
      <c r="H1263">
        <v>16500</v>
      </c>
    </row>
    <row r="1264" spans="2:8">
      <c r="B1264" t="s">
        <v>463</v>
      </c>
      <c r="C1264" t="s">
        <v>431</v>
      </c>
      <c r="D1264">
        <v>2976</v>
      </c>
      <c r="E1264">
        <v>2976</v>
      </c>
      <c r="F1264">
        <v>2976</v>
      </c>
      <c r="G1264">
        <v>2976</v>
      </c>
      <c r="H1264">
        <v>5100</v>
      </c>
    </row>
    <row r="1265" spans="2:8">
      <c r="B1265" t="s">
        <v>463</v>
      </c>
      <c r="C1265" t="s">
        <v>9</v>
      </c>
      <c r="D1265">
        <v>2976</v>
      </c>
      <c r="E1265">
        <v>2976.5</v>
      </c>
      <c r="F1265">
        <v>2975</v>
      </c>
      <c r="G1265">
        <v>2975.5</v>
      </c>
      <c r="H1265">
        <v>18100</v>
      </c>
    </row>
    <row r="1266" spans="2:8">
      <c r="B1266" t="s">
        <v>463</v>
      </c>
      <c r="C1266" t="s">
        <v>10</v>
      </c>
      <c r="D1266">
        <v>2976</v>
      </c>
      <c r="E1266">
        <v>2976.5</v>
      </c>
      <c r="F1266">
        <v>2975.5</v>
      </c>
      <c r="G1266">
        <v>2975.5</v>
      </c>
      <c r="H1266">
        <v>12900</v>
      </c>
    </row>
    <row r="1267" spans="2:8">
      <c r="B1267" t="s">
        <v>463</v>
      </c>
      <c r="C1267" t="s">
        <v>11</v>
      </c>
      <c r="D1267">
        <v>2975.5</v>
      </c>
      <c r="E1267">
        <v>2976.5</v>
      </c>
      <c r="F1267">
        <v>2975</v>
      </c>
      <c r="G1267">
        <v>2976.5</v>
      </c>
      <c r="H1267">
        <v>13100</v>
      </c>
    </row>
    <row r="1268" spans="2:8">
      <c r="B1268" t="s">
        <v>463</v>
      </c>
      <c r="C1268" t="s">
        <v>12</v>
      </c>
      <c r="D1268">
        <v>2976</v>
      </c>
      <c r="E1268">
        <v>2976.5</v>
      </c>
      <c r="F1268">
        <v>2975.5</v>
      </c>
      <c r="G1268">
        <v>2976.5</v>
      </c>
      <c r="H1268">
        <v>16600</v>
      </c>
    </row>
    <row r="1269" spans="2:8">
      <c r="B1269" t="s">
        <v>463</v>
      </c>
      <c r="C1269" t="s">
        <v>13</v>
      </c>
      <c r="D1269">
        <v>2977</v>
      </c>
      <c r="E1269">
        <v>2977.5</v>
      </c>
      <c r="F1269">
        <v>2976.5</v>
      </c>
      <c r="G1269">
        <v>2977.5</v>
      </c>
      <c r="H1269">
        <v>10300</v>
      </c>
    </row>
    <row r="1270" spans="2:8">
      <c r="B1270" t="s">
        <v>463</v>
      </c>
      <c r="C1270" t="s">
        <v>14</v>
      </c>
      <c r="D1270">
        <v>2977.5</v>
      </c>
      <c r="E1270">
        <v>2977.5</v>
      </c>
      <c r="F1270">
        <v>2977</v>
      </c>
      <c r="G1270">
        <v>2977</v>
      </c>
      <c r="H1270">
        <v>15100</v>
      </c>
    </row>
    <row r="1271" spans="2:8">
      <c r="B1271" t="s">
        <v>463</v>
      </c>
      <c r="C1271" t="s">
        <v>15</v>
      </c>
      <c r="D1271">
        <v>2977.5</v>
      </c>
      <c r="E1271">
        <v>2977.5</v>
      </c>
      <c r="F1271">
        <v>2977</v>
      </c>
      <c r="G1271">
        <v>2977</v>
      </c>
      <c r="H1271">
        <v>11100</v>
      </c>
    </row>
    <row r="1272" spans="2:8">
      <c r="B1272" t="s">
        <v>463</v>
      </c>
      <c r="C1272" t="s">
        <v>16</v>
      </c>
      <c r="D1272">
        <v>2976.5</v>
      </c>
      <c r="E1272">
        <v>2976.5</v>
      </c>
      <c r="F1272">
        <v>2975</v>
      </c>
      <c r="G1272">
        <v>2975.5</v>
      </c>
      <c r="H1272">
        <v>12300</v>
      </c>
    </row>
    <row r="1273" spans="2:8">
      <c r="B1273" t="s">
        <v>463</v>
      </c>
      <c r="C1273" t="s">
        <v>17</v>
      </c>
      <c r="D1273">
        <v>2975.5</v>
      </c>
      <c r="E1273">
        <v>2975.5</v>
      </c>
      <c r="F1273">
        <v>2975</v>
      </c>
      <c r="G1273">
        <v>2975.5</v>
      </c>
      <c r="H1273">
        <v>4100</v>
      </c>
    </row>
    <row r="1274" spans="2:8">
      <c r="B1274" t="s">
        <v>463</v>
      </c>
      <c r="C1274" t="s">
        <v>18</v>
      </c>
      <c r="D1274">
        <v>2975.5</v>
      </c>
      <c r="E1274">
        <v>2975.5</v>
      </c>
      <c r="F1274">
        <v>2974.5</v>
      </c>
      <c r="G1274">
        <v>2975</v>
      </c>
      <c r="H1274">
        <v>19400</v>
      </c>
    </row>
    <row r="1275" spans="2:8">
      <c r="B1275" t="s">
        <v>463</v>
      </c>
      <c r="C1275" t="s">
        <v>19</v>
      </c>
      <c r="D1275">
        <v>2975</v>
      </c>
      <c r="E1275">
        <v>2976</v>
      </c>
      <c r="F1275">
        <v>2974.5</v>
      </c>
      <c r="G1275">
        <v>2976</v>
      </c>
      <c r="H1275">
        <v>27600</v>
      </c>
    </row>
    <row r="1276" spans="2:8">
      <c r="B1276" t="s">
        <v>463</v>
      </c>
      <c r="C1276" t="s">
        <v>20</v>
      </c>
      <c r="D1276">
        <v>2976</v>
      </c>
      <c r="E1276">
        <v>2976</v>
      </c>
      <c r="F1276">
        <v>2975</v>
      </c>
      <c r="G1276">
        <v>2975.5</v>
      </c>
      <c r="H1276">
        <v>5900</v>
      </c>
    </row>
    <row r="1277" spans="2:8">
      <c r="B1277" t="s">
        <v>463</v>
      </c>
      <c r="C1277" t="s">
        <v>21</v>
      </c>
      <c r="D1277">
        <v>2975</v>
      </c>
      <c r="E1277">
        <v>2975.5</v>
      </c>
      <c r="F1277">
        <v>2975</v>
      </c>
      <c r="G1277">
        <v>2975.5</v>
      </c>
      <c r="H1277">
        <v>3700</v>
      </c>
    </row>
    <row r="1278" spans="2:8">
      <c r="B1278" t="s">
        <v>463</v>
      </c>
      <c r="C1278" t="s">
        <v>22</v>
      </c>
      <c r="D1278">
        <v>2975.5</v>
      </c>
      <c r="E1278">
        <v>2975.5</v>
      </c>
      <c r="F1278">
        <v>2973.5</v>
      </c>
      <c r="G1278">
        <v>2973.5</v>
      </c>
      <c r="H1278">
        <v>22900</v>
      </c>
    </row>
    <row r="1279" spans="2:8">
      <c r="B1279" t="s">
        <v>463</v>
      </c>
      <c r="C1279" t="s">
        <v>23</v>
      </c>
      <c r="D1279">
        <v>2973.5</v>
      </c>
      <c r="E1279">
        <v>2975.5</v>
      </c>
      <c r="F1279">
        <v>2973.5</v>
      </c>
      <c r="G1279">
        <v>2975.5</v>
      </c>
      <c r="H1279">
        <v>20600</v>
      </c>
    </row>
    <row r="1280" spans="2:8">
      <c r="B1280" t="s">
        <v>463</v>
      </c>
      <c r="C1280" t="s">
        <v>24</v>
      </c>
      <c r="D1280">
        <v>2975</v>
      </c>
      <c r="E1280">
        <v>2975.5</v>
      </c>
      <c r="F1280">
        <v>2974.5</v>
      </c>
      <c r="G1280">
        <v>2974.5</v>
      </c>
      <c r="H1280">
        <v>7400</v>
      </c>
    </row>
    <row r="1281" spans="2:8">
      <c r="B1281" t="s">
        <v>463</v>
      </c>
      <c r="C1281" t="s">
        <v>25</v>
      </c>
      <c r="D1281">
        <v>2974.5</v>
      </c>
      <c r="E1281">
        <v>2976</v>
      </c>
      <c r="F1281">
        <v>2974.5</v>
      </c>
      <c r="G1281">
        <v>2975.5</v>
      </c>
      <c r="H1281">
        <v>10800</v>
      </c>
    </row>
    <row r="1282" spans="2:8">
      <c r="B1282" t="s">
        <v>463</v>
      </c>
      <c r="C1282" t="s">
        <v>26</v>
      </c>
      <c r="D1282">
        <v>2975.5</v>
      </c>
      <c r="E1282">
        <v>2975.5</v>
      </c>
      <c r="F1282">
        <v>2974.5</v>
      </c>
      <c r="G1282">
        <v>2974.5</v>
      </c>
      <c r="H1282">
        <v>14600</v>
      </c>
    </row>
    <row r="1283" spans="2:8">
      <c r="B1283" t="s">
        <v>463</v>
      </c>
      <c r="C1283" t="s">
        <v>27</v>
      </c>
      <c r="D1283">
        <v>2974.5</v>
      </c>
      <c r="E1283">
        <v>2975</v>
      </c>
      <c r="F1283">
        <v>2973.5</v>
      </c>
      <c r="G1283">
        <v>2974</v>
      </c>
      <c r="H1283">
        <v>15700</v>
      </c>
    </row>
    <row r="1284" spans="2:8">
      <c r="B1284" t="s">
        <v>463</v>
      </c>
      <c r="C1284" t="s">
        <v>28</v>
      </c>
      <c r="D1284">
        <v>2973.5</v>
      </c>
      <c r="E1284">
        <v>2974.5</v>
      </c>
      <c r="F1284">
        <v>2973.5</v>
      </c>
      <c r="G1284">
        <v>2974</v>
      </c>
      <c r="H1284">
        <v>16900</v>
      </c>
    </row>
    <row r="1285" spans="2:8">
      <c r="B1285" t="s">
        <v>463</v>
      </c>
      <c r="C1285" t="s">
        <v>29</v>
      </c>
      <c r="D1285">
        <v>2974</v>
      </c>
      <c r="E1285">
        <v>2974</v>
      </c>
      <c r="F1285">
        <v>2973.5</v>
      </c>
      <c r="G1285">
        <v>2973.5</v>
      </c>
      <c r="H1285">
        <v>6100</v>
      </c>
    </row>
    <row r="1286" spans="2:8">
      <c r="B1286" t="s">
        <v>463</v>
      </c>
      <c r="C1286" t="s">
        <v>30</v>
      </c>
      <c r="D1286">
        <v>2974</v>
      </c>
      <c r="E1286">
        <v>2974</v>
      </c>
      <c r="F1286">
        <v>2973</v>
      </c>
      <c r="G1286">
        <v>2974</v>
      </c>
      <c r="H1286">
        <v>20800</v>
      </c>
    </row>
    <row r="1287" spans="2:8">
      <c r="B1287" t="s">
        <v>463</v>
      </c>
      <c r="C1287" t="s">
        <v>31</v>
      </c>
      <c r="D1287">
        <v>2973.5</v>
      </c>
      <c r="E1287">
        <v>2973.5</v>
      </c>
      <c r="F1287">
        <v>2972.5</v>
      </c>
      <c r="G1287">
        <v>2973</v>
      </c>
      <c r="H1287">
        <v>15500</v>
      </c>
    </row>
    <row r="1288" spans="2:8">
      <c r="B1288" t="s">
        <v>463</v>
      </c>
      <c r="C1288" t="s">
        <v>32</v>
      </c>
      <c r="D1288">
        <v>2973</v>
      </c>
      <c r="E1288">
        <v>2973.5</v>
      </c>
      <c r="F1288">
        <v>2973</v>
      </c>
      <c r="G1288">
        <v>2973.5</v>
      </c>
      <c r="H1288">
        <v>2500</v>
      </c>
    </row>
    <row r="1289" spans="2:8">
      <c r="B1289" t="s">
        <v>463</v>
      </c>
      <c r="C1289" t="s">
        <v>33</v>
      </c>
      <c r="D1289">
        <v>2973.5</v>
      </c>
      <c r="E1289">
        <v>2975</v>
      </c>
      <c r="F1289">
        <v>2973</v>
      </c>
      <c r="G1289">
        <v>2975</v>
      </c>
      <c r="H1289">
        <v>16800</v>
      </c>
    </row>
    <row r="1290" spans="2:8">
      <c r="B1290" t="s">
        <v>463</v>
      </c>
      <c r="C1290" t="s">
        <v>34</v>
      </c>
      <c r="D1290">
        <v>2974.5</v>
      </c>
      <c r="E1290">
        <v>2975</v>
      </c>
      <c r="F1290">
        <v>2974.5</v>
      </c>
      <c r="G1290">
        <v>2974.5</v>
      </c>
      <c r="H1290">
        <v>6600</v>
      </c>
    </row>
    <row r="1291" spans="2:8">
      <c r="B1291" t="s">
        <v>463</v>
      </c>
      <c r="C1291" t="s">
        <v>35</v>
      </c>
      <c r="D1291">
        <v>2975</v>
      </c>
      <c r="E1291">
        <v>2975.5</v>
      </c>
      <c r="F1291">
        <v>2975</v>
      </c>
      <c r="G1291">
        <v>2975.5</v>
      </c>
      <c r="H1291">
        <v>7100</v>
      </c>
    </row>
    <row r="1292" spans="2:8">
      <c r="B1292" t="s">
        <v>463</v>
      </c>
      <c r="C1292" t="s">
        <v>36</v>
      </c>
      <c r="D1292">
        <v>2975.5</v>
      </c>
      <c r="E1292">
        <v>2975.5</v>
      </c>
      <c r="F1292">
        <v>2974.5</v>
      </c>
      <c r="G1292">
        <v>2975</v>
      </c>
      <c r="H1292">
        <v>13600</v>
      </c>
    </row>
    <row r="1293" spans="2:8">
      <c r="B1293" t="s">
        <v>463</v>
      </c>
      <c r="C1293" t="s">
        <v>37</v>
      </c>
      <c r="D1293">
        <v>2975</v>
      </c>
      <c r="E1293">
        <v>2977</v>
      </c>
      <c r="F1293">
        <v>2975</v>
      </c>
      <c r="G1293">
        <v>2977</v>
      </c>
      <c r="H1293">
        <v>18500</v>
      </c>
    </row>
    <row r="1294" spans="2:8">
      <c r="B1294" t="s">
        <v>463</v>
      </c>
      <c r="C1294" t="s">
        <v>38</v>
      </c>
      <c r="D1294">
        <v>2977</v>
      </c>
      <c r="E1294">
        <v>2977</v>
      </c>
      <c r="F1294">
        <v>2975.5</v>
      </c>
      <c r="G1294">
        <v>2976.5</v>
      </c>
      <c r="H1294">
        <v>14600</v>
      </c>
    </row>
    <row r="1295" spans="2:8">
      <c r="B1295" t="s">
        <v>463</v>
      </c>
      <c r="C1295" t="s">
        <v>39</v>
      </c>
      <c r="D1295">
        <v>2976.5</v>
      </c>
      <c r="E1295">
        <v>2978.5</v>
      </c>
      <c r="F1295">
        <v>2976.5</v>
      </c>
      <c r="G1295">
        <v>2978.5</v>
      </c>
      <c r="H1295">
        <v>26300</v>
      </c>
    </row>
    <row r="1296" spans="2:8">
      <c r="B1296" t="s">
        <v>463</v>
      </c>
      <c r="C1296" t="s">
        <v>40</v>
      </c>
      <c r="D1296">
        <v>2979</v>
      </c>
      <c r="E1296">
        <v>2987.5</v>
      </c>
      <c r="F1296">
        <v>2978</v>
      </c>
      <c r="G1296">
        <v>2984.5</v>
      </c>
      <c r="H1296">
        <v>163800</v>
      </c>
    </row>
    <row r="1297" spans="2:8">
      <c r="B1297" t="s">
        <v>463</v>
      </c>
      <c r="C1297" t="s">
        <v>41</v>
      </c>
      <c r="D1297">
        <v>2984.5</v>
      </c>
      <c r="E1297">
        <v>2984.5</v>
      </c>
      <c r="F1297">
        <v>2983</v>
      </c>
      <c r="G1297">
        <v>2984</v>
      </c>
      <c r="H1297">
        <v>18100</v>
      </c>
    </row>
    <row r="1298" spans="2:8">
      <c r="B1298" t="s">
        <v>463</v>
      </c>
      <c r="C1298" t="s">
        <v>42</v>
      </c>
      <c r="D1298">
        <v>2984</v>
      </c>
      <c r="E1298">
        <v>2984.5</v>
      </c>
      <c r="F1298">
        <v>2983</v>
      </c>
      <c r="G1298">
        <v>2984</v>
      </c>
      <c r="H1298">
        <v>14100</v>
      </c>
    </row>
    <row r="1299" spans="2:8">
      <c r="B1299" t="s">
        <v>463</v>
      </c>
      <c r="C1299" t="s">
        <v>43</v>
      </c>
      <c r="D1299">
        <v>2984.5</v>
      </c>
      <c r="E1299">
        <v>2986</v>
      </c>
      <c r="F1299">
        <v>2984.5</v>
      </c>
      <c r="G1299">
        <v>2986</v>
      </c>
      <c r="H1299">
        <v>13800</v>
      </c>
    </row>
    <row r="1300" spans="2:8">
      <c r="B1300" t="s">
        <v>463</v>
      </c>
      <c r="C1300" t="s">
        <v>44</v>
      </c>
      <c r="D1300">
        <v>2986</v>
      </c>
      <c r="E1300">
        <v>2989</v>
      </c>
      <c r="F1300">
        <v>2985.5</v>
      </c>
      <c r="G1300">
        <v>2989</v>
      </c>
      <c r="H1300">
        <v>40400</v>
      </c>
    </row>
    <row r="1301" spans="2:8">
      <c r="B1301" t="s">
        <v>463</v>
      </c>
      <c r="C1301" t="s">
        <v>45</v>
      </c>
      <c r="D1301">
        <v>2989</v>
      </c>
      <c r="E1301">
        <v>2992</v>
      </c>
      <c r="F1301">
        <v>2989</v>
      </c>
      <c r="G1301">
        <v>2992</v>
      </c>
      <c r="H1301">
        <v>59500</v>
      </c>
    </row>
    <row r="1302" spans="2:8">
      <c r="B1302" t="s">
        <v>463</v>
      </c>
      <c r="C1302" t="s">
        <v>46</v>
      </c>
      <c r="D1302">
        <v>2992.5</v>
      </c>
      <c r="E1302">
        <v>2992.5</v>
      </c>
      <c r="F1302">
        <v>2990</v>
      </c>
      <c r="G1302">
        <v>2990</v>
      </c>
      <c r="H1302">
        <v>31100</v>
      </c>
    </row>
    <row r="1303" spans="2:8">
      <c r="B1303" t="s">
        <v>463</v>
      </c>
      <c r="C1303" t="s">
        <v>47</v>
      </c>
      <c r="D1303">
        <v>2990.5</v>
      </c>
      <c r="E1303">
        <v>2990.5</v>
      </c>
      <c r="F1303">
        <v>2989</v>
      </c>
      <c r="G1303">
        <v>2989.5</v>
      </c>
      <c r="H1303">
        <v>48000</v>
      </c>
    </row>
    <row r="1304" spans="2:8">
      <c r="B1304" t="s">
        <v>463</v>
      </c>
      <c r="C1304" t="s">
        <v>48</v>
      </c>
      <c r="D1304">
        <v>2989.5</v>
      </c>
      <c r="E1304">
        <v>2989.5</v>
      </c>
      <c r="F1304">
        <v>2988</v>
      </c>
      <c r="G1304">
        <v>2988</v>
      </c>
      <c r="H1304">
        <v>18800</v>
      </c>
    </row>
    <row r="1305" spans="2:8">
      <c r="B1305" t="s">
        <v>463</v>
      </c>
      <c r="C1305" t="s">
        <v>49</v>
      </c>
      <c r="D1305">
        <v>2988.5</v>
      </c>
      <c r="E1305">
        <v>2989</v>
      </c>
      <c r="F1305">
        <v>2987</v>
      </c>
      <c r="G1305">
        <v>2988.5</v>
      </c>
      <c r="H1305">
        <v>27000</v>
      </c>
    </row>
    <row r="1306" spans="2:8">
      <c r="B1306" t="s">
        <v>463</v>
      </c>
      <c r="C1306" t="s">
        <v>50</v>
      </c>
      <c r="D1306">
        <v>2988.5</v>
      </c>
      <c r="E1306">
        <v>2988.5</v>
      </c>
      <c r="F1306">
        <v>2987</v>
      </c>
      <c r="G1306">
        <v>2988</v>
      </c>
      <c r="H1306">
        <v>16000</v>
      </c>
    </row>
    <row r="1307" spans="2:8">
      <c r="B1307" t="s">
        <v>463</v>
      </c>
      <c r="C1307" t="s">
        <v>51</v>
      </c>
      <c r="D1307">
        <v>2987.5</v>
      </c>
      <c r="E1307">
        <v>2988</v>
      </c>
      <c r="F1307">
        <v>2986</v>
      </c>
      <c r="G1307">
        <v>2986.5</v>
      </c>
      <c r="H1307">
        <v>26200</v>
      </c>
    </row>
    <row r="1308" spans="2:8">
      <c r="B1308" t="s">
        <v>463</v>
      </c>
      <c r="C1308" t="s">
        <v>52</v>
      </c>
      <c r="D1308">
        <v>2986</v>
      </c>
      <c r="E1308">
        <v>2987</v>
      </c>
      <c r="F1308">
        <v>2985</v>
      </c>
      <c r="G1308">
        <v>2986</v>
      </c>
      <c r="H1308">
        <v>44000</v>
      </c>
    </row>
    <row r="1309" spans="2:8">
      <c r="B1309" t="s">
        <v>463</v>
      </c>
      <c r="C1309" t="s">
        <v>53</v>
      </c>
      <c r="D1309">
        <v>2986</v>
      </c>
      <c r="E1309">
        <v>2986.5</v>
      </c>
      <c r="F1309">
        <v>2985.5</v>
      </c>
      <c r="G1309">
        <v>2986</v>
      </c>
      <c r="H1309">
        <v>16500</v>
      </c>
    </row>
    <row r="1310" spans="2:8">
      <c r="B1310" t="s">
        <v>463</v>
      </c>
      <c r="C1310" t="s">
        <v>54</v>
      </c>
      <c r="D1310">
        <v>2986</v>
      </c>
      <c r="E1310">
        <v>2986.5</v>
      </c>
      <c r="F1310">
        <v>2983</v>
      </c>
      <c r="G1310">
        <v>2983</v>
      </c>
      <c r="H1310">
        <v>35300</v>
      </c>
    </row>
    <row r="1311" spans="2:8">
      <c r="B1311" t="s">
        <v>463</v>
      </c>
      <c r="C1311" t="s">
        <v>55</v>
      </c>
      <c r="D1311">
        <v>2982.5</v>
      </c>
      <c r="E1311">
        <v>2984.5</v>
      </c>
      <c r="F1311">
        <v>2982</v>
      </c>
      <c r="G1311">
        <v>2984.5</v>
      </c>
      <c r="H1311">
        <v>26600</v>
      </c>
    </row>
    <row r="1312" spans="2:8">
      <c r="B1312" t="s">
        <v>463</v>
      </c>
      <c r="C1312" t="s">
        <v>56</v>
      </c>
      <c r="D1312">
        <v>2984.5</v>
      </c>
      <c r="E1312">
        <v>2985</v>
      </c>
      <c r="F1312">
        <v>2983</v>
      </c>
      <c r="G1312">
        <v>2985</v>
      </c>
      <c r="H1312">
        <v>40200</v>
      </c>
    </row>
    <row r="1313" spans="2:8">
      <c r="B1313" t="s">
        <v>463</v>
      </c>
      <c r="C1313" t="s">
        <v>57</v>
      </c>
      <c r="D1313">
        <v>2984.5</v>
      </c>
      <c r="E1313">
        <v>2984.5</v>
      </c>
      <c r="F1313">
        <v>2983.5</v>
      </c>
      <c r="G1313">
        <v>2984</v>
      </c>
      <c r="H1313">
        <v>22100</v>
      </c>
    </row>
    <row r="1314" spans="2:8">
      <c r="B1314" t="s">
        <v>463</v>
      </c>
      <c r="C1314" t="s">
        <v>58</v>
      </c>
      <c r="D1314">
        <v>2983.5</v>
      </c>
      <c r="E1314">
        <v>2984.5</v>
      </c>
      <c r="F1314">
        <v>2983.5</v>
      </c>
      <c r="G1314">
        <v>2984.5</v>
      </c>
      <c r="H1314">
        <v>11300</v>
      </c>
    </row>
    <row r="1315" spans="2:8">
      <c r="B1315" t="s">
        <v>463</v>
      </c>
      <c r="C1315" t="s">
        <v>59</v>
      </c>
      <c r="D1315">
        <v>2984.5</v>
      </c>
      <c r="E1315">
        <v>2985</v>
      </c>
      <c r="F1315">
        <v>2984.5</v>
      </c>
      <c r="G1315">
        <v>2985</v>
      </c>
      <c r="H1315">
        <v>27300</v>
      </c>
    </row>
    <row r="1316" spans="2:8">
      <c r="B1316" t="s">
        <v>463</v>
      </c>
      <c r="C1316" t="s">
        <v>60</v>
      </c>
      <c r="D1316">
        <v>2985.5</v>
      </c>
      <c r="E1316">
        <v>2986.5</v>
      </c>
      <c r="F1316">
        <v>2985.5</v>
      </c>
      <c r="G1316">
        <v>2986.5</v>
      </c>
      <c r="H1316">
        <v>11800</v>
      </c>
    </row>
    <row r="1317" spans="2:8">
      <c r="B1317" t="s">
        <v>463</v>
      </c>
      <c r="C1317" t="s">
        <v>61</v>
      </c>
      <c r="D1317">
        <v>2986.5</v>
      </c>
      <c r="E1317">
        <v>2986.5</v>
      </c>
      <c r="F1317">
        <v>2984.5</v>
      </c>
      <c r="G1317">
        <v>2986</v>
      </c>
      <c r="H1317">
        <v>36500</v>
      </c>
    </row>
    <row r="1318" spans="2:8">
      <c r="B1318" t="s">
        <v>463</v>
      </c>
      <c r="C1318" t="s">
        <v>62</v>
      </c>
      <c r="D1318">
        <v>2986.5</v>
      </c>
      <c r="E1318">
        <v>2986.5</v>
      </c>
      <c r="F1318">
        <v>2985.5</v>
      </c>
      <c r="G1318">
        <v>2986</v>
      </c>
      <c r="H1318">
        <v>21700</v>
      </c>
    </row>
    <row r="1319" spans="2:8">
      <c r="B1319" t="s">
        <v>463</v>
      </c>
      <c r="C1319" t="s">
        <v>63</v>
      </c>
      <c r="D1319">
        <v>2986</v>
      </c>
      <c r="E1319">
        <v>2986</v>
      </c>
      <c r="F1319">
        <v>2984.5</v>
      </c>
      <c r="G1319">
        <v>2985</v>
      </c>
      <c r="H1319">
        <v>10900</v>
      </c>
    </row>
    <row r="1320" spans="2:8">
      <c r="B1320" t="s">
        <v>463</v>
      </c>
      <c r="C1320" t="s">
        <v>64</v>
      </c>
      <c r="D1320">
        <v>2985</v>
      </c>
      <c r="E1320">
        <v>2985</v>
      </c>
      <c r="F1320">
        <v>2983.5</v>
      </c>
      <c r="G1320">
        <v>2984.5</v>
      </c>
      <c r="H1320">
        <v>31800</v>
      </c>
    </row>
    <row r="1321" spans="2:8">
      <c r="B1321" t="s">
        <v>463</v>
      </c>
      <c r="C1321" t="s">
        <v>65</v>
      </c>
      <c r="D1321">
        <v>2985</v>
      </c>
      <c r="E1321">
        <v>2986</v>
      </c>
      <c r="F1321">
        <v>2984.5</v>
      </c>
      <c r="G1321">
        <v>2985.5</v>
      </c>
      <c r="H1321">
        <v>19900</v>
      </c>
    </row>
    <row r="1322" spans="2:8">
      <c r="B1322" t="s">
        <v>463</v>
      </c>
      <c r="C1322" t="s">
        <v>66</v>
      </c>
      <c r="D1322">
        <v>2985.5</v>
      </c>
      <c r="E1322">
        <v>2985.5</v>
      </c>
      <c r="F1322">
        <v>2982.5</v>
      </c>
      <c r="G1322">
        <v>2985</v>
      </c>
      <c r="H1322">
        <v>55700</v>
      </c>
    </row>
    <row r="1323" spans="2:8">
      <c r="B1323" t="s">
        <v>463</v>
      </c>
      <c r="C1323" t="s">
        <v>164</v>
      </c>
      <c r="D1323">
        <v>2984.5</v>
      </c>
      <c r="E1323">
        <v>2986.5</v>
      </c>
      <c r="F1323">
        <v>2984.5</v>
      </c>
      <c r="G1323">
        <v>2985.5</v>
      </c>
      <c r="H1323">
        <v>28900</v>
      </c>
    </row>
    <row r="1324" spans="2:8">
      <c r="B1324" t="s">
        <v>463</v>
      </c>
      <c r="C1324" t="s">
        <v>165</v>
      </c>
      <c r="D1324">
        <v>2985.5</v>
      </c>
      <c r="E1324">
        <v>2989</v>
      </c>
      <c r="F1324">
        <v>2984</v>
      </c>
      <c r="G1324">
        <v>2984</v>
      </c>
      <c r="H1324">
        <v>39400</v>
      </c>
    </row>
    <row r="1325" spans="2:8">
      <c r="B1325" t="s">
        <v>463</v>
      </c>
      <c r="C1325" t="s">
        <v>67</v>
      </c>
      <c r="D1325" t="s">
        <v>8</v>
      </c>
      <c r="E1325" t="s">
        <v>8</v>
      </c>
      <c r="F1325" t="s">
        <v>8</v>
      </c>
      <c r="G1325" t="s">
        <v>8</v>
      </c>
      <c r="H1325">
        <v>0</v>
      </c>
    </row>
    <row r="1326" spans="2:8">
      <c r="B1326" t="s">
        <v>463</v>
      </c>
      <c r="C1326" t="s">
        <v>68</v>
      </c>
      <c r="D1326" t="s">
        <v>8</v>
      </c>
      <c r="E1326" t="s">
        <v>8</v>
      </c>
      <c r="F1326" t="s">
        <v>8</v>
      </c>
      <c r="G1326" t="s">
        <v>8</v>
      </c>
      <c r="H1326">
        <v>0</v>
      </c>
    </row>
    <row r="1327" spans="2:8">
      <c r="B1327" t="s">
        <v>463</v>
      </c>
      <c r="C1327" t="s">
        <v>69</v>
      </c>
      <c r="D1327" t="s">
        <v>8</v>
      </c>
      <c r="E1327" t="s">
        <v>8</v>
      </c>
      <c r="F1327" t="s">
        <v>8</v>
      </c>
      <c r="G1327" t="s">
        <v>8</v>
      </c>
      <c r="H1327">
        <v>0</v>
      </c>
    </row>
    <row r="1328" spans="2:8">
      <c r="B1328" t="s">
        <v>463</v>
      </c>
      <c r="C1328" t="s">
        <v>70</v>
      </c>
      <c r="D1328" t="s">
        <v>8</v>
      </c>
      <c r="E1328" t="s">
        <v>8</v>
      </c>
      <c r="F1328" t="s">
        <v>8</v>
      </c>
      <c r="G1328" t="s">
        <v>8</v>
      </c>
      <c r="H1328">
        <v>0</v>
      </c>
    </row>
    <row r="1329" spans="2:8">
      <c r="B1329" t="s">
        <v>463</v>
      </c>
      <c r="C1329" t="s">
        <v>71</v>
      </c>
      <c r="D1329" t="s">
        <v>8</v>
      </c>
      <c r="E1329" t="s">
        <v>8</v>
      </c>
      <c r="F1329" t="s">
        <v>8</v>
      </c>
      <c r="G1329" t="s">
        <v>8</v>
      </c>
      <c r="H1329">
        <v>0</v>
      </c>
    </row>
    <row r="1330" spans="2:8">
      <c r="B1330" t="s">
        <v>463</v>
      </c>
      <c r="C1330" t="s">
        <v>72</v>
      </c>
      <c r="D1330">
        <v>2988</v>
      </c>
      <c r="E1330">
        <v>2988</v>
      </c>
      <c r="F1330">
        <v>2988</v>
      </c>
      <c r="G1330">
        <v>2988</v>
      </c>
      <c r="H1330">
        <v>2842900</v>
      </c>
    </row>
    <row r="1331" spans="2:8">
      <c r="B1331" t="s">
        <v>587</v>
      </c>
      <c r="C1331" t="s">
        <v>166</v>
      </c>
      <c r="D1331">
        <v>3000</v>
      </c>
      <c r="E1331">
        <v>3022</v>
      </c>
      <c r="F1331">
        <v>2999</v>
      </c>
      <c r="G1331">
        <v>3022</v>
      </c>
      <c r="H1331">
        <v>604200</v>
      </c>
    </row>
    <row r="1332" spans="2:8">
      <c r="B1332" t="s">
        <v>587</v>
      </c>
      <c r="C1332" t="s">
        <v>167</v>
      </c>
      <c r="D1332">
        <v>3022</v>
      </c>
      <c r="E1332">
        <v>3022</v>
      </c>
      <c r="F1332">
        <v>3008</v>
      </c>
      <c r="G1332">
        <v>3010</v>
      </c>
      <c r="H1332">
        <v>86600</v>
      </c>
    </row>
    <row r="1333" spans="2:8">
      <c r="B1333" t="s">
        <v>587</v>
      </c>
      <c r="C1333" t="s">
        <v>168</v>
      </c>
      <c r="D1333">
        <v>3011</v>
      </c>
      <c r="E1333">
        <v>3021</v>
      </c>
      <c r="F1333">
        <v>3011</v>
      </c>
      <c r="G1333">
        <v>3017</v>
      </c>
      <c r="H1333">
        <v>68300</v>
      </c>
    </row>
    <row r="1334" spans="2:8">
      <c r="B1334" t="s">
        <v>587</v>
      </c>
      <c r="C1334" t="s">
        <v>169</v>
      </c>
      <c r="D1334">
        <v>3019</v>
      </c>
      <c r="E1334">
        <v>3024</v>
      </c>
      <c r="F1334">
        <v>3010</v>
      </c>
      <c r="G1334">
        <v>3013</v>
      </c>
      <c r="H1334">
        <v>164300</v>
      </c>
    </row>
    <row r="1335" spans="2:8">
      <c r="B1335" t="s">
        <v>587</v>
      </c>
      <c r="C1335" t="s">
        <v>170</v>
      </c>
      <c r="D1335">
        <v>3015</v>
      </c>
      <c r="E1335">
        <v>3020</v>
      </c>
      <c r="F1335">
        <v>3014</v>
      </c>
      <c r="G1335">
        <v>3017</v>
      </c>
      <c r="H1335">
        <v>27700</v>
      </c>
    </row>
    <row r="1336" spans="2:8">
      <c r="B1336" t="s">
        <v>587</v>
      </c>
      <c r="C1336" t="s">
        <v>171</v>
      </c>
      <c r="D1336">
        <v>3016</v>
      </c>
      <c r="E1336">
        <v>3018</v>
      </c>
      <c r="F1336">
        <v>3012</v>
      </c>
      <c r="G1336">
        <v>3016</v>
      </c>
      <c r="H1336">
        <v>36400</v>
      </c>
    </row>
    <row r="1337" spans="2:8">
      <c r="B1337" t="s">
        <v>587</v>
      </c>
      <c r="C1337" t="s">
        <v>172</v>
      </c>
      <c r="D1337">
        <v>3016</v>
      </c>
      <c r="E1337">
        <v>3017</v>
      </c>
      <c r="F1337">
        <v>3013</v>
      </c>
      <c r="G1337">
        <v>3014</v>
      </c>
      <c r="H1337">
        <v>25800</v>
      </c>
    </row>
    <row r="1338" spans="2:8">
      <c r="B1338" t="s">
        <v>587</v>
      </c>
      <c r="C1338" t="s">
        <v>173</v>
      </c>
      <c r="D1338">
        <v>3013</v>
      </c>
      <c r="E1338">
        <v>3019</v>
      </c>
      <c r="F1338">
        <v>3012</v>
      </c>
      <c r="G1338">
        <v>3017</v>
      </c>
      <c r="H1338">
        <v>37800</v>
      </c>
    </row>
    <row r="1339" spans="2:8">
      <c r="B1339" t="s">
        <v>587</v>
      </c>
      <c r="C1339" t="s">
        <v>174</v>
      </c>
      <c r="D1339">
        <v>3016</v>
      </c>
      <c r="E1339">
        <v>3018</v>
      </c>
      <c r="F1339">
        <v>3015</v>
      </c>
      <c r="G1339">
        <v>3016</v>
      </c>
      <c r="H1339">
        <v>22200</v>
      </c>
    </row>
    <row r="1340" spans="2:8">
      <c r="B1340" t="s">
        <v>587</v>
      </c>
      <c r="C1340" t="s">
        <v>175</v>
      </c>
      <c r="D1340">
        <v>3016</v>
      </c>
      <c r="E1340">
        <v>3017</v>
      </c>
      <c r="F1340">
        <v>3013</v>
      </c>
      <c r="G1340">
        <v>3015</v>
      </c>
      <c r="H1340">
        <v>47300</v>
      </c>
    </row>
    <row r="1341" spans="2:8">
      <c r="B1341" t="s">
        <v>587</v>
      </c>
      <c r="C1341" t="s">
        <v>176</v>
      </c>
      <c r="D1341">
        <v>3017</v>
      </c>
      <c r="E1341">
        <v>3017</v>
      </c>
      <c r="F1341">
        <v>3013</v>
      </c>
      <c r="G1341">
        <v>3013</v>
      </c>
      <c r="H1341">
        <v>21300</v>
      </c>
    </row>
    <row r="1342" spans="2:8">
      <c r="B1342" t="s">
        <v>587</v>
      </c>
      <c r="C1342" t="s">
        <v>177</v>
      </c>
      <c r="D1342">
        <v>3014</v>
      </c>
      <c r="E1342">
        <v>3023</v>
      </c>
      <c r="F1342">
        <v>3013</v>
      </c>
      <c r="G1342">
        <v>3018</v>
      </c>
      <c r="H1342">
        <v>117100</v>
      </c>
    </row>
    <row r="1343" spans="2:8">
      <c r="B1343" t="s">
        <v>587</v>
      </c>
      <c r="C1343" t="s">
        <v>178</v>
      </c>
      <c r="D1343">
        <v>3018</v>
      </c>
      <c r="E1343">
        <v>3020</v>
      </c>
      <c r="F1343">
        <v>3017</v>
      </c>
      <c r="G1343">
        <v>3020</v>
      </c>
      <c r="H1343">
        <v>14400</v>
      </c>
    </row>
    <row r="1344" spans="2:8">
      <c r="B1344" t="s">
        <v>587</v>
      </c>
      <c r="C1344" t="s">
        <v>179</v>
      </c>
      <c r="D1344">
        <v>3020</v>
      </c>
      <c r="E1344">
        <v>3021</v>
      </c>
      <c r="F1344">
        <v>3018</v>
      </c>
      <c r="G1344">
        <v>3020</v>
      </c>
      <c r="H1344">
        <v>17500</v>
      </c>
    </row>
    <row r="1345" spans="2:8">
      <c r="B1345" t="s">
        <v>587</v>
      </c>
      <c r="C1345" t="s">
        <v>180</v>
      </c>
      <c r="D1345">
        <v>3020</v>
      </c>
      <c r="E1345">
        <v>3020</v>
      </c>
      <c r="F1345">
        <v>3018</v>
      </c>
      <c r="G1345">
        <v>3019</v>
      </c>
      <c r="H1345">
        <v>19800</v>
      </c>
    </row>
    <row r="1346" spans="2:8">
      <c r="B1346" t="s">
        <v>587</v>
      </c>
      <c r="C1346" t="s">
        <v>181</v>
      </c>
      <c r="D1346">
        <v>3019</v>
      </c>
      <c r="E1346">
        <v>3020</v>
      </c>
      <c r="F1346">
        <v>3014</v>
      </c>
      <c r="G1346">
        <v>3014</v>
      </c>
      <c r="H1346">
        <v>17300</v>
      </c>
    </row>
    <row r="1347" spans="2:8">
      <c r="B1347" t="s">
        <v>587</v>
      </c>
      <c r="C1347" t="s">
        <v>182</v>
      </c>
      <c r="D1347">
        <v>3015</v>
      </c>
      <c r="E1347">
        <v>3017</v>
      </c>
      <c r="F1347">
        <v>3013</v>
      </c>
      <c r="G1347">
        <v>3014</v>
      </c>
      <c r="H1347">
        <v>16400</v>
      </c>
    </row>
    <row r="1348" spans="2:8">
      <c r="B1348" t="s">
        <v>587</v>
      </c>
      <c r="C1348" t="s">
        <v>183</v>
      </c>
      <c r="D1348">
        <v>3014</v>
      </c>
      <c r="E1348">
        <v>3016</v>
      </c>
      <c r="F1348">
        <v>3013</v>
      </c>
      <c r="G1348">
        <v>3015</v>
      </c>
      <c r="H1348">
        <v>17300</v>
      </c>
    </row>
    <row r="1349" spans="2:8">
      <c r="B1349" t="s">
        <v>587</v>
      </c>
      <c r="C1349" t="s">
        <v>184</v>
      </c>
      <c r="D1349">
        <v>3016</v>
      </c>
      <c r="E1349">
        <v>3019</v>
      </c>
      <c r="F1349">
        <v>3016</v>
      </c>
      <c r="G1349">
        <v>3019</v>
      </c>
      <c r="H1349">
        <v>20500</v>
      </c>
    </row>
    <row r="1350" spans="2:8">
      <c r="B1350" t="s">
        <v>587</v>
      </c>
      <c r="C1350" t="s">
        <v>185</v>
      </c>
      <c r="D1350">
        <v>3019</v>
      </c>
      <c r="E1350">
        <v>3022</v>
      </c>
      <c r="F1350">
        <v>3019</v>
      </c>
      <c r="G1350">
        <v>3020</v>
      </c>
      <c r="H1350">
        <v>28000</v>
      </c>
    </row>
    <row r="1351" spans="2:8">
      <c r="B1351" t="s">
        <v>587</v>
      </c>
      <c r="C1351" t="s">
        <v>186</v>
      </c>
      <c r="D1351">
        <v>3020</v>
      </c>
      <c r="E1351">
        <v>3020</v>
      </c>
      <c r="F1351">
        <v>3017</v>
      </c>
      <c r="G1351">
        <v>3017</v>
      </c>
      <c r="H1351">
        <v>22700</v>
      </c>
    </row>
    <row r="1352" spans="2:8">
      <c r="B1352" t="s">
        <v>587</v>
      </c>
      <c r="C1352" t="s">
        <v>187</v>
      </c>
      <c r="D1352">
        <v>3017</v>
      </c>
      <c r="E1352">
        <v>3020</v>
      </c>
      <c r="F1352">
        <v>3017</v>
      </c>
      <c r="G1352">
        <v>3019</v>
      </c>
      <c r="H1352">
        <v>8200</v>
      </c>
    </row>
    <row r="1353" spans="2:8">
      <c r="B1353" t="s">
        <v>587</v>
      </c>
      <c r="C1353" t="s">
        <v>188</v>
      </c>
      <c r="D1353">
        <v>3019</v>
      </c>
      <c r="E1353">
        <v>3019</v>
      </c>
      <c r="F1353">
        <v>3014</v>
      </c>
      <c r="G1353">
        <v>3015</v>
      </c>
      <c r="H1353">
        <v>10800</v>
      </c>
    </row>
    <row r="1354" spans="2:8">
      <c r="B1354" t="s">
        <v>587</v>
      </c>
      <c r="C1354" t="s">
        <v>189</v>
      </c>
      <c r="D1354">
        <v>3014</v>
      </c>
      <c r="E1354">
        <v>3019</v>
      </c>
      <c r="F1354">
        <v>3014</v>
      </c>
      <c r="G1354">
        <v>3018</v>
      </c>
      <c r="H1354">
        <v>29000</v>
      </c>
    </row>
    <row r="1355" spans="2:8">
      <c r="B1355" t="s">
        <v>587</v>
      </c>
      <c r="C1355" t="s">
        <v>190</v>
      </c>
      <c r="D1355">
        <v>3019</v>
      </c>
      <c r="E1355">
        <v>3019</v>
      </c>
      <c r="F1355">
        <v>3015</v>
      </c>
      <c r="G1355">
        <v>3018</v>
      </c>
      <c r="H1355">
        <v>14200</v>
      </c>
    </row>
    <row r="1356" spans="2:8">
      <c r="B1356" t="s">
        <v>587</v>
      </c>
      <c r="C1356" t="s">
        <v>191</v>
      </c>
      <c r="D1356">
        <v>3018</v>
      </c>
      <c r="E1356">
        <v>3018</v>
      </c>
      <c r="F1356">
        <v>3016</v>
      </c>
      <c r="G1356">
        <v>3016</v>
      </c>
      <c r="H1356">
        <v>11100</v>
      </c>
    </row>
    <row r="1357" spans="2:8">
      <c r="B1357" t="s">
        <v>587</v>
      </c>
      <c r="C1357" t="s">
        <v>192</v>
      </c>
      <c r="D1357">
        <v>3016</v>
      </c>
      <c r="E1357">
        <v>3016</v>
      </c>
      <c r="F1357">
        <v>3015</v>
      </c>
      <c r="G1357">
        <v>3016</v>
      </c>
      <c r="H1357">
        <v>8800</v>
      </c>
    </row>
    <row r="1358" spans="2:8">
      <c r="B1358" t="s">
        <v>587</v>
      </c>
      <c r="C1358" t="s">
        <v>193</v>
      </c>
      <c r="D1358">
        <v>3016</v>
      </c>
      <c r="E1358">
        <v>3017</v>
      </c>
      <c r="F1358">
        <v>3013</v>
      </c>
      <c r="G1358">
        <v>3015</v>
      </c>
      <c r="H1358">
        <v>29800</v>
      </c>
    </row>
    <row r="1359" spans="2:8">
      <c r="B1359" t="s">
        <v>587</v>
      </c>
      <c r="C1359" t="s">
        <v>194</v>
      </c>
      <c r="D1359">
        <v>3015</v>
      </c>
      <c r="E1359">
        <v>3019</v>
      </c>
      <c r="F1359">
        <v>3015</v>
      </c>
      <c r="G1359">
        <v>3018</v>
      </c>
      <c r="H1359">
        <v>18400</v>
      </c>
    </row>
    <row r="1360" spans="2:8">
      <c r="B1360" t="s">
        <v>587</v>
      </c>
      <c r="C1360" t="s">
        <v>195</v>
      </c>
      <c r="D1360">
        <v>3018</v>
      </c>
      <c r="E1360">
        <v>3022</v>
      </c>
      <c r="F1360">
        <v>3018</v>
      </c>
      <c r="G1360">
        <v>3022</v>
      </c>
      <c r="H1360">
        <v>33600</v>
      </c>
    </row>
    <row r="1361" spans="2:8">
      <c r="B1361" t="s">
        <v>587</v>
      </c>
      <c r="C1361" t="s">
        <v>196</v>
      </c>
      <c r="D1361">
        <v>3022</v>
      </c>
      <c r="E1361">
        <v>3022</v>
      </c>
      <c r="F1361">
        <v>3020</v>
      </c>
      <c r="G1361">
        <v>3022</v>
      </c>
      <c r="H1361">
        <v>18400</v>
      </c>
    </row>
    <row r="1362" spans="2:8">
      <c r="B1362" t="s">
        <v>587</v>
      </c>
      <c r="C1362" t="s">
        <v>197</v>
      </c>
      <c r="D1362">
        <v>3021</v>
      </c>
      <c r="E1362">
        <v>3022</v>
      </c>
      <c r="F1362">
        <v>3020</v>
      </c>
      <c r="G1362">
        <v>3022</v>
      </c>
      <c r="H1362">
        <v>36400</v>
      </c>
    </row>
    <row r="1363" spans="2:8">
      <c r="B1363" t="s">
        <v>587</v>
      </c>
      <c r="C1363" t="s">
        <v>198</v>
      </c>
      <c r="D1363">
        <v>3022</v>
      </c>
      <c r="E1363">
        <v>3023</v>
      </c>
      <c r="F1363">
        <v>3022</v>
      </c>
      <c r="G1363">
        <v>3022</v>
      </c>
      <c r="H1363">
        <v>27000</v>
      </c>
    </row>
    <row r="1364" spans="2:8">
      <c r="B1364" t="s">
        <v>587</v>
      </c>
      <c r="C1364" t="s">
        <v>199</v>
      </c>
      <c r="D1364">
        <v>3022</v>
      </c>
      <c r="E1364">
        <v>3026</v>
      </c>
      <c r="F1364">
        <v>3022</v>
      </c>
      <c r="G1364">
        <v>3025</v>
      </c>
      <c r="H1364">
        <v>64300</v>
      </c>
    </row>
    <row r="1365" spans="2:8">
      <c r="B1365" t="s">
        <v>587</v>
      </c>
      <c r="C1365" t="s">
        <v>200</v>
      </c>
      <c r="D1365">
        <v>3025</v>
      </c>
      <c r="E1365">
        <v>3028</v>
      </c>
      <c r="F1365">
        <v>3024</v>
      </c>
      <c r="G1365">
        <v>3028</v>
      </c>
      <c r="H1365">
        <v>25900</v>
      </c>
    </row>
    <row r="1366" spans="2:8">
      <c r="B1366" t="s">
        <v>587</v>
      </c>
      <c r="C1366" t="s">
        <v>201</v>
      </c>
      <c r="D1366">
        <v>3028</v>
      </c>
      <c r="E1366">
        <v>3028</v>
      </c>
      <c r="F1366">
        <v>3025</v>
      </c>
      <c r="G1366">
        <v>3028</v>
      </c>
      <c r="H1366">
        <v>25200</v>
      </c>
    </row>
    <row r="1367" spans="2:8">
      <c r="B1367" t="s">
        <v>587</v>
      </c>
      <c r="C1367" t="s">
        <v>202</v>
      </c>
      <c r="D1367">
        <v>3028</v>
      </c>
      <c r="E1367">
        <v>3028</v>
      </c>
      <c r="F1367">
        <v>3025</v>
      </c>
      <c r="G1367">
        <v>3027</v>
      </c>
      <c r="H1367">
        <v>47000</v>
      </c>
    </row>
    <row r="1368" spans="2:8">
      <c r="B1368" t="s">
        <v>587</v>
      </c>
      <c r="C1368" t="s">
        <v>203</v>
      </c>
      <c r="D1368">
        <v>3027</v>
      </c>
      <c r="E1368">
        <v>3028</v>
      </c>
      <c r="F1368">
        <v>3024</v>
      </c>
      <c r="G1368">
        <v>3026</v>
      </c>
      <c r="H1368">
        <v>21700</v>
      </c>
    </row>
    <row r="1369" spans="2:8">
      <c r="B1369" t="s">
        <v>587</v>
      </c>
      <c r="C1369" t="s">
        <v>204</v>
      </c>
      <c r="D1369">
        <v>3026</v>
      </c>
      <c r="E1369">
        <v>3027</v>
      </c>
      <c r="F1369">
        <v>3025</v>
      </c>
      <c r="G1369">
        <v>3027</v>
      </c>
      <c r="H1369">
        <v>13100</v>
      </c>
    </row>
    <row r="1370" spans="2:8">
      <c r="B1370" t="s">
        <v>587</v>
      </c>
      <c r="C1370" t="s">
        <v>205</v>
      </c>
      <c r="D1370">
        <v>3027</v>
      </c>
      <c r="E1370">
        <v>3028</v>
      </c>
      <c r="F1370">
        <v>3026</v>
      </c>
      <c r="G1370">
        <v>3027</v>
      </c>
      <c r="H1370">
        <v>16500</v>
      </c>
    </row>
    <row r="1371" spans="2:8">
      <c r="B1371" t="s">
        <v>587</v>
      </c>
      <c r="C1371" t="s">
        <v>206</v>
      </c>
      <c r="D1371">
        <v>3028</v>
      </c>
      <c r="E1371">
        <v>3029</v>
      </c>
      <c r="F1371">
        <v>3027</v>
      </c>
      <c r="G1371">
        <v>3027</v>
      </c>
      <c r="H1371">
        <v>24600</v>
      </c>
    </row>
    <row r="1372" spans="2:8">
      <c r="B1372" t="s">
        <v>587</v>
      </c>
      <c r="C1372" t="s">
        <v>207</v>
      </c>
      <c r="D1372">
        <v>3027</v>
      </c>
      <c r="E1372">
        <v>3030</v>
      </c>
      <c r="F1372">
        <v>3027</v>
      </c>
      <c r="G1372">
        <v>3029</v>
      </c>
      <c r="H1372">
        <v>28100</v>
      </c>
    </row>
    <row r="1373" spans="2:8">
      <c r="B1373" t="s">
        <v>587</v>
      </c>
      <c r="C1373" t="s">
        <v>208</v>
      </c>
      <c r="D1373">
        <v>3029</v>
      </c>
      <c r="E1373">
        <v>3030</v>
      </c>
      <c r="F1373">
        <v>3027</v>
      </c>
      <c r="G1373">
        <v>3028</v>
      </c>
      <c r="H1373">
        <v>26400</v>
      </c>
    </row>
    <row r="1374" spans="2:8">
      <c r="B1374" t="s">
        <v>587</v>
      </c>
      <c r="C1374" t="s">
        <v>209</v>
      </c>
      <c r="D1374">
        <v>3028</v>
      </c>
      <c r="E1374">
        <v>3034</v>
      </c>
      <c r="F1374">
        <v>3028</v>
      </c>
      <c r="G1374">
        <v>3034</v>
      </c>
      <c r="H1374">
        <v>147000</v>
      </c>
    </row>
    <row r="1375" spans="2:8">
      <c r="B1375" t="s">
        <v>587</v>
      </c>
      <c r="C1375" t="s">
        <v>210</v>
      </c>
      <c r="D1375">
        <v>3034</v>
      </c>
      <c r="E1375">
        <v>3036</v>
      </c>
      <c r="F1375">
        <v>3033</v>
      </c>
      <c r="G1375">
        <v>3034</v>
      </c>
      <c r="H1375">
        <v>37500</v>
      </c>
    </row>
    <row r="1376" spans="2:8">
      <c r="B1376" t="s">
        <v>587</v>
      </c>
      <c r="C1376" t="s">
        <v>211</v>
      </c>
      <c r="D1376">
        <v>3034</v>
      </c>
      <c r="E1376">
        <v>3035</v>
      </c>
      <c r="F1376">
        <v>3031</v>
      </c>
      <c r="G1376">
        <v>3031</v>
      </c>
      <c r="H1376">
        <v>40700</v>
      </c>
    </row>
    <row r="1377" spans="2:8">
      <c r="B1377" t="s">
        <v>587</v>
      </c>
      <c r="C1377" t="s">
        <v>212</v>
      </c>
      <c r="D1377">
        <v>3031</v>
      </c>
      <c r="E1377">
        <v>3031</v>
      </c>
      <c r="F1377">
        <v>3026</v>
      </c>
      <c r="G1377">
        <v>3028</v>
      </c>
      <c r="H1377">
        <v>34400</v>
      </c>
    </row>
    <row r="1378" spans="2:8">
      <c r="B1378" t="s">
        <v>587</v>
      </c>
      <c r="C1378" t="s">
        <v>213</v>
      </c>
      <c r="D1378">
        <v>3028</v>
      </c>
      <c r="E1378">
        <v>3029</v>
      </c>
      <c r="F1378">
        <v>3027</v>
      </c>
      <c r="G1378">
        <v>3028</v>
      </c>
      <c r="H1378">
        <v>17900</v>
      </c>
    </row>
    <row r="1379" spans="2:8">
      <c r="B1379" t="s">
        <v>587</v>
      </c>
      <c r="C1379" t="s">
        <v>214</v>
      </c>
      <c r="D1379">
        <v>3027</v>
      </c>
      <c r="E1379">
        <v>3029</v>
      </c>
      <c r="F1379">
        <v>3027</v>
      </c>
      <c r="G1379">
        <v>3028</v>
      </c>
      <c r="H1379">
        <v>8400</v>
      </c>
    </row>
    <row r="1380" spans="2:8">
      <c r="B1380" t="s">
        <v>587</v>
      </c>
      <c r="C1380" t="s">
        <v>215</v>
      </c>
      <c r="D1380">
        <v>3028</v>
      </c>
      <c r="E1380">
        <v>3029</v>
      </c>
      <c r="F1380">
        <v>3027</v>
      </c>
      <c r="G1380">
        <v>3027</v>
      </c>
      <c r="H1380">
        <v>12100</v>
      </c>
    </row>
    <row r="1381" spans="2:8">
      <c r="B1381" t="s">
        <v>587</v>
      </c>
      <c r="C1381" t="s">
        <v>216</v>
      </c>
      <c r="D1381">
        <v>3027</v>
      </c>
      <c r="E1381">
        <v>3027</v>
      </c>
      <c r="F1381">
        <v>3025</v>
      </c>
      <c r="G1381">
        <v>3026</v>
      </c>
      <c r="H1381">
        <v>22600</v>
      </c>
    </row>
    <row r="1382" spans="2:8">
      <c r="B1382" t="s">
        <v>587</v>
      </c>
      <c r="C1382" t="s">
        <v>217</v>
      </c>
      <c r="D1382">
        <v>3026</v>
      </c>
      <c r="E1382">
        <v>3028</v>
      </c>
      <c r="F1382">
        <v>3025</v>
      </c>
      <c r="G1382">
        <v>3027</v>
      </c>
      <c r="H1382">
        <v>66900</v>
      </c>
    </row>
    <row r="1383" spans="2:8">
      <c r="B1383" t="s">
        <v>587</v>
      </c>
      <c r="C1383" t="s">
        <v>218</v>
      </c>
      <c r="D1383">
        <v>3028</v>
      </c>
      <c r="E1383">
        <v>3028</v>
      </c>
      <c r="F1383">
        <v>3020</v>
      </c>
      <c r="G1383">
        <v>3020</v>
      </c>
      <c r="H1383">
        <v>33700</v>
      </c>
    </row>
    <row r="1384" spans="2:8">
      <c r="B1384" t="s">
        <v>587</v>
      </c>
      <c r="C1384" t="s">
        <v>219</v>
      </c>
      <c r="D1384">
        <v>3020</v>
      </c>
      <c r="E1384">
        <v>3020</v>
      </c>
      <c r="F1384">
        <v>3019</v>
      </c>
      <c r="G1384">
        <v>3020</v>
      </c>
      <c r="H1384">
        <v>15200</v>
      </c>
    </row>
    <row r="1385" spans="2:8">
      <c r="B1385" t="s">
        <v>587</v>
      </c>
      <c r="C1385" t="s">
        <v>220</v>
      </c>
      <c r="D1385">
        <v>3020</v>
      </c>
      <c r="E1385">
        <v>3021</v>
      </c>
      <c r="F1385">
        <v>3020</v>
      </c>
      <c r="G1385">
        <v>3020</v>
      </c>
      <c r="H1385">
        <v>14400</v>
      </c>
    </row>
    <row r="1386" spans="2:8">
      <c r="B1386" t="s">
        <v>587</v>
      </c>
      <c r="C1386" t="s">
        <v>221</v>
      </c>
      <c r="D1386">
        <v>3020</v>
      </c>
      <c r="E1386">
        <v>3020</v>
      </c>
      <c r="F1386">
        <v>3018</v>
      </c>
      <c r="G1386">
        <v>3019</v>
      </c>
      <c r="H1386">
        <v>18500</v>
      </c>
    </row>
    <row r="1387" spans="2:8">
      <c r="B1387" t="s">
        <v>587</v>
      </c>
      <c r="C1387" t="s">
        <v>222</v>
      </c>
      <c r="D1387">
        <v>3019</v>
      </c>
      <c r="E1387">
        <v>3022</v>
      </c>
      <c r="F1387">
        <v>3019</v>
      </c>
      <c r="G1387">
        <v>3022</v>
      </c>
      <c r="H1387">
        <v>16600</v>
      </c>
    </row>
    <row r="1388" spans="2:8">
      <c r="B1388" t="s">
        <v>587</v>
      </c>
      <c r="C1388" t="s">
        <v>223</v>
      </c>
      <c r="D1388">
        <v>3022</v>
      </c>
      <c r="E1388">
        <v>3022</v>
      </c>
      <c r="F1388">
        <v>3020</v>
      </c>
      <c r="G1388">
        <v>3021</v>
      </c>
      <c r="H1388">
        <v>12500</v>
      </c>
    </row>
    <row r="1389" spans="2:8">
      <c r="B1389" t="s">
        <v>587</v>
      </c>
      <c r="C1389" t="s">
        <v>224</v>
      </c>
      <c r="D1389">
        <v>3021</v>
      </c>
      <c r="E1389">
        <v>3025</v>
      </c>
      <c r="F1389">
        <v>3021</v>
      </c>
      <c r="G1389">
        <v>3023</v>
      </c>
      <c r="H1389">
        <v>12400</v>
      </c>
    </row>
    <row r="1390" spans="2:8">
      <c r="B1390" t="s">
        <v>587</v>
      </c>
      <c r="C1390" t="s">
        <v>225</v>
      </c>
      <c r="D1390">
        <v>3024</v>
      </c>
      <c r="E1390">
        <v>3025</v>
      </c>
      <c r="F1390">
        <v>3024</v>
      </c>
      <c r="G1390">
        <v>3024</v>
      </c>
      <c r="H1390">
        <v>12400</v>
      </c>
    </row>
    <row r="1391" spans="2:8">
      <c r="B1391" t="s">
        <v>587</v>
      </c>
      <c r="C1391" t="s">
        <v>226</v>
      </c>
      <c r="D1391">
        <v>3023</v>
      </c>
      <c r="E1391">
        <v>3026</v>
      </c>
      <c r="F1391">
        <v>3023</v>
      </c>
      <c r="G1391">
        <v>3023</v>
      </c>
      <c r="H1391">
        <v>15400</v>
      </c>
    </row>
    <row r="1392" spans="2:8">
      <c r="B1392" t="s">
        <v>587</v>
      </c>
      <c r="C1392" t="s">
        <v>227</v>
      </c>
      <c r="D1392">
        <v>3024</v>
      </c>
      <c r="E1392">
        <v>3025</v>
      </c>
      <c r="F1392">
        <v>3022</v>
      </c>
      <c r="G1392">
        <v>3022</v>
      </c>
      <c r="H1392">
        <v>20900</v>
      </c>
    </row>
    <row r="1393" spans="2:8">
      <c r="B1393" t="s">
        <v>587</v>
      </c>
      <c r="C1393" t="s">
        <v>228</v>
      </c>
      <c r="D1393">
        <v>3023</v>
      </c>
      <c r="E1393">
        <v>3025</v>
      </c>
      <c r="F1393">
        <v>3023</v>
      </c>
      <c r="G1393">
        <v>3023</v>
      </c>
      <c r="H1393">
        <v>8500</v>
      </c>
    </row>
    <row r="1394" spans="2:8">
      <c r="B1394" t="s">
        <v>587</v>
      </c>
      <c r="C1394" t="s">
        <v>229</v>
      </c>
      <c r="D1394">
        <v>3024</v>
      </c>
      <c r="E1394">
        <v>3026</v>
      </c>
      <c r="F1394">
        <v>3024</v>
      </c>
      <c r="G1394">
        <v>3025</v>
      </c>
      <c r="H1394">
        <v>12400</v>
      </c>
    </row>
    <row r="1395" spans="2:8">
      <c r="B1395" t="s">
        <v>587</v>
      </c>
      <c r="C1395" t="s">
        <v>230</v>
      </c>
      <c r="D1395">
        <v>3026</v>
      </c>
      <c r="E1395">
        <v>3027</v>
      </c>
      <c r="F1395">
        <v>3025</v>
      </c>
      <c r="G1395">
        <v>3026</v>
      </c>
      <c r="H1395">
        <v>8800</v>
      </c>
    </row>
    <row r="1396" spans="2:8">
      <c r="B1396" t="s">
        <v>587</v>
      </c>
      <c r="C1396" t="s">
        <v>231</v>
      </c>
      <c r="D1396">
        <v>3026</v>
      </c>
      <c r="E1396">
        <v>3029</v>
      </c>
      <c r="F1396">
        <v>3026</v>
      </c>
      <c r="G1396">
        <v>3029</v>
      </c>
      <c r="H1396">
        <v>17000</v>
      </c>
    </row>
    <row r="1397" spans="2:8">
      <c r="B1397" t="s">
        <v>587</v>
      </c>
      <c r="C1397" t="s">
        <v>232</v>
      </c>
      <c r="D1397">
        <v>3028</v>
      </c>
      <c r="E1397">
        <v>3028</v>
      </c>
      <c r="F1397">
        <v>3027</v>
      </c>
      <c r="G1397">
        <v>3028</v>
      </c>
      <c r="H1397">
        <v>13900</v>
      </c>
    </row>
    <row r="1398" spans="2:8">
      <c r="B1398" t="s">
        <v>587</v>
      </c>
      <c r="C1398" t="s">
        <v>233</v>
      </c>
      <c r="D1398">
        <v>3028</v>
      </c>
      <c r="E1398">
        <v>3028</v>
      </c>
      <c r="F1398">
        <v>3026</v>
      </c>
      <c r="G1398">
        <v>3028</v>
      </c>
      <c r="H1398">
        <v>7300</v>
      </c>
    </row>
    <row r="1399" spans="2:8">
      <c r="B1399" t="s">
        <v>587</v>
      </c>
      <c r="C1399" t="s">
        <v>234</v>
      </c>
      <c r="D1399">
        <v>3027</v>
      </c>
      <c r="E1399">
        <v>3028</v>
      </c>
      <c r="F1399">
        <v>3027</v>
      </c>
      <c r="G1399">
        <v>3028</v>
      </c>
      <c r="H1399">
        <v>6500</v>
      </c>
    </row>
    <row r="1400" spans="2:8">
      <c r="B1400" t="s">
        <v>587</v>
      </c>
      <c r="C1400" t="s">
        <v>235</v>
      </c>
      <c r="D1400">
        <v>3028</v>
      </c>
      <c r="E1400">
        <v>3030</v>
      </c>
      <c r="F1400">
        <v>3028</v>
      </c>
      <c r="G1400">
        <v>3030</v>
      </c>
      <c r="H1400">
        <v>67700</v>
      </c>
    </row>
    <row r="1401" spans="2:8">
      <c r="B1401" t="s">
        <v>587</v>
      </c>
      <c r="C1401" t="s">
        <v>236</v>
      </c>
      <c r="D1401">
        <v>3030</v>
      </c>
      <c r="E1401">
        <v>3030</v>
      </c>
      <c r="F1401">
        <v>3023</v>
      </c>
      <c r="G1401">
        <v>3023</v>
      </c>
      <c r="H1401">
        <v>31500</v>
      </c>
    </row>
    <row r="1402" spans="2:8">
      <c r="B1402" t="s">
        <v>587</v>
      </c>
      <c r="C1402" t="s">
        <v>237</v>
      </c>
      <c r="D1402">
        <v>3023</v>
      </c>
      <c r="E1402">
        <v>3026</v>
      </c>
      <c r="F1402">
        <v>3023</v>
      </c>
      <c r="G1402">
        <v>3026</v>
      </c>
      <c r="H1402">
        <v>45700</v>
      </c>
    </row>
    <row r="1403" spans="2:8">
      <c r="B1403" t="s">
        <v>587</v>
      </c>
      <c r="C1403" t="s">
        <v>238</v>
      </c>
      <c r="D1403">
        <v>3026</v>
      </c>
      <c r="E1403">
        <v>3028</v>
      </c>
      <c r="F1403">
        <v>3025</v>
      </c>
      <c r="G1403">
        <v>3025</v>
      </c>
      <c r="H1403">
        <v>14100</v>
      </c>
    </row>
    <row r="1404" spans="2:8">
      <c r="B1404" t="s">
        <v>587</v>
      </c>
      <c r="C1404" t="s">
        <v>239</v>
      </c>
      <c r="D1404">
        <v>3025</v>
      </c>
      <c r="E1404">
        <v>3028</v>
      </c>
      <c r="F1404">
        <v>3024</v>
      </c>
      <c r="G1404">
        <v>3026</v>
      </c>
      <c r="H1404">
        <v>21200</v>
      </c>
    </row>
    <row r="1405" spans="2:8">
      <c r="B1405" t="s">
        <v>587</v>
      </c>
      <c r="C1405" t="s">
        <v>240</v>
      </c>
      <c r="D1405">
        <v>3027</v>
      </c>
      <c r="E1405">
        <v>3028</v>
      </c>
      <c r="F1405">
        <v>3026</v>
      </c>
      <c r="G1405">
        <v>3028</v>
      </c>
      <c r="H1405">
        <v>6600</v>
      </c>
    </row>
    <row r="1406" spans="2:8">
      <c r="B1406" t="s">
        <v>587</v>
      </c>
      <c r="C1406" t="s">
        <v>241</v>
      </c>
      <c r="D1406">
        <v>3028</v>
      </c>
      <c r="E1406">
        <v>3028</v>
      </c>
      <c r="F1406">
        <v>3028</v>
      </c>
      <c r="G1406">
        <v>3028</v>
      </c>
      <c r="H1406">
        <v>8700</v>
      </c>
    </row>
    <row r="1407" spans="2:8">
      <c r="B1407" t="s">
        <v>587</v>
      </c>
      <c r="C1407" t="s">
        <v>242</v>
      </c>
      <c r="D1407">
        <v>3029</v>
      </c>
      <c r="E1407">
        <v>3029</v>
      </c>
      <c r="F1407">
        <v>3026</v>
      </c>
      <c r="G1407">
        <v>3027</v>
      </c>
      <c r="H1407">
        <v>11300</v>
      </c>
    </row>
    <row r="1408" spans="2:8">
      <c r="B1408" t="s">
        <v>587</v>
      </c>
      <c r="C1408" t="s">
        <v>243</v>
      </c>
      <c r="D1408">
        <v>3026</v>
      </c>
      <c r="E1408">
        <v>3027</v>
      </c>
      <c r="F1408">
        <v>3026</v>
      </c>
      <c r="G1408">
        <v>3027</v>
      </c>
      <c r="H1408">
        <v>8100</v>
      </c>
    </row>
    <row r="1409" spans="2:8">
      <c r="B1409" t="s">
        <v>587</v>
      </c>
      <c r="C1409" t="s">
        <v>244</v>
      </c>
      <c r="D1409">
        <v>3027</v>
      </c>
      <c r="E1409">
        <v>3028</v>
      </c>
      <c r="F1409">
        <v>3026</v>
      </c>
      <c r="G1409">
        <v>3028</v>
      </c>
      <c r="H1409">
        <v>5500</v>
      </c>
    </row>
    <row r="1410" spans="2:8">
      <c r="B1410" t="s">
        <v>587</v>
      </c>
      <c r="C1410" t="s">
        <v>245</v>
      </c>
      <c r="D1410">
        <v>3028</v>
      </c>
      <c r="E1410">
        <v>3028</v>
      </c>
      <c r="F1410">
        <v>3027</v>
      </c>
      <c r="G1410">
        <v>3028</v>
      </c>
      <c r="H1410">
        <v>12300</v>
      </c>
    </row>
    <row r="1411" spans="2:8">
      <c r="B1411" t="s">
        <v>587</v>
      </c>
      <c r="C1411" t="s">
        <v>246</v>
      </c>
      <c r="D1411">
        <v>3028</v>
      </c>
      <c r="E1411">
        <v>3029</v>
      </c>
      <c r="F1411">
        <v>3027</v>
      </c>
      <c r="G1411">
        <v>3028</v>
      </c>
      <c r="H1411">
        <v>11000</v>
      </c>
    </row>
    <row r="1412" spans="2:8">
      <c r="B1412" t="s">
        <v>587</v>
      </c>
      <c r="C1412" t="s">
        <v>247</v>
      </c>
      <c r="D1412">
        <v>3027</v>
      </c>
      <c r="E1412">
        <v>3030</v>
      </c>
      <c r="F1412">
        <v>3027</v>
      </c>
      <c r="G1412">
        <v>3028</v>
      </c>
      <c r="H1412">
        <v>42600</v>
      </c>
    </row>
    <row r="1413" spans="2:8">
      <c r="B1413" t="s">
        <v>587</v>
      </c>
      <c r="C1413" t="s">
        <v>248</v>
      </c>
      <c r="D1413">
        <v>3030</v>
      </c>
      <c r="E1413">
        <v>3030</v>
      </c>
      <c r="F1413">
        <v>3029</v>
      </c>
      <c r="G1413">
        <v>3029</v>
      </c>
      <c r="H1413">
        <v>14600</v>
      </c>
    </row>
    <row r="1414" spans="2:8">
      <c r="B1414" t="s">
        <v>587</v>
      </c>
      <c r="C1414" t="s">
        <v>249</v>
      </c>
      <c r="D1414">
        <v>3028</v>
      </c>
      <c r="E1414">
        <v>3028</v>
      </c>
      <c r="F1414">
        <v>3024</v>
      </c>
      <c r="G1414">
        <v>3024</v>
      </c>
      <c r="H1414">
        <v>58400</v>
      </c>
    </row>
    <row r="1415" spans="2:8">
      <c r="B1415" t="s">
        <v>587</v>
      </c>
      <c r="C1415" t="s">
        <v>250</v>
      </c>
      <c r="D1415">
        <v>3024</v>
      </c>
      <c r="E1415">
        <v>3026</v>
      </c>
      <c r="F1415">
        <v>3024</v>
      </c>
      <c r="G1415">
        <v>3025</v>
      </c>
      <c r="H1415">
        <v>12500</v>
      </c>
    </row>
    <row r="1416" spans="2:8">
      <c r="B1416" t="s">
        <v>587</v>
      </c>
      <c r="C1416" t="s">
        <v>251</v>
      </c>
      <c r="D1416">
        <v>3025</v>
      </c>
      <c r="E1416">
        <v>3026</v>
      </c>
      <c r="F1416">
        <v>3025</v>
      </c>
      <c r="G1416">
        <v>3026</v>
      </c>
      <c r="H1416">
        <v>17900</v>
      </c>
    </row>
    <row r="1417" spans="2:8">
      <c r="B1417" t="s">
        <v>587</v>
      </c>
      <c r="C1417" t="s">
        <v>252</v>
      </c>
      <c r="D1417">
        <v>3027</v>
      </c>
      <c r="E1417">
        <v>3027</v>
      </c>
      <c r="F1417">
        <v>3026</v>
      </c>
      <c r="G1417">
        <v>3027</v>
      </c>
      <c r="H1417">
        <v>10900</v>
      </c>
    </row>
    <row r="1418" spans="2:8">
      <c r="B1418" t="s">
        <v>587</v>
      </c>
      <c r="C1418" t="s">
        <v>253</v>
      </c>
      <c r="D1418">
        <v>3028</v>
      </c>
      <c r="E1418">
        <v>3029</v>
      </c>
      <c r="F1418">
        <v>3028</v>
      </c>
      <c r="G1418">
        <v>3028</v>
      </c>
      <c r="H1418">
        <v>32400</v>
      </c>
    </row>
    <row r="1419" spans="2:8">
      <c r="B1419" t="s">
        <v>587</v>
      </c>
      <c r="C1419" t="s">
        <v>254</v>
      </c>
      <c r="D1419">
        <v>3028</v>
      </c>
      <c r="E1419">
        <v>3030</v>
      </c>
      <c r="F1419">
        <v>3028</v>
      </c>
      <c r="G1419">
        <v>3030</v>
      </c>
      <c r="H1419">
        <v>9500</v>
      </c>
    </row>
    <row r="1420" spans="2:8">
      <c r="B1420" t="s">
        <v>587</v>
      </c>
      <c r="C1420" t="s">
        <v>255</v>
      </c>
      <c r="D1420">
        <v>3030</v>
      </c>
      <c r="E1420">
        <v>3031</v>
      </c>
      <c r="F1420">
        <v>3029</v>
      </c>
      <c r="G1420">
        <v>3031</v>
      </c>
      <c r="H1420">
        <v>17500</v>
      </c>
    </row>
    <row r="1421" spans="2:8">
      <c r="B1421" t="s">
        <v>587</v>
      </c>
      <c r="C1421" t="s">
        <v>256</v>
      </c>
      <c r="D1421">
        <v>3030</v>
      </c>
      <c r="E1421">
        <v>3031</v>
      </c>
      <c r="F1421">
        <v>3030</v>
      </c>
      <c r="G1421">
        <v>3031</v>
      </c>
      <c r="H1421">
        <v>13200</v>
      </c>
    </row>
    <row r="1422" spans="2:8">
      <c r="B1422" t="s">
        <v>587</v>
      </c>
      <c r="C1422" t="s">
        <v>257</v>
      </c>
      <c r="D1422">
        <v>3031</v>
      </c>
      <c r="E1422">
        <v>3033</v>
      </c>
      <c r="F1422">
        <v>3030</v>
      </c>
      <c r="G1422">
        <v>3033</v>
      </c>
      <c r="H1422">
        <v>12700</v>
      </c>
    </row>
    <row r="1423" spans="2:8">
      <c r="B1423" t="s">
        <v>587</v>
      </c>
      <c r="C1423" t="s">
        <v>258</v>
      </c>
      <c r="D1423">
        <v>3033</v>
      </c>
      <c r="E1423">
        <v>3033</v>
      </c>
      <c r="F1423">
        <v>3030</v>
      </c>
      <c r="G1423">
        <v>3030</v>
      </c>
      <c r="H1423">
        <v>22800</v>
      </c>
    </row>
    <row r="1424" spans="2:8">
      <c r="B1424" t="s">
        <v>587</v>
      </c>
      <c r="C1424" t="s">
        <v>259</v>
      </c>
      <c r="D1424">
        <v>3031</v>
      </c>
      <c r="E1424">
        <v>3033</v>
      </c>
      <c r="F1424">
        <v>3030</v>
      </c>
      <c r="G1424">
        <v>3033</v>
      </c>
      <c r="H1424">
        <v>23000</v>
      </c>
    </row>
    <row r="1425" spans="2:8">
      <c r="B1425" t="s">
        <v>587</v>
      </c>
      <c r="C1425" t="s">
        <v>260</v>
      </c>
      <c r="D1425">
        <v>3032</v>
      </c>
      <c r="E1425">
        <v>3033</v>
      </c>
      <c r="F1425">
        <v>3032</v>
      </c>
      <c r="G1425">
        <v>3032</v>
      </c>
      <c r="H1425">
        <v>12300</v>
      </c>
    </row>
    <row r="1426" spans="2:8">
      <c r="B1426" t="s">
        <v>587</v>
      </c>
      <c r="C1426" t="s">
        <v>261</v>
      </c>
      <c r="D1426">
        <v>3032</v>
      </c>
      <c r="E1426">
        <v>3032</v>
      </c>
      <c r="F1426">
        <v>3030</v>
      </c>
      <c r="G1426">
        <v>3030</v>
      </c>
      <c r="H1426">
        <v>38000</v>
      </c>
    </row>
    <row r="1427" spans="2:8">
      <c r="B1427" t="s">
        <v>587</v>
      </c>
      <c r="C1427" t="s">
        <v>262</v>
      </c>
      <c r="D1427">
        <v>3030</v>
      </c>
      <c r="E1427">
        <v>3030</v>
      </c>
      <c r="F1427">
        <v>3029</v>
      </c>
      <c r="G1427">
        <v>3029</v>
      </c>
      <c r="H1427">
        <v>20600</v>
      </c>
    </row>
    <row r="1428" spans="2:8">
      <c r="B1428" t="s">
        <v>587</v>
      </c>
      <c r="C1428" t="s">
        <v>263</v>
      </c>
      <c r="D1428">
        <v>3029</v>
      </c>
      <c r="E1428">
        <v>3029</v>
      </c>
      <c r="F1428">
        <v>3029</v>
      </c>
      <c r="G1428">
        <v>3029</v>
      </c>
      <c r="H1428">
        <v>2900</v>
      </c>
    </row>
    <row r="1429" spans="2:8">
      <c r="B1429" t="s">
        <v>587</v>
      </c>
      <c r="C1429" t="s">
        <v>264</v>
      </c>
      <c r="D1429">
        <v>3029</v>
      </c>
      <c r="E1429">
        <v>3030</v>
      </c>
      <c r="F1429">
        <v>3028</v>
      </c>
      <c r="G1429">
        <v>3028</v>
      </c>
      <c r="H1429">
        <v>23600</v>
      </c>
    </row>
    <row r="1430" spans="2:8">
      <c r="B1430" t="s">
        <v>587</v>
      </c>
      <c r="C1430" t="s">
        <v>265</v>
      </c>
      <c r="D1430">
        <v>3028</v>
      </c>
      <c r="E1430">
        <v>3029</v>
      </c>
      <c r="F1430">
        <v>3028</v>
      </c>
      <c r="G1430">
        <v>3028</v>
      </c>
      <c r="H1430">
        <v>4800</v>
      </c>
    </row>
    <row r="1431" spans="2:8">
      <c r="B1431" t="s">
        <v>587</v>
      </c>
      <c r="C1431" t="s">
        <v>266</v>
      </c>
      <c r="D1431">
        <v>3028</v>
      </c>
      <c r="E1431">
        <v>3030</v>
      </c>
      <c r="F1431">
        <v>3028</v>
      </c>
      <c r="G1431">
        <v>3029</v>
      </c>
      <c r="H1431">
        <v>21200</v>
      </c>
    </row>
    <row r="1432" spans="2:8">
      <c r="B1432" t="s">
        <v>587</v>
      </c>
      <c r="C1432" t="s">
        <v>267</v>
      </c>
      <c r="D1432">
        <v>3028</v>
      </c>
      <c r="E1432">
        <v>3030</v>
      </c>
      <c r="F1432">
        <v>3028</v>
      </c>
      <c r="G1432">
        <v>3030</v>
      </c>
      <c r="H1432">
        <v>9800</v>
      </c>
    </row>
    <row r="1433" spans="2:8">
      <c r="B1433" t="s">
        <v>587</v>
      </c>
      <c r="C1433" t="s">
        <v>268</v>
      </c>
      <c r="D1433">
        <v>3029</v>
      </c>
      <c r="E1433">
        <v>3029</v>
      </c>
      <c r="F1433">
        <v>3026</v>
      </c>
      <c r="G1433">
        <v>3028</v>
      </c>
      <c r="H1433">
        <v>28900</v>
      </c>
    </row>
    <row r="1434" spans="2:8">
      <c r="B1434" t="s">
        <v>587</v>
      </c>
      <c r="C1434" t="s">
        <v>269</v>
      </c>
      <c r="D1434">
        <v>3028</v>
      </c>
      <c r="E1434">
        <v>3029</v>
      </c>
      <c r="F1434">
        <v>3027</v>
      </c>
      <c r="G1434">
        <v>3029</v>
      </c>
      <c r="H1434">
        <v>2800</v>
      </c>
    </row>
    <row r="1435" spans="2:8">
      <c r="B1435" t="s">
        <v>587</v>
      </c>
      <c r="C1435" t="s">
        <v>270</v>
      </c>
      <c r="D1435">
        <v>3028</v>
      </c>
      <c r="E1435">
        <v>3029</v>
      </c>
      <c r="F1435">
        <v>3028</v>
      </c>
      <c r="G1435">
        <v>3028</v>
      </c>
      <c r="H1435">
        <v>8200</v>
      </c>
    </row>
    <row r="1436" spans="2:8">
      <c r="B1436" t="s">
        <v>587</v>
      </c>
      <c r="C1436" t="s">
        <v>271</v>
      </c>
      <c r="D1436">
        <v>3028</v>
      </c>
      <c r="E1436">
        <v>3029</v>
      </c>
      <c r="F1436">
        <v>3025</v>
      </c>
      <c r="G1436">
        <v>3026</v>
      </c>
      <c r="H1436">
        <v>34600</v>
      </c>
    </row>
    <row r="1437" spans="2:8">
      <c r="B1437" t="s">
        <v>587</v>
      </c>
      <c r="C1437" t="s">
        <v>272</v>
      </c>
      <c r="D1437">
        <v>3027</v>
      </c>
      <c r="E1437">
        <v>3028</v>
      </c>
      <c r="F1437">
        <v>3027</v>
      </c>
      <c r="G1437">
        <v>3027</v>
      </c>
      <c r="H1437">
        <v>3400</v>
      </c>
    </row>
    <row r="1438" spans="2:8">
      <c r="B1438" t="s">
        <v>587</v>
      </c>
      <c r="C1438" t="s">
        <v>273</v>
      </c>
      <c r="D1438">
        <v>3027</v>
      </c>
      <c r="E1438">
        <v>3027</v>
      </c>
      <c r="F1438">
        <v>3026</v>
      </c>
      <c r="G1438">
        <v>3026</v>
      </c>
      <c r="H1438">
        <v>7100</v>
      </c>
    </row>
    <row r="1439" spans="2:8">
      <c r="B1439" t="s">
        <v>587</v>
      </c>
      <c r="C1439" t="s">
        <v>274</v>
      </c>
      <c r="D1439">
        <v>3026</v>
      </c>
      <c r="E1439">
        <v>3027</v>
      </c>
      <c r="F1439">
        <v>3025</v>
      </c>
      <c r="G1439">
        <v>3025</v>
      </c>
      <c r="H1439">
        <v>7500</v>
      </c>
    </row>
    <row r="1440" spans="2:8">
      <c r="B1440" t="s">
        <v>587</v>
      </c>
      <c r="C1440" t="s">
        <v>275</v>
      </c>
      <c r="D1440">
        <v>3025</v>
      </c>
      <c r="E1440">
        <v>3025</v>
      </c>
      <c r="F1440">
        <v>3023</v>
      </c>
      <c r="G1440">
        <v>3024</v>
      </c>
      <c r="H1440">
        <v>27400</v>
      </c>
    </row>
    <row r="1441" spans="2:8">
      <c r="B1441" t="s">
        <v>587</v>
      </c>
      <c r="C1441" t="s">
        <v>276</v>
      </c>
      <c r="D1441">
        <v>3024</v>
      </c>
      <c r="E1441">
        <v>3025</v>
      </c>
      <c r="F1441">
        <v>3023</v>
      </c>
      <c r="G1441">
        <v>3024</v>
      </c>
      <c r="H1441">
        <v>21200</v>
      </c>
    </row>
    <row r="1442" spans="2:8">
      <c r="B1442" t="s">
        <v>587</v>
      </c>
      <c r="C1442" t="s">
        <v>277</v>
      </c>
      <c r="D1442">
        <v>3024</v>
      </c>
      <c r="E1442">
        <v>3024</v>
      </c>
      <c r="F1442">
        <v>3023</v>
      </c>
      <c r="G1442">
        <v>3023</v>
      </c>
      <c r="H1442">
        <v>7800</v>
      </c>
    </row>
    <row r="1443" spans="2:8">
      <c r="B1443" t="s">
        <v>587</v>
      </c>
      <c r="C1443" t="s">
        <v>278</v>
      </c>
      <c r="D1443">
        <v>3023</v>
      </c>
      <c r="E1443">
        <v>3024</v>
      </c>
      <c r="F1443">
        <v>3022</v>
      </c>
      <c r="G1443">
        <v>3023</v>
      </c>
      <c r="H1443">
        <v>23300</v>
      </c>
    </row>
    <row r="1444" spans="2:8">
      <c r="B1444" t="s">
        <v>587</v>
      </c>
      <c r="C1444" t="s">
        <v>279</v>
      </c>
      <c r="D1444">
        <v>3022</v>
      </c>
      <c r="E1444">
        <v>3024</v>
      </c>
      <c r="F1444">
        <v>3022</v>
      </c>
      <c r="G1444">
        <v>3023</v>
      </c>
      <c r="H1444">
        <v>15300</v>
      </c>
    </row>
    <row r="1445" spans="2:8">
      <c r="B1445" t="s">
        <v>587</v>
      </c>
      <c r="C1445" t="s">
        <v>280</v>
      </c>
      <c r="D1445">
        <v>3024</v>
      </c>
      <c r="E1445">
        <v>3024</v>
      </c>
      <c r="F1445">
        <v>3022</v>
      </c>
      <c r="G1445">
        <v>3024</v>
      </c>
      <c r="H1445">
        <v>13600</v>
      </c>
    </row>
    <row r="1446" spans="2:8">
      <c r="B1446" t="s">
        <v>587</v>
      </c>
      <c r="C1446" t="s">
        <v>281</v>
      </c>
      <c r="D1446">
        <v>3024</v>
      </c>
      <c r="E1446">
        <v>3026</v>
      </c>
      <c r="F1446">
        <v>3024</v>
      </c>
      <c r="G1446">
        <v>3025</v>
      </c>
      <c r="H1446">
        <v>8700</v>
      </c>
    </row>
    <row r="1447" spans="2:8">
      <c r="B1447" t="s">
        <v>587</v>
      </c>
      <c r="C1447" t="s">
        <v>282</v>
      </c>
      <c r="D1447">
        <v>3025</v>
      </c>
      <c r="E1447">
        <v>3026</v>
      </c>
      <c r="F1447">
        <v>3025</v>
      </c>
      <c r="G1447">
        <v>3026</v>
      </c>
      <c r="H1447">
        <v>14400</v>
      </c>
    </row>
    <row r="1448" spans="2:8">
      <c r="B1448" t="s">
        <v>587</v>
      </c>
      <c r="C1448" t="s">
        <v>283</v>
      </c>
      <c r="D1448">
        <v>3026</v>
      </c>
      <c r="E1448">
        <v>3028</v>
      </c>
      <c r="F1448">
        <v>3026</v>
      </c>
      <c r="G1448">
        <v>3027</v>
      </c>
      <c r="H1448">
        <v>14500</v>
      </c>
    </row>
    <row r="1449" spans="2:8">
      <c r="B1449" t="s">
        <v>587</v>
      </c>
      <c r="C1449" t="s">
        <v>284</v>
      </c>
      <c r="D1449">
        <v>3027</v>
      </c>
      <c r="E1449">
        <v>3027</v>
      </c>
      <c r="F1449">
        <v>3024</v>
      </c>
      <c r="G1449">
        <v>3025</v>
      </c>
      <c r="H1449">
        <v>30400</v>
      </c>
    </row>
    <row r="1450" spans="2:8">
      <c r="B1450" t="s">
        <v>587</v>
      </c>
      <c r="C1450" t="s">
        <v>285</v>
      </c>
      <c r="D1450">
        <v>3026</v>
      </c>
      <c r="E1450">
        <v>3028</v>
      </c>
      <c r="F1450">
        <v>3025</v>
      </c>
      <c r="G1450">
        <v>3026</v>
      </c>
      <c r="H1450">
        <v>9300</v>
      </c>
    </row>
    <row r="1451" spans="2:8">
      <c r="B1451" t="s">
        <v>587</v>
      </c>
      <c r="C1451" t="s">
        <v>286</v>
      </c>
      <c r="D1451">
        <v>3027</v>
      </c>
      <c r="E1451">
        <v>3030</v>
      </c>
      <c r="F1451">
        <v>3023</v>
      </c>
      <c r="G1451">
        <v>3024</v>
      </c>
      <c r="H1451">
        <v>51000</v>
      </c>
    </row>
    <row r="1452" spans="2:8">
      <c r="B1452" t="s">
        <v>587</v>
      </c>
      <c r="C1452" t="s">
        <v>287</v>
      </c>
      <c r="D1452">
        <v>3025</v>
      </c>
      <c r="E1452">
        <v>3025</v>
      </c>
      <c r="F1452">
        <v>3022</v>
      </c>
      <c r="G1452">
        <v>3022</v>
      </c>
      <c r="H1452">
        <v>12300</v>
      </c>
    </row>
    <row r="1453" spans="2:8">
      <c r="B1453" t="s">
        <v>587</v>
      </c>
      <c r="C1453" t="s">
        <v>288</v>
      </c>
      <c r="D1453">
        <v>3023</v>
      </c>
      <c r="E1453">
        <v>3023</v>
      </c>
      <c r="F1453">
        <v>3021</v>
      </c>
      <c r="G1453">
        <v>3023</v>
      </c>
      <c r="H1453">
        <v>9300</v>
      </c>
    </row>
    <row r="1454" spans="2:8">
      <c r="B1454" t="s">
        <v>587</v>
      </c>
      <c r="C1454" t="s">
        <v>289</v>
      </c>
      <c r="D1454">
        <v>3024</v>
      </c>
      <c r="E1454">
        <v>3024</v>
      </c>
      <c r="F1454">
        <v>3022</v>
      </c>
      <c r="G1454">
        <v>3022</v>
      </c>
      <c r="H1454">
        <v>9100</v>
      </c>
    </row>
    <row r="1455" spans="2:8">
      <c r="B1455" t="s">
        <v>587</v>
      </c>
      <c r="C1455" t="s">
        <v>290</v>
      </c>
      <c r="D1455">
        <v>3023</v>
      </c>
      <c r="E1455">
        <v>3025</v>
      </c>
      <c r="F1455">
        <v>3022</v>
      </c>
      <c r="G1455">
        <v>3022</v>
      </c>
      <c r="H1455">
        <v>19600</v>
      </c>
    </row>
    <row r="1456" spans="2:8">
      <c r="B1456" t="s">
        <v>587</v>
      </c>
      <c r="C1456" t="s">
        <v>291</v>
      </c>
      <c r="D1456">
        <v>3021</v>
      </c>
      <c r="E1456">
        <v>3023</v>
      </c>
      <c r="F1456">
        <v>3015</v>
      </c>
      <c r="G1456">
        <v>3019</v>
      </c>
      <c r="H1456">
        <v>72300</v>
      </c>
    </row>
    <row r="1457" spans="2:8">
      <c r="B1457" t="s">
        <v>587</v>
      </c>
      <c r="C1457" t="s">
        <v>292</v>
      </c>
      <c r="D1457">
        <v>3019</v>
      </c>
      <c r="E1457">
        <v>3020</v>
      </c>
      <c r="F1457">
        <v>3018</v>
      </c>
      <c r="G1457">
        <v>3020</v>
      </c>
      <c r="H1457">
        <v>20300</v>
      </c>
    </row>
    <row r="1458" spans="2:8">
      <c r="B1458" t="s">
        <v>587</v>
      </c>
      <c r="C1458" t="s">
        <v>293</v>
      </c>
      <c r="D1458">
        <v>3020</v>
      </c>
      <c r="E1458">
        <v>3020</v>
      </c>
      <c r="F1458">
        <v>3016</v>
      </c>
      <c r="G1458">
        <v>3017</v>
      </c>
      <c r="H1458">
        <v>39600</v>
      </c>
    </row>
    <row r="1459" spans="2:8">
      <c r="B1459" t="s">
        <v>587</v>
      </c>
      <c r="C1459" t="s">
        <v>294</v>
      </c>
      <c r="D1459">
        <v>3018</v>
      </c>
      <c r="E1459">
        <v>3019</v>
      </c>
      <c r="F1459">
        <v>3017</v>
      </c>
      <c r="G1459">
        <v>3018</v>
      </c>
      <c r="H1459">
        <v>3800</v>
      </c>
    </row>
    <row r="1460" spans="2:8">
      <c r="B1460" t="s">
        <v>587</v>
      </c>
      <c r="C1460" t="s">
        <v>295</v>
      </c>
      <c r="D1460">
        <v>3019</v>
      </c>
      <c r="E1460">
        <v>3020</v>
      </c>
      <c r="F1460">
        <v>3018</v>
      </c>
      <c r="G1460">
        <v>3018</v>
      </c>
      <c r="H1460">
        <v>14100</v>
      </c>
    </row>
    <row r="1461" spans="2:8">
      <c r="B1461" t="s">
        <v>587</v>
      </c>
      <c r="C1461" t="s">
        <v>296</v>
      </c>
      <c r="D1461">
        <v>3018</v>
      </c>
      <c r="E1461">
        <v>3019</v>
      </c>
      <c r="F1461">
        <v>3017</v>
      </c>
      <c r="G1461">
        <v>3019</v>
      </c>
      <c r="H1461">
        <v>33400</v>
      </c>
    </row>
    <row r="1462" spans="2:8">
      <c r="B1462" t="s">
        <v>587</v>
      </c>
      <c r="C1462" t="s">
        <v>297</v>
      </c>
      <c r="D1462">
        <v>3019</v>
      </c>
      <c r="E1462">
        <v>3020</v>
      </c>
      <c r="F1462">
        <v>3019</v>
      </c>
      <c r="G1462">
        <v>3020</v>
      </c>
      <c r="H1462">
        <v>17100</v>
      </c>
    </row>
    <row r="1463" spans="2:8">
      <c r="B1463" t="s">
        <v>587</v>
      </c>
      <c r="C1463" t="s">
        <v>298</v>
      </c>
      <c r="D1463">
        <v>3021</v>
      </c>
      <c r="E1463">
        <v>3021</v>
      </c>
      <c r="F1463">
        <v>3020</v>
      </c>
      <c r="G1463">
        <v>3021</v>
      </c>
      <c r="H1463">
        <v>4300</v>
      </c>
    </row>
    <row r="1464" spans="2:8">
      <c r="B1464" t="s">
        <v>587</v>
      </c>
      <c r="C1464" t="s">
        <v>299</v>
      </c>
      <c r="D1464">
        <v>3021</v>
      </c>
      <c r="E1464">
        <v>3022</v>
      </c>
      <c r="F1464">
        <v>3021</v>
      </c>
      <c r="G1464">
        <v>3022</v>
      </c>
      <c r="H1464">
        <v>14200</v>
      </c>
    </row>
    <row r="1465" spans="2:8">
      <c r="B1465" t="s">
        <v>587</v>
      </c>
      <c r="C1465" t="s">
        <v>300</v>
      </c>
      <c r="D1465">
        <v>3021</v>
      </c>
      <c r="E1465">
        <v>3021</v>
      </c>
      <c r="F1465">
        <v>3020</v>
      </c>
      <c r="G1465">
        <v>3020</v>
      </c>
      <c r="H1465">
        <v>2900</v>
      </c>
    </row>
    <row r="1466" spans="2:8">
      <c r="B1466" t="s">
        <v>587</v>
      </c>
      <c r="C1466" t="s">
        <v>301</v>
      </c>
      <c r="D1466">
        <v>3021</v>
      </c>
      <c r="E1466">
        <v>3021</v>
      </c>
      <c r="F1466">
        <v>3020</v>
      </c>
      <c r="G1466">
        <v>3020</v>
      </c>
      <c r="H1466">
        <v>26000</v>
      </c>
    </row>
    <row r="1467" spans="2:8">
      <c r="B1467" t="s">
        <v>587</v>
      </c>
      <c r="C1467" t="s">
        <v>302</v>
      </c>
      <c r="D1467">
        <v>3020</v>
      </c>
      <c r="E1467">
        <v>3022</v>
      </c>
      <c r="F1467">
        <v>3020</v>
      </c>
      <c r="G1467">
        <v>3021</v>
      </c>
      <c r="H1467">
        <v>21700</v>
      </c>
    </row>
    <row r="1468" spans="2:8">
      <c r="B1468" t="s">
        <v>587</v>
      </c>
      <c r="C1468" t="s">
        <v>303</v>
      </c>
      <c r="D1468">
        <v>3021</v>
      </c>
      <c r="E1468">
        <v>3021</v>
      </c>
      <c r="F1468">
        <v>3020</v>
      </c>
      <c r="G1468">
        <v>3020</v>
      </c>
      <c r="H1468">
        <v>17100</v>
      </c>
    </row>
    <row r="1469" spans="2:8">
      <c r="B1469" t="s">
        <v>587</v>
      </c>
      <c r="C1469" t="s">
        <v>304</v>
      </c>
      <c r="D1469">
        <v>3020</v>
      </c>
      <c r="E1469">
        <v>3022</v>
      </c>
      <c r="F1469">
        <v>3020</v>
      </c>
      <c r="G1469">
        <v>3021</v>
      </c>
      <c r="H1469">
        <v>13800</v>
      </c>
    </row>
    <row r="1470" spans="2:8">
      <c r="B1470" t="s">
        <v>587</v>
      </c>
      <c r="C1470" t="s">
        <v>305</v>
      </c>
      <c r="D1470">
        <v>3021</v>
      </c>
      <c r="E1470">
        <v>3021</v>
      </c>
      <c r="F1470">
        <v>3016</v>
      </c>
      <c r="G1470">
        <v>3020</v>
      </c>
      <c r="H1470">
        <v>67800</v>
      </c>
    </row>
    <row r="1471" spans="2:8">
      <c r="B1471" t="s">
        <v>587</v>
      </c>
      <c r="C1471" t="s">
        <v>306</v>
      </c>
      <c r="D1471">
        <v>3020</v>
      </c>
      <c r="E1471">
        <v>3020</v>
      </c>
      <c r="F1471">
        <v>3014</v>
      </c>
      <c r="G1471">
        <v>3018</v>
      </c>
      <c r="H1471">
        <v>85300</v>
      </c>
    </row>
    <row r="1472" spans="2:8">
      <c r="B1472" t="s">
        <v>587</v>
      </c>
      <c r="C1472" t="s">
        <v>307</v>
      </c>
      <c r="D1472">
        <v>3019</v>
      </c>
      <c r="E1472">
        <v>3020</v>
      </c>
      <c r="F1472">
        <v>3018</v>
      </c>
      <c r="G1472">
        <v>3019</v>
      </c>
      <c r="H1472">
        <v>17400</v>
      </c>
    </row>
    <row r="1473" spans="2:8">
      <c r="B1473" t="s">
        <v>587</v>
      </c>
      <c r="C1473" t="s">
        <v>308</v>
      </c>
      <c r="D1473">
        <v>3018</v>
      </c>
      <c r="E1473">
        <v>3018</v>
      </c>
      <c r="F1473">
        <v>3017</v>
      </c>
      <c r="G1473">
        <v>3017</v>
      </c>
      <c r="H1473">
        <v>12900</v>
      </c>
    </row>
    <row r="1474" spans="2:8">
      <c r="B1474" t="s">
        <v>587</v>
      </c>
      <c r="C1474" t="s">
        <v>309</v>
      </c>
      <c r="D1474">
        <v>3017</v>
      </c>
      <c r="E1474">
        <v>3018</v>
      </c>
      <c r="F1474">
        <v>3016</v>
      </c>
      <c r="G1474">
        <v>3017</v>
      </c>
      <c r="H1474">
        <v>21900</v>
      </c>
    </row>
    <row r="1475" spans="2:8">
      <c r="B1475" t="s">
        <v>587</v>
      </c>
      <c r="C1475" t="s">
        <v>310</v>
      </c>
      <c r="D1475">
        <v>3018</v>
      </c>
      <c r="E1475">
        <v>3019</v>
      </c>
      <c r="F1475">
        <v>3012</v>
      </c>
      <c r="G1475">
        <v>3016</v>
      </c>
      <c r="H1475">
        <v>82400</v>
      </c>
    </row>
    <row r="1476" spans="2:8">
      <c r="B1476" t="s">
        <v>587</v>
      </c>
      <c r="C1476" t="s">
        <v>311</v>
      </c>
      <c r="D1476">
        <v>3016</v>
      </c>
      <c r="E1476">
        <v>3017</v>
      </c>
      <c r="F1476">
        <v>3014</v>
      </c>
      <c r="G1476">
        <v>3015</v>
      </c>
      <c r="H1476">
        <v>21500</v>
      </c>
    </row>
    <row r="1477" spans="2:8">
      <c r="B1477" t="s">
        <v>587</v>
      </c>
      <c r="C1477" t="s">
        <v>312</v>
      </c>
      <c r="D1477">
        <v>3014</v>
      </c>
      <c r="E1477">
        <v>3015</v>
      </c>
      <c r="F1477">
        <v>3014</v>
      </c>
      <c r="G1477">
        <v>3015</v>
      </c>
      <c r="H1477">
        <v>15300</v>
      </c>
    </row>
    <row r="1478" spans="2:8">
      <c r="B1478" t="s">
        <v>587</v>
      </c>
      <c r="C1478" t="s">
        <v>313</v>
      </c>
      <c r="D1478">
        <v>3014</v>
      </c>
      <c r="E1478">
        <v>3015</v>
      </c>
      <c r="F1478">
        <v>3010</v>
      </c>
      <c r="G1478">
        <v>3013</v>
      </c>
      <c r="H1478">
        <v>84700</v>
      </c>
    </row>
    <row r="1479" spans="2:8">
      <c r="B1479" t="s">
        <v>587</v>
      </c>
      <c r="C1479" t="s">
        <v>314</v>
      </c>
      <c r="D1479">
        <v>3013</v>
      </c>
      <c r="E1479">
        <v>3013</v>
      </c>
      <c r="F1479">
        <v>3012</v>
      </c>
      <c r="G1479">
        <v>3012</v>
      </c>
      <c r="H1479">
        <v>7100</v>
      </c>
    </row>
    <row r="1480" spans="2:8">
      <c r="B1480" t="s">
        <v>587</v>
      </c>
      <c r="C1480" t="s">
        <v>315</v>
      </c>
      <c r="D1480">
        <v>3012</v>
      </c>
      <c r="E1480">
        <v>3013</v>
      </c>
      <c r="F1480">
        <v>3011</v>
      </c>
      <c r="G1480">
        <v>3011</v>
      </c>
      <c r="H1480">
        <v>36000</v>
      </c>
    </row>
    <row r="1481" spans="2:8">
      <c r="B1481" t="s">
        <v>587</v>
      </c>
      <c r="C1481" t="s">
        <v>316</v>
      </c>
      <c r="D1481">
        <v>3010</v>
      </c>
      <c r="E1481">
        <v>3010</v>
      </c>
      <c r="F1481">
        <v>3010</v>
      </c>
      <c r="G1481">
        <v>3010</v>
      </c>
      <c r="H1481">
        <v>7900</v>
      </c>
    </row>
    <row r="1482" spans="2:8">
      <c r="B1482" t="s">
        <v>587</v>
      </c>
      <c r="C1482" t="s">
        <v>317</v>
      </c>
      <c r="D1482">
        <v>3022</v>
      </c>
      <c r="E1482">
        <v>3032</v>
      </c>
      <c r="F1482">
        <v>3019</v>
      </c>
      <c r="G1482">
        <v>3026</v>
      </c>
      <c r="H1482">
        <v>268700</v>
      </c>
    </row>
    <row r="1483" spans="2:8">
      <c r="B1483" t="s">
        <v>587</v>
      </c>
      <c r="C1483" t="s">
        <v>318</v>
      </c>
      <c r="D1483">
        <v>3025</v>
      </c>
      <c r="E1483">
        <v>3028</v>
      </c>
      <c r="F1483">
        <v>3024</v>
      </c>
      <c r="G1483">
        <v>3027</v>
      </c>
      <c r="H1483">
        <v>43100</v>
      </c>
    </row>
    <row r="1484" spans="2:8">
      <c r="B1484" t="s">
        <v>587</v>
      </c>
      <c r="C1484" t="s">
        <v>319</v>
      </c>
      <c r="D1484">
        <v>3027</v>
      </c>
      <c r="E1484">
        <v>3027</v>
      </c>
      <c r="F1484">
        <v>3025</v>
      </c>
      <c r="G1484">
        <v>3025</v>
      </c>
      <c r="H1484">
        <v>20100</v>
      </c>
    </row>
    <row r="1485" spans="2:8">
      <c r="B1485" t="s">
        <v>587</v>
      </c>
      <c r="C1485" t="s">
        <v>320</v>
      </c>
      <c r="D1485">
        <v>3026</v>
      </c>
      <c r="E1485">
        <v>3028</v>
      </c>
      <c r="F1485">
        <v>3022</v>
      </c>
      <c r="G1485">
        <v>3028</v>
      </c>
      <c r="H1485">
        <v>31800</v>
      </c>
    </row>
    <row r="1486" spans="2:8">
      <c r="B1486" t="s">
        <v>587</v>
      </c>
      <c r="C1486" t="s">
        <v>321</v>
      </c>
      <c r="D1486">
        <v>3028</v>
      </c>
      <c r="E1486">
        <v>3029</v>
      </c>
      <c r="F1486">
        <v>3026</v>
      </c>
      <c r="G1486">
        <v>3027</v>
      </c>
      <c r="H1486">
        <v>14900</v>
      </c>
    </row>
    <row r="1487" spans="2:8">
      <c r="B1487" t="s">
        <v>587</v>
      </c>
      <c r="C1487" t="s">
        <v>322</v>
      </c>
      <c r="D1487">
        <v>3027</v>
      </c>
      <c r="E1487">
        <v>3028</v>
      </c>
      <c r="F1487">
        <v>3026</v>
      </c>
      <c r="G1487">
        <v>3026</v>
      </c>
      <c r="H1487">
        <v>13200</v>
      </c>
    </row>
    <row r="1488" spans="2:8">
      <c r="B1488" t="s">
        <v>587</v>
      </c>
      <c r="C1488" t="s">
        <v>323</v>
      </c>
      <c r="D1488">
        <v>3026</v>
      </c>
      <c r="E1488">
        <v>3029</v>
      </c>
      <c r="F1488">
        <v>3025</v>
      </c>
      <c r="G1488">
        <v>3027</v>
      </c>
      <c r="H1488">
        <v>30200</v>
      </c>
    </row>
    <row r="1489" spans="2:8">
      <c r="B1489" t="s">
        <v>587</v>
      </c>
      <c r="C1489" t="s">
        <v>324</v>
      </c>
      <c r="D1489">
        <v>3028</v>
      </c>
      <c r="E1489">
        <v>3030</v>
      </c>
      <c r="F1489">
        <v>3027</v>
      </c>
      <c r="G1489">
        <v>3029</v>
      </c>
      <c r="H1489">
        <v>27500</v>
      </c>
    </row>
    <row r="1490" spans="2:8">
      <c r="B1490" t="s">
        <v>587</v>
      </c>
      <c r="C1490" t="s">
        <v>325</v>
      </c>
      <c r="D1490">
        <v>3029</v>
      </c>
      <c r="E1490">
        <v>3030</v>
      </c>
      <c r="F1490">
        <v>3027</v>
      </c>
      <c r="G1490">
        <v>3028</v>
      </c>
      <c r="H1490">
        <v>28700</v>
      </c>
    </row>
    <row r="1491" spans="2:8">
      <c r="B1491" t="s">
        <v>587</v>
      </c>
      <c r="C1491" t="s">
        <v>326</v>
      </c>
      <c r="D1491">
        <v>3027</v>
      </c>
      <c r="E1491">
        <v>3028</v>
      </c>
      <c r="F1491">
        <v>3026</v>
      </c>
      <c r="G1491">
        <v>3027</v>
      </c>
      <c r="H1491">
        <v>24100</v>
      </c>
    </row>
    <row r="1492" spans="2:8">
      <c r="B1492" t="s">
        <v>587</v>
      </c>
      <c r="C1492" t="s">
        <v>327</v>
      </c>
      <c r="D1492">
        <v>3026</v>
      </c>
      <c r="E1492">
        <v>3027</v>
      </c>
      <c r="F1492">
        <v>3026</v>
      </c>
      <c r="G1492">
        <v>3026</v>
      </c>
      <c r="H1492">
        <v>22200</v>
      </c>
    </row>
    <row r="1493" spans="2:8">
      <c r="B1493" t="s">
        <v>587</v>
      </c>
      <c r="C1493" t="s">
        <v>328</v>
      </c>
      <c r="D1493">
        <v>3027</v>
      </c>
      <c r="E1493">
        <v>3028</v>
      </c>
      <c r="F1493">
        <v>3025</v>
      </c>
      <c r="G1493">
        <v>3026</v>
      </c>
      <c r="H1493">
        <v>24200</v>
      </c>
    </row>
    <row r="1494" spans="2:8">
      <c r="B1494" t="s">
        <v>587</v>
      </c>
      <c r="C1494" t="s">
        <v>329</v>
      </c>
      <c r="D1494">
        <v>3026</v>
      </c>
      <c r="E1494">
        <v>3027</v>
      </c>
      <c r="F1494">
        <v>3025</v>
      </c>
      <c r="G1494">
        <v>3027</v>
      </c>
      <c r="H1494">
        <v>10900</v>
      </c>
    </row>
    <row r="1495" spans="2:8">
      <c r="B1495" t="s">
        <v>587</v>
      </c>
      <c r="C1495" t="s">
        <v>330</v>
      </c>
      <c r="D1495">
        <v>3027</v>
      </c>
      <c r="E1495">
        <v>3028</v>
      </c>
      <c r="F1495">
        <v>3026</v>
      </c>
      <c r="G1495">
        <v>3027</v>
      </c>
      <c r="H1495">
        <v>26700</v>
      </c>
    </row>
    <row r="1496" spans="2:8">
      <c r="B1496" t="s">
        <v>587</v>
      </c>
      <c r="C1496" t="s">
        <v>331</v>
      </c>
      <c r="D1496">
        <v>3028</v>
      </c>
      <c r="E1496">
        <v>3029</v>
      </c>
      <c r="F1496">
        <v>3026</v>
      </c>
      <c r="G1496">
        <v>3027</v>
      </c>
      <c r="H1496">
        <v>24300</v>
      </c>
    </row>
    <row r="1497" spans="2:8">
      <c r="B1497" t="s">
        <v>587</v>
      </c>
      <c r="C1497" t="s">
        <v>332</v>
      </c>
      <c r="D1497">
        <v>3027</v>
      </c>
      <c r="E1497">
        <v>3028</v>
      </c>
      <c r="F1497">
        <v>3026</v>
      </c>
      <c r="G1497">
        <v>3027</v>
      </c>
      <c r="H1497">
        <v>10200</v>
      </c>
    </row>
    <row r="1498" spans="2:8">
      <c r="B1498" t="s">
        <v>587</v>
      </c>
      <c r="C1498" t="s">
        <v>333</v>
      </c>
      <c r="D1498">
        <v>3028</v>
      </c>
      <c r="E1498">
        <v>3029</v>
      </c>
      <c r="F1498">
        <v>3028</v>
      </c>
      <c r="G1498">
        <v>3029</v>
      </c>
      <c r="H1498">
        <v>7100</v>
      </c>
    </row>
    <row r="1499" spans="2:8">
      <c r="B1499" t="s">
        <v>587</v>
      </c>
      <c r="C1499" t="s">
        <v>334</v>
      </c>
      <c r="D1499">
        <v>3030</v>
      </c>
      <c r="E1499">
        <v>3030</v>
      </c>
      <c r="F1499">
        <v>3028</v>
      </c>
      <c r="G1499">
        <v>3028</v>
      </c>
      <c r="H1499">
        <v>20700</v>
      </c>
    </row>
    <row r="1500" spans="2:8">
      <c r="B1500" t="s">
        <v>587</v>
      </c>
      <c r="C1500" t="s">
        <v>335</v>
      </c>
      <c r="D1500">
        <v>3027</v>
      </c>
      <c r="E1500">
        <v>3029</v>
      </c>
      <c r="F1500">
        <v>3027</v>
      </c>
      <c r="G1500">
        <v>3029</v>
      </c>
      <c r="H1500">
        <v>5600</v>
      </c>
    </row>
    <row r="1501" spans="2:8">
      <c r="B1501" t="s">
        <v>587</v>
      </c>
      <c r="C1501" t="s">
        <v>336</v>
      </c>
      <c r="D1501">
        <v>3029</v>
      </c>
      <c r="E1501">
        <v>3030</v>
      </c>
      <c r="F1501">
        <v>3029</v>
      </c>
      <c r="G1501">
        <v>3030</v>
      </c>
      <c r="H1501">
        <v>20700</v>
      </c>
    </row>
    <row r="1502" spans="2:8">
      <c r="B1502" t="s">
        <v>587</v>
      </c>
      <c r="C1502" t="s">
        <v>337</v>
      </c>
      <c r="D1502">
        <v>3030</v>
      </c>
      <c r="E1502">
        <v>3030</v>
      </c>
      <c r="F1502">
        <v>3028</v>
      </c>
      <c r="G1502">
        <v>3029</v>
      </c>
      <c r="H1502">
        <v>19300</v>
      </c>
    </row>
    <row r="1503" spans="2:8">
      <c r="B1503" t="s">
        <v>587</v>
      </c>
      <c r="C1503" t="s">
        <v>338</v>
      </c>
      <c r="D1503">
        <v>3029</v>
      </c>
      <c r="E1503">
        <v>3030</v>
      </c>
      <c r="F1503">
        <v>3028</v>
      </c>
      <c r="G1503">
        <v>3030</v>
      </c>
      <c r="H1503">
        <v>11700</v>
      </c>
    </row>
    <row r="1504" spans="2:8">
      <c r="B1504" t="s">
        <v>587</v>
      </c>
      <c r="C1504" t="s">
        <v>339</v>
      </c>
      <c r="D1504">
        <v>3030</v>
      </c>
      <c r="E1504">
        <v>3032</v>
      </c>
      <c r="F1504">
        <v>3030</v>
      </c>
      <c r="G1504">
        <v>3032</v>
      </c>
      <c r="H1504">
        <v>45600</v>
      </c>
    </row>
    <row r="1505" spans="2:8">
      <c r="B1505" t="s">
        <v>587</v>
      </c>
      <c r="C1505" t="s">
        <v>340</v>
      </c>
      <c r="D1505">
        <v>3032</v>
      </c>
      <c r="E1505">
        <v>3033</v>
      </c>
      <c r="F1505">
        <v>3028</v>
      </c>
      <c r="G1505">
        <v>3028</v>
      </c>
      <c r="H1505">
        <v>75000</v>
      </c>
    </row>
    <row r="1506" spans="2:8">
      <c r="B1506" t="s">
        <v>587</v>
      </c>
      <c r="C1506" t="s">
        <v>341</v>
      </c>
      <c r="D1506">
        <v>3028</v>
      </c>
      <c r="E1506">
        <v>3029</v>
      </c>
      <c r="F1506">
        <v>3028</v>
      </c>
      <c r="G1506">
        <v>3028</v>
      </c>
      <c r="H1506">
        <v>7700</v>
      </c>
    </row>
    <row r="1507" spans="2:8">
      <c r="B1507" t="s">
        <v>587</v>
      </c>
      <c r="C1507" t="s">
        <v>342</v>
      </c>
      <c r="D1507">
        <v>3029</v>
      </c>
      <c r="E1507">
        <v>3029</v>
      </c>
      <c r="F1507">
        <v>3028</v>
      </c>
      <c r="G1507">
        <v>3029</v>
      </c>
      <c r="H1507">
        <v>4900</v>
      </c>
    </row>
    <row r="1508" spans="2:8">
      <c r="B1508" t="s">
        <v>587</v>
      </c>
      <c r="C1508" t="s">
        <v>343</v>
      </c>
      <c r="D1508">
        <v>3028</v>
      </c>
      <c r="E1508">
        <v>3031</v>
      </c>
      <c r="F1508">
        <v>3028</v>
      </c>
      <c r="G1508">
        <v>3030</v>
      </c>
      <c r="H1508">
        <v>18400</v>
      </c>
    </row>
    <row r="1509" spans="2:8">
      <c r="B1509" t="s">
        <v>587</v>
      </c>
      <c r="C1509" t="s">
        <v>344</v>
      </c>
      <c r="D1509">
        <v>3030</v>
      </c>
      <c r="E1509">
        <v>3031</v>
      </c>
      <c r="F1509">
        <v>3029</v>
      </c>
      <c r="G1509">
        <v>3030</v>
      </c>
      <c r="H1509">
        <v>5500</v>
      </c>
    </row>
    <row r="1510" spans="2:8">
      <c r="B1510" t="s">
        <v>587</v>
      </c>
      <c r="C1510" t="s">
        <v>345</v>
      </c>
      <c r="D1510">
        <v>3030</v>
      </c>
      <c r="E1510">
        <v>3031</v>
      </c>
      <c r="F1510">
        <v>3030</v>
      </c>
      <c r="G1510">
        <v>3030</v>
      </c>
      <c r="H1510">
        <v>17700</v>
      </c>
    </row>
    <row r="1511" spans="2:8">
      <c r="B1511" t="s">
        <v>587</v>
      </c>
      <c r="C1511" t="s">
        <v>346</v>
      </c>
      <c r="D1511">
        <v>3031</v>
      </c>
      <c r="E1511">
        <v>3031</v>
      </c>
      <c r="F1511">
        <v>3028</v>
      </c>
      <c r="G1511">
        <v>3029</v>
      </c>
      <c r="H1511">
        <v>21200</v>
      </c>
    </row>
    <row r="1512" spans="2:8">
      <c r="B1512" t="s">
        <v>587</v>
      </c>
      <c r="C1512" t="s">
        <v>347</v>
      </c>
      <c r="D1512">
        <v>3030</v>
      </c>
      <c r="E1512">
        <v>3030</v>
      </c>
      <c r="F1512">
        <v>3027</v>
      </c>
      <c r="G1512">
        <v>3028</v>
      </c>
      <c r="H1512">
        <v>18200</v>
      </c>
    </row>
    <row r="1513" spans="2:8">
      <c r="B1513" t="s">
        <v>587</v>
      </c>
      <c r="C1513" t="s">
        <v>348</v>
      </c>
      <c r="D1513">
        <v>3028</v>
      </c>
      <c r="E1513">
        <v>3029</v>
      </c>
      <c r="F1513">
        <v>3026</v>
      </c>
      <c r="G1513">
        <v>3028</v>
      </c>
      <c r="H1513">
        <v>16600</v>
      </c>
    </row>
    <row r="1514" spans="2:8">
      <c r="B1514" t="s">
        <v>587</v>
      </c>
      <c r="C1514" t="s">
        <v>349</v>
      </c>
      <c r="D1514">
        <v>3028</v>
      </c>
      <c r="E1514">
        <v>3029</v>
      </c>
      <c r="F1514">
        <v>3027</v>
      </c>
      <c r="G1514">
        <v>3029</v>
      </c>
      <c r="H1514">
        <v>7000</v>
      </c>
    </row>
    <row r="1515" spans="2:8">
      <c r="B1515" t="s">
        <v>587</v>
      </c>
      <c r="C1515" t="s">
        <v>350</v>
      </c>
      <c r="D1515">
        <v>3028</v>
      </c>
      <c r="E1515">
        <v>3028</v>
      </c>
      <c r="F1515">
        <v>3026</v>
      </c>
      <c r="G1515">
        <v>3026</v>
      </c>
      <c r="H1515">
        <v>16700</v>
      </c>
    </row>
    <row r="1516" spans="2:8">
      <c r="B1516" t="s">
        <v>587</v>
      </c>
      <c r="C1516" t="s">
        <v>351</v>
      </c>
      <c r="D1516">
        <v>3026</v>
      </c>
      <c r="E1516">
        <v>3026</v>
      </c>
      <c r="F1516">
        <v>3023</v>
      </c>
      <c r="G1516">
        <v>3025</v>
      </c>
      <c r="H1516">
        <v>26200</v>
      </c>
    </row>
    <row r="1517" spans="2:8">
      <c r="B1517" t="s">
        <v>587</v>
      </c>
      <c r="C1517" t="s">
        <v>352</v>
      </c>
      <c r="D1517">
        <v>3026</v>
      </c>
      <c r="E1517">
        <v>3026</v>
      </c>
      <c r="F1517">
        <v>3024</v>
      </c>
      <c r="G1517">
        <v>3025</v>
      </c>
      <c r="H1517">
        <v>6400</v>
      </c>
    </row>
    <row r="1518" spans="2:8">
      <c r="B1518" t="s">
        <v>587</v>
      </c>
      <c r="C1518" t="s">
        <v>353</v>
      </c>
      <c r="D1518">
        <v>3024</v>
      </c>
      <c r="E1518">
        <v>3025</v>
      </c>
      <c r="F1518">
        <v>3023</v>
      </c>
      <c r="G1518">
        <v>3024</v>
      </c>
      <c r="H1518">
        <v>16200</v>
      </c>
    </row>
    <row r="1519" spans="2:8">
      <c r="B1519" t="s">
        <v>587</v>
      </c>
      <c r="C1519" t="s">
        <v>354</v>
      </c>
      <c r="D1519">
        <v>3023</v>
      </c>
      <c r="E1519">
        <v>3024</v>
      </c>
      <c r="F1519">
        <v>3022</v>
      </c>
      <c r="G1519">
        <v>3022</v>
      </c>
      <c r="H1519">
        <v>16300</v>
      </c>
    </row>
    <row r="1520" spans="2:8">
      <c r="B1520" t="s">
        <v>587</v>
      </c>
      <c r="C1520" t="s">
        <v>355</v>
      </c>
      <c r="D1520">
        <v>3022</v>
      </c>
      <c r="E1520">
        <v>3023</v>
      </c>
      <c r="F1520">
        <v>3020</v>
      </c>
      <c r="G1520">
        <v>3020</v>
      </c>
      <c r="H1520">
        <v>10400</v>
      </c>
    </row>
    <row r="1521" spans="2:8">
      <c r="B1521" t="s">
        <v>587</v>
      </c>
      <c r="C1521" t="s">
        <v>356</v>
      </c>
      <c r="D1521">
        <v>3020</v>
      </c>
      <c r="E1521">
        <v>3021</v>
      </c>
      <c r="F1521">
        <v>3020</v>
      </c>
      <c r="G1521">
        <v>3021</v>
      </c>
      <c r="H1521">
        <v>10500</v>
      </c>
    </row>
    <row r="1522" spans="2:8">
      <c r="B1522" t="s">
        <v>587</v>
      </c>
      <c r="C1522" t="s">
        <v>357</v>
      </c>
      <c r="D1522">
        <v>3021</v>
      </c>
      <c r="E1522">
        <v>3022</v>
      </c>
      <c r="F1522">
        <v>3021</v>
      </c>
      <c r="G1522">
        <v>3022</v>
      </c>
      <c r="H1522">
        <v>9600</v>
      </c>
    </row>
    <row r="1523" spans="2:8">
      <c r="B1523" t="s">
        <v>587</v>
      </c>
      <c r="C1523" t="s">
        <v>358</v>
      </c>
      <c r="D1523">
        <v>3021</v>
      </c>
      <c r="E1523">
        <v>3022</v>
      </c>
      <c r="F1523">
        <v>3021</v>
      </c>
      <c r="G1523">
        <v>3021</v>
      </c>
      <c r="H1523">
        <v>14800</v>
      </c>
    </row>
    <row r="1524" spans="2:8">
      <c r="B1524" t="s">
        <v>587</v>
      </c>
      <c r="C1524" t="s">
        <v>359</v>
      </c>
      <c r="D1524">
        <v>3022</v>
      </c>
      <c r="E1524">
        <v>3023</v>
      </c>
      <c r="F1524">
        <v>3021</v>
      </c>
      <c r="G1524">
        <v>3023</v>
      </c>
      <c r="H1524">
        <v>4500</v>
      </c>
    </row>
    <row r="1525" spans="2:8">
      <c r="B1525" t="s">
        <v>587</v>
      </c>
      <c r="C1525" t="s">
        <v>360</v>
      </c>
      <c r="D1525">
        <v>3023</v>
      </c>
      <c r="E1525">
        <v>3024</v>
      </c>
      <c r="F1525">
        <v>3023</v>
      </c>
      <c r="G1525">
        <v>3024</v>
      </c>
      <c r="H1525">
        <v>10800</v>
      </c>
    </row>
    <row r="1526" spans="2:8">
      <c r="B1526" t="s">
        <v>587</v>
      </c>
      <c r="C1526" t="s">
        <v>361</v>
      </c>
      <c r="D1526">
        <v>3023</v>
      </c>
      <c r="E1526">
        <v>3024</v>
      </c>
      <c r="F1526">
        <v>3023</v>
      </c>
      <c r="G1526">
        <v>3023</v>
      </c>
      <c r="H1526">
        <v>1300</v>
      </c>
    </row>
    <row r="1527" spans="2:8">
      <c r="B1527" t="s">
        <v>587</v>
      </c>
      <c r="C1527" t="s">
        <v>362</v>
      </c>
      <c r="D1527">
        <v>3024</v>
      </c>
      <c r="E1527">
        <v>3025</v>
      </c>
      <c r="F1527">
        <v>3022</v>
      </c>
      <c r="G1527">
        <v>3025</v>
      </c>
      <c r="H1527">
        <v>17900</v>
      </c>
    </row>
    <row r="1528" spans="2:8">
      <c r="B1528" t="s">
        <v>587</v>
      </c>
      <c r="C1528" t="s">
        <v>363</v>
      </c>
      <c r="D1528">
        <v>3025</v>
      </c>
      <c r="E1528">
        <v>3025</v>
      </c>
      <c r="F1528">
        <v>3025</v>
      </c>
      <c r="G1528">
        <v>3025</v>
      </c>
      <c r="H1528">
        <v>7100</v>
      </c>
    </row>
    <row r="1529" spans="2:8">
      <c r="B1529" t="s">
        <v>587</v>
      </c>
      <c r="C1529" t="s">
        <v>364</v>
      </c>
      <c r="D1529">
        <v>3024</v>
      </c>
      <c r="E1529">
        <v>3025</v>
      </c>
      <c r="F1529">
        <v>3023</v>
      </c>
      <c r="G1529">
        <v>3024</v>
      </c>
      <c r="H1529">
        <v>12300</v>
      </c>
    </row>
    <row r="1530" spans="2:8">
      <c r="B1530" t="s">
        <v>587</v>
      </c>
      <c r="C1530" t="s">
        <v>365</v>
      </c>
      <c r="D1530">
        <v>3024</v>
      </c>
      <c r="E1530">
        <v>3024</v>
      </c>
      <c r="F1530">
        <v>3023</v>
      </c>
      <c r="G1530">
        <v>3023</v>
      </c>
      <c r="H1530">
        <v>3000</v>
      </c>
    </row>
    <row r="1531" spans="2:8">
      <c r="B1531" t="s">
        <v>587</v>
      </c>
      <c r="C1531" t="s">
        <v>366</v>
      </c>
      <c r="D1531">
        <v>3023</v>
      </c>
      <c r="E1531">
        <v>3025</v>
      </c>
      <c r="F1531">
        <v>3023</v>
      </c>
      <c r="G1531">
        <v>3025</v>
      </c>
      <c r="H1531">
        <v>15100</v>
      </c>
    </row>
    <row r="1532" spans="2:8">
      <c r="B1532" t="s">
        <v>587</v>
      </c>
      <c r="C1532" t="s">
        <v>367</v>
      </c>
      <c r="D1532">
        <v>3024</v>
      </c>
      <c r="E1532">
        <v>3024</v>
      </c>
      <c r="F1532">
        <v>3022</v>
      </c>
      <c r="G1532">
        <v>3022</v>
      </c>
      <c r="H1532">
        <v>14200</v>
      </c>
    </row>
    <row r="1533" spans="2:8">
      <c r="B1533" t="s">
        <v>587</v>
      </c>
      <c r="C1533" t="s">
        <v>368</v>
      </c>
      <c r="D1533">
        <v>3022</v>
      </c>
      <c r="E1533">
        <v>3023</v>
      </c>
      <c r="F1533">
        <v>3021</v>
      </c>
      <c r="G1533">
        <v>3021</v>
      </c>
      <c r="H1533">
        <v>9900</v>
      </c>
    </row>
    <row r="1534" spans="2:8">
      <c r="B1534" t="s">
        <v>587</v>
      </c>
      <c r="C1534" t="s">
        <v>369</v>
      </c>
      <c r="D1534">
        <v>3021</v>
      </c>
      <c r="E1534">
        <v>3021</v>
      </c>
      <c r="F1534">
        <v>3020</v>
      </c>
      <c r="G1534">
        <v>3020</v>
      </c>
      <c r="H1534">
        <v>17900</v>
      </c>
    </row>
    <row r="1535" spans="2:8">
      <c r="B1535" t="s">
        <v>587</v>
      </c>
      <c r="C1535" t="s">
        <v>370</v>
      </c>
      <c r="D1535">
        <v>3020</v>
      </c>
      <c r="E1535">
        <v>3021</v>
      </c>
      <c r="F1535">
        <v>3020</v>
      </c>
      <c r="G1535">
        <v>3021</v>
      </c>
      <c r="H1535">
        <v>4200</v>
      </c>
    </row>
    <row r="1536" spans="2:8">
      <c r="B1536" t="s">
        <v>587</v>
      </c>
      <c r="C1536" t="s">
        <v>371</v>
      </c>
      <c r="D1536">
        <v>3022</v>
      </c>
      <c r="E1536">
        <v>3022</v>
      </c>
      <c r="F1536">
        <v>3020</v>
      </c>
      <c r="G1536">
        <v>3022</v>
      </c>
      <c r="H1536">
        <v>12900</v>
      </c>
    </row>
    <row r="1537" spans="2:8">
      <c r="B1537" t="s">
        <v>587</v>
      </c>
      <c r="C1537" t="s">
        <v>372</v>
      </c>
      <c r="D1537">
        <v>3022</v>
      </c>
      <c r="E1537">
        <v>3022</v>
      </c>
      <c r="F1537">
        <v>3021</v>
      </c>
      <c r="G1537">
        <v>3021</v>
      </c>
      <c r="H1537">
        <v>6600</v>
      </c>
    </row>
    <row r="1538" spans="2:8">
      <c r="B1538" t="s">
        <v>587</v>
      </c>
      <c r="C1538" t="s">
        <v>373</v>
      </c>
      <c r="D1538">
        <v>3021</v>
      </c>
      <c r="E1538">
        <v>3021</v>
      </c>
      <c r="F1538">
        <v>3020</v>
      </c>
      <c r="G1538">
        <v>3020</v>
      </c>
      <c r="H1538">
        <v>16900</v>
      </c>
    </row>
    <row r="1539" spans="2:8">
      <c r="B1539" t="s">
        <v>587</v>
      </c>
      <c r="C1539" t="s">
        <v>374</v>
      </c>
      <c r="D1539">
        <v>3019</v>
      </c>
      <c r="E1539">
        <v>3020</v>
      </c>
      <c r="F1539">
        <v>3018</v>
      </c>
      <c r="G1539">
        <v>3019</v>
      </c>
      <c r="H1539">
        <v>12100</v>
      </c>
    </row>
    <row r="1540" spans="2:8">
      <c r="B1540" t="s">
        <v>587</v>
      </c>
      <c r="C1540" t="s">
        <v>375</v>
      </c>
      <c r="D1540">
        <v>3019</v>
      </c>
      <c r="E1540">
        <v>3020</v>
      </c>
      <c r="F1540">
        <v>3019</v>
      </c>
      <c r="G1540">
        <v>3020</v>
      </c>
      <c r="H1540">
        <v>1200</v>
      </c>
    </row>
    <row r="1541" spans="2:8">
      <c r="B1541" t="s">
        <v>587</v>
      </c>
      <c r="C1541" t="s">
        <v>376</v>
      </c>
      <c r="D1541">
        <v>3019</v>
      </c>
      <c r="E1541">
        <v>3020</v>
      </c>
      <c r="F1541">
        <v>3019</v>
      </c>
      <c r="G1541">
        <v>3019</v>
      </c>
      <c r="H1541">
        <v>16400</v>
      </c>
    </row>
    <row r="1542" spans="2:8">
      <c r="B1542" t="s">
        <v>587</v>
      </c>
      <c r="C1542" t="s">
        <v>377</v>
      </c>
      <c r="D1542">
        <v>3019</v>
      </c>
      <c r="E1542">
        <v>3019</v>
      </c>
      <c r="F1542">
        <v>3016</v>
      </c>
      <c r="G1542">
        <v>3017</v>
      </c>
      <c r="H1542">
        <v>31000</v>
      </c>
    </row>
    <row r="1543" spans="2:8">
      <c r="B1543" t="s">
        <v>587</v>
      </c>
      <c r="C1543" t="s">
        <v>378</v>
      </c>
      <c r="D1543">
        <v>3017</v>
      </c>
      <c r="E1543">
        <v>3018</v>
      </c>
      <c r="F1543">
        <v>3017</v>
      </c>
      <c r="G1543">
        <v>3018</v>
      </c>
      <c r="H1543">
        <v>4200</v>
      </c>
    </row>
    <row r="1544" spans="2:8">
      <c r="B1544" t="s">
        <v>587</v>
      </c>
      <c r="C1544" t="s">
        <v>379</v>
      </c>
      <c r="D1544">
        <v>3017</v>
      </c>
      <c r="E1544">
        <v>3017</v>
      </c>
      <c r="F1544">
        <v>3014</v>
      </c>
      <c r="G1544">
        <v>3016</v>
      </c>
      <c r="H1544">
        <v>17000</v>
      </c>
    </row>
    <row r="1545" spans="2:8">
      <c r="B1545" t="s">
        <v>587</v>
      </c>
      <c r="C1545" t="s">
        <v>380</v>
      </c>
      <c r="D1545">
        <v>3015</v>
      </c>
      <c r="E1545">
        <v>3016</v>
      </c>
      <c r="F1545">
        <v>3014</v>
      </c>
      <c r="G1545">
        <v>3014</v>
      </c>
      <c r="H1545">
        <v>9200</v>
      </c>
    </row>
    <row r="1546" spans="2:8">
      <c r="B1546" t="s">
        <v>587</v>
      </c>
      <c r="C1546" t="s">
        <v>381</v>
      </c>
      <c r="D1546">
        <v>3014</v>
      </c>
      <c r="E1546">
        <v>3017</v>
      </c>
      <c r="F1546">
        <v>3014</v>
      </c>
      <c r="G1546">
        <v>3017</v>
      </c>
      <c r="H1546">
        <v>13100</v>
      </c>
    </row>
    <row r="1547" spans="2:8">
      <c r="B1547" t="s">
        <v>587</v>
      </c>
      <c r="C1547" t="s">
        <v>382</v>
      </c>
      <c r="D1547">
        <v>3017</v>
      </c>
      <c r="E1547">
        <v>3018</v>
      </c>
      <c r="F1547">
        <v>3017</v>
      </c>
      <c r="G1547">
        <v>3018</v>
      </c>
      <c r="H1547">
        <v>5800</v>
      </c>
    </row>
    <row r="1548" spans="2:8">
      <c r="B1548" t="s">
        <v>587</v>
      </c>
      <c r="C1548" t="s">
        <v>383</v>
      </c>
      <c r="D1548">
        <v>3019</v>
      </c>
      <c r="E1548">
        <v>3019</v>
      </c>
      <c r="F1548">
        <v>3017</v>
      </c>
      <c r="G1548">
        <v>3018</v>
      </c>
      <c r="H1548">
        <v>7400</v>
      </c>
    </row>
    <row r="1549" spans="2:8">
      <c r="B1549" t="s">
        <v>587</v>
      </c>
      <c r="C1549" t="s">
        <v>384</v>
      </c>
      <c r="D1549">
        <v>3018</v>
      </c>
      <c r="E1549">
        <v>3018</v>
      </c>
      <c r="F1549">
        <v>3016</v>
      </c>
      <c r="G1549">
        <v>3016</v>
      </c>
      <c r="H1549">
        <v>15200</v>
      </c>
    </row>
    <row r="1550" spans="2:8">
      <c r="B1550" t="s">
        <v>587</v>
      </c>
      <c r="C1550" t="s">
        <v>385</v>
      </c>
      <c r="D1550">
        <v>3017</v>
      </c>
      <c r="E1550">
        <v>3017</v>
      </c>
      <c r="F1550">
        <v>3016</v>
      </c>
      <c r="G1550">
        <v>3017</v>
      </c>
      <c r="H1550">
        <v>10300</v>
      </c>
    </row>
    <row r="1551" spans="2:8">
      <c r="B1551" t="s">
        <v>587</v>
      </c>
      <c r="C1551" t="s">
        <v>386</v>
      </c>
      <c r="D1551">
        <v>3018</v>
      </c>
      <c r="E1551">
        <v>3018</v>
      </c>
      <c r="F1551">
        <v>3017</v>
      </c>
      <c r="G1551">
        <v>3018</v>
      </c>
      <c r="H1551">
        <v>3500</v>
      </c>
    </row>
    <row r="1552" spans="2:8">
      <c r="B1552" t="s">
        <v>587</v>
      </c>
      <c r="C1552" t="s">
        <v>387</v>
      </c>
      <c r="D1552">
        <v>3017</v>
      </c>
      <c r="E1552">
        <v>3018</v>
      </c>
      <c r="F1552">
        <v>3017</v>
      </c>
      <c r="G1552">
        <v>3017</v>
      </c>
      <c r="H1552">
        <v>3300</v>
      </c>
    </row>
    <row r="1553" spans="2:8">
      <c r="B1553" t="s">
        <v>587</v>
      </c>
      <c r="C1553" t="s">
        <v>388</v>
      </c>
      <c r="D1553">
        <v>3018</v>
      </c>
      <c r="E1553">
        <v>3018</v>
      </c>
      <c r="F1553">
        <v>3017</v>
      </c>
      <c r="G1553">
        <v>3017</v>
      </c>
      <c r="H1553">
        <v>9800</v>
      </c>
    </row>
    <row r="1554" spans="2:8">
      <c r="B1554" t="s">
        <v>587</v>
      </c>
      <c r="C1554" t="s">
        <v>389</v>
      </c>
      <c r="D1554">
        <v>3017</v>
      </c>
      <c r="E1554">
        <v>3018</v>
      </c>
      <c r="F1554">
        <v>3016</v>
      </c>
      <c r="G1554">
        <v>3017</v>
      </c>
      <c r="H1554">
        <v>17700</v>
      </c>
    </row>
    <row r="1555" spans="2:8">
      <c r="B1555" t="s">
        <v>587</v>
      </c>
      <c r="C1555" t="s">
        <v>390</v>
      </c>
      <c r="D1555">
        <v>3017</v>
      </c>
      <c r="E1555">
        <v>3018</v>
      </c>
      <c r="F1555">
        <v>3015</v>
      </c>
      <c r="G1555">
        <v>3016</v>
      </c>
      <c r="H1555">
        <v>13200</v>
      </c>
    </row>
    <row r="1556" spans="2:8">
      <c r="B1556" t="s">
        <v>587</v>
      </c>
      <c r="C1556" t="s">
        <v>391</v>
      </c>
      <c r="D1556">
        <v>3017</v>
      </c>
      <c r="E1556">
        <v>3017</v>
      </c>
      <c r="F1556">
        <v>3015</v>
      </c>
      <c r="G1556">
        <v>3017</v>
      </c>
      <c r="H1556">
        <v>8500</v>
      </c>
    </row>
    <row r="1557" spans="2:8">
      <c r="B1557" t="s">
        <v>587</v>
      </c>
      <c r="C1557" t="s">
        <v>392</v>
      </c>
      <c r="D1557">
        <v>3016</v>
      </c>
      <c r="E1557">
        <v>3017</v>
      </c>
      <c r="F1557">
        <v>3016</v>
      </c>
      <c r="G1557">
        <v>3017</v>
      </c>
      <c r="H1557">
        <v>10700</v>
      </c>
    </row>
    <row r="1558" spans="2:8">
      <c r="B1558" t="s">
        <v>587</v>
      </c>
      <c r="C1558" t="s">
        <v>393</v>
      </c>
      <c r="D1558">
        <v>3017</v>
      </c>
      <c r="E1558">
        <v>3017</v>
      </c>
      <c r="F1558">
        <v>3016</v>
      </c>
      <c r="G1558">
        <v>3017</v>
      </c>
      <c r="H1558">
        <v>7300</v>
      </c>
    </row>
    <row r="1559" spans="2:8">
      <c r="B1559" t="s">
        <v>587</v>
      </c>
      <c r="C1559" t="s">
        <v>394</v>
      </c>
      <c r="D1559">
        <v>3017</v>
      </c>
      <c r="E1559">
        <v>3017</v>
      </c>
      <c r="F1559">
        <v>3016</v>
      </c>
      <c r="G1559">
        <v>3017</v>
      </c>
      <c r="H1559">
        <v>4400</v>
      </c>
    </row>
    <row r="1560" spans="2:8">
      <c r="B1560" t="s">
        <v>587</v>
      </c>
      <c r="C1560" t="s">
        <v>395</v>
      </c>
      <c r="D1560">
        <v>3017</v>
      </c>
      <c r="E1560">
        <v>3017</v>
      </c>
      <c r="F1560">
        <v>3017</v>
      </c>
      <c r="G1560">
        <v>3017</v>
      </c>
      <c r="H1560">
        <v>200</v>
      </c>
    </row>
    <row r="1561" spans="2:8">
      <c r="B1561" t="s">
        <v>587</v>
      </c>
      <c r="C1561" t="s">
        <v>396</v>
      </c>
      <c r="D1561">
        <v>3018</v>
      </c>
      <c r="E1561">
        <v>3018</v>
      </c>
      <c r="F1561">
        <v>3017</v>
      </c>
      <c r="G1561">
        <v>3018</v>
      </c>
      <c r="H1561">
        <v>6900</v>
      </c>
    </row>
    <row r="1562" spans="2:8">
      <c r="B1562" t="s">
        <v>587</v>
      </c>
      <c r="C1562" t="s">
        <v>397</v>
      </c>
      <c r="D1562">
        <v>3018</v>
      </c>
      <c r="E1562">
        <v>3019</v>
      </c>
      <c r="F1562">
        <v>3017</v>
      </c>
      <c r="G1562">
        <v>3018</v>
      </c>
      <c r="H1562">
        <v>15800</v>
      </c>
    </row>
    <row r="1563" spans="2:8">
      <c r="B1563" t="s">
        <v>587</v>
      </c>
      <c r="C1563" t="s">
        <v>398</v>
      </c>
      <c r="D1563">
        <v>3018</v>
      </c>
      <c r="E1563">
        <v>3020</v>
      </c>
      <c r="F1563">
        <v>3018</v>
      </c>
      <c r="G1563">
        <v>3019</v>
      </c>
      <c r="H1563">
        <v>11700</v>
      </c>
    </row>
    <row r="1564" spans="2:8">
      <c r="B1564" t="s">
        <v>587</v>
      </c>
      <c r="C1564" t="s">
        <v>399</v>
      </c>
      <c r="D1564">
        <v>3019</v>
      </c>
      <c r="E1564">
        <v>3019</v>
      </c>
      <c r="F1564">
        <v>3018</v>
      </c>
      <c r="G1564">
        <v>3018</v>
      </c>
      <c r="H1564">
        <v>10500</v>
      </c>
    </row>
    <row r="1565" spans="2:8">
      <c r="B1565" t="s">
        <v>587</v>
      </c>
      <c r="C1565" t="s">
        <v>400</v>
      </c>
      <c r="D1565">
        <v>3017</v>
      </c>
      <c r="E1565">
        <v>3019</v>
      </c>
      <c r="F1565">
        <v>3017</v>
      </c>
      <c r="G1565">
        <v>3019</v>
      </c>
      <c r="H1565">
        <v>14000</v>
      </c>
    </row>
    <row r="1566" spans="2:8">
      <c r="B1566" t="s">
        <v>587</v>
      </c>
      <c r="C1566" t="s">
        <v>401</v>
      </c>
      <c r="D1566">
        <v>3018</v>
      </c>
      <c r="E1566">
        <v>3020</v>
      </c>
      <c r="F1566">
        <v>3018</v>
      </c>
      <c r="G1566">
        <v>3019</v>
      </c>
      <c r="H1566">
        <v>22100</v>
      </c>
    </row>
    <row r="1567" spans="2:8">
      <c r="B1567" t="s">
        <v>587</v>
      </c>
      <c r="C1567" t="s">
        <v>402</v>
      </c>
      <c r="D1567">
        <v>3020</v>
      </c>
      <c r="E1567">
        <v>3021</v>
      </c>
      <c r="F1567">
        <v>3019</v>
      </c>
      <c r="G1567">
        <v>3020</v>
      </c>
      <c r="H1567">
        <v>11300</v>
      </c>
    </row>
    <row r="1568" spans="2:8">
      <c r="B1568" t="s">
        <v>587</v>
      </c>
      <c r="C1568" t="s">
        <v>403</v>
      </c>
      <c r="D1568">
        <v>3020</v>
      </c>
      <c r="E1568">
        <v>3020</v>
      </c>
      <c r="F1568">
        <v>3017</v>
      </c>
      <c r="G1568">
        <v>3018</v>
      </c>
      <c r="H1568">
        <v>21300</v>
      </c>
    </row>
    <row r="1569" spans="2:8">
      <c r="B1569" t="s">
        <v>587</v>
      </c>
      <c r="C1569" t="s">
        <v>404</v>
      </c>
      <c r="D1569">
        <v>3018</v>
      </c>
      <c r="E1569">
        <v>3019</v>
      </c>
      <c r="F1569">
        <v>3018</v>
      </c>
      <c r="G1569">
        <v>3018</v>
      </c>
      <c r="H1569">
        <v>5800</v>
      </c>
    </row>
    <row r="1570" spans="2:8">
      <c r="B1570" t="s">
        <v>587</v>
      </c>
      <c r="C1570" t="s">
        <v>405</v>
      </c>
      <c r="D1570">
        <v>3019</v>
      </c>
      <c r="E1570">
        <v>3019</v>
      </c>
      <c r="F1570">
        <v>3019</v>
      </c>
      <c r="G1570">
        <v>3019</v>
      </c>
      <c r="H1570">
        <v>7200</v>
      </c>
    </row>
    <row r="1571" spans="2:8">
      <c r="B1571" t="s">
        <v>587</v>
      </c>
      <c r="C1571" t="s">
        <v>406</v>
      </c>
      <c r="D1571">
        <v>3020</v>
      </c>
      <c r="E1571">
        <v>3021</v>
      </c>
      <c r="F1571">
        <v>3020</v>
      </c>
      <c r="G1571">
        <v>3020</v>
      </c>
      <c r="H1571">
        <v>7100</v>
      </c>
    </row>
    <row r="1572" spans="2:8">
      <c r="B1572" t="s">
        <v>587</v>
      </c>
      <c r="C1572" t="s">
        <v>407</v>
      </c>
      <c r="D1572">
        <v>3019</v>
      </c>
      <c r="E1572">
        <v>3019</v>
      </c>
      <c r="F1572">
        <v>3017</v>
      </c>
      <c r="G1572">
        <v>3017</v>
      </c>
      <c r="H1572">
        <v>22800</v>
      </c>
    </row>
    <row r="1573" spans="2:8">
      <c r="B1573" t="s">
        <v>587</v>
      </c>
      <c r="C1573" t="s">
        <v>408</v>
      </c>
      <c r="D1573">
        <v>3018</v>
      </c>
      <c r="E1573">
        <v>3018</v>
      </c>
      <c r="F1573">
        <v>3018</v>
      </c>
      <c r="G1573">
        <v>3018</v>
      </c>
      <c r="H1573">
        <v>7800</v>
      </c>
    </row>
    <row r="1574" spans="2:8">
      <c r="B1574" t="s">
        <v>587</v>
      </c>
      <c r="C1574" t="s">
        <v>409</v>
      </c>
      <c r="D1574">
        <v>3018</v>
      </c>
      <c r="E1574">
        <v>3018</v>
      </c>
      <c r="F1574">
        <v>3017</v>
      </c>
      <c r="G1574">
        <v>3018</v>
      </c>
      <c r="H1574">
        <v>19900</v>
      </c>
    </row>
    <row r="1575" spans="2:8">
      <c r="B1575" t="s">
        <v>587</v>
      </c>
      <c r="C1575" t="s">
        <v>410</v>
      </c>
      <c r="D1575">
        <v>3017</v>
      </c>
      <c r="E1575">
        <v>3018</v>
      </c>
      <c r="F1575">
        <v>3017</v>
      </c>
      <c r="G1575">
        <v>3017</v>
      </c>
      <c r="H1575">
        <v>5600</v>
      </c>
    </row>
    <row r="1576" spans="2:8">
      <c r="B1576" t="s">
        <v>587</v>
      </c>
      <c r="C1576" t="s">
        <v>411</v>
      </c>
      <c r="D1576">
        <v>3017</v>
      </c>
      <c r="E1576">
        <v>3018</v>
      </c>
      <c r="F1576">
        <v>3017</v>
      </c>
      <c r="G1576">
        <v>3018</v>
      </c>
      <c r="H1576">
        <v>11600</v>
      </c>
    </row>
    <row r="1577" spans="2:8">
      <c r="B1577" t="s">
        <v>587</v>
      </c>
      <c r="C1577" t="s">
        <v>412</v>
      </c>
      <c r="D1577">
        <v>3018</v>
      </c>
      <c r="E1577">
        <v>3018</v>
      </c>
      <c r="F1577">
        <v>3015</v>
      </c>
      <c r="G1577">
        <v>3016</v>
      </c>
      <c r="H1577">
        <v>21300</v>
      </c>
    </row>
    <row r="1578" spans="2:8">
      <c r="B1578" t="s">
        <v>587</v>
      </c>
      <c r="C1578" t="s">
        <v>413</v>
      </c>
      <c r="D1578">
        <v>3017</v>
      </c>
      <c r="E1578">
        <v>3018</v>
      </c>
      <c r="F1578">
        <v>3017</v>
      </c>
      <c r="G1578">
        <v>3018</v>
      </c>
      <c r="H1578">
        <v>11500</v>
      </c>
    </row>
    <row r="1579" spans="2:8">
      <c r="B1579" t="s">
        <v>587</v>
      </c>
      <c r="C1579" t="s">
        <v>414</v>
      </c>
      <c r="D1579">
        <v>3018</v>
      </c>
      <c r="E1579">
        <v>3019</v>
      </c>
      <c r="F1579">
        <v>3017</v>
      </c>
      <c r="G1579">
        <v>3018</v>
      </c>
      <c r="H1579">
        <v>17200</v>
      </c>
    </row>
    <row r="1580" spans="2:8">
      <c r="B1580" t="s">
        <v>587</v>
      </c>
      <c r="C1580" t="s">
        <v>415</v>
      </c>
      <c r="D1580">
        <v>3018</v>
      </c>
      <c r="E1580">
        <v>3019</v>
      </c>
      <c r="F1580">
        <v>3018</v>
      </c>
      <c r="G1580">
        <v>3019</v>
      </c>
      <c r="H1580">
        <v>3000</v>
      </c>
    </row>
    <row r="1581" spans="2:8">
      <c r="B1581" t="s">
        <v>587</v>
      </c>
      <c r="C1581" t="s">
        <v>416</v>
      </c>
      <c r="D1581">
        <v>3019</v>
      </c>
      <c r="E1581">
        <v>3019</v>
      </c>
      <c r="F1581">
        <v>3018</v>
      </c>
      <c r="G1581">
        <v>3018</v>
      </c>
      <c r="H1581">
        <v>11000</v>
      </c>
    </row>
    <row r="1582" spans="2:8">
      <c r="B1582" t="s">
        <v>587</v>
      </c>
      <c r="C1582" t="s">
        <v>417</v>
      </c>
      <c r="D1582">
        <v>3018</v>
      </c>
      <c r="E1582">
        <v>3018</v>
      </c>
      <c r="F1582">
        <v>3018</v>
      </c>
      <c r="G1582">
        <v>3018</v>
      </c>
      <c r="H1582">
        <v>500</v>
      </c>
    </row>
    <row r="1583" spans="2:8">
      <c r="B1583" t="s">
        <v>587</v>
      </c>
      <c r="C1583" t="s">
        <v>418</v>
      </c>
      <c r="D1583">
        <v>3018</v>
      </c>
      <c r="E1583">
        <v>3018</v>
      </c>
      <c r="F1583">
        <v>3017</v>
      </c>
      <c r="G1583">
        <v>3017</v>
      </c>
      <c r="H1583">
        <v>11300</v>
      </c>
    </row>
    <row r="1584" spans="2:8">
      <c r="B1584" t="s">
        <v>587</v>
      </c>
      <c r="C1584" t="s">
        <v>419</v>
      </c>
      <c r="D1584">
        <v>3017</v>
      </c>
      <c r="E1584">
        <v>3018</v>
      </c>
      <c r="F1584">
        <v>3017</v>
      </c>
      <c r="G1584">
        <v>3018</v>
      </c>
      <c r="H1584">
        <v>4200</v>
      </c>
    </row>
    <row r="1585" spans="2:8">
      <c r="B1585" t="s">
        <v>587</v>
      </c>
      <c r="C1585" t="s">
        <v>420</v>
      </c>
      <c r="D1585">
        <v>3018</v>
      </c>
      <c r="E1585">
        <v>3020</v>
      </c>
      <c r="F1585">
        <v>3018</v>
      </c>
      <c r="G1585">
        <v>3020</v>
      </c>
      <c r="H1585">
        <v>14200</v>
      </c>
    </row>
    <row r="1586" spans="2:8">
      <c r="B1586" t="s">
        <v>587</v>
      </c>
      <c r="C1586" t="s">
        <v>421</v>
      </c>
      <c r="D1586">
        <v>3020</v>
      </c>
      <c r="E1586">
        <v>3020</v>
      </c>
      <c r="F1586">
        <v>3020</v>
      </c>
      <c r="G1586">
        <v>3020</v>
      </c>
      <c r="H1586">
        <v>6700</v>
      </c>
    </row>
    <row r="1587" spans="2:8">
      <c r="B1587" t="s">
        <v>587</v>
      </c>
      <c r="C1587" t="s">
        <v>422</v>
      </c>
      <c r="D1587">
        <v>3020</v>
      </c>
      <c r="E1587">
        <v>3020</v>
      </c>
      <c r="F1587">
        <v>3019</v>
      </c>
      <c r="G1587">
        <v>3020</v>
      </c>
      <c r="H1587">
        <v>7700</v>
      </c>
    </row>
    <row r="1588" spans="2:8">
      <c r="B1588" t="s">
        <v>587</v>
      </c>
      <c r="C1588" t="s">
        <v>423</v>
      </c>
      <c r="D1588">
        <v>3020</v>
      </c>
      <c r="E1588">
        <v>3021</v>
      </c>
      <c r="F1588">
        <v>3019</v>
      </c>
      <c r="G1588">
        <v>3021</v>
      </c>
      <c r="H1588">
        <v>9000</v>
      </c>
    </row>
    <row r="1589" spans="2:8">
      <c r="B1589" t="s">
        <v>587</v>
      </c>
      <c r="C1589" t="s">
        <v>424</v>
      </c>
      <c r="D1589">
        <v>3021</v>
      </c>
      <c r="E1589">
        <v>3021</v>
      </c>
      <c r="F1589">
        <v>3019</v>
      </c>
      <c r="G1589">
        <v>3019</v>
      </c>
      <c r="H1589">
        <v>19100</v>
      </c>
    </row>
    <row r="1590" spans="2:8">
      <c r="B1590" t="s">
        <v>587</v>
      </c>
      <c r="C1590" t="s">
        <v>425</v>
      </c>
      <c r="D1590">
        <v>3019</v>
      </c>
      <c r="E1590">
        <v>3020</v>
      </c>
      <c r="F1590">
        <v>3019</v>
      </c>
      <c r="G1590">
        <v>3019</v>
      </c>
      <c r="H1590">
        <v>3600</v>
      </c>
    </row>
    <row r="1591" spans="2:8">
      <c r="B1591" t="s">
        <v>587</v>
      </c>
      <c r="C1591" t="s">
        <v>426</v>
      </c>
      <c r="D1591">
        <v>3019</v>
      </c>
      <c r="E1591">
        <v>3020</v>
      </c>
      <c r="F1591">
        <v>3019</v>
      </c>
      <c r="G1591">
        <v>3020</v>
      </c>
      <c r="H1591">
        <v>11900</v>
      </c>
    </row>
    <row r="1592" spans="2:8">
      <c r="B1592" t="s">
        <v>587</v>
      </c>
      <c r="C1592" t="s">
        <v>427</v>
      </c>
      <c r="D1592">
        <v>3019</v>
      </c>
      <c r="E1592">
        <v>3019</v>
      </c>
      <c r="F1592">
        <v>3019</v>
      </c>
      <c r="G1592">
        <v>3019</v>
      </c>
      <c r="H1592">
        <v>10700</v>
      </c>
    </row>
    <row r="1593" spans="2:8">
      <c r="B1593" t="s">
        <v>587</v>
      </c>
      <c r="C1593" t="s">
        <v>428</v>
      </c>
      <c r="D1593">
        <v>3018</v>
      </c>
      <c r="E1593">
        <v>3019</v>
      </c>
      <c r="F1593">
        <v>3018</v>
      </c>
      <c r="G1593">
        <v>3018</v>
      </c>
      <c r="H1593">
        <v>5100</v>
      </c>
    </row>
    <row r="1594" spans="2:8">
      <c r="B1594" t="s">
        <v>587</v>
      </c>
      <c r="C1594" t="s">
        <v>429</v>
      </c>
      <c r="D1594">
        <v>3019</v>
      </c>
      <c r="E1594">
        <v>3019</v>
      </c>
      <c r="F1594">
        <v>3018</v>
      </c>
      <c r="G1594">
        <v>3018</v>
      </c>
      <c r="H1594">
        <v>1000</v>
      </c>
    </row>
    <row r="1595" spans="2:8">
      <c r="B1595" t="s">
        <v>587</v>
      </c>
      <c r="C1595" t="s">
        <v>430</v>
      </c>
      <c r="D1595">
        <v>3019</v>
      </c>
      <c r="E1595">
        <v>3019</v>
      </c>
      <c r="F1595">
        <v>3018</v>
      </c>
      <c r="G1595">
        <v>3018</v>
      </c>
      <c r="H1595">
        <v>4900</v>
      </c>
    </row>
    <row r="1596" spans="2:8">
      <c r="B1596" t="s">
        <v>587</v>
      </c>
      <c r="C1596" t="s">
        <v>431</v>
      </c>
      <c r="D1596">
        <v>3018</v>
      </c>
      <c r="E1596">
        <v>3019</v>
      </c>
      <c r="F1596">
        <v>3018</v>
      </c>
      <c r="G1596">
        <v>3019</v>
      </c>
      <c r="H1596">
        <v>10100</v>
      </c>
    </row>
    <row r="1597" spans="2:8">
      <c r="B1597" t="s">
        <v>587</v>
      </c>
      <c r="C1597" t="s">
        <v>9</v>
      </c>
      <c r="D1597">
        <v>3019</v>
      </c>
      <c r="E1597">
        <v>3019</v>
      </c>
      <c r="F1597">
        <v>3018</v>
      </c>
      <c r="G1597">
        <v>3018</v>
      </c>
      <c r="H1597">
        <v>1500</v>
      </c>
    </row>
    <row r="1598" spans="2:8">
      <c r="B1598" t="s">
        <v>587</v>
      </c>
      <c r="C1598" t="s">
        <v>10</v>
      </c>
      <c r="D1598">
        <v>3018</v>
      </c>
      <c r="E1598">
        <v>3019</v>
      </c>
      <c r="F1598">
        <v>3018</v>
      </c>
      <c r="G1598">
        <v>3019</v>
      </c>
      <c r="H1598">
        <v>12400</v>
      </c>
    </row>
    <row r="1599" spans="2:8">
      <c r="B1599" t="s">
        <v>587</v>
      </c>
      <c r="C1599" t="s">
        <v>11</v>
      </c>
      <c r="D1599">
        <v>3019</v>
      </c>
      <c r="E1599">
        <v>3021</v>
      </c>
      <c r="F1599">
        <v>3018</v>
      </c>
      <c r="G1599">
        <v>3021</v>
      </c>
      <c r="H1599">
        <v>17300</v>
      </c>
    </row>
    <row r="1600" spans="2:8">
      <c r="B1600" t="s">
        <v>587</v>
      </c>
      <c r="C1600" t="s">
        <v>12</v>
      </c>
      <c r="D1600">
        <v>3020</v>
      </c>
      <c r="E1600">
        <v>3021</v>
      </c>
      <c r="F1600">
        <v>3019</v>
      </c>
      <c r="G1600">
        <v>3021</v>
      </c>
      <c r="H1600">
        <v>8200</v>
      </c>
    </row>
    <row r="1601" spans="2:8">
      <c r="B1601" t="s">
        <v>587</v>
      </c>
      <c r="C1601" t="s">
        <v>13</v>
      </c>
      <c r="D1601">
        <v>3020</v>
      </c>
      <c r="E1601">
        <v>3020</v>
      </c>
      <c r="F1601">
        <v>3018</v>
      </c>
      <c r="G1601">
        <v>3019</v>
      </c>
      <c r="H1601">
        <v>11900</v>
      </c>
    </row>
    <row r="1602" spans="2:8">
      <c r="B1602" t="s">
        <v>587</v>
      </c>
      <c r="C1602" t="s">
        <v>14</v>
      </c>
      <c r="D1602">
        <v>3019</v>
      </c>
      <c r="E1602">
        <v>3020</v>
      </c>
      <c r="F1602">
        <v>3018</v>
      </c>
      <c r="G1602">
        <v>3019</v>
      </c>
      <c r="H1602">
        <v>9400</v>
      </c>
    </row>
    <row r="1603" spans="2:8">
      <c r="B1603" t="s">
        <v>587</v>
      </c>
      <c r="C1603" t="s">
        <v>15</v>
      </c>
      <c r="D1603">
        <v>3019</v>
      </c>
      <c r="E1603">
        <v>3019</v>
      </c>
      <c r="F1603">
        <v>3017</v>
      </c>
      <c r="G1603">
        <v>3018</v>
      </c>
      <c r="H1603">
        <v>33800</v>
      </c>
    </row>
    <row r="1604" spans="2:8">
      <c r="B1604" t="s">
        <v>587</v>
      </c>
      <c r="C1604" t="s">
        <v>16</v>
      </c>
      <c r="D1604">
        <v>3018</v>
      </c>
      <c r="E1604">
        <v>3020</v>
      </c>
      <c r="F1604">
        <v>3017</v>
      </c>
      <c r="G1604">
        <v>3020</v>
      </c>
      <c r="H1604">
        <v>13700</v>
      </c>
    </row>
    <row r="1605" spans="2:8">
      <c r="B1605" t="s">
        <v>587</v>
      </c>
      <c r="C1605" t="s">
        <v>17</v>
      </c>
      <c r="D1605">
        <v>3019</v>
      </c>
      <c r="E1605">
        <v>3020</v>
      </c>
      <c r="F1605">
        <v>3018</v>
      </c>
      <c r="G1605">
        <v>3019</v>
      </c>
      <c r="H1605">
        <v>10400</v>
      </c>
    </row>
    <row r="1606" spans="2:8">
      <c r="B1606" t="s">
        <v>587</v>
      </c>
      <c r="C1606" t="s">
        <v>18</v>
      </c>
      <c r="D1606">
        <v>3018</v>
      </c>
      <c r="E1606">
        <v>3019</v>
      </c>
      <c r="F1606">
        <v>3018</v>
      </c>
      <c r="G1606">
        <v>3018</v>
      </c>
      <c r="H1606">
        <v>13600</v>
      </c>
    </row>
    <row r="1607" spans="2:8">
      <c r="B1607" t="s">
        <v>587</v>
      </c>
      <c r="C1607" t="s">
        <v>19</v>
      </c>
      <c r="D1607">
        <v>3018</v>
      </c>
      <c r="E1607">
        <v>3019</v>
      </c>
      <c r="F1607">
        <v>3018</v>
      </c>
      <c r="G1607">
        <v>3018</v>
      </c>
      <c r="H1607">
        <v>7500</v>
      </c>
    </row>
    <row r="1608" spans="2:8">
      <c r="B1608" t="s">
        <v>587</v>
      </c>
      <c r="C1608" t="s">
        <v>20</v>
      </c>
      <c r="D1608">
        <v>3019</v>
      </c>
      <c r="E1608">
        <v>3019</v>
      </c>
      <c r="F1608">
        <v>3018</v>
      </c>
      <c r="G1608">
        <v>3019</v>
      </c>
      <c r="H1608">
        <v>25800</v>
      </c>
    </row>
    <row r="1609" spans="2:8">
      <c r="B1609" t="s">
        <v>587</v>
      </c>
      <c r="C1609" t="s">
        <v>21</v>
      </c>
      <c r="D1609">
        <v>3019</v>
      </c>
      <c r="E1609">
        <v>3019</v>
      </c>
      <c r="F1609">
        <v>3018</v>
      </c>
      <c r="G1609">
        <v>3019</v>
      </c>
      <c r="H1609">
        <v>12300</v>
      </c>
    </row>
    <row r="1610" spans="2:8">
      <c r="B1610" t="s">
        <v>587</v>
      </c>
      <c r="C1610" t="s">
        <v>22</v>
      </c>
      <c r="D1610">
        <v>3019</v>
      </c>
      <c r="E1610">
        <v>3019</v>
      </c>
      <c r="F1610">
        <v>3018</v>
      </c>
      <c r="G1610">
        <v>3019</v>
      </c>
      <c r="H1610">
        <v>22100</v>
      </c>
    </row>
    <row r="1611" spans="2:8">
      <c r="B1611" t="s">
        <v>587</v>
      </c>
      <c r="C1611" t="s">
        <v>23</v>
      </c>
      <c r="D1611">
        <v>3018</v>
      </c>
      <c r="E1611">
        <v>3018</v>
      </c>
      <c r="F1611">
        <v>3018</v>
      </c>
      <c r="G1611">
        <v>3018</v>
      </c>
      <c r="H1611">
        <v>7000</v>
      </c>
    </row>
    <row r="1612" spans="2:8">
      <c r="B1612" t="s">
        <v>587</v>
      </c>
      <c r="C1612" t="s">
        <v>24</v>
      </c>
      <c r="D1612">
        <v>3019</v>
      </c>
      <c r="E1612">
        <v>3019</v>
      </c>
      <c r="F1612">
        <v>3018</v>
      </c>
      <c r="G1612">
        <v>3018</v>
      </c>
      <c r="H1612">
        <v>4800</v>
      </c>
    </row>
    <row r="1613" spans="2:8">
      <c r="B1613" t="s">
        <v>587</v>
      </c>
      <c r="C1613" t="s">
        <v>25</v>
      </c>
      <c r="D1613">
        <v>3018</v>
      </c>
      <c r="E1613">
        <v>3018</v>
      </c>
      <c r="F1613">
        <v>3017</v>
      </c>
      <c r="G1613">
        <v>3018</v>
      </c>
      <c r="H1613">
        <v>13600</v>
      </c>
    </row>
    <row r="1614" spans="2:8">
      <c r="B1614" t="s">
        <v>587</v>
      </c>
      <c r="C1614" t="s">
        <v>26</v>
      </c>
      <c r="D1614">
        <v>3018</v>
      </c>
      <c r="E1614">
        <v>3019</v>
      </c>
      <c r="F1614">
        <v>3017</v>
      </c>
      <c r="G1614">
        <v>3018</v>
      </c>
      <c r="H1614">
        <v>10100</v>
      </c>
    </row>
    <row r="1615" spans="2:8">
      <c r="B1615" t="s">
        <v>587</v>
      </c>
      <c r="C1615" t="s">
        <v>27</v>
      </c>
      <c r="D1615">
        <v>3018</v>
      </c>
      <c r="E1615">
        <v>3018</v>
      </c>
      <c r="F1615">
        <v>3016</v>
      </c>
      <c r="G1615">
        <v>3016</v>
      </c>
      <c r="H1615">
        <v>26100</v>
      </c>
    </row>
    <row r="1616" spans="2:8">
      <c r="B1616" t="s">
        <v>587</v>
      </c>
      <c r="C1616" t="s">
        <v>28</v>
      </c>
      <c r="D1616">
        <v>3017</v>
      </c>
      <c r="E1616">
        <v>3017</v>
      </c>
      <c r="F1616">
        <v>3015</v>
      </c>
      <c r="G1616">
        <v>3016</v>
      </c>
      <c r="H1616">
        <v>17000</v>
      </c>
    </row>
    <row r="1617" spans="2:8">
      <c r="B1617" t="s">
        <v>587</v>
      </c>
      <c r="C1617" t="s">
        <v>29</v>
      </c>
      <c r="D1617">
        <v>3016</v>
      </c>
      <c r="E1617">
        <v>3017</v>
      </c>
      <c r="F1617">
        <v>3015</v>
      </c>
      <c r="G1617">
        <v>3017</v>
      </c>
      <c r="H1617">
        <v>10000</v>
      </c>
    </row>
    <row r="1618" spans="2:8">
      <c r="B1618" t="s">
        <v>587</v>
      </c>
      <c r="C1618" t="s">
        <v>30</v>
      </c>
      <c r="D1618">
        <v>3017</v>
      </c>
      <c r="E1618">
        <v>3018</v>
      </c>
      <c r="F1618">
        <v>3017</v>
      </c>
      <c r="G1618">
        <v>3018</v>
      </c>
      <c r="H1618">
        <v>10700</v>
      </c>
    </row>
    <row r="1619" spans="2:8">
      <c r="B1619" t="s">
        <v>587</v>
      </c>
      <c r="C1619" t="s">
        <v>31</v>
      </c>
      <c r="D1619">
        <v>3018</v>
      </c>
      <c r="E1619">
        <v>3019</v>
      </c>
      <c r="F1619">
        <v>3018</v>
      </c>
      <c r="G1619">
        <v>3019</v>
      </c>
      <c r="H1619">
        <v>10200</v>
      </c>
    </row>
    <row r="1620" spans="2:8">
      <c r="B1620" t="s">
        <v>587</v>
      </c>
      <c r="C1620" t="s">
        <v>32</v>
      </c>
      <c r="D1620">
        <v>3019</v>
      </c>
      <c r="E1620">
        <v>3020</v>
      </c>
      <c r="F1620">
        <v>3018</v>
      </c>
      <c r="G1620">
        <v>3020</v>
      </c>
      <c r="H1620">
        <v>13200</v>
      </c>
    </row>
    <row r="1621" spans="2:8">
      <c r="B1621" t="s">
        <v>587</v>
      </c>
      <c r="C1621" t="s">
        <v>33</v>
      </c>
      <c r="D1621">
        <v>3020</v>
      </c>
      <c r="E1621">
        <v>3020</v>
      </c>
      <c r="F1621">
        <v>3018</v>
      </c>
      <c r="G1621">
        <v>3019</v>
      </c>
      <c r="H1621">
        <v>12600</v>
      </c>
    </row>
    <row r="1622" spans="2:8">
      <c r="B1622" t="s">
        <v>587</v>
      </c>
      <c r="C1622" t="s">
        <v>34</v>
      </c>
      <c r="D1622">
        <v>3019</v>
      </c>
      <c r="E1622">
        <v>3020</v>
      </c>
      <c r="F1622">
        <v>3018</v>
      </c>
      <c r="G1622">
        <v>3019</v>
      </c>
      <c r="H1622">
        <v>8500</v>
      </c>
    </row>
    <row r="1623" spans="2:8">
      <c r="B1623" t="s">
        <v>587</v>
      </c>
      <c r="C1623" t="s">
        <v>35</v>
      </c>
      <c r="D1623">
        <v>3018</v>
      </c>
      <c r="E1623">
        <v>3019</v>
      </c>
      <c r="F1623">
        <v>3018</v>
      </c>
      <c r="G1623">
        <v>3019</v>
      </c>
      <c r="H1623">
        <v>9000</v>
      </c>
    </row>
    <row r="1624" spans="2:8">
      <c r="B1624" t="s">
        <v>587</v>
      </c>
      <c r="C1624" t="s">
        <v>36</v>
      </c>
      <c r="D1624">
        <v>3019</v>
      </c>
      <c r="E1624">
        <v>3020</v>
      </c>
      <c r="F1624">
        <v>3018</v>
      </c>
      <c r="G1624">
        <v>3020</v>
      </c>
      <c r="H1624">
        <v>21200</v>
      </c>
    </row>
    <row r="1625" spans="2:8">
      <c r="B1625" t="s">
        <v>587</v>
      </c>
      <c r="C1625" t="s">
        <v>37</v>
      </c>
      <c r="D1625">
        <v>3020</v>
      </c>
      <c r="E1625">
        <v>3021</v>
      </c>
      <c r="F1625">
        <v>3019</v>
      </c>
      <c r="G1625">
        <v>3020</v>
      </c>
      <c r="H1625">
        <v>14600</v>
      </c>
    </row>
    <row r="1626" spans="2:8">
      <c r="B1626" t="s">
        <v>587</v>
      </c>
      <c r="C1626" t="s">
        <v>38</v>
      </c>
      <c r="D1626">
        <v>3020</v>
      </c>
      <c r="E1626">
        <v>3021</v>
      </c>
      <c r="F1626">
        <v>3020</v>
      </c>
      <c r="G1626">
        <v>3021</v>
      </c>
      <c r="H1626">
        <v>9700</v>
      </c>
    </row>
    <row r="1627" spans="2:8">
      <c r="B1627" t="s">
        <v>587</v>
      </c>
      <c r="C1627" t="s">
        <v>39</v>
      </c>
      <c r="D1627">
        <v>3021</v>
      </c>
      <c r="E1627">
        <v>3022</v>
      </c>
      <c r="F1627">
        <v>3020</v>
      </c>
      <c r="G1627">
        <v>3020</v>
      </c>
      <c r="H1627">
        <v>13200</v>
      </c>
    </row>
    <row r="1628" spans="2:8">
      <c r="B1628" t="s">
        <v>587</v>
      </c>
      <c r="C1628" t="s">
        <v>40</v>
      </c>
      <c r="D1628">
        <v>3020</v>
      </c>
      <c r="E1628">
        <v>3021</v>
      </c>
      <c r="F1628">
        <v>3019</v>
      </c>
      <c r="G1628">
        <v>3021</v>
      </c>
      <c r="H1628">
        <v>16800</v>
      </c>
    </row>
    <row r="1629" spans="2:8">
      <c r="B1629" t="s">
        <v>587</v>
      </c>
      <c r="C1629" t="s">
        <v>41</v>
      </c>
      <c r="D1629">
        <v>3021</v>
      </c>
      <c r="E1629">
        <v>3021</v>
      </c>
      <c r="F1629">
        <v>3020</v>
      </c>
      <c r="G1629">
        <v>3020</v>
      </c>
      <c r="H1629">
        <v>22700</v>
      </c>
    </row>
    <row r="1630" spans="2:8">
      <c r="B1630" t="s">
        <v>587</v>
      </c>
      <c r="C1630" t="s">
        <v>42</v>
      </c>
      <c r="D1630">
        <v>3019</v>
      </c>
      <c r="E1630">
        <v>3021</v>
      </c>
      <c r="F1630">
        <v>3019</v>
      </c>
      <c r="G1630">
        <v>3021</v>
      </c>
      <c r="H1630">
        <v>11500</v>
      </c>
    </row>
    <row r="1631" spans="2:8">
      <c r="B1631" t="s">
        <v>587</v>
      </c>
      <c r="C1631" t="s">
        <v>43</v>
      </c>
      <c r="D1631">
        <v>3020</v>
      </c>
      <c r="E1631">
        <v>3021</v>
      </c>
      <c r="F1631">
        <v>3020</v>
      </c>
      <c r="G1631">
        <v>3021</v>
      </c>
      <c r="H1631">
        <v>8200</v>
      </c>
    </row>
    <row r="1632" spans="2:8">
      <c r="B1632" t="s">
        <v>587</v>
      </c>
      <c r="C1632" t="s">
        <v>44</v>
      </c>
      <c r="D1632">
        <v>3021</v>
      </c>
      <c r="E1632">
        <v>3021</v>
      </c>
      <c r="F1632">
        <v>3021</v>
      </c>
      <c r="G1632">
        <v>3021</v>
      </c>
      <c r="H1632">
        <v>14000</v>
      </c>
    </row>
    <row r="1633" spans="2:8">
      <c r="B1633" t="s">
        <v>587</v>
      </c>
      <c r="C1633" t="s">
        <v>45</v>
      </c>
      <c r="D1633">
        <v>3021</v>
      </c>
      <c r="E1633">
        <v>3021</v>
      </c>
      <c r="F1633">
        <v>3020</v>
      </c>
      <c r="G1633">
        <v>3020</v>
      </c>
      <c r="H1633">
        <v>5900</v>
      </c>
    </row>
    <row r="1634" spans="2:8">
      <c r="B1634" t="s">
        <v>587</v>
      </c>
      <c r="C1634" t="s">
        <v>46</v>
      </c>
      <c r="D1634">
        <v>3021</v>
      </c>
      <c r="E1634">
        <v>3021</v>
      </c>
      <c r="F1634">
        <v>3019</v>
      </c>
      <c r="G1634">
        <v>3019</v>
      </c>
      <c r="H1634">
        <v>33500</v>
      </c>
    </row>
    <row r="1635" spans="2:8">
      <c r="B1635" t="s">
        <v>587</v>
      </c>
      <c r="C1635" t="s">
        <v>47</v>
      </c>
      <c r="D1635">
        <v>3018</v>
      </c>
      <c r="E1635">
        <v>3019</v>
      </c>
      <c r="F1635">
        <v>3018</v>
      </c>
      <c r="G1635">
        <v>3018</v>
      </c>
      <c r="H1635">
        <v>3200</v>
      </c>
    </row>
    <row r="1636" spans="2:8">
      <c r="B1636" t="s">
        <v>587</v>
      </c>
      <c r="C1636" t="s">
        <v>48</v>
      </c>
      <c r="D1636">
        <v>3018</v>
      </c>
      <c r="E1636">
        <v>3019</v>
      </c>
      <c r="F1636">
        <v>3018</v>
      </c>
      <c r="G1636">
        <v>3018</v>
      </c>
      <c r="H1636">
        <v>5000</v>
      </c>
    </row>
    <row r="1637" spans="2:8">
      <c r="B1637" t="s">
        <v>587</v>
      </c>
      <c r="C1637" t="s">
        <v>49</v>
      </c>
      <c r="D1637">
        <v>3018</v>
      </c>
      <c r="E1637">
        <v>3018</v>
      </c>
      <c r="F1637">
        <v>3016</v>
      </c>
      <c r="G1637">
        <v>3016</v>
      </c>
      <c r="H1637">
        <v>36200</v>
      </c>
    </row>
    <row r="1638" spans="2:8">
      <c r="B1638" t="s">
        <v>587</v>
      </c>
      <c r="C1638" t="s">
        <v>50</v>
      </c>
      <c r="D1638">
        <v>3016</v>
      </c>
      <c r="E1638">
        <v>3017</v>
      </c>
      <c r="F1638">
        <v>3015</v>
      </c>
      <c r="G1638">
        <v>3017</v>
      </c>
      <c r="H1638">
        <v>26600</v>
      </c>
    </row>
    <row r="1639" spans="2:8">
      <c r="B1639" t="s">
        <v>587</v>
      </c>
      <c r="C1639" t="s">
        <v>51</v>
      </c>
      <c r="D1639">
        <v>3017</v>
      </c>
      <c r="E1639">
        <v>3017</v>
      </c>
      <c r="F1639">
        <v>3016</v>
      </c>
      <c r="G1639">
        <v>3017</v>
      </c>
      <c r="H1639">
        <v>18100</v>
      </c>
    </row>
    <row r="1640" spans="2:8">
      <c r="B1640" t="s">
        <v>587</v>
      </c>
      <c r="C1640" t="s">
        <v>52</v>
      </c>
      <c r="D1640">
        <v>3017</v>
      </c>
      <c r="E1640">
        <v>3018</v>
      </c>
      <c r="F1640">
        <v>3017</v>
      </c>
      <c r="G1640">
        <v>3017</v>
      </c>
      <c r="H1640">
        <v>4100</v>
      </c>
    </row>
    <row r="1641" spans="2:8">
      <c r="B1641" t="s">
        <v>587</v>
      </c>
      <c r="C1641" t="s">
        <v>53</v>
      </c>
      <c r="D1641">
        <v>3017</v>
      </c>
      <c r="E1641">
        <v>3019</v>
      </c>
      <c r="F1641">
        <v>3017</v>
      </c>
      <c r="G1641">
        <v>3019</v>
      </c>
      <c r="H1641">
        <v>29200</v>
      </c>
    </row>
    <row r="1642" spans="2:8">
      <c r="B1642" t="s">
        <v>587</v>
      </c>
      <c r="C1642" t="s">
        <v>54</v>
      </c>
      <c r="D1642">
        <v>3019</v>
      </c>
      <c r="E1642">
        <v>3020</v>
      </c>
      <c r="F1642">
        <v>3018</v>
      </c>
      <c r="G1642">
        <v>3019</v>
      </c>
      <c r="H1642">
        <v>18300</v>
      </c>
    </row>
    <row r="1643" spans="2:8">
      <c r="B1643" t="s">
        <v>587</v>
      </c>
      <c r="C1643" t="s">
        <v>55</v>
      </c>
      <c r="D1643">
        <v>3019</v>
      </c>
      <c r="E1643">
        <v>3019</v>
      </c>
      <c r="F1643">
        <v>3017</v>
      </c>
      <c r="G1643">
        <v>3017</v>
      </c>
      <c r="H1643">
        <v>22200</v>
      </c>
    </row>
    <row r="1644" spans="2:8">
      <c r="B1644" t="s">
        <v>587</v>
      </c>
      <c r="C1644" t="s">
        <v>56</v>
      </c>
      <c r="D1644">
        <v>3018</v>
      </c>
      <c r="E1644">
        <v>3018</v>
      </c>
      <c r="F1644">
        <v>3017</v>
      </c>
      <c r="G1644">
        <v>3017</v>
      </c>
      <c r="H1644">
        <v>3300</v>
      </c>
    </row>
    <row r="1645" spans="2:8">
      <c r="B1645" t="s">
        <v>587</v>
      </c>
      <c r="C1645" t="s">
        <v>57</v>
      </c>
      <c r="D1645">
        <v>3017</v>
      </c>
      <c r="E1645">
        <v>3020</v>
      </c>
      <c r="F1645">
        <v>3017</v>
      </c>
      <c r="G1645">
        <v>3020</v>
      </c>
      <c r="H1645">
        <v>46300</v>
      </c>
    </row>
    <row r="1646" spans="2:8">
      <c r="B1646" t="s">
        <v>587</v>
      </c>
      <c r="C1646" t="s">
        <v>58</v>
      </c>
      <c r="D1646">
        <v>3020</v>
      </c>
      <c r="E1646">
        <v>3022</v>
      </c>
      <c r="F1646">
        <v>3020</v>
      </c>
      <c r="G1646">
        <v>3022</v>
      </c>
      <c r="H1646">
        <v>37300</v>
      </c>
    </row>
    <row r="1647" spans="2:8">
      <c r="B1647" t="s">
        <v>587</v>
      </c>
      <c r="C1647" t="s">
        <v>59</v>
      </c>
      <c r="D1647">
        <v>3022</v>
      </c>
      <c r="E1647">
        <v>3022</v>
      </c>
      <c r="F1647">
        <v>3021</v>
      </c>
      <c r="G1647">
        <v>3021</v>
      </c>
      <c r="H1647">
        <v>34900</v>
      </c>
    </row>
    <row r="1648" spans="2:8">
      <c r="B1648" t="s">
        <v>587</v>
      </c>
      <c r="C1648" t="s">
        <v>60</v>
      </c>
      <c r="D1648">
        <v>3020</v>
      </c>
      <c r="E1648">
        <v>3020</v>
      </c>
      <c r="F1648">
        <v>3019</v>
      </c>
      <c r="G1648">
        <v>3019</v>
      </c>
      <c r="H1648">
        <v>16500</v>
      </c>
    </row>
    <row r="1649" spans="1:8">
      <c r="B1649" t="s">
        <v>587</v>
      </c>
      <c r="C1649" t="s">
        <v>61</v>
      </c>
      <c r="D1649">
        <v>3019</v>
      </c>
      <c r="E1649">
        <v>3020</v>
      </c>
      <c r="F1649">
        <v>3018</v>
      </c>
      <c r="G1649">
        <v>3019</v>
      </c>
      <c r="H1649">
        <v>48500</v>
      </c>
    </row>
    <row r="1650" spans="1:8">
      <c r="B1650" t="s">
        <v>587</v>
      </c>
      <c r="C1650" t="s">
        <v>62</v>
      </c>
      <c r="D1650">
        <v>3019</v>
      </c>
      <c r="E1650">
        <v>3020</v>
      </c>
      <c r="F1650">
        <v>3019</v>
      </c>
      <c r="G1650">
        <v>3020</v>
      </c>
      <c r="H1650">
        <v>31100</v>
      </c>
    </row>
    <row r="1651" spans="1:8">
      <c r="B1651" t="s">
        <v>587</v>
      </c>
      <c r="C1651" t="s">
        <v>63</v>
      </c>
      <c r="D1651">
        <v>3020</v>
      </c>
      <c r="E1651">
        <v>3023</v>
      </c>
      <c r="F1651">
        <v>3020</v>
      </c>
      <c r="G1651">
        <v>3022</v>
      </c>
      <c r="H1651">
        <v>35600</v>
      </c>
    </row>
    <row r="1652" spans="1:8">
      <c r="B1652" t="s">
        <v>587</v>
      </c>
      <c r="C1652" t="s">
        <v>64</v>
      </c>
      <c r="D1652">
        <v>3022</v>
      </c>
      <c r="E1652">
        <v>3022</v>
      </c>
      <c r="F1652">
        <v>3021</v>
      </c>
      <c r="G1652">
        <v>3022</v>
      </c>
      <c r="H1652">
        <v>4000</v>
      </c>
    </row>
    <row r="1653" spans="1:8">
      <c r="B1653" t="s">
        <v>587</v>
      </c>
      <c r="C1653" t="s">
        <v>65</v>
      </c>
      <c r="D1653">
        <v>3022</v>
      </c>
      <c r="E1653">
        <v>3023</v>
      </c>
      <c r="F1653">
        <v>3021</v>
      </c>
      <c r="G1653">
        <v>3022</v>
      </c>
      <c r="H1653">
        <v>20700</v>
      </c>
    </row>
    <row r="1654" spans="1:8">
      <c r="B1654" t="s">
        <v>587</v>
      </c>
      <c r="C1654" t="s">
        <v>66</v>
      </c>
      <c r="D1654">
        <v>3022</v>
      </c>
      <c r="E1654">
        <v>3023</v>
      </c>
      <c r="F1654">
        <v>3022</v>
      </c>
      <c r="G1654">
        <v>3022</v>
      </c>
      <c r="H1654">
        <v>29700</v>
      </c>
    </row>
    <row r="1655" spans="1:8">
      <c r="B1655" t="s">
        <v>587</v>
      </c>
      <c r="C1655" t="s">
        <v>164</v>
      </c>
      <c r="D1655">
        <v>3022</v>
      </c>
      <c r="E1655">
        <v>3023</v>
      </c>
      <c r="F1655">
        <v>3021</v>
      </c>
      <c r="G1655">
        <v>3021</v>
      </c>
      <c r="H1655">
        <v>41600</v>
      </c>
    </row>
    <row r="1656" spans="1:8">
      <c r="B1656" t="s">
        <v>587</v>
      </c>
      <c r="C1656" t="s">
        <v>165</v>
      </c>
      <c r="D1656">
        <v>3021</v>
      </c>
      <c r="E1656">
        <v>3024</v>
      </c>
      <c r="F1656">
        <v>3021</v>
      </c>
      <c r="G1656">
        <v>3023</v>
      </c>
      <c r="H1656">
        <v>26700</v>
      </c>
    </row>
    <row r="1657" spans="1:8">
      <c r="B1657" t="s">
        <v>587</v>
      </c>
      <c r="C1657" t="s">
        <v>67</v>
      </c>
      <c r="D1657" t="s">
        <v>8</v>
      </c>
      <c r="E1657" t="s">
        <v>8</v>
      </c>
      <c r="F1657" t="s">
        <v>8</v>
      </c>
      <c r="G1657" t="s">
        <v>8</v>
      </c>
      <c r="H1657">
        <v>0</v>
      </c>
    </row>
    <row r="1658" spans="1:8">
      <c r="B1658" t="s">
        <v>587</v>
      </c>
      <c r="C1658" t="s">
        <v>68</v>
      </c>
      <c r="D1658" t="s">
        <v>8</v>
      </c>
      <c r="E1658" t="s">
        <v>8</v>
      </c>
      <c r="F1658" t="s">
        <v>8</v>
      </c>
      <c r="G1658" t="s">
        <v>8</v>
      </c>
      <c r="H1658">
        <v>0</v>
      </c>
    </row>
    <row r="1659" spans="1:8">
      <c r="B1659" t="s">
        <v>587</v>
      </c>
      <c r="C1659" t="s">
        <v>69</v>
      </c>
      <c r="D1659" t="s">
        <v>8</v>
      </c>
      <c r="E1659" t="s">
        <v>8</v>
      </c>
      <c r="F1659" t="s">
        <v>8</v>
      </c>
      <c r="G1659" t="s">
        <v>8</v>
      </c>
      <c r="H1659">
        <v>0</v>
      </c>
    </row>
    <row r="1660" spans="1:8">
      <c r="B1660" t="s">
        <v>587</v>
      </c>
      <c r="C1660" t="s">
        <v>70</v>
      </c>
      <c r="D1660" t="s">
        <v>8</v>
      </c>
      <c r="E1660" t="s">
        <v>8</v>
      </c>
      <c r="F1660" t="s">
        <v>8</v>
      </c>
      <c r="G1660" t="s">
        <v>8</v>
      </c>
      <c r="H1660">
        <v>0</v>
      </c>
    </row>
    <row r="1661" spans="1:8">
      <c r="B1661" t="s">
        <v>587</v>
      </c>
      <c r="C1661" t="s">
        <v>71</v>
      </c>
      <c r="D1661" t="s">
        <v>8</v>
      </c>
      <c r="E1661" t="s">
        <v>8</v>
      </c>
      <c r="F1661" t="s">
        <v>8</v>
      </c>
      <c r="G1661" t="s">
        <v>8</v>
      </c>
      <c r="H1661">
        <v>0</v>
      </c>
    </row>
    <row r="1662" spans="1:8">
      <c r="B1662" t="s">
        <v>587</v>
      </c>
      <c r="C1662" t="s">
        <v>72</v>
      </c>
      <c r="D1662">
        <v>3028</v>
      </c>
      <c r="E1662">
        <v>3028</v>
      </c>
      <c r="F1662">
        <v>3028</v>
      </c>
      <c r="G1662">
        <v>3028</v>
      </c>
      <c r="H1662">
        <v>1867900</v>
      </c>
    </row>
    <row r="1663" spans="1:8">
      <c r="A1663" s="1" t="s">
        <v>588</v>
      </c>
      <c r="B1663" s="1" t="s">
        <v>588</v>
      </c>
      <c r="C1663" s="1" t="s">
        <v>588</v>
      </c>
      <c r="D1663" s="1" t="s">
        <v>588</v>
      </c>
      <c r="E1663" s="1" t="s">
        <v>588</v>
      </c>
      <c r="F1663" s="1" t="s">
        <v>588</v>
      </c>
      <c r="G1663" s="1" t="s">
        <v>588</v>
      </c>
      <c r="H1663" s="1" t="s">
        <v>588</v>
      </c>
    </row>
    <row r="1664" spans="1:8">
      <c r="A1664" s="1"/>
      <c r="B1664" s="1" t="s">
        <v>586</v>
      </c>
      <c r="C1664" s="1" t="s">
        <v>444</v>
      </c>
      <c r="D1664" s="1">
        <v>3016</v>
      </c>
      <c r="E1664" s="1">
        <v>3017</v>
      </c>
      <c r="F1664" s="1">
        <v>3013</v>
      </c>
      <c r="G1664" s="1">
        <v>3015</v>
      </c>
      <c r="H1664" s="1">
        <v>47300</v>
      </c>
    </row>
    <row r="1665" spans="1:8">
      <c r="A1665" s="1"/>
      <c r="B1665" s="1" t="s">
        <v>586</v>
      </c>
      <c r="C1665" s="1" t="s">
        <v>445</v>
      </c>
      <c r="D1665" s="1">
        <v>3017</v>
      </c>
      <c r="E1665" s="1">
        <v>3017</v>
      </c>
      <c r="F1665" s="1">
        <v>3013</v>
      </c>
      <c r="G1665" s="1">
        <v>3013</v>
      </c>
      <c r="H1665" s="1">
        <v>21300</v>
      </c>
    </row>
    <row r="1666" spans="1:8">
      <c r="A1666" s="1"/>
      <c r="B1666" s="1" t="s">
        <v>586</v>
      </c>
      <c r="C1666" s="1" t="s">
        <v>446</v>
      </c>
      <c r="D1666" s="1">
        <v>3014</v>
      </c>
      <c r="E1666" s="1">
        <v>3023</v>
      </c>
      <c r="F1666" s="1">
        <v>3013</v>
      </c>
      <c r="G1666" s="1">
        <v>3018</v>
      </c>
      <c r="H1666" s="1">
        <v>117100</v>
      </c>
    </row>
    <row r="1667" spans="1:8">
      <c r="A1667" s="1"/>
      <c r="B1667" s="1" t="s">
        <v>586</v>
      </c>
      <c r="C1667" s="1" t="s">
        <v>447</v>
      </c>
      <c r="D1667" s="1">
        <v>3018</v>
      </c>
      <c r="E1667" s="1">
        <v>3020</v>
      </c>
      <c r="F1667" s="1">
        <v>3017</v>
      </c>
      <c r="G1667" s="1">
        <v>3020</v>
      </c>
      <c r="H1667" s="1">
        <v>14400</v>
      </c>
    </row>
    <row r="1668" spans="1:8">
      <c r="A1668" s="1"/>
      <c r="B1668" s="1" t="s">
        <v>586</v>
      </c>
      <c r="C1668" s="1" t="s">
        <v>448</v>
      </c>
      <c r="D1668" s="1">
        <v>3020</v>
      </c>
      <c r="E1668" s="1">
        <v>3021</v>
      </c>
      <c r="F1668" s="1">
        <v>3018</v>
      </c>
      <c r="G1668" s="1">
        <v>3020</v>
      </c>
      <c r="H1668" s="1">
        <v>17500</v>
      </c>
    </row>
    <row r="1669" spans="1:8">
      <c r="A1669" s="1"/>
      <c r="B1669" s="1" t="s">
        <v>586</v>
      </c>
      <c r="C1669" s="1" t="s">
        <v>449</v>
      </c>
      <c r="D1669" s="1">
        <v>3020</v>
      </c>
      <c r="E1669" s="1">
        <v>3020</v>
      </c>
      <c r="F1669" s="1">
        <v>3018</v>
      </c>
      <c r="G1669" s="1">
        <v>3019</v>
      </c>
      <c r="H1669" s="1">
        <v>19800</v>
      </c>
    </row>
    <row r="1670" spans="1:8">
      <c r="A1670" s="1"/>
      <c r="B1670" s="1" t="s">
        <v>586</v>
      </c>
      <c r="C1670" s="1" t="s">
        <v>450</v>
      </c>
      <c r="D1670" s="1">
        <v>3019</v>
      </c>
      <c r="E1670" s="1">
        <v>3020</v>
      </c>
      <c r="F1670" s="1">
        <v>3014</v>
      </c>
      <c r="G1670" s="1">
        <v>3014</v>
      </c>
      <c r="H1670" s="1">
        <v>17300</v>
      </c>
    </row>
    <row r="1671" spans="1:8">
      <c r="A1671" s="1"/>
      <c r="B1671" s="1" t="s">
        <v>586</v>
      </c>
      <c r="C1671" s="1" t="s">
        <v>451</v>
      </c>
      <c r="D1671" s="1">
        <v>3015</v>
      </c>
      <c r="E1671" s="1">
        <v>3017</v>
      </c>
      <c r="F1671" s="1">
        <v>3013</v>
      </c>
      <c r="G1671" s="1">
        <v>3014</v>
      </c>
      <c r="H1671" s="1">
        <v>16400</v>
      </c>
    </row>
    <row r="1672" spans="1:8">
      <c r="A1672" s="1"/>
      <c r="B1672" s="1" t="s">
        <v>586</v>
      </c>
      <c r="C1672" s="1" t="s">
        <v>452</v>
      </c>
      <c r="D1672" s="1">
        <v>3014</v>
      </c>
      <c r="E1672" s="1">
        <v>3016</v>
      </c>
      <c r="F1672" s="1">
        <v>3013</v>
      </c>
      <c r="G1672" s="1">
        <v>3015</v>
      </c>
      <c r="H1672" s="1">
        <v>17300</v>
      </c>
    </row>
    <row r="1673" spans="1:8">
      <c r="A1673" s="1"/>
      <c r="B1673" s="1" t="s">
        <v>586</v>
      </c>
      <c r="C1673" s="1" t="s">
        <v>453</v>
      </c>
      <c r="D1673" s="1">
        <v>3016</v>
      </c>
      <c r="E1673" s="1">
        <v>3019</v>
      </c>
      <c r="F1673" s="1">
        <v>3016</v>
      </c>
      <c r="G1673" s="1">
        <v>3019</v>
      </c>
      <c r="H1673" s="1">
        <v>20500</v>
      </c>
    </row>
    <row r="1674" spans="1:8">
      <c r="A1674" s="1"/>
      <c r="B1674" s="1" t="s">
        <v>586</v>
      </c>
      <c r="C1674" s="1" t="s">
        <v>454</v>
      </c>
      <c r="D1674" s="1">
        <v>3019</v>
      </c>
      <c r="E1674" s="1">
        <v>3022</v>
      </c>
      <c r="F1674" s="1">
        <v>3019</v>
      </c>
      <c r="G1674" s="1">
        <v>3020</v>
      </c>
      <c r="H1674" s="1">
        <v>28000</v>
      </c>
    </row>
    <row r="1675" spans="1:8">
      <c r="A1675" s="1"/>
      <c r="B1675" s="1" t="s">
        <v>586</v>
      </c>
      <c r="C1675" s="1" t="s">
        <v>455</v>
      </c>
      <c r="D1675" s="1">
        <v>3020</v>
      </c>
      <c r="E1675" s="1">
        <v>3020</v>
      </c>
      <c r="F1675" s="1">
        <v>3017</v>
      </c>
      <c r="G1675" s="1">
        <v>3017</v>
      </c>
      <c r="H1675" s="1">
        <v>22700</v>
      </c>
    </row>
    <row r="1676" spans="1:8">
      <c r="A1676" s="1"/>
      <c r="B1676" s="1" t="s">
        <v>586</v>
      </c>
      <c r="C1676" s="1" t="s">
        <v>456</v>
      </c>
      <c r="D1676" s="1">
        <v>3017</v>
      </c>
      <c r="E1676" s="1">
        <v>3020</v>
      </c>
      <c r="F1676" s="1">
        <v>3017</v>
      </c>
      <c r="G1676" s="1">
        <v>3019</v>
      </c>
      <c r="H1676" s="1">
        <v>8200</v>
      </c>
    </row>
    <row r="1677" spans="1:8">
      <c r="A1677" s="1"/>
      <c r="B1677" s="1" t="s">
        <v>586</v>
      </c>
      <c r="C1677" s="1" t="s">
        <v>457</v>
      </c>
      <c r="D1677" s="1">
        <v>3019</v>
      </c>
      <c r="E1677" s="1">
        <v>3019</v>
      </c>
      <c r="F1677" s="1">
        <v>3014</v>
      </c>
      <c r="G1677" s="1">
        <v>3015</v>
      </c>
      <c r="H1677" s="1">
        <v>10800</v>
      </c>
    </row>
    <row r="1678" spans="1:8">
      <c r="A1678" s="1"/>
      <c r="B1678" s="1" t="s">
        <v>586</v>
      </c>
      <c r="C1678" s="1" t="s">
        <v>458</v>
      </c>
      <c r="D1678" s="1">
        <v>3014</v>
      </c>
      <c r="E1678" s="1">
        <v>3019</v>
      </c>
      <c r="F1678" s="1">
        <v>3014</v>
      </c>
      <c r="G1678" s="1">
        <v>3018</v>
      </c>
      <c r="H1678" s="1">
        <v>29000</v>
      </c>
    </row>
    <row r="1679" spans="1:8">
      <c r="A1679" s="1"/>
      <c r="B1679" s="1" t="s">
        <v>586</v>
      </c>
      <c r="C1679" s="1" t="s">
        <v>459</v>
      </c>
      <c r="D1679" s="1">
        <v>3019</v>
      </c>
      <c r="E1679" s="1">
        <v>3019</v>
      </c>
      <c r="F1679" s="1">
        <v>3015</v>
      </c>
      <c r="G1679" s="1">
        <v>3018</v>
      </c>
      <c r="H1679" s="1">
        <v>14200</v>
      </c>
    </row>
    <row r="1680" spans="1:8">
      <c r="A1680" s="1"/>
      <c r="B1680" s="1" t="s">
        <v>586</v>
      </c>
      <c r="C1680" s="1" t="s">
        <v>460</v>
      </c>
      <c r="D1680" s="1">
        <v>3018</v>
      </c>
      <c r="E1680" s="1">
        <v>3018</v>
      </c>
      <c r="F1680" s="1">
        <v>3016</v>
      </c>
      <c r="G1680" s="1">
        <v>3016</v>
      </c>
      <c r="H1680" s="1">
        <v>11100</v>
      </c>
    </row>
    <row r="1681" spans="1:8">
      <c r="A1681" s="1"/>
      <c r="B1681" s="1" t="s">
        <v>586</v>
      </c>
      <c r="C1681" s="1" t="s">
        <v>461</v>
      </c>
      <c r="D1681" s="1">
        <v>3016</v>
      </c>
      <c r="E1681" s="1">
        <v>3016</v>
      </c>
      <c r="F1681" s="1">
        <v>3015</v>
      </c>
      <c r="G1681" s="1">
        <v>3016</v>
      </c>
      <c r="H1681" s="1">
        <v>8800</v>
      </c>
    </row>
    <row r="1682" spans="1:8">
      <c r="A1682" s="1"/>
      <c r="B1682" s="1" t="s">
        <v>586</v>
      </c>
      <c r="C1682" s="1" t="s">
        <v>462</v>
      </c>
      <c r="D1682" s="1">
        <v>3016</v>
      </c>
      <c r="E1682" s="1">
        <v>3017</v>
      </c>
      <c r="F1682" s="1">
        <v>3013</v>
      </c>
      <c r="G1682" s="1">
        <v>3015</v>
      </c>
      <c r="H1682" s="1">
        <v>29800</v>
      </c>
    </row>
    <row r="1683" spans="1:8">
      <c r="A1683" s="1"/>
      <c r="B1683" s="1" t="s">
        <v>586</v>
      </c>
      <c r="C1683" s="1" t="s">
        <v>464</v>
      </c>
      <c r="D1683" s="1">
        <v>3015</v>
      </c>
      <c r="E1683" s="1">
        <v>3019</v>
      </c>
      <c r="F1683" s="1">
        <v>3015</v>
      </c>
      <c r="G1683" s="1">
        <v>3018</v>
      </c>
      <c r="H1683" s="1">
        <v>18400</v>
      </c>
    </row>
    <row r="1684" spans="1:8">
      <c r="A1684" s="1"/>
      <c r="B1684" s="1" t="s">
        <v>586</v>
      </c>
      <c r="C1684" s="1" t="s">
        <v>465</v>
      </c>
      <c r="D1684" s="1">
        <v>3018</v>
      </c>
      <c r="E1684" s="1">
        <v>3022</v>
      </c>
      <c r="F1684" s="1">
        <v>3018</v>
      </c>
      <c r="G1684" s="1">
        <v>3022</v>
      </c>
      <c r="H1684" s="1">
        <v>33600</v>
      </c>
    </row>
    <row r="1685" spans="1:8">
      <c r="A1685" s="1"/>
      <c r="B1685" s="1" t="s">
        <v>586</v>
      </c>
      <c r="C1685" s="1" t="s">
        <v>466</v>
      </c>
      <c r="D1685" s="1">
        <v>3022</v>
      </c>
      <c r="E1685" s="1">
        <v>3022</v>
      </c>
      <c r="F1685" s="1">
        <v>3020</v>
      </c>
      <c r="G1685" s="1">
        <v>3022</v>
      </c>
      <c r="H1685" s="1">
        <v>18400</v>
      </c>
    </row>
    <row r="1686" spans="1:8">
      <c r="A1686" s="1"/>
      <c r="B1686" s="1" t="s">
        <v>586</v>
      </c>
      <c r="C1686" s="1" t="s">
        <v>467</v>
      </c>
      <c r="D1686" s="1">
        <v>3021</v>
      </c>
      <c r="E1686" s="1">
        <v>3022</v>
      </c>
      <c r="F1686" s="1">
        <v>3020</v>
      </c>
      <c r="G1686" s="1">
        <v>3022</v>
      </c>
      <c r="H1686" s="1">
        <v>36400</v>
      </c>
    </row>
    <row r="1687" spans="1:8">
      <c r="A1687" s="1"/>
      <c r="B1687" s="1" t="s">
        <v>586</v>
      </c>
      <c r="C1687" s="1" t="s">
        <v>468</v>
      </c>
      <c r="D1687" s="1">
        <v>3022</v>
      </c>
      <c r="E1687" s="1">
        <v>3023</v>
      </c>
      <c r="F1687" s="1">
        <v>3022</v>
      </c>
      <c r="G1687" s="1">
        <v>3022</v>
      </c>
      <c r="H1687" s="1">
        <v>27000</v>
      </c>
    </row>
    <row r="1688" spans="1:8">
      <c r="A1688" s="1"/>
      <c r="B1688" s="1" t="s">
        <v>586</v>
      </c>
      <c r="C1688" s="1" t="s">
        <v>469</v>
      </c>
      <c r="D1688" s="1">
        <v>3022</v>
      </c>
      <c r="E1688" s="1">
        <v>3026</v>
      </c>
      <c r="F1688" s="1">
        <v>3022</v>
      </c>
      <c r="G1688" s="1">
        <v>3025</v>
      </c>
      <c r="H1688" s="1">
        <v>64300</v>
      </c>
    </row>
    <row r="1689" spans="1:8">
      <c r="A1689" s="1"/>
      <c r="B1689" s="1" t="s">
        <v>586</v>
      </c>
      <c r="C1689" s="1" t="s">
        <v>470</v>
      </c>
      <c r="D1689" s="1">
        <v>3025</v>
      </c>
      <c r="E1689" s="1">
        <v>3028</v>
      </c>
      <c r="F1689" s="1">
        <v>3024</v>
      </c>
      <c r="G1689" s="1">
        <v>3028</v>
      </c>
      <c r="H1689" s="1">
        <v>25900</v>
      </c>
    </row>
    <row r="1690" spans="1:8">
      <c r="A1690" s="1"/>
      <c r="B1690" s="1" t="s">
        <v>586</v>
      </c>
      <c r="C1690" s="1" t="s">
        <v>471</v>
      </c>
      <c r="D1690" s="1">
        <v>3028</v>
      </c>
      <c r="E1690" s="1">
        <v>3028</v>
      </c>
      <c r="F1690" s="1">
        <v>3025</v>
      </c>
      <c r="G1690" s="1">
        <v>3028</v>
      </c>
      <c r="H1690" s="1">
        <v>25200</v>
      </c>
    </row>
    <row r="1691" spans="1:8">
      <c r="A1691" s="1"/>
      <c r="B1691" s="1" t="s">
        <v>586</v>
      </c>
      <c r="C1691" s="1" t="s">
        <v>472</v>
      </c>
      <c r="D1691" s="1">
        <v>3028</v>
      </c>
      <c r="E1691" s="1">
        <v>3028</v>
      </c>
      <c r="F1691" s="1">
        <v>3025</v>
      </c>
      <c r="G1691" s="1">
        <v>3027</v>
      </c>
      <c r="H1691" s="1">
        <v>47000</v>
      </c>
    </row>
    <row r="1692" spans="1:8">
      <c r="A1692" s="1"/>
      <c r="B1692" s="1" t="s">
        <v>586</v>
      </c>
      <c r="C1692" s="1" t="s">
        <v>473</v>
      </c>
      <c r="D1692" s="1">
        <v>3027</v>
      </c>
      <c r="E1692" s="1">
        <v>3028</v>
      </c>
      <c r="F1692" s="1">
        <v>3024</v>
      </c>
      <c r="G1692" s="1">
        <v>3026</v>
      </c>
      <c r="H1692" s="1">
        <v>21700</v>
      </c>
    </row>
    <row r="1693" spans="1:8">
      <c r="A1693" s="1"/>
      <c r="B1693" s="1" t="s">
        <v>586</v>
      </c>
      <c r="C1693" s="1" t="s">
        <v>474</v>
      </c>
      <c r="D1693" s="1">
        <v>3026</v>
      </c>
      <c r="E1693" s="1">
        <v>3027</v>
      </c>
      <c r="F1693" s="1">
        <v>3025</v>
      </c>
      <c r="G1693" s="1">
        <v>3027</v>
      </c>
      <c r="H1693" s="1">
        <v>13100</v>
      </c>
    </row>
    <row r="1694" spans="1:8">
      <c r="A1694" s="1"/>
      <c r="B1694" s="1" t="s">
        <v>586</v>
      </c>
      <c r="C1694" s="1" t="s">
        <v>475</v>
      </c>
      <c r="D1694" s="1">
        <v>3027</v>
      </c>
      <c r="E1694" s="1">
        <v>3028</v>
      </c>
      <c r="F1694" s="1">
        <v>3026</v>
      </c>
      <c r="G1694" s="1">
        <v>3027</v>
      </c>
      <c r="H1694" s="1">
        <v>16500</v>
      </c>
    </row>
    <row r="1695" spans="1:8">
      <c r="A1695" s="1"/>
      <c r="B1695" s="1" t="s">
        <v>586</v>
      </c>
      <c r="C1695" s="1" t="s">
        <v>476</v>
      </c>
      <c r="D1695" s="1">
        <v>3028</v>
      </c>
      <c r="E1695" s="1">
        <v>3029</v>
      </c>
      <c r="F1695" s="1">
        <v>3027</v>
      </c>
      <c r="G1695" s="1">
        <v>3027</v>
      </c>
      <c r="H1695" s="1">
        <v>24600</v>
      </c>
    </row>
    <row r="1696" spans="1:8">
      <c r="A1696" s="1"/>
      <c r="B1696" s="1" t="s">
        <v>586</v>
      </c>
      <c r="C1696" s="1" t="s">
        <v>477</v>
      </c>
      <c r="D1696" s="1">
        <v>3027</v>
      </c>
      <c r="E1696" s="1">
        <v>3030</v>
      </c>
      <c r="F1696" s="1">
        <v>3027</v>
      </c>
      <c r="G1696" s="1">
        <v>3029</v>
      </c>
      <c r="H1696" s="1">
        <v>28100</v>
      </c>
    </row>
    <row r="1697" spans="1:8">
      <c r="A1697" s="1"/>
      <c r="B1697" s="1" t="s">
        <v>586</v>
      </c>
      <c r="C1697" s="1" t="s">
        <v>478</v>
      </c>
      <c r="D1697" s="1">
        <v>3029</v>
      </c>
      <c r="E1697" s="1">
        <v>3030</v>
      </c>
      <c r="F1697" s="1">
        <v>3027</v>
      </c>
      <c r="G1697" s="1">
        <v>3028</v>
      </c>
      <c r="H1697" s="1">
        <v>26400</v>
      </c>
    </row>
    <row r="1698" spans="1:8">
      <c r="A1698" s="1"/>
      <c r="B1698" s="1" t="s">
        <v>586</v>
      </c>
      <c r="C1698" s="1" t="s">
        <v>479</v>
      </c>
      <c r="D1698" s="1">
        <v>3028</v>
      </c>
      <c r="E1698" s="1">
        <v>3034</v>
      </c>
      <c r="F1698" s="1">
        <v>3028</v>
      </c>
      <c r="G1698" s="1">
        <v>3034</v>
      </c>
      <c r="H1698" s="1">
        <v>147000</v>
      </c>
    </row>
    <row r="1699" spans="1:8">
      <c r="A1699" s="1"/>
      <c r="B1699" s="1" t="s">
        <v>586</v>
      </c>
      <c r="C1699" s="1" t="s">
        <v>480</v>
      </c>
      <c r="D1699" s="1">
        <v>3034</v>
      </c>
      <c r="E1699" s="1">
        <v>3036</v>
      </c>
      <c r="F1699" s="1">
        <v>3033</v>
      </c>
      <c r="G1699" s="1">
        <v>3034</v>
      </c>
      <c r="H1699" s="1">
        <v>37500</v>
      </c>
    </row>
    <row r="1700" spans="1:8">
      <c r="A1700" s="1"/>
      <c r="B1700" s="1" t="s">
        <v>586</v>
      </c>
      <c r="C1700" s="1" t="s">
        <v>481</v>
      </c>
      <c r="D1700" s="1">
        <v>3034</v>
      </c>
      <c r="E1700" s="1">
        <v>3035</v>
      </c>
      <c r="F1700" s="1">
        <v>3031</v>
      </c>
      <c r="G1700" s="1">
        <v>3031</v>
      </c>
      <c r="H1700" s="1">
        <v>40700</v>
      </c>
    </row>
    <row r="1701" spans="1:8">
      <c r="A1701" s="1"/>
      <c r="B1701" s="1" t="s">
        <v>586</v>
      </c>
      <c r="C1701" s="1" t="s">
        <v>482</v>
      </c>
      <c r="D1701" s="1">
        <v>3031</v>
      </c>
      <c r="E1701" s="1">
        <v>3031</v>
      </c>
      <c r="F1701" s="1">
        <v>3026</v>
      </c>
      <c r="G1701" s="1">
        <v>3028</v>
      </c>
      <c r="H1701" s="1">
        <v>34400</v>
      </c>
    </row>
    <row r="1702" spans="1:8">
      <c r="A1702" s="1"/>
      <c r="B1702" s="1" t="s">
        <v>586</v>
      </c>
      <c r="C1702" s="1" t="s">
        <v>483</v>
      </c>
      <c r="D1702" s="1">
        <v>3028</v>
      </c>
      <c r="E1702" s="1">
        <v>3029</v>
      </c>
      <c r="F1702" s="1">
        <v>3027</v>
      </c>
      <c r="G1702" s="1">
        <v>3028</v>
      </c>
      <c r="H1702" s="1">
        <v>17900</v>
      </c>
    </row>
    <row r="1703" spans="1:8">
      <c r="A1703" s="1"/>
      <c r="B1703" s="1" t="s">
        <v>586</v>
      </c>
      <c r="C1703" s="1" t="s">
        <v>484</v>
      </c>
      <c r="D1703" s="1">
        <v>3027</v>
      </c>
      <c r="E1703" s="1">
        <v>3029</v>
      </c>
      <c r="F1703" s="1">
        <v>3027</v>
      </c>
      <c r="G1703" s="1">
        <v>3028</v>
      </c>
      <c r="H1703" s="1">
        <v>8400</v>
      </c>
    </row>
    <row r="1704" spans="1:8">
      <c r="A1704" s="1"/>
      <c r="B1704" s="1" t="s">
        <v>586</v>
      </c>
      <c r="C1704" s="1" t="s">
        <v>485</v>
      </c>
      <c r="D1704" s="1">
        <v>3028</v>
      </c>
      <c r="E1704" s="1">
        <v>3029</v>
      </c>
      <c r="F1704" s="1">
        <v>3027</v>
      </c>
      <c r="G1704" s="1">
        <v>3027</v>
      </c>
      <c r="H1704" s="1">
        <v>12100</v>
      </c>
    </row>
    <row r="1705" spans="1:8">
      <c r="A1705" s="1"/>
      <c r="B1705" s="1" t="s">
        <v>586</v>
      </c>
      <c r="C1705" s="1" t="s">
        <v>486</v>
      </c>
      <c r="D1705" s="1">
        <v>3027</v>
      </c>
      <c r="E1705" s="1">
        <v>3027</v>
      </c>
      <c r="F1705" s="1">
        <v>3025</v>
      </c>
      <c r="G1705" s="1">
        <v>3026</v>
      </c>
      <c r="H1705" s="1">
        <v>22600</v>
      </c>
    </row>
    <row r="1706" spans="1:8">
      <c r="A1706" s="1"/>
      <c r="B1706" s="1" t="s">
        <v>586</v>
      </c>
      <c r="C1706" s="1" t="s">
        <v>487</v>
      </c>
      <c r="D1706" s="1">
        <v>3026</v>
      </c>
      <c r="E1706" s="1">
        <v>3028</v>
      </c>
      <c r="F1706" s="1">
        <v>3025</v>
      </c>
      <c r="G1706" s="1">
        <v>3027</v>
      </c>
      <c r="H1706" s="1">
        <v>66900</v>
      </c>
    </row>
    <row r="1707" spans="1:8">
      <c r="A1707" s="1"/>
      <c r="B1707" s="1" t="s">
        <v>586</v>
      </c>
      <c r="C1707" s="1" t="s">
        <v>488</v>
      </c>
      <c r="D1707" s="1">
        <v>3028</v>
      </c>
      <c r="E1707" s="1">
        <v>3028</v>
      </c>
      <c r="F1707" s="1">
        <v>3020</v>
      </c>
      <c r="G1707" s="1">
        <v>3020</v>
      </c>
      <c r="H1707" s="1">
        <v>33700</v>
      </c>
    </row>
    <row r="1708" spans="1:8">
      <c r="A1708" s="1"/>
      <c r="B1708" s="1" t="s">
        <v>586</v>
      </c>
      <c r="C1708" s="1" t="s">
        <v>489</v>
      </c>
      <c r="D1708" s="1">
        <v>3020</v>
      </c>
      <c r="E1708" s="1">
        <v>3020</v>
      </c>
      <c r="F1708" s="1">
        <v>3019</v>
      </c>
      <c r="G1708" s="1">
        <v>3020</v>
      </c>
      <c r="H1708" s="1">
        <v>15200</v>
      </c>
    </row>
    <row r="1709" spans="1:8">
      <c r="A1709" s="1"/>
      <c r="B1709" s="1" t="s">
        <v>586</v>
      </c>
      <c r="C1709" s="1" t="s">
        <v>490</v>
      </c>
      <c r="D1709" s="1">
        <v>3020</v>
      </c>
      <c r="E1709" s="1">
        <v>3021</v>
      </c>
      <c r="F1709" s="1">
        <v>3020</v>
      </c>
      <c r="G1709" s="1">
        <v>3020</v>
      </c>
      <c r="H1709" s="1">
        <v>14400</v>
      </c>
    </row>
    <row r="1710" spans="1:8">
      <c r="A1710" s="1"/>
      <c r="B1710" s="1" t="s">
        <v>586</v>
      </c>
      <c r="C1710" s="1" t="s">
        <v>491</v>
      </c>
      <c r="D1710" s="1">
        <v>3020</v>
      </c>
      <c r="E1710" s="1">
        <v>3020</v>
      </c>
      <c r="F1710" s="1">
        <v>3018</v>
      </c>
      <c r="G1710" s="1">
        <v>3019</v>
      </c>
      <c r="H1710" s="1">
        <v>18500</v>
      </c>
    </row>
    <row r="1711" spans="1:8">
      <c r="A1711" s="1"/>
      <c r="B1711" s="1" t="s">
        <v>586</v>
      </c>
      <c r="C1711" s="1" t="s">
        <v>492</v>
      </c>
      <c r="D1711" s="1">
        <v>3019</v>
      </c>
      <c r="E1711" s="1">
        <v>3022</v>
      </c>
      <c r="F1711" s="1">
        <v>3019</v>
      </c>
      <c r="G1711" s="1">
        <v>3022</v>
      </c>
      <c r="H1711" s="1">
        <v>16600</v>
      </c>
    </row>
    <row r="1712" spans="1:8">
      <c r="A1712" s="1"/>
      <c r="B1712" s="1" t="s">
        <v>586</v>
      </c>
      <c r="C1712" s="1" t="s">
        <v>493</v>
      </c>
      <c r="D1712" s="1">
        <v>3022</v>
      </c>
      <c r="E1712" s="1">
        <v>3022</v>
      </c>
      <c r="F1712" s="1">
        <v>3020</v>
      </c>
      <c r="G1712" s="1">
        <v>3021</v>
      </c>
      <c r="H1712" s="1">
        <v>12500</v>
      </c>
    </row>
    <row r="1713" spans="1:8">
      <c r="A1713" s="1"/>
      <c r="B1713" s="1" t="s">
        <v>586</v>
      </c>
      <c r="C1713" s="1" t="s">
        <v>494</v>
      </c>
      <c r="D1713" s="1">
        <v>3021</v>
      </c>
      <c r="E1713" s="1">
        <v>3025</v>
      </c>
      <c r="F1713" s="1">
        <v>3021</v>
      </c>
      <c r="G1713" s="1">
        <v>3023</v>
      </c>
      <c r="H1713" s="1">
        <v>12400</v>
      </c>
    </row>
    <row r="1714" spans="1:8">
      <c r="A1714" s="1"/>
      <c r="B1714" s="1" t="s">
        <v>586</v>
      </c>
      <c r="C1714" s="1" t="s">
        <v>495</v>
      </c>
      <c r="D1714" s="1">
        <v>3024</v>
      </c>
      <c r="E1714" s="1">
        <v>3025</v>
      </c>
      <c r="F1714" s="1">
        <v>3024</v>
      </c>
      <c r="G1714" s="1">
        <v>3024</v>
      </c>
      <c r="H1714" s="1">
        <v>12400</v>
      </c>
    </row>
    <row r="1715" spans="1:8">
      <c r="A1715" s="1"/>
      <c r="B1715" s="1" t="s">
        <v>586</v>
      </c>
      <c r="C1715" s="1" t="s">
        <v>496</v>
      </c>
      <c r="D1715" s="1">
        <v>3023</v>
      </c>
      <c r="E1715" s="1">
        <v>3026</v>
      </c>
      <c r="F1715" s="1">
        <v>3023</v>
      </c>
      <c r="G1715" s="1">
        <v>3023</v>
      </c>
      <c r="H1715" s="1">
        <v>15400</v>
      </c>
    </row>
    <row r="1716" spans="1:8">
      <c r="A1716" s="1"/>
      <c r="B1716" s="1" t="s">
        <v>586</v>
      </c>
      <c r="C1716" s="1" t="s">
        <v>497</v>
      </c>
      <c r="D1716" s="1">
        <v>3024</v>
      </c>
      <c r="E1716" s="1">
        <v>3025</v>
      </c>
      <c r="F1716" s="1">
        <v>3022</v>
      </c>
      <c r="G1716" s="1">
        <v>3022</v>
      </c>
      <c r="H1716" s="1">
        <v>20900</v>
      </c>
    </row>
    <row r="1717" spans="1:8">
      <c r="A1717" s="1"/>
      <c r="B1717" s="1" t="s">
        <v>586</v>
      </c>
      <c r="C1717" s="1" t="s">
        <v>498</v>
      </c>
      <c r="D1717" s="1">
        <v>3023</v>
      </c>
      <c r="E1717" s="1">
        <v>3025</v>
      </c>
      <c r="F1717" s="1">
        <v>3023</v>
      </c>
      <c r="G1717" s="1">
        <v>3023</v>
      </c>
      <c r="H1717" s="1">
        <v>8500</v>
      </c>
    </row>
    <row r="1718" spans="1:8">
      <c r="A1718" s="1"/>
      <c r="B1718" s="1" t="s">
        <v>586</v>
      </c>
      <c r="C1718" s="1" t="s">
        <v>499</v>
      </c>
      <c r="D1718" s="1">
        <v>3024</v>
      </c>
      <c r="E1718" s="1">
        <v>3026</v>
      </c>
      <c r="F1718" s="1">
        <v>3024</v>
      </c>
      <c r="G1718" s="1">
        <v>3025</v>
      </c>
      <c r="H1718" s="1">
        <v>12400</v>
      </c>
    </row>
    <row r="1719" spans="1:8">
      <c r="A1719" s="1"/>
      <c r="B1719" s="1" t="s">
        <v>586</v>
      </c>
      <c r="C1719" s="1" t="s">
        <v>500</v>
      </c>
      <c r="D1719" s="1">
        <v>3026</v>
      </c>
      <c r="E1719" s="1">
        <v>3027</v>
      </c>
      <c r="F1719" s="1">
        <v>3025</v>
      </c>
      <c r="G1719" s="1">
        <v>3026</v>
      </c>
      <c r="H1719" s="1">
        <v>8800</v>
      </c>
    </row>
    <row r="1720" spans="1:8">
      <c r="A1720" s="1"/>
      <c r="B1720" s="1" t="s">
        <v>586</v>
      </c>
      <c r="C1720" s="1" t="s">
        <v>501</v>
      </c>
      <c r="D1720" s="1">
        <v>3026</v>
      </c>
      <c r="E1720" s="1">
        <v>3029</v>
      </c>
      <c r="F1720" s="1">
        <v>3026</v>
      </c>
      <c r="G1720" s="1">
        <v>3029</v>
      </c>
      <c r="H1720" s="1">
        <v>17000</v>
      </c>
    </row>
    <row r="1721" spans="1:8">
      <c r="A1721" s="1"/>
      <c r="B1721" s="1" t="s">
        <v>586</v>
      </c>
      <c r="C1721" s="1" t="s">
        <v>502</v>
      </c>
      <c r="D1721" s="1">
        <v>3028</v>
      </c>
      <c r="E1721" s="1">
        <v>3028</v>
      </c>
      <c r="F1721" s="1">
        <v>3027</v>
      </c>
      <c r="G1721" s="1">
        <v>3028</v>
      </c>
      <c r="H1721" s="1">
        <v>13900</v>
      </c>
    </row>
    <row r="1722" spans="1:8">
      <c r="A1722" s="1"/>
      <c r="B1722" s="1" t="s">
        <v>586</v>
      </c>
      <c r="C1722" s="1" t="s">
        <v>503</v>
      </c>
      <c r="D1722" s="1">
        <v>3028</v>
      </c>
      <c r="E1722" s="1">
        <v>3028</v>
      </c>
      <c r="F1722" s="1">
        <v>3026</v>
      </c>
      <c r="G1722" s="1">
        <v>3028</v>
      </c>
      <c r="H1722" s="1">
        <v>7300</v>
      </c>
    </row>
    <row r="1723" spans="1:8">
      <c r="A1723" s="1"/>
      <c r="B1723" s="1" t="s">
        <v>586</v>
      </c>
      <c r="C1723" s="1" t="s">
        <v>504</v>
      </c>
      <c r="D1723" s="1">
        <v>3027</v>
      </c>
      <c r="E1723" s="1">
        <v>3028</v>
      </c>
      <c r="F1723" s="1">
        <v>3027</v>
      </c>
      <c r="G1723" s="1">
        <v>3028</v>
      </c>
      <c r="H1723" s="1">
        <v>6500</v>
      </c>
    </row>
    <row r="1724" spans="1:8">
      <c r="A1724" s="1"/>
      <c r="B1724" s="1" t="s">
        <v>586</v>
      </c>
      <c r="C1724" s="1" t="s">
        <v>505</v>
      </c>
      <c r="D1724" s="1">
        <v>3028</v>
      </c>
      <c r="E1724" s="1">
        <v>3030</v>
      </c>
      <c r="F1724" s="1">
        <v>3028</v>
      </c>
      <c r="G1724" s="1">
        <v>3030</v>
      </c>
      <c r="H1724" s="1">
        <v>67700</v>
      </c>
    </row>
    <row r="1725" spans="1:8">
      <c r="A1725" s="1"/>
      <c r="B1725" s="1" t="s">
        <v>586</v>
      </c>
      <c r="C1725" s="1" t="s">
        <v>506</v>
      </c>
      <c r="D1725" s="1">
        <v>3030</v>
      </c>
      <c r="E1725" s="1">
        <v>3030</v>
      </c>
      <c r="F1725" s="1">
        <v>3023</v>
      </c>
      <c r="G1725" s="1">
        <v>3023</v>
      </c>
      <c r="H1725" s="1">
        <v>31500</v>
      </c>
    </row>
    <row r="1726" spans="1:8">
      <c r="A1726" s="1"/>
      <c r="B1726" s="1" t="s">
        <v>586</v>
      </c>
      <c r="C1726" s="1" t="s">
        <v>507</v>
      </c>
      <c r="D1726" s="1">
        <v>3023</v>
      </c>
      <c r="E1726" s="1">
        <v>3026</v>
      </c>
      <c r="F1726" s="1">
        <v>3023</v>
      </c>
      <c r="G1726" s="1">
        <v>3026</v>
      </c>
      <c r="H1726" s="1">
        <v>45700</v>
      </c>
    </row>
    <row r="1727" spans="1:8">
      <c r="A1727" s="1"/>
      <c r="B1727" s="1" t="s">
        <v>586</v>
      </c>
      <c r="C1727" s="1" t="s">
        <v>508</v>
      </c>
      <c r="D1727" s="1">
        <v>3026</v>
      </c>
      <c r="E1727" s="1">
        <v>3028</v>
      </c>
      <c r="F1727" s="1">
        <v>3025</v>
      </c>
      <c r="G1727" s="1">
        <v>3025</v>
      </c>
      <c r="H1727" s="1">
        <v>14100</v>
      </c>
    </row>
    <row r="1728" spans="1:8">
      <c r="A1728" s="1"/>
      <c r="B1728" s="1" t="s">
        <v>586</v>
      </c>
      <c r="C1728" s="1" t="s">
        <v>509</v>
      </c>
      <c r="D1728" s="1">
        <v>3025</v>
      </c>
      <c r="E1728" s="1">
        <v>3028</v>
      </c>
      <c r="F1728" s="1">
        <v>3024</v>
      </c>
      <c r="G1728" s="1">
        <v>3026</v>
      </c>
      <c r="H1728" s="1">
        <v>21200</v>
      </c>
    </row>
    <row r="1729" spans="1:8">
      <c r="A1729" s="1"/>
      <c r="B1729" s="1" t="s">
        <v>586</v>
      </c>
      <c r="C1729" s="1" t="s">
        <v>510</v>
      </c>
      <c r="D1729" s="1">
        <v>3027</v>
      </c>
      <c r="E1729" s="1">
        <v>3028</v>
      </c>
      <c r="F1729" s="1">
        <v>3026</v>
      </c>
      <c r="G1729" s="1">
        <v>3028</v>
      </c>
      <c r="H1729" s="1">
        <v>6600</v>
      </c>
    </row>
    <row r="1730" spans="1:8">
      <c r="A1730" s="1"/>
      <c r="B1730" s="1" t="s">
        <v>586</v>
      </c>
      <c r="C1730" s="1" t="s">
        <v>511</v>
      </c>
      <c r="D1730" s="1">
        <v>3028</v>
      </c>
      <c r="E1730" s="1">
        <v>3028</v>
      </c>
      <c r="F1730" s="1">
        <v>3028</v>
      </c>
      <c r="G1730" s="1">
        <v>3028</v>
      </c>
      <c r="H1730" s="1">
        <v>8700</v>
      </c>
    </row>
    <row r="1731" spans="1:8">
      <c r="A1731" s="1"/>
      <c r="B1731" s="1" t="s">
        <v>586</v>
      </c>
      <c r="C1731" s="1" t="s">
        <v>512</v>
      </c>
      <c r="D1731" s="1">
        <v>3029</v>
      </c>
      <c r="E1731" s="1">
        <v>3029</v>
      </c>
      <c r="F1731" s="1">
        <v>3026</v>
      </c>
      <c r="G1731" s="1">
        <v>3027</v>
      </c>
      <c r="H1731" s="1">
        <v>11300</v>
      </c>
    </row>
    <row r="1732" spans="1:8">
      <c r="A1732" s="1"/>
      <c r="B1732" s="1" t="s">
        <v>586</v>
      </c>
      <c r="C1732" s="1" t="s">
        <v>513</v>
      </c>
      <c r="D1732" s="1">
        <v>3026</v>
      </c>
      <c r="E1732" s="1">
        <v>3027</v>
      </c>
      <c r="F1732" s="1">
        <v>3026</v>
      </c>
      <c r="G1732" s="1">
        <v>3027</v>
      </c>
      <c r="H1732" s="1">
        <v>8100</v>
      </c>
    </row>
    <row r="1733" spans="1:8">
      <c r="A1733" s="1"/>
      <c r="B1733" s="1" t="s">
        <v>586</v>
      </c>
      <c r="C1733" s="1" t="s">
        <v>514</v>
      </c>
      <c r="D1733" s="1">
        <v>3027</v>
      </c>
      <c r="E1733" s="1">
        <v>3028</v>
      </c>
      <c r="F1733" s="1">
        <v>3026</v>
      </c>
      <c r="G1733" s="1">
        <v>3028</v>
      </c>
      <c r="H1733" s="1">
        <v>5500</v>
      </c>
    </row>
    <row r="1734" spans="1:8">
      <c r="A1734" s="1"/>
      <c r="B1734" s="1" t="s">
        <v>586</v>
      </c>
      <c r="C1734" s="1" t="s">
        <v>515</v>
      </c>
      <c r="D1734" s="1">
        <v>3028</v>
      </c>
      <c r="E1734" s="1">
        <v>3028</v>
      </c>
      <c r="F1734" s="1">
        <v>3027</v>
      </c>
      <c r="G1734" s="1">
        <v>3028</v>
      </c>
      <c r="H1734" s="1">
        <v>12300</v>
      </c>
    </row>
    <row r="1735" spans="1:8">
      <c r="A1735" s="1"/>
      <c r="B1735" s="1" t="s">
        <v>586</v>
      </c>
      <c r="C1735" s="1" t="s">
        <v>516</v>
      </c>
      <c r="D1735" s="1">
        <v>3028</v>
      </c>
      <c r="E1735" s="1">
        <v>3029</v>
      </c>
      <c r="F1735" s="1">
        <v>3027</v>
      </c>
      <c r="G1735" s="1">
        <v>3028</v>
      </c>
      <c r="H1735" s="1">
        <v>11000</v>
      </c>
    </row>
    <row r="1736" spans="1:8">
      <c r="A1736" s="1"/>
      <c r="B1736" s="1" t="s">
        <v>586</v>
      </c>
      <c r="C1736" s="1" t="s">
        <v>517</v>
      </c>
      <c r="D1736" s="1">
        <v>3027</v>
      </c>
      <c r="E1736" s="1">
        <v>3030</v>
      </c>
      <c r="F1736" s="1">
        <v>3027</v>
      </c>
      <c r="G1736" s="1">
        <v>3028</v>
      </c>
      <c r="H1736" s="1">
        <v>42600</v>
      </c>
    </row>
    <row r="1737" spans="1:8">
      <c r="A1737" s="1"/>
      <c r="B1737" s="1" t="s">
        <v>586</v>
      </c>
      <c r="C1737" s="1" t="s">
        <v>518</v>
      </c>
      <c r="D1737" s="1">
        <v>3030</v>
      </c>
      <c r="E1737" s="1">
        <v>3030</v>
      </c>
      <c r="F1737" s="1">
        <v>3029</v>
      </c>
      <c r="G1737" s="1">
        <v>3029</v>
      </c>
      <c r="H1737" s="1">
        <v>14600</v>
      </c>
    </row>
    <row r="1738" spans="1:8">
      <c r="A1738" s="1"/>
      <c r="B1738" s="1" t="s">
        <v>586</v>
      </c>
      <c r="C1738" s="1" t="s">
        <v>519</v>
      </c>
      <c r="D1738" s="1">
        <v>3028</v>
      </c>
      <c r="E1738" s="1">
        <v>3028</v>
      </c>
      <c r="F1738" s="1">
        <v>3024</v>
      </c>
      <c r="G1738" s="1">
        <v>3024</v>
      </c>
      <c r="H1738" s="1">
        <v>58400</v>
      </c>
    </row>
    <row r="1739" spans="1:8">
      <c r="A1739" s="1"/>
      <c r="B1739" s="1" t="s">
        <v>586</v>
      </c>
      <c r="C1739" s="1" t="s">
        <v>520</v>
      </c>
      <c r="D1739" s="1">
        <v>3024</v>
      </c>
      <c r="E1739" s="1">
        <v>3026</v>
      </c>
      <c r="F1739" s="1">
        <v>3024</v>
      </c>
      <c r="G1739" s="1">
        <v>3025</v>
      </c>
      <c r="H1739" s="1">
        <v>12500</v>
      </c>
    </row>
    <row r="1740" spans="1:8">
      <c r="A1740" s="1"/>
      <c r="B1740" s="1" t="s">
        <v>586</v>
      </c>
      <c r="C1740" s="1" t="s">
        <v>521</v>
      </c>
      <c r="D1740" s="1">
        <v>3025</v>
      </c>
      <c r="E1740" s="1">
        <v>3026</v>
      </c>
      <c r="F1740" s="1">
        <v>3025</v>
      </c>
      <c r="G1740" s="1">
        <v>3026</v>
      </c>
      <c r="H1740" s="1">
        <v>17900</v>
      </c>
    </row>
    <row r="1741" spans="1:8">
      <c r="A1741" s="1"/>
      <c r="B1741" s="1" t="s">
        <v>586</v>
      </c>
      <c r="C1741" s="1" t="s">
        <v>522</v>
      </c>
      <c r="D1741" s="1">
        <v>3027</v>
      </c>
      <c r="E1741" s="1">
        <v>3027</v>
      </c>
      <c r="F1741" s="1">
        <v>3026</v>
      </c>
      <c r="G1741" s="1">
        <v>3027</v>
      </c>
      <c r="H1741" s="1">
        <v>10900</v>
      </c>
    </row>
    <row r="1742" spans="1:8">
      <c r="A1742" s="1"/>
      <c r="B1742" s="1" t="s">
        <v>586</v>
      </c>
      <c r="C1742" s="1" t="s">
        <v>523</v>
      </c>
      <c r="D1742" s="1">
        <v>3028</v>
      </c>
      <c r="E1742" s="1">
        <v>3029</v>
      </c>
      <c r="F1742" s="1">
        <v>3028</v>
      </c>
      <c r="G1742" s="1">
        <v>3028</v>
      </c>
      <c r="H1742" s="1">
        <v>32400</v>
      </c>
    </row>
    <row r="1743" spans="1:8">
      <c r="A1743" s="1"/>
      <c r="B1743" s="1" t="s">
        <v>586</v>
      </c>
      <c r="C1743" s="1" t="s">
        <v>524</v>
      </c>
      <c r="D1743" s="1">
        <v>3028</v>
      </c>
      <c r="E1743" s="1">
        <v>3030</v>
      </c>
      <c r="F1743" s="1">
        <v>3028</v>
      </c>
      <c r="G1743" s="1">
        <v>3030</v>
      </c>
      <c r="H1743" s="1">
        <v>9500</v>
      </c>
    </row>
    <row r="1744" spans="1:8">
      <c r="A1744" s="1"/>
      <c r="B1744" s="1" t="s">
        <v>586</v>
      </c>
      <c r="C1744" s="1" t="s">
        <v>525</v>
      </c>
      <c r="D1744" s="1">
        <v>3030</v>
      </c>
      <c r="E1744" s="1">
        <v>3031</v>
      </c>
      <c r="F1744" s="1">
        <v>3029</v>
      </c>
      <c r="G1744" s="1">
        <v>3031</v>
      </c>
      <c r="H1744" s="1">
        <v>17500</v>
      </c>
    </row>
    <row r="1745" spans="1:8">
      <c r="A1745" s="1"/>
      <c r="B1745" s="1" t="s">
        <v>586</v>
      </c>
      <c r="C1745" s="1" t="s">
        <v>526</v>
      </c>
      <c r="D1745" s="1">
        <v>3030</v>
      </c>
      <c r="E1745" s="1">
        <v>3031</v>
      </c>
      <c r="F1745" s="1">
        <v>3030</v>
      </c>
      <c r="G1745" s="1">
        <v>3031</v>
      </c>
      <c r="H1745" s="1">
        <v>13200</v>
      </c>
    </row>
    <row r="1746" spans="1:8">
      <c r="A1746" s="1"/>
      <c r="B1746" s="1" t="s">
        <v>586</v>
      </c>
      <c r="C1746" s="1" t="s">
        <v>527</v>
      </c>
      <c r="D1746" s="1">
        <v>3031</v>
      </c>
      <c r="E1746" s="1">
        <v>3033</v>
      </c>
      <c r="F1746" s="1">
        <v>3030</v>
      </c>
      <c r="G1746" s="1">
        <v>3033</v>
      </c>
      <c r="H1746" s="1">
        <v>12700</v>
      </c>
    </row>
    <row r="1747" spans="1:8">
      <c r="A1747" s="1"/>
      <c r="B1747" s="1" t="s">
        <v>586</v>
      </c>
      <c r="C1747" s="1" t="s">
        <v>528</v>
      </c>
      <c r="D1747" s="1">
        <v>3033</v>
      </c>
      <c r="E1747" s="1">
        <v>3033</v>
      </c>
      <c r="F1747" s="1">
        <v>3030</v>
      </c>
      <c r="G1747" s="1">
        <v>3030</v>
      </c>
      <c r="H1747" s="1">
        <v>22800</v>
      </c>
    </row>
    <row r="1748" spans="1:8">
      <c r="A1748" s="1"/>
      <c r="B1748" s="1" t="s">
        <v>586</v>
      </c>
      <c r="C1748" s="1" t="s">
        <v>529</v>
      </c>
      <c r="D1748" s="1">
        <v>3031</v>
      </c>
      <c r="E1748" s="1">
        <v>3033</v>
      </c>
      <c r="F1748" s="1">
        <v>3030</v>
      </c>
      <c r="G1748" s="1">
        <v>3033</v>
      </c>
      <c r="H1748" s="1">
        <v>23000</v>
      </c>
    </row>
    <row r="1749" spans="1:8">
      <c r="A1749" s="1"/>
      <c r="B1749" s="1" t="s">
        <v>586</v>
      </c>
      <c r="C1749" s="1" t="s">
        <v>530</v>
      </c>
      <c r="D1749" s="1">
        <v>3032</v>
      </c>
      <c r="E1749" s="1">
        <v>3033</v>
      </c>
      <c r="F1749" s="1">
        <v>3032</v>
      </c>
      <c r="G1749" s="1">
        <v>3032</v>
      </c>
      <c r="H1749" s="1">
        <v>12300</v>
      </c>
    </row>
    <row r="1750" spans="1:8">
      <c r="A1750" s="1"/>
      <c r="B1750" s="1" t="s">
        <v>586</v>
      </c>
      <c r="C1750" s="1" t="s">
        <v>531</v>
      </c>
      <c r="D1750" s="1">
        <v>3032</v>
      </c>
      <c r="E1750" s="1">
        <v>3032</v>
      </c>
      <c r="F1750" s="1">
        <v>3030</v>
      </c>
      <c r="G1750" s="1">
        <v>3030</v>
      </c>
      <c r="H1750" s="1">
        <v>38000</v>
      </c>
    </row>
    <row r="1751" spans="1:8">
      <c r="A1751" s="1"/>
      <c r="B1751" s="1" t="s">
        <v>586</v>
      </c>
      <c r="C1751" s="1" t="s">
        <v>532</v>
      </c>
      <c r="D1751" s="1">
        <v>3030</v>
      </c>
      <c r="E1751" s="1">
        <v>3030</v>
      </c>
      <c r="F1751" s="1">
        <v>3029</v>
      </c>
      <c r="G1751" s="1">
        <v>3029</v>
      </c>
      <c r="H1751" s="1">
        <v>20600</v>
      </c>
    </row>
    <row r="1752" spans="1:8">
      <c r="A1752" s="1"/>
      <c r="B1752" s="1" t="s">
        <v>586</v>
      </c>
      <c r="C1752" s="1" t="s">
        <v>533</v>
      </c>
      <c r="D1752" s="1">
        <v>3029</v>
      </c>
      <c r="E1752" s="1">
        <v>3029</v>
      </c>
      <c r="F1752" s="1">
        <v>3029</v>
      </c>
      <c r="G1752" s="1">
        <v>3029</v>
      </c>
      <c r="H1752" s="1">
        <v>2900</v>
      </c>
    </row>
    <row r="1753" spans="1:8">
      <c r="A1753" s="1"/>
      <c r="B1753" s="1" t="s">
        <v>586</v>
      </c>
      <c r="C1753" s="1" t="s">
        <v>534</v>
      </c>
      <c r="D1753" s="1">
        <v>3029</v>
      </c>
      <c r="E1753" s="1">
        <v>3030</v>
      </c>
      <c r="F1753" s="1">
        <v>3028</v>
      </c>
      <c r="G1753" s="1">
        <v>3028</v>
      </c>
      <c r="H1753" s="1">
        <v>23600</v>
      </c>
    </row>
    <row r="1754" spans="1:8">
      <c r="A1754" s="1"/>
      <c r="B1754" s="1" t="s">
        <v>586</v>
      </c>
      <c r="C1754" s="1" t="s">
        <v>535</v>
      </c>
      <c r="D1754" s="1">
        <v>3028</v>
      </c>
      <c r="E1754" s="1">
        <v>3029</v>
      </c>
      <c r="F1754" s="1">
        <v>3028</v>
      </c>
      <c r="G1754" s="1">
        <v>3028</v>
      </c>
      <c r="H1754" s="1">
        <v>4800</v>
      </c>
    </row>
    <row r="1755" spans="1:8">
      <c r="A1755" s="1"/>
      <c r="B1755" s="1" t="s">
        <v>586</v>
      </c>
      <c r="C1755" s="1" t="s">
        <v>536</v>
      </c>
      <c r="D1755" s="1">
        <v>3028</v>
      </c>
      <c r="E1755" s="1">
        <v>3030</v>
      </c>
      <c r="F1755" s="1">
        <v>3028</v>
      </c>
      <c r="G1755" s="1">
        <v>3029</v>
      </c>
      <c r="H1755" s="1">
        <v>21200</v>
      </c>
    </row>
    <row r="1756" spans="1:8">
      <c r="A1756" s="1"/>
      <c r="B1756" s="1" t="s">
        <v>586</v>
      </c>
      <c r="C1756" s="1" t="s">
        <v>537</v>
      </c>
      <c r="D1756" s="1">
        <v>3028</v>
      </c>
      <c r="E1756" s="1">
        <v>3030</v>
      </c>
      <c r="F1756" s="1">
        <v>3028</v>
      </c>
      <c r="G1756" s="1">
        <v>3030</v>
      </c>
      <c r="H1756" s="1">
        <v>9800</v>
      </c>
    </row>
    <row r="1757" spans="1:8">
      <c r="A1757" s="1"/>
      <c r="B1757" s="1" t="s">
        <v>586</v>
      </c>
      <c r="C1757" s="1" t="s">
        <v>538</v>
      </c>
      <c r="D1757" s="1">
        <v>3029</v>
      </c>
      <c r="E1757" s="1">
        <v>3029</v>
      </c>
      <c r="F1757" s="1">
        <v>3026</v>
      </c>
      <c r="G1757" s="1">
        <v>3028</v>
      </c>
      <c r="H1757" s="1">
        <v>28900</v>
      </c>
    </row>
    <row r="1758" spans="1:8">
      <c r="A1758" s="1"/>
      <c r="B1758" s="1" t="s">
        <v>586</v>
      </c>
      <c r="C1758" s="1" t="s">
        <v>539</v>
      </c>
      <c r="D1758" s="1">
        <v>3028</v>
      </c>
      <c r="E1758" s="1">
        <v>3029</v>
      </c>
      <c r="F1758" s="1">
        <v>3027</v>
      </c>
      <c r="G1758" s="1">
        <v>3029</v>
      </c>
      <c r="H1758" s="1">
        <v>2800</v>
      </c>
    </row>
    <row r="1759" spans="1:8">
      <c r="A1759" s="1"/>
      <c r="B1759" s="1" t="s">
        <v>586</v>
      </c>
      <c r="C1759" s="1" t="s">
        <v>540</v>
      </c>
      <c r="D1759" s="1">
        <v>3028</v>
      </c>
      <c r="E1759" s="1">
        <v>3029</v>
      </c>
      <c r="F1759" s="1">
        <v>3028</v>
      </c>
      <c r="G1759" s="1">
        <v>3028</v>
      </c>
      <c r="H1759" s="1">
        <v>8200</v>
      </c>
    </row>
    <row r="1760" spans="1:8">
      <c r="A1760" s="1"/>
      <c r="B1760" s="1" t="s">
        <v>586</v>
      </c>
      <c r="C1760" s="1" t="s">
        <v>541</v>
      </c>
      <c r="D1760" s="1">
        <v>3028</v>
      </c>
      <c r="E1760" s="1">
        <v>3029</v>
      </c>
      <c r="F1760" s="1">
        <v>3025</v>
      </c>
      <c r="G1760" s="1">
        <v>3026</v>
      </c>
      <c r="H1760" s="1">
        <v>34600</v>
      </c>
    </row>
    <row r="1761" spans="1:8">
      <c r="A1761" s="1"/>
      <c r="B1761" s="1" t="s">
        <v>586</v>
      </c>
      <c r="C1761" s="1" t="s">
        <v>542</v>
      </c>
      <c r="D1761" s="1">
        <v>3027</v>
      </c>
      <c r="E1761" s="1">
        <v>3028</v>
      </c>
      <c r="F1761" s="1">
        <v>3027</v>
      </c>
      <c r="G1761" s="1">
        <v>3027</v>
      </c>
      <c r="H1761" s="1">
        <v>3400</v>
      </c>
    </row>
    <row r="1762" spans="1:8">
      <c r="A1762" s="1"/>
      <c r="B1762" s="1" t="s">
        <v>586</v>
      </c>
      <c r="C1762" s="1" t="s">
        <v>543</v>
      </c>
      <c r="D1762" s="1">
        <v>3027</v>
      </c>
      <c r="E1762" s="1">
        <v>3027</v>
      </c>
      <c r="F1762" s="1">
        <v>3026</v>
      </c>
      <c r="G1762" s="1">
        <v>3026</v>
      </c>
      <c r="H1762" s="1">
        <v>7100</v>
      </c>
    </row>
    <row r="1763" spans="1:8">
      <c r="A1763" s="1"/>
      <c r="B1763" s="1" t="s">
        <v>586</v>
      </c>
      <c r="C1763" s="1" t="s">
        <v>544</v>
      </c>
      <c r="D1763" s="1">
        <v>3026</v>
      </c>
      <c r="E1763" s="1">
        <v>3027</v>
      </c>
      <c r="F1763" s="1">
        <v>3025</v>
      </c>
      <c r="G1763" s="1">
        <v>3025</v>
      </c>
      <c r="H1763" s="1">
        <v>7500</v>
      </c>
    </row>
    <row r="1764" spans="1:8">
      <c r="A1764" s="1"/>
      <c r="B1764" s="1" t="s">
        <v>586</v>
      </c>
      <c r="C1764" s="1" t="s">
        <v>545</v>
      </c>
      <c r="D1764" s="1">
        <v>3025</v>
      </c>
      <c r="E1764" s="1">
        <v>3025</v>
      </c>
      <c r="F1764" s="1">
        <v>3023</v>
      </c>
      <c r="G1764" s="1">
        <v>3024</v>
      </c>
      <c r="H1764" s="1">
        <v>27400</v>
      </c>
    </row>
    <row r="1765" spans="1:8">
      <c r="A1765" s="1"/>
      <c r="B1765" s="1" t="s">
        <v>586</v>
      </c>
      <c r="C1765" s="1" t="s">
        <v>546</v>
      </c>
      <c r="D1765" s="1">
        <v>3024</v>
      </c>
      <c r="E1765" s="1">
        <v>3025</v>
      </c>
      <c r="F1765" s="1">
        <v>3023</v>
      </c>
      <c r="G1765" s="1">
        <v>3024</v>
      </c>
      <c r="H1765" s="1">
        <v>21200</v>
      </c>
    </row>
    <row r="1766" spans="1:8">
      <c r="A1766" s="1"/>
      <c r="B1766" s="1" t="s">
        <v>586</v>
      </c>
      <c r="C1766" s="1" t="s">
        <v>547</v>
      </c>
      <c r="D1766" s="1">
        <v>3024</v>
      </c>
      <c r="E1766" s="1">
        <v>3024</v>
      </c>
      <c r="F1766" s="1">
        <v>3023</v>
      </c>
      <c r="G1766" s="1">
        <v>3023</v>
      </c>
      <c r="H1766" s="1">
        <v>7800</v>
      </c>
    </row>
    <row r="1767" spans="1:8">
      <c r="A1767" s="1"/>
      <c r="B1767" s="1" t="s">
        <v>586</v>
      </c>
      <c r="C1767" s="1" t="s">
        <v>548</v>
      </c>
      <c r="D1767" s="1">
        <v>3023</v>
      </c>
      <c r="E1767" s="1">
        <v>3024</v>
      </c>
      <c r="F1767" s="1">
        <v>3022</v>
      </c>
      <c r="G1767" s="1">
        <v>3023</v>
      </c>
      <c r="H1767" s="1">
        <v>23300</v>
      </c>
    </row>
    <row r="1768" spans="1:8">
      <c r="A1768" s="1"/>
      <c r="B1768" s="1" t="s">
        <v>586</v>
      </c>
      <c r="C1768" s="1" t="s">
        <v>549</v>
      </c>
      <c r="D1768" s="1">
        <v>3022</v>
      </c>
      <c r="E1768" s="1">
        <v>3024</v>
      </c>
      <c r="F1768" s="1">
        <v>3022</v>
      </c>
      <c r="G1768" s="1">
        <v>3023</v>
      </c>
      <c r="H1768" s="1">
        <v>15300</v>
      </c>
    </row>
    <row r="1769" spans="1:8">
      <c r="A1769" s="1"/>
      <c r="B1769" s="1" t="s">
        <v>586</v>
      </c>
      <c r="C1769" s="1" t="s">
        <v>550</v>
      </c>
      <c r="D1769" s="1">
        <v>3024</v>
      </c>
      <c r="E1769" s="1">
        <v>3024</v>
      </c>
      <c r="F1769" s="1">
        <v>3022</v>
      </c>
      <c r="G1769" s="1">
        <v>3024</v>
      </c>
      <c r="H1769" s="1">
        <v>13600</v>
      </c>
    </row>
    <row r="1770" spans="1:8">
      <c r="A1770" s="1"/>
      <c r="B1770" s="1" t="s">
        <v>586</v>
      </c>
      <c r="C1770" s="1" t="s">
        <v>551</v>
      </c>
      <c r="D1770" s="1">
        <v>3024</v>
      </c>
      <c r="E1770" s="1">
        <v>3026</v>
      </c>
      <c r="F1770" s="1">
        <v>3024</v>
      </c>
      <c r="G1770" s="1">
        <v>3025</v>
      </c>
      <c r="H1770" s="1">
        <v>8700</v>
      </c>
    </row>
    <row r="1771" spans="1:8">
      <c r="A1771" s="1"/>
      <c r="B1771" s="1" t="s">
        <v>586</v>
      </c>
      <c r="C1771" s="1" t="s">
        <v>552</v>
      </c>
      <c r="D1771" s="1">
        <v>3025</v>
      </c>
      <c r="E1771" s="1">
        <v>3026</v>
      </c>
      <c r="F1771" s="1">
        <v>3025</v>
      </c>
      <c r="G1771" s="1">
        <v>3026</v>
      </c>
      <c r="H1771" s="1">
        <v>14400</v>
      </c>
    </row>
    <row r="1772" spans="1:8">
      <c r="A1772" s="1"/>
      <c r="B1772" s="1" t="s">
        <v>586</v>
      </c>
      <c r="C1772" s="1" t="s">
        <v>553</v>
      </c>
      <c r="D1772" s="1">
        <v>3026</v>
      </c>
      <c r="E1772" s="1">
        <v>3028</v>
      </c>
      <c r="F1772" s="1">
        <v>3026</v>
      </c>
      <c r="G1772" s="1">
        <v>3027</v>
      </c>
      <c r="H1772" s="1">
        <v>14500</v>
      </c>
    </row>
    <row r="1773" spans="1:8">
      <c r="A1773" s="1"/>
      <c r="B1773" s="1" t="s">
        <v>586</v>
      </c>
      <c r="C1773" s="1" t="s">
        <v>554</v>
      </c>
      <c r="D1773" s="1">
        <v>3027</v>
      </c>
      <c r="E1773" s="1">
        <v>3027</v>
      </c>
      <c r="F1773" s="1">
        <v>3024</v>
      </c>
      <c r="G1773" s="1">
        <v>3025</v>
      </c>
      <c r="H1773" s="1">
        <v>30400</v>
      </c>
    </row>
    <row r="1774" spans="1:8">
      <c r="A1774" s="1"/>
      <c r="B1774" s="1" t="s">
        <v>586</v>
      </c>
      <c r="C1774" s="1" t="s">
        <v>555</v>
      </c>
      <c r="D1774" s="1">
        <v>3026</v>
      </c>
      <c r="E1774" s="1">
        <v>3028</v>
      </c>
      <c r="F1774" s="1">
        <v>3025</v>
      </c>
      <c r="G1774" s="1">
        <v>3026</v>
      </c>
      <c r="H1774" s="1">
        <v>9300</v>
      </c>
    </row>
    <row r="1775" spans="1:8">
      <c r="A1775" s="1"/>
      <c r="B1775" s="1" t="s">
        <v>586</v>
      </c>
      <c r="C1775" s="1" t="s">
        <v>556</v>
      </c>
      <c r="D1775" s="1">
        <v>3027</v>
      </c>
      <c r="E1775" s="1">
        <v>3030</v>
      </c>
      <c r="F1775" s="1">
        <v>3023</v>
      </c>
      <c r="G1775" s="1">
        <v>3024</v>
      </c>
      <c r="H1775" s="1">
        <v>51000</v>
      </c>
    </row>
    <row r="1776" spans="1:8">
      <c r="A1776" s="1"/>
      <c r="B1776" s="1" t="s">
        <v>586</v>
      </c>
      <c r="C1776" s="1" t="s">
        <v>557</v>
      </c>
      <c r="D1776" s="1">
        <v>3025</v>
      </c>
      <c r="E1776" s="1">
        <v>3025</v>
      </c>
      <c r="F1776" s="1">
        <v>3022</v>
      </c>
      <c r="G1776" s="1">
        <v>3022</v>
      </c>
      <c r="H1776" s="1">
        <v>12300</v>
      </c>
    </row>
    <row r="1777" spans="1:8">
      <c r="A1777" s="1"/>
      <c r="B1777" s="1" t="s">
        <v>586</v>
      </c>
      <c r="C1777" s="1" t="s">
        <v>558</v>
      </c>
      <c r="D1777" s="1">
        <v>3023</v>
      </c>
      <c r="E1777" s="1">
        <v>3023</v>
      </c>
      <c r="F1777" s="1">
        <v>3021</v>
      </c>
      <c r="G1777" s="1">
        <v>3023</v>
      </c>
      <c r="H1777" s="1">
        <v>9300</v>
      </c>
    </row>
    <row r="1778" spans="1:8">
      <c r="A1778" s="1"/>
      <c r="B1778" s="1" t="s">
        <v>586</v>
      </c>
      <c r="C1778" s="1" t="s">
        <v>559</v>
      </c>
      <c r="D1778" s="1">
        <v>3024</v>
      </c>
      <c r="E1778" s="1">
        <v>3024</v>
      </c>
      <c r="F1778" s="1">
        <v>3022</v>
      </c>
      <c r="G1778" s="1">
        <v>3022</v>
      </c>
      <c r="H1778" s="1">
        <v>9100</v>
      </c>
    </row>
    <row r="1779" spans="1:8">
      <c r="A1779" s="1"/>
      <c r="B1779" s="1" t="s">
        <v>586</v>
      </c>
      <c r="C1779" s="1" t="s">
        <v>560</v>
      </c>
      <c r="D1779" s="1">
        <v>3023</v>
      </c>
      <c r="E1779" s="1">
        <v>3025</v>
      </c>
      <c r="F1779" s="1">
        <v>3022</v>
      </c>
      <c r="G1779" s="1">
        <v>3022</v>
      </c>
      <c r="H1779" s="1">
        <v>19600</v>
      </c>
    </row>
    <row r="1780" spans="1:8">
      <c r="A1780" s="1"/>
      <c r="B1780" s="1" t="s">
        <v>586</v>
      </c>
      <c r="C1780" s="1" t="s">
        <v>561</v>
      </c>
      <c r="D1780" s="1">
        <v>3021</v>
      </c>
      <c r="E1780" s="1">
        <v>3023</v>
      </c>
      <c r="F1780" s="1">
        <v>3015</v>
      </c>
      <c r="G1780" s="1">
        <v>3019</v>
      </c>
      <c r="H1780" s="1">
        <v>72300</v>
      </c>
    </row>
    <row r="1781" spans="1:8">
      <c r="A1781" s="1"/>
      <c r="B1781" s="1" t="s">
        <v>586</v>
      </c>
      <c r="C1781" s="1" t="s">
        <v>562</v>
      </c>
      <c r="D1781" s="1">
        <v>3019</v>
      </c>
      <c r="E1781" s="1">
        <v>3020</v>
      </c>
      <c r="F1781" s="1">
        <v>3018</v>
      </c>
      <c r="G1781" s="1">
        <v>3020</v>
      </c>
      <c r="H1781" s="1">
        <v>20300</v>
      </c>
    </row>
    <row r="1782" spans="1:8">
      <c r="A1782" s="1"/>
      <c r="B1782" s="1" t="s">
        <v>586</v>
      </c>
      <c r="C1782" s="1" t="s">
        <v>563</v>
      </c>
      <c r="D1782" s="1">
        <v>3020</v>
      </c>
      <c r="E1782" s="1">
        <v>3020</v>
      </c>
      <c r="F1782" s="1">
        <v>3016</v>
      </c>
      <c r="G1782" s="1">
        <v>3017</v>
      </c>
      <c r="H1782" s="1">
        <v>39600</v>
      </c>
    </row>
    <row r="1783" spans="1:8">
      <c r="A1783" s="1"/>
      <c r="B1783" s="1" t="s">
        <v>586</v>
      </c>
      <c r="C1783" s="1" t="s">
        <v>564</v>
      </c>
      <c r="D1783" s="1">
        <v>3018</v>
      </c>
      <c r="E1783" s="1">
        <v>3019</v>
      </c>
      <c r="F1783" s="1">
        <v>3017</v>
      </c>
      <c r="G1783" s="1">
        <v>3018</v>
      </c>
      <c r="H1783" s="1">
        <v>3800</v>
      </c>
    </row>
    <row r="1784" spans="1:8">
      <c r="A1784" s="1"/>
      <c r="B1784" s="1" t="s">
        <v>586</v>
      </c>
      <c r="C1784" s="1" t="s">
        <v>565</v>
      </c>
      <c r="D1784" s="1">
        <v>3019</v>
      </c>
      <c r="E1784" s="1">
        <v>3020</v>
      </c>
      <c r="F1784" s="1">
        <v>3018</v>
      </c>
      <c r="G1784" s="1">
        <v>3018</v>
      </c>
      <c r="H1784" s="1">
        <v>14100</v>
      </c>
    </row>
    <row r="1785" spans="1:8">
      <c r="A1785" s="1"/>
      <c r="B1785" s="1" t="s">
        <v>586</v>
      </c>
      <c r="C1785" s="1" t="s">
        <v>566</v>
      </c>
      <c r="D1785" s="1">
        <v>3018</v>
      </c>
      <c r="E1785" s="1">
        <v>3019</v>
      </c>
      <c r="F1785" s="1">
        <v>3017</v>
      </c>
      <c r="G1785" s="1">
        <v>3019</v>
      </c>
      <c r="H1785" s="1">
        <v>33400</v>
      </c>
    </row>
    <row r="1786" spans="1:8">
      <c r="A1786" s="1"/>
      <c r="B1786" s="1" t="s">
        <v>586</v>
      </c>
      <c r="C1786" s="1" t="s">
        <v>567</v>
      </c>
      <c r="D1786" s="1">
        <v>3019</v>
      </c>
      <c r="E1786" s="1">
        <v>3020</v>
      </c>
      <c r="F1786" s="1">
        <v>3019</v>
      </c>
      <c r="G1786" s="1">
        <v>3020</v>
      </c>
      <c r="H1786" s="1">
        <v>17100</v>
      </c>
    </row>
    <row r="1787" spans="1:8">
      <c r="A1787" s="1"/>
      <c r="B1787" s="1" t="s">
        <v>586</v>
      </c>
      <c r="C1787" s="1" t="s">
        <v>568</v>
      </c>
      <c r="D1787" s="1">
        <v>3021</v>
      </c>
      <c r="E1787" s="1">
        <v>3021</v>
      </c>
      <c r="F1787" s="1">
        <v>3020</v>
      </c>
      <c r="G1787" s="1">
        <v>3021</v>
      </c>
      <c r="H1787" s="1">
        <v>4300</v>
      </c>
    </row>
    <row r="1788" spans="1:8">
      <c r="A1788" s="1"/>
      <c r="B1788" s="1" t="s">
        <v>586</v>
      </c>
      <c r="C1788" s="1" t="s">
        <v>569</v>
      </c>
      <c r="D1788" s="1">
        <v>3021</v>
      </c>
      <c r="E1788" s="1">
        <v>3022</v>
      </c>
      <c r="F1788" s="1">
        <v>3021</v>
      </c>
      <c r="G1788" s="1">
        <v>3022</v>
      </c>
      <c r="H1788" s="1">
        <v>14200</v>
      </c>
    </row>
    <row r="1789" spans="1:8">
      <c r="A1789" s="1"/>
      <c r="B1789" s="1" t="s">
        <v>586</v>
      </c>
      <c r="C1789" s="1" t="s">
        <v>570</v>
      </c>
      <c r="D1789" s="1">
        <v>3021</v>
      </c>
      <c r="E1789" s="1">
        <v>3021</v>
      </c>
      <c r="F1789" s="1">
        <v>3020</v>
      </c>
      <c r="G1789" s="1">
        <v>3020</v>
      </c>
      <c r="H1789" s="1">
        <v>2900</v>
      </c>
    </row>
    <row r="1790" spans="1:8">
      <c r="A1790" s="1"/>
      <c r="B1790" s="1" t="s">
        <v>586</v>
      </c>
      <c r="C1790" s="1" t="s">
        <v>571</v>
      </c>
      <c r="D1790" s="1">
        <v>3021</v>
      </c>
      <c r="E1790" s="1">
        <v>3021</v>
      </c>
      <c r="F1790" s="1">
        <v>3020</v>
      </c>
      <c r="G1790" s="1">
        <v>3020</v>
      </c>
      <c r="H1790" s="1">
        <v>26000</v>
      </c>
    </row>
    <row r="1791" spans="1:8">
      <c r="A1791" s="1"/>
      <c r="B1791" s="1" t="s">
        <v>586</v>
      </c>
      <c r="C1791" s="1" t="s">
        <v>572</v>
      </c>
      <c r="D1791" s="1">
        <v>3020</v>
      </c>
      <c r="E1791" s="1">
        <v>3022</v>
      </c>
      <c r="F1791" s="1">
        <v>3020</v>
      </c>
      <c r="G1791" s="1">
        <v>3021</v>
      </c>
      <c r="H1791" s="1">
        <v>21700</v>
      </c>
    </row>
    <row r="1792" spans="1:8">
      <c r="A1792" s="1"/>
      <c r="B1792" s="1" t="s">
        <v>586</v>
      </c>
      <c r="C1792" s="1" t="s">
        <v>573</v>
      </c>
      <c r="D1792" s="1">
        <v>3021</v>
      </c>
      <c r="E1792" s="1">
        <v>3021</v>
      </c>
      <c r="F1792" s="1">
        <v>3020</v>
      </c>
      <c r="G1792" s="1">
        <v>3020</v>
      </c>
      <c r="H1792" s="1">
        <v>17100</v>
      </c>
    </row>
    <row r="1793" spans="1:8">
      <c r="A1793" s="1"/>
      <c r="B1793" s="1" t="s">
        <v>586</v>
      </c>
      <c r="C1793" s="1" t="s">
        <v>574</v>
      </c>
      <c r="D1793" s="1">
        <v>3020</v>
      </c>
      <c r="E1793" s="1">
        <v>3022</v>
      </c>
      <c r="F1793" s="1">
        <v>3020</v>
      </c>
      <c r="G1793" s="1">
        <v>3021</v>
      </c>
      <c r="H1793" s="1">
        <v>13800</v>
      </c>
    </row>
    <row r="1794" spans="1:8">
      <c r="A1794" s="1"/>
      <c r="B1794" s="1" t="s">
        <v>586</v>
      </c>
      <c r="C1794" s="1" t="s">
        <v>575</v>
      </c>
      <c r="D1794" s="1">
        <v>3021</v>
      </c>
      <c r="E1794" s="1">
        <v>3021</v>
      </c>
      <c r="F1794" s="1">
        <v>3016</v>
      </c>
      <c r="G1794" s="1">
        <v>3020</v>
      </c>
      <c r="H1794" s="1">
        <v>67800</v>
      </c>
    </row>
    <row r="1795" spans="1:8">
      <c r="A1795" s="1"/>
      <c r="B1795" s="1" t="s">
        <v>586</v>
      </c>
      <c r="C1795" s="1" t="s">
        <v>576</v>
      </c>
      <c r="D1795" s="1">
        <v>3020</v>
      </c>
      <c r="E1795" s="1">
        <v>3020</v>
      </c>
      <c r="F1795" s="1">
        <v>3014</v>
      </c>
      <c r="G1795" s="1">
        <v>3018</v>
      </c>
      <c r="H1795" s="1">
        <v>85300</v>
      </c>
    </row>
    <row r="1796" spans="1:8">
      <c r="A1796" s="1"/>
      <c r="B1796" s="1" t="s">
        <v>586</v>
      </c>
      <c r="C1796" s="1" t="s">
        <v>577</v>
      </c>
      <c r="D1796" s="1">
        <v>3019</v>
      </c>
      <c r="E1796" s="1">
        <v>3020</v>
      </c>
      <c r="F1796" s="1">
        <v>3018</v>
      </c>
      <c r="G1796" s="1">
        <v>3019</v>
      </c>
      <c r="H1796" s="1">
        <v>17400</v>
      </c>
    </row>
    <row r="1797" spans="1:8">
      <c r="A1797" s="1"/>
      <c r="B1797" s="1" t="s">
        <v>586</v>
      </c>
      <c r="C1797" s="1" t="s">
        <v>578</v>
      </c>
      <c r="D1797" s="1">
        <v>3018</v>
      </c>
      <c r="E1797" s="1">
        <v>3018</v>
      </c>
      <c r="F1797" s="1">
        <v>3017</v>
      </c>
      <c r="G1797" s="1">
        <v>3017</v>
      </c>
      <c r="H1797" s="1">
        <v>12900</v>
      </c>
    </row>
    <row r="1798" spans="1:8">
      <c r="A1798" s="1"/>
      <c r="B1798" s="1" t="s">
        <v>586</v>
      </c>
      <c r="C1798" s="1" t="s">
        <v>579</v>
      </c>
      <c r="D1798" s="1">
        <v>3017</v>
      </c>
      <c r="E1798" s="1">
        <v>3018</v>
      </c>
      <c r="F1798" s="1">
        <v>3016</v>
      </c>
      <c r="G1798" s="1">
        <v>3017</v>
      </c>
      <c r="H1798" s="1">
        <v>21900</v>
      </c>
    </row>
    <row r="1799" spans="1:8">
      <c r="A1799" s="1"/>
      <c r="B1799" s="1" t="s">
        <v>586</v>
      </c>
      <c r="C1799" s="1" t="s">
        <v>580</v>
      </c>
      <c r="D1799" s="1">
        <v>3018</v>
      </c>
      <c r="E1799" s="1">
        <v>3019</v>
      </c>
      <c r="F1799" s="1">
        <v>3012</v>
      </c>
      <c r="G1799" s="1">
        <v>3016</v>
      </c>
      <c r="H1799" s="1">
        <v>82400</v>
      </c>
    </row>
    <row r="1800" spans="1:8">
      <c r="A1800" s="1"/>
      <c r="B1800" s="1" t="s">
        <v>586</v>
      </c>
      <c r="C1800" s="1" t="s">
        <v>581</v>
      </c>
      <c r="D1800" s="1">
        <v>3016</v>
      </c>
      <c r="E1800" s="1">
        <v>3017</v>
      </c>
      <c r="F1800" s="1">
        <v>3014</v>
      </c>
      <c r="G1800" s="1">
        <v>3015</v>
      </c>
      <c r="H1800" s="1">
        <v>21500</v>
      </c>
    </row>
    <row r="1801" spans="1:8">
      <c r="A1801" s="1"/>
      <c r="B1801" s="1" t="s">
        <v>586</v>
      </c>
      <c r="C1801" s="1" t="s">
        <v>582</v>
      </c>
      <c r="D1801" s="1">
        <v>3014</v>
      </c>
      <c r="E1801" s="1">
        <v>3015</v>
      </c>
      <c r="F1801" s="1">
        <v>3014</v>
      </c>
      <c r="G1801" s="1">
        <v>3015</v>
      </c>
      <c r="H1801" s="1">
        <v>15300</v>
      </c>
    </row>
    <row r="1802" spans="1:8">
      <c r="A1802" s="1"/>
      <c r="B1802" s="1" t="s">
        <v>586</v>
      </c>
      <c r="C1802" s="1" t="s">
        <v>583</v>
      </c>
      <c r="D1802" s="1">
        <v>3014</v>
      </c>
      <c r="E1802" s="1">
        <v>3015</v>
      </c>
      <c r="F1802" s="1">
        <v>3010</v>
      </c>
      <c r="G1802" s="1">
        <v>3013</v>
      </c>
      <c r="H1802" s="1">
        <v>84700</v>
      </c>
    </row>
    <row r="1803" spans="1:8">
      <c r="A1803" s="1"/>
      <c r="B1803" s="1" t="s">
        <v>586</v>
      </c>
      <c r="C1803" s="1" t="s">
        <v>584</v>
      </c>
      <c r="D1803" s="1">
        <v>3013</v>
      </c>
      <c r="E1803" s="1">
        <v>3013</v>
      </c>
      <c r="F1803" s="1">
        <v>3012</v>
      </c>
      <c r="G1803" s="1">
        <v>3012</v>
      </c>
      <c r="H1803" s="1">
        <v>7100</v>
      </c>
    </row>
    <row r="1804" spans="1:8">
      <c r="A1804" s="1"/>
      <c r="B1804" s="1" t="s">
        <v>586</v>
      </c>
      <c r="C1804" s="1" t="s">
        <v>585</v>
      </c>
      <c r="D1804" s="1">
        <v>3012</v>
      </c>
      <c r="E1804" s="1">
        <v>3013</v>
      </c>
      <c r="F1804" s="1">
        <v>3011</v>
      </c>
      <c r="G1804" s="1">
        <v>3011</v>
      </c>
      <c r="H1804" s="1">
        <v>36000</v>
      </c>
    </row>
    <row r="1805" spans="1:8">
      <c r="A1805" s="1"/>
      <c r="B1805" s="1" t="s">
        <v>587</v>
      </c>
      <c r="C1805" s="1" t="s">
        <v>316</v>
      </c>
      <c r="D1805" s="1">
        <v>3010</v>
      </c>
      <c r="E1805" s="1">
        <v>3010</v>
      </c>
      <c r="F1805" s="1">
        <v>3010</v>
      </c>
      <c r="G1805" s="1">
        <v>3010</v>
      </c>
      <c r="H1805" s="1">
        <v>7900</v>
      </c>
    </row>
    <row r="1806" spans="1:8">
      <c r="A1806" s="1" t="s">
        <v>79</v>
      </c>
      <c r="B1806" s="1" t="s">
        <v>79</v>
      </c>
      <c r="C1806" s="1" t="s">
        <v>79</v>
      </c>
      <c r="D1806" s="1" t="s">
        <v>79</v>
      </c>
      <c r="E1806" s="1" t="s">
        <v>79</v>
      </c>
      <c r="F1806" s="1" t="s">
        <v>79</v>
      </c>
      <c r="G1806" s="1" t="s">
        <v>79</v>
      </c>
      <c r="H1806" s="1" t="s">
        <v>79</v>
      </c>
    </row>
    <row r="2327" spans="1:8">
      <c r="A2327" s="1"/>
      <c r="B2327" s="1"/>
      <c r="C2327" s="1"/>
      <c r="D2327" s="1"/>
      <c r="E2327" s="1"/>
      <c r="F2327" s="1"/>
      <c r="G2327" s="1"/>
      <c r="H2327" s="1"/>
    </row>
    <row r="2328" spans="1:8">
      <c r="A2328" s="1"/>
      <c r="B2328" s="1" t="s">
        <v>143</v>
      </c>
      <c r="C2328" s="1" t="s">
        <v>145</v>
      </c>
      <c r="D2328" s="1">
        <v>3039</v>
      </c>
      <c r="E2328" s="1">
        <v>3039</v>
      </c>
      <c r="F2328" s="1">
        <v>3038</v>
      </c>
      <c r="G2328" s="1">
        <v>3038</v>
      </c>
      <c r="H2328" s="1">
        <v>14700</v>
      </c>
    </row>
    <row r="2329" spans="1:8">
      <c r="A2329" s="1"/>
      <c r="B2329" s="1" t="s">
        <v>143</v>
      </c>
      <c r="C2329" s="1" t="s">
        <v>146</v>
      </c>
      <c r="D2329" s="1">
        <v>3039</v>
      </c>
      <c r="E2329" s="1">
        <v>3039</v>
      </c>
      <c r="F2329" s="1">
        <v>3038</v>
      </c>
      <c r="G2329" s="1">
        <v>3039</v>
      </c>
      <c r="H2329" s="1">
        <v>9900</v>
      </c>
    </row>
    <row r="2330" spans="1:8">
      <c r="A2330" s="1"/>
      <c r="B2330" s="1" t="s">
        <v>143</v>
      </c>
      <c r="C2330" s="1" t="s">
        <v>147</v>
      </c>
      <c r="D2330" s="1">
        <v>3039</v>
      </c>
      <c r="E2330" s="1">
        <v>3039</v>
      </c>
      <c r="F2330" s="1">
        <v>3038</v>
      </c>
      <c r="G2330" s="1">
        <v>3039</v>
      </c>
      <c r="H2330" s="1">
        <v>14700</v>
      </c>
    </row>
    <row r="2331" spans="1:8">
      <c r="A2331" s="1"/>
      <c r="B2331" s="1" t="s">
        <v>143</v>
      </c>
      <c r="C2331" s="1" t="s">
        <v>148</v>
      </c>
      <c r="D2331" s="1">
        <v>3039</v>
      </c>
      <c r="E2331" s="1">
        <v>3039</v>
      </c>
      <c r="F2331" s="1">
        <v>3037</v>
      </c>
      <c r="G2331" s="1">
        <v>3038</v>
      </c>
      <c r="H2331" s="1">
        <v>35500</v>
      </c>
    </row>
    <row r="2332" spans="1:8">
      <c r="A2332" s="1"/>
      <c r="B2332" s="1" t="s">
        <v>143</v>
      </c>
      <c r="C2332" s="1" t="s">
        <v>149</v>
      </c>
      <c r="D2332" s="1">
        <v>3038</v>
      </c>
      <c r="E2332" s="1">
        <v>3038</v>
      </c>
      <c r="F2332" s="1">
        <v>3037</v>
      </c>
      <c r="G2332" s="1">
        <v>3037</v>
      </c>
      <c r="H2332" s="1">
        <v>8200</v>
      </c>
    </row>
    <row r="2333" spans="1:8">
      <c r="A2333" s="1"/>
      <c r="B2333" s="1" t="s">
        <v>143</v>
      </c>
      <c r="C2333" s="1" t="s">
        <v>150</v>
      </c>
      <c r="D2333" s="1">
        <v>3038</v>
      </c>
      <c r="E2333" s="1">
        <v>3039</v>
      </c>
      <c r="F2333" s="1">
        <v>3038</v>
      </c>
      <c r="G2333" s="1">
        <v>3039</v>
      </c>
      <c r="H2333" s="1">
        <v>15200</v>
      </c>
    </row>
    <row r="2334" spans="1:8">
      <c r="A2334" s="1"/>
      <c r="B2334" s="1" t="s">
        <v>143</v>
      </c>
      <c r="C2334" s="1" t="s">
        <v>151</v>
      </c>
      <c r="D2334" s="1">
        <v>3038</v>
      </c>
      <c r="E2334" s="1">
        <v>3039</v>
      </c>
      <c r="F2334" s="1">
        <v>3037</v>
      </c>
      <c r="G2334" s="1">
        <v>3038</v>
      </c>
      <c r="H2334" s="1">
        <v>40600</v>
      </c>
    </row>
    <row r="2335" spans="1:8">
      <c r="A2335" s="1"/>
      <c r="B2335" s="1" t="s">
        <v>143</v>
      </c>
      <c r="C2335" s="1" t="s">
        <v>152</v>
      </c>
      <c r="D2335" s="1">
        <v>3037</v>
      </c>
      <c r="E2335" s="1">
        <v>3038</v>
      </c>
      <c r="F2335" s="1">
        <v>3037</v>
      </c>
      <c r="G2335" s="1">
        <v>3038</v>
      </c>
      <c r="H2335" s="1">
        <v>4500</v>
      </c>
    </row>
    <row r="2336" spans="1:8">
      <c r="A2336" s="1"/>
      <c r="B2336" s="1" t="s">
        <v>143</v>
      </c>
      <c r="C2336" s="1" t="s">
        <v>153</v>
      </c>
      <c r="D2336" s="1">
        <v>3037</v>
      </c>
      <c r="E2336" s="1">
        <v>3039</v>
      </c>
      <c r="F2336" s="1">
        <v>3037</v>
      </c>
      <c r="G2336" s="1">
        <v>3039</v>
      </c>
      <c r="H2336" s="1">
        <v>8200</v>
      </c>
    </row>
    <row r="2337" spans="1:8">
      <c r="A2337" s="1"/>
      <c r="B2337" s="1" t="s">
        <v>143</v>
      </c>
      <c r="C2337" s="1" t="s">
        <v>154</v>
      </c>
      <c r="D2337" s="1">
        <v>3039</v>
      </c>
      <c r="E2337" s="1">
        <v>3039</v>
      </c>
      <c r="F2337" s="1">
        <v>3037</v>
      </c>
      <c r="G2337" s="1">
        <v>3037</v>
      </c>
      <c r="H2337" s="1">
        <v>24300</v>
      </c>
    </row>
    <row r="2338" spans="1:8">
      <c r="A2338" s="1"/>
      <c r="B2338" s="1" t="s">
        <v>143</v>
      </c>
      <c r="C2338" s="1" t="s">
        <v>155</v>
      </c>
      <c r="D2338" s="1">
        <v>3037</v>
      </c>
      <c r="E2338" s="1">
        <v>3038</v>
      </c>
      <c r="F2338" s="1">
        <v>3037</v>
      </c>
      <c r="G2338" s="1">
        <v>3038</v>
      </c>
      <c r="H2338" s="1">
        <v>8400</v>
      </c>
    </row>
    <row r="2339" spans="1:8">
      <c r="A2339" s="1"/>
      <c r="B2339" s="1" t="s">
        <v>143</v>
      </c>
      <c r="C2339" s="1" t="s">
        <v>156</v>
      </c>
      <c r="D2339" s="1">
        <v>3038</v>
      </c>
      <c r="E2339" s="1">
        <v>3038</v>
      </c>
      <c r="F2339" s="1">
        <v>3037</v>
      </c>
      <c r="G2339" s="1">
        <v>3037</v>
      </c>
      <c r="H2339" s="1">
        <v>30500</v>
      </c>
    </row>
    <row r="2340" spans="1:8">
      <c r="A2340" s="1"/>
      <c r="B2340" s="1" t="s">
        <v>143</v>
      </c>
      <c r="C2340" s="1" t="s">
        <v>157</v>
      </c>
      <c r="D2340" s="1">
        <v>3037</v>
      </c>
      <c r="E2340" s="1">
        <v>3038</v>
      </c>
      <c r="F2340" s="1">
        <v>3036</v>
      </c>
      <c r="G2340" s="1">
        <v>3036</v>
      </c>
      <c r="H2340" s="1">
        <v>16500</v>
      </c>
    </row>
    <row r="2341" spans="1:8">
      <c r="A2341" s="1"/>
      <c r="B2341" s="1" t="s">
        <v>143</v>
      </c>
      <c r="C2341" s="1" t="s">
        <v>158</v>
      </c>
      <c r="D2341" s="1">
        <v>3037</v>
      </c>
      <c r="E2341" s="1">
        <v>3037</v>
      </c>
      <c r="F2341" s="1">
        <v>3036</v>
      </c>
      <c r="G2341" s="1">
        <v>3037</v>
      </c>
      <c r="H2341" s="1">
        <v>4500</v>
      </c>
    </row>
    <row r="2342" spans="1:8">
      <c r="A2342" s="1"/>
      <c r="B2342" s="1" t="s">
        <v>143</v>
      </c>
      <c r="C2342" s="1" t="s">
        <v>159</v>
      </c>
      <c r="D2342" s="1">
        <v>3037</v>
      </c>
      <c r="E2342" s="1">
        <v>3037</v>
      </c>
      <c r="F2342" s="1">
        <v>3036</v>
      </c>
      <c r="G2342" s="1">
        <v>3037</v>
      </c>
      <c r="H2342" s="1">
        <v>2500</v>
      </c>
    </row>
    <row r="2343" spans="1:8">
      <c r="A2343" s="1"/>
      <c r="B2343" s="1" t="s">
        <v>143</v>
      </c>
      <c r="C2343" s="1" t="s">
        <v>160</v>
      </c>
      <c r="D2343" s="1">
        <v>3036</v>
      </c>
      <c r="E2343" s="1">
        <v>3037</v>
      </c>
      <c r="F2343" s="1">
        <v>3036</v>
      </c>
      <c r="G2343" s="1">
        <v>3036</v>
      </c>
      <c r="H2343" s="1">
        <v>2600</v>
      </c>
    </row>
    <row r="2344" spans="1:8">
      <c r="A2344" s="1"/>
      <c r="B2344" s="1" t="s">
        <v>143</v>
      </c>
      <c r="C2344" s="1" t="s">
        <v>161</v>
      </c>
      <c r="D2344" s="1">
        <v>3036</v>
      </c>
      <c r="E2344" s="1">
        <v>3038</v>
      </c>
      <c r="F2344" s="1">
        <v>3036</v>
      </c>
      <c r="G2344" s="1">
        <v>3036</v>
      </c>
      <c r="H2344" s="1">
        <v>47100</v>
      </c>
    </row>
    <row r="2345" spans="1:8">
      <c r="A2345" s="1"/>
      <c r="B2345" s="1" t="s">
        <v>143</v>
      </c>
      <c r="C2345" s="1" t="s">
        <v>162</v>
      </c>
      <c r="D2345" s="1">
        <v>3035</v>
      </c>
      <c r="E2345" s="1">
        <v>3036</v>
      </c>
      <c r="F2345" s="1">
        <v>3035</v>
      </c>
      <c r="G2345" s="1">
        <v>3035</v>
      </c>
      <c r="H2345" s="1">
        <v>11300</v>
      </c>
    </row>
    <row r="2346" spans="1:8">
      <c r="A2346" s="1"/>
      <c r="B2346" s="1" t="s">
        <v>143</v>
      </c>
      <c r="C2346" s="1" t="s">
        <v>163</v>
      </c>
      <c r="D2346" s="1">
        <v>3035</v>
      </c>
      <c r="E2346" s="1">
        <v>3036</v>
      </c>
      <c r="F2346" s="1">
        <v>3035</v>
      </c>
      <c r="G2346" s="1">
        <v>3035</v>
      </c>
      <c r="H2346" s="1">
        <v>1300</v>
      </c>
    </row>
    <row r="2347" spans="1:8">
      <c r="A2347" s="1"/>
      <c r="B2347" s="1" t="s">
        <v>143</v>
      </c>
      <c r="C2347" s="1" t="s">
        <v>81</v>
      </c>
      <c r="D2347" s="1">
        <v>3035</v>
      </c>
      <c r="E2347" s="1">
        <v>3036</v>
      </c>
      <c r="F2347" s="1">
        <v>3035</v>
      </c>
      <c r="G2347" s="1">
        <v>3035</v>
      </c>
      <c r="H2347" s="1">
        <v>2100</v>
      </c>
    </row>
    <row r="2348" spans="1:8">
      <c r="A2348" s="1"/>
      <c r="B2348" s="1" t="s">
        <v>143</v>
      </c>
      <c r="C2348" s="1" t="s">
        <v>82</v>
      </c>
      <c r="D2348" s="1">
        <v>3035</v>
      </c>
      <c r="E2348" s="1">
        <v>3037</v>
      </c>
      <c r="F2348" s="1">
        <v>3035</v>
      </c>
      <c r="G2348" s="1">
        <v>3036</v>
      </c>
      <c r="H2348" s="1">
        <v>14600</v>
      </c>
    </row>
    <row r="2349" spans="1:8">
      <c r="A2349" s="1"/>
      <c r="B2349" s="1" t="s">
        <v>143</v>
      </c>
      <c r="C2349" s="1" t="s">
        <v>83</v>
      </c>
      <c r="D2349" s="1">
        <v>3036</v>
      </c>
      <c r="E2349" s="1">
        <v>3037</v>
      </c>
      <c r="F2349" s="1">
        <v>3036</v>
      </c>
      <c r="G2349" s="1">
        <v>3036</v>
      </c>
      <c r="H2349" s="1">
        <v>3500</v>
      </c>
    </row>
    <row r="2350" spans="1:8">
      <c r="A2350" s="1"/>
      <c r="B2350" s="1" t="s">
        <v>143</v>
      </c>
      <c r="C2350" s="1" t="s">
        <v>84</v>
      </c>
      <c r="D2350" s="1">
        <v>3036</v>
      </c>
      <c r="E2350" s="1">
        <v>3037</v>
      </c>
      <c r="F2350" s="1">
        <v>3036</v>
      </c>
      <c r="G2350" s="1">
        <v>3036</v>
      </c>
      <c r="H2350" s="1">
        <v>16400</v>
      </c>
    </row>
    <row r="2351" spans="1:8">
      <c r="A2351" s="1"/>
      <c r="B2351" s="1" t="s">
        <v>143</v>
      </c>
      <c r="C2351" s="1" t="s">
        <v>85</v>
      </c>
      <c r="D2351" s="1">
        <v>3036</v>
      </c>
      <c r="E2351" s="1">
        <v>3036</v>
      </c>
      <c r="F2351" s="1">
        <v>3035</v>
      </c>
      <c r="G2351" s="1">
        <v>3035</v>
      </c>
      <c r="H2351" s="1">
        <v>36400</v>
      </c>
    </row>
    <row r="2352" spans="1:8">
      <c r="A2352" s="1"/>
      <c r="B2352" s="1" t="s">
        <v>143</v>
      </c>
      <c r="C2352" s="1" t="s">
        <v>86</v>
      </c>
      <c r="D2352" s="1">
        <v>3035</v>
      </c>
      <c r="E2352" s="1">
        <v>3036</v>
      </c>
      <c r="F2352" s="1">
        <v>3034</v>
      </c>
      <c r="G2352" s="1">
        <v>3035</v>
      </c>
      <c r="H2352" s="1">
        <v>35600</v>
      </c>
    </row>
    <row r="2353" spans="1:8">
      <c r="A2353" s="1"/>
      <c r="B2353" s="1" t="s">
        <v>143</v>
      </c>
      <c r="C2353" s="1" t="s">
        <v>87</v>
      </c>
      <c r="D2353" s="1">
        <v>3035</v>
      </c>
      <c r="E2353" s="1">
        <v>3035</v>
      </c>
      <c r="F2353" s="1">
        <v>3034</v>
      </c>
      <c r="G2353" s="1">
        <v>3034</v>
      </c>
      <c r="H2353" s="1">
        <v>8500</v>
      </c>
    </row>
    <row r="2354" spans="1:8">
      <c r="A2354" s="1"/>
      <c r="B2354" s="1" t="s">
        <v>143</v>
      </c>
      <c r="C2354" s="1" t="s">
        <v>88</v>
      </c>
      <c r="D2354" s="1">
        <v>3035</v>
      </c>
      <c r="E2354" s="1">
        <v>3035</v>
      </c>
      <c r="F2354" s="1">
        <v>3034</v>
      </c>
      <c r="G2354" s="1">
        <v>3034</v>
      </c>
      <c r="H2354" s="1">
        <v>42000</v>
      </c>
    </row>
    <row r="2355" spans="1:8">
      <c r="A2355" s="1"/>
      <c r="B2355" s="1" t="s">
        <v>143</v>
      </c>
      <c r="C2355" s="1" t="s">
        <v>89</v>
      </c>
      <c r="D2355" s="1">
        <v>3035</v>
      </c>
      <c r="E2355" s="1">
        <v>3035</v>
      </c>
      <c r="F2355" s="1">
        <v>3031</v>
      </c>
      <c r="G2355" s="1">
        <v>3032</v>
      </c>
      <c r="H2355" s="1">
        <v>32400</v>
      </c>
    </row>
    <row r="2356" spans="1:8">
      <c r="A2356" s="1"/>
      <c r="B2356" s="1" t="s">
        <v>143</v>
      </c>
      <c r="C2356" s="1" t="s">
        <v>90</v>
      </c>
      <c r="D2356" s="1">
        <v>3031</v>
      </c>
      <c r="E2356" s="1">
        <v>3032</v>
      </c>
      <c r="F2356" s="1">
        <v>3031</v>
      </c>
      <c r="G2356" s="1">
        <v>3032</v>
      </c>
      <c r="H2356" s="1">
        <v>8200</v>
      </c>
    </row>
    <row r="2357" spans="1:8">
      <c r="A2357" s="1"/>
      <c r="B2357" s="1" t="s">
        <v>143</v>
      </c>
      <c r="C2357" s="1" t="s">
        <v>91</v>
      </c>
      <c r="D2357" s="1">
        <v>3031</v>
      </c>
      <c r="E2357" s="1">
        <v>3032</v>
      </c>
      <c r="F2357" s="1">
        <v>3031</v>
      </c>
      <c r="G2357" s="1">
        <v>3031</v>
      </c>
      <c r="H2357" s="1">
        <v>2700</v>
      </c>
    </row>
    <row r="2358" spans="1:8">
      <c r="A2358" s="1"/>
      <c r="B2358" s="1" t="s">
        <v>143</v>
      </c>
      <c r="C2358" s="1" t="s">
        <v>92</v>
      </c>
      <c r="D2358" s="1">
        <v>3031</v>
      </c>
      <c r="E2358" s="1">
        <v>3033</v>
      </c>
      <c r="F2358" s="1">
        <v>3031</v>
      </c>
      <c r="G2358" s="1">
        <v>3033</v>
      </c>
      <c r="H2358" s="1">
        <v>7200</v>
      </c>
    </row>
    <row r="2359" spans="1:8">
      <c r="A2359" s="1"/>
      <c r="B2359" s="1" t="s">
        <v>143</v>
      </c>
      <c r="C2359" s="1" t="s">
        <v>93</v>
      </c>
      <c r="D2359" s="1">
        <v>3032</v>
      </c>
      <c r="E2359" s="1">
        <v>3033</v>
      </c>
      <c r="F2359" s="1">
        <v>3032</v>
      </c>
      <c r="G2359" s="1">
        <v>3033</v>
      </c>
      <c r="H2359" s="1">
        <v>8600</v>
      </c>
    </row>
    <row r="2360" spans="1:8">
      <c r="A2360" s="1"/>
      <c r="B2360" s="1" t="s">
        <v>143</v>
      </c>
      <c r="C2360" s="1" t="s">
        <v>94</v>
      </c>
      <c r="D2360" s="1">
        <v>3033</v>
      </c>
      <c r="E2360" s="1">
        <v>3034</v>
      </c>
      <c r="F2360" s="1">
        <v>3032</v>
      </c>
      <c r="G2360" s="1">
        <v>3034</v>
      </c>
      <c r="H2360" s="1">
        <v>39700</v>
      </c>
    </row>
    <row r="2361" spans="1:8">
      <c r="A2361" s="1"/>
      <c r="B2361" s="1" t="s">
        <v>143</v>
      </c>
      <c r="C2361" s="1" t="s">
        <v>95</v>
      </c>
      <c r="D2361" s="1">
        <v>3033</v>
      </c>
      <c r="E2361" s="1">
        <v>3034</v>
      </c>
      <c r="F2361" s="1">
        <v>3033</v>
      </c>
      <c r="G2361" s="1">
        <v>3034</v>
      </c>
      <c r="H2361" s="1">
        <v>7100</v>
      </c>
    </row>
    <row r="2362" spans="1:8">
      <c r="A2362" s="1"/>
      <c r="B2362" s="1" t="s">
        <v>143</v>
      </c>
      <c r="C2362" s="1" t="s">
        <v>96</v>
      </c>
      <c r="D2362" s="1">
        <v>3034</v>
      </c>
      <c r="E2362" s="1">
        <v>3035</v>
      </c>
      <c r="F2362" s="1">
        <v>3033</v>
      </c>
      <c r="G2362" s="1">
        <v>3033</v>
      </c>
      <c r="H2362" s="1">
        <v>18500</v>
      </c>
    </row>
    <row r="2363" spans="1:8">
      <c r="A2363" s="1"/>
      <c r="B2363" s="1" t="s">
        <v>143</v>
      </c>
      <c r="C2363" s="1" t="s">
        <v>97</v>
      </c>
      <c r="D2363" s="1">
        <v>3033</v>
      </c>
      <c r="E2363" s="1">
        <v>3033</v>
      </c>
      <c r="F2363" s="1">
        <v>3032</v>
      </c>
      <c r="G2363" s="1">
        <v>3033</v>
      </c>
      <c r="H2363" s="1">
        <v>10700</v>
      </c>
    </row>
    <row r="2364" spans="1:8">
      <c r="A2364" s="1"/>
      <c r="B2364" s="1" t="s">
        <v>143</v>
      </c>
      <c r="C2364" s="1" t="s">
        <v>98</v>
      </c>
      <c r="D2364" s="1">
        <v>3032</v>
      </c>
      <c r="E2364" s="1">
        <v>3033</v>
      </c>
      <c r="F2364" s="1">
        <v>3031</v>
      </c>
      <c r="G2364" s="1">
        <v>3032</v>
      </c>
      <c r="H2364" s="1">
        <v>21700</v>
      </c>
    </row>
    <row r="2365" spans="1:8">
      <c r="A2365" s="1"/>
      <c r="B2365" s="1" t="s">
        <v>143</v>
      </c>
      <c r="C2365" s="1" t="s">
        <v>99</v>
      </c>
      <c r="D2365" s="1">
        <v>3032</v>
      </c>
      <c r="E2365" s="1">
        <v>3032</v>
      </c>
      <c r="F2365" s="1">
        <v>3031</v>
      </c>
      <c r="G2365" s="1">
        <v>3032</v>
      </c>
      <c r="H2365" s="1">
        <v>8200</v>
      </c>
    </row>
    <row r="2366" spans="1:8">
      <c r="A2366" s="1"/>
      <c r="B2366" s="1" t="s">
        <v>143</v>
      </c>
      <c r="C2366" s="1" t="s">
        <v>100</v>
      </c>
      <c r="D2366" s="1">
        <v>3032</v>
      </c>
      <c r="E2366" s="1">
        <v>3033</v>
      </c>
      <c r="F2366" s="1">
        <v>3031</v>
      </c>
      <c r="G2366" s="1">
        <v>3032</v>
      </c>
      <c r="H2366" s="1">
        <v>11100</v>
      </c>
    </row>
    <row r="2367" spans="1:8">
      <c r="A2367" s="1"/>
      <c r="B2367" s="1" t="s">
        <v>143</v>
      </c>
      <c r="C2367" s="1" t="s">
        <v>101</v>
      </c>
      <c r="D2367" s="1">
        <v>3033</v>
      </c>
      <c r="E2367" s="1">
        <v>3033</v>
      </c>
      <c r="F2367" s="1">
        <v>3032</v>
      </c>
      <c r="G2367" s="1">
        <v>3033</v>
      </c>
      <c r="H2367" s="1">
        <v>13400</v>
      </c>
    </row>
    <row r="2368" spans="1:8">
      <c r="A2368" s="1"/>
      <c r="B2368" s="1" t="s">
        <v>143</v>
      </c>
      <c r="C2368" s="1" t="s">
        <v>102</v>
      </c>
      <c r="D2368" s="1">
        <v>3033</v>
      </c>
      <c r="E2368" s="1">
        <v>3035</v>
      </c>
      <c r="F2368" s="1">
        <v>3033</v>
      </c>
      <c r="G2368" s="1">
        <v>3035</v>
      </c>
      <c r="H2368" s="1">
        <v>9600</v>
      </c>
    </row>
    <row r="2369" spans="1:8">
      <c r="A2369" s="1"/>
      <c r="B2369" s="1" t="s">
        <v>143</v>
      </c>
      <c r="C2369" s="1" t="s">
        <v>103</v>
      </c>
      <c r="D2369" s="1">
        <v>3035</v>
      </c>
      <c r="E2369" s="1">
        <v>3035</v>
      </c>
      <c r="F2369" s="1">
        <v>3034</v>
      </c>
      <c r="G2369" s="1">
        <v>3034</v>
      </c>
      <c r="H2369" s="1">
        <v>14000</v>
      </c>
    </row>
    <row r="2370" spans="1:8">
      <c r="A2370" s="1"/>
      <c r="B2370" s="1" t="s">
        <v>143</v>
      </c>
      <c r="C2370" s="1" t="s">
        <v>104</v>
      </c>
      <c r="D2370" s="1">
        <v>3034</v>
      </c>
      <c r="E2370" s="1">
        <v>3035</v>
      </c>
      <c r="F2370" s="1">
        <v>3034</v>
      </c>
      <c r="G2370" s="1">
        <v>3035</v>
      </c>
      <c r="H2370" s="1">
        <v>1900</v>
      </c>
    </row>
    <row r="2371" spans="1:8">
      <c r="A2371" s="1"/>
      <c r="B2371" s="1" t="s">
        <v>143</v>
      </c>
      <c r="C2371" s="1" t="s">
        <v>105</v>
      </c>
      <c r="D2371" s="1">
        <v>3034</v>
      </c>
      <c r="E2371" s="1">
        <v>3035</v>
      </c>
      <c r="F2371" s="1">
        <v>3034</v>
      </c>
      <c r="G2371" s="1">
        <v>3034</v>
      </c>
      <c r="H2371" s="1">
        <v>5600</v>
      </c>
    </row>
    <row r="2372" spans="1:8">
      <c r="A2372" s="1"/>
      <c r="B2372" s="1" t="s">
        <v>143</v>
      </c>
      <c r="C2372" s="1" t="s">
        <v>106</v>
      </c>
      <c r="D2372" s="1">
        <v>3035</v>
      </c>
      <c r="E2372" s="1">
        <v>3035</v>
      </c>
      <c r="F2372" s="1">
        <v>3035</v>
      </c>
      <c r="G2372" s="1">
        <v>3035</v>
      </c>
      <c r="H2372" s="1">
        <v>8500</v>
      </c>
    </row>
    <row r="2373" spans="1:8">
      <c r="A2373" s="1"/>
      <c r="B2373" s="1" t="s">
        <v>143</v>
      </c>
      <c r="C2373" s="1" t="s">
        <v>107</v>
      </c>
      <c r="D2373" s="1">
        <v>3035</v>
      </c>
      <c r="E2373" s="1">
        <v>3035</v>
      </c>
      <c r="F2373" s="1">
        <v>3033</v>
      </c>
      <c r="G2373" s="1">
        <v>3035</v>
      </c>
      <c r="H2373" s="1">
        <v>36200</v>
      </c>
    </row>
    <row r="2374" spans="1:8">
      <c r="A2374" s="1"/>
      <c r="B2374" s="1" t="s">
        <v>143</v>
      </c>
      <c r="C2374" s="1" t="s">
        <v>108</v>
      </c>
      <c r="D2374" s="1">
        <v>3035</v>
      </c>
      <c r="E2374" s="1">
        <v>3036</v>
      </c>
      <c r="F2374" s="1">
        <v>3034</v>
      </c>
      <c r="G2374" s="1">
        <v>3035</v>
      </c>
      <c r="H2374" s="1">
        <v>13700</v>
      </c>
    </row>
    <row r="2375" spans="1:8">
      <c r="A2375" s="1"/>
      <c r="B2375" s="1" t="s">
        <v>143</v>
      </c>
      <c r="C2375" s="1" t="s">
        <v>109</v>
      </c>
      <c r="D2375" s="1">
        <v>3035</v>
      </c>
      <c r="E2375" s="1">
        <v>3036</v>
      </c>
      <c r="F2375" s="1">
        <v>3035</v>
      </c>
      <c r="G2375" s="1">
        <v>3035</v>
      </c>
      <c r="H2375" s="1">
        <v>12600</v>
      </c>
    </row>
    <row r="2376" spans="1:8">
      <c r="A2376" s="1"/>
      <c r="B2376" s="1" t="s">
        <v>143</v>
      </c>
      <c r="C2376" s="1" t="s">
        <v>110</v>
      </c>
      <c r="D2376" s="1">
        <v>3035</v>
      </c>
      <c r="E2376" s="1">
        <v>3035</v>
      </c>
      <c r="F2376" s="1">
        <v>3034</v>
      </c>
      <c r="G2376" s="1">
        <v>3034</v>
      </c>
      <c r="H2376" s="1">
        <v>21300</v>
      </c>
    </row>
    <row r="2377" spans="1:8">
      <c r="A2377" s="1"/>
      <c r="B2377" s="1" t="s">
        <v>143</v>
      </c>
      <c r="C2377" s="1" t="s">
        <v>111</v>
      </c>
      <c r="D2377" s="1">
        <v>3033</v>
      </c>
      <c r="E2377" s="1">
        <v>3033</v>
      </c>
      <c r="F2377" s="1">
        <v>3032</v>
      </c>
      <c r="G2377" s="1">
        <v>3032</v>
      </c>
      <c r="H2377" s="1">
        <v>20100</v>
      </c>
    </row>
    <row r="2378" spans="1:8">
      <c r="A2378" s="1"/>
      <c r="B2378" s="1" t="s">
        <v>143</v>
      </c>
      <c r="C2378" s="1" t="s">
        <v>112</v>
      </c>
      <c r="D2378" s="1">
        <v>3033</v>
      </c>
      <c r="E2378" s="1">
        <v>3033</v>
      </c>
      <c r="F2378" s="1">
        <v>3032</v>
      </c>
      <c r="G2378" s="1">
        <v>3033</v>
      </c>
      <c r="H2378" s="1">
        <v>8700</v>
      </c>
    </row>
    <row r="2379" spans="1:8">
      <c r="A2379" s="1"/>
      <c r="B2379" s="1" t="s">
        <v>143</v>
      </c>
      <c r="C2379" s="1" t="s">
        <v>113</v>
      </c>
      <c r="D2379" s="1">
        <v>3033</v>
      </c>
      <c r="E2379" s="1">
        <v>3033</v>
      </c>
      <c r="F2379" s="1">
        <v>3032</v>
      </c>
      <c r="G2379" s="1">
        <v>3032</v>
      </c>
      <c r="H2379" s="1">
        <v>4100</v>
      </c>
    </row>
    <row r="2380" spans="1:8">
      <c r="A2380" s="1"/>
      <c r="B2380" s="1" t="s">
        <v>143</v>
      </c>
      <c r="C2380" s="1" t="s">
        <v>114</v>
      </c>
      <c r="D2380" s="1">
        <v>3033</v>
      </c>
      <c r="E2380" s="1">
        <v>3034</v>
      </c>
      <c r="F2380" s="1">
        <v>3032</v>
      </c>
      <c r="G2380" s="1">
        <v>3032</v>
      </c>
      <c r="H2380" s="1">
        <v>23500</v>
      </c>
    </row>
    <row r="2381" spans="1:8">
      <c r="A2381" s="1"/>
      <c r="B2381" s="1" t="s">
        <v>143</v>
      </c>
      <c r="C2381" s="1" t="s">
        <v>115</v>
      </c>
      <c r="D2381" s="1">
        <v>3032</v>
      </c>
      <c r="E2381" s="1">
        <v>3032</v>
      </c>
      <c r="F2381" s="1">
        <v>3029</v>
      </c>
      <c r="G2381" s="1">
        <v>3029</v>
      </c>
      <c r="H2381" s="1">
        <v>56400</v>
      </c>
    </row>
    <row r="2382" spans="1:8">
      <c r="A2382" s="1"/>
      <c r="B2382" s="1" t="s">
        <v>143</v>
      </c>
      <c r="C2382" s="1" t="s">
        <v>116</v>
      </c>
      <c r="D2382" s="1">
        <v>3029</v>
      </c>
      <c r="E2382" s="1">
        <v>3030</v>
      </c>
      <c r="F2382" s="1">
        <v>3028</v>
      </c>
      <c r="G2382" s="1">
        <v>3030</v>
      </c>
      <c r="H2382" s="1">
        <v>9300</v>
      </c>
    </row>
    <row r="2383" spans="1:8">
      <c r="A2383" s="1"/>
      <c r="B2383" s="1" t="s">
        <v>143</v>
      </c>
      <c r="C2383" s="1" t="s">
        <v>117</v>
      </c>
      <c r="D2383" s="1">
        <v>3029</v>
      </c>
      <c r="E2383" s="1">
        <v>3030</v>
      </c>
      <c r="F2383" s="1">
        <v>3028</v>
      </c>
      <c r="G2383" s="1">
        <v>3028</v>
      </c>
      <c r="H2383" s="1">
        <v>38200</v>
      </c>
    </row>
    <row r="2384" spans="1:8">
      <c r="A2384" s="1"/>
      <c r="B2384" s="1" t="s">
        <v>143</v>
      </c>
      <c r="C2384" s="1" t="s">
        <v>118</v>
      </c>
      <c r="D2384" s="1">
        <v>3028</v>
      </c>
      <c r="E2384" s="1">
        <v>3029</v>
      </c>
      <c r="F2384" s="1">
        <v>3026</v>
      </c>
      <c r="G2384" s="1">
        <v>3028</v>
      </c>
      <c r="H2384" s="1">
        <v>50400</v>
      </c>
    </row>
    <row r="2385" spans="1:8">
      <c r="A2385" s="1"/>
      <c r="B2385" s="1" t="s">
        <v>144</v>
      </c>
      <c r="C2385" s="1" t="s">
        <v>67</v>
      </c>
      <c r="D2385" s="1" t="s">
        <v>8</v>
      </c>
      <c r="E2385" s="1" t="s">
        <v>8</v>
      </c>
      <c r="F2385" s="1" t="s">
        <v>8</v>
      </c>
      <c r="G2385" s="1" t="s">
        <v>8</v>
      </c>
      <c r="H2385" s="1">
        <v>0</v>
      </c>
    </row>
    <row r="2386" spans="1:8">
      <c r="B2386" t="s">
        <v>144</v>
      </c>
      <c r="C2386" t="s">
        <v>68</v>
      </c>
      <c r="D2386" t="s">
        <v>8</v>
      </c>
      <c r="E2386" t="s">
        <v>8</v>
      </c>
      <c r="F2386" t="s">
        <v>8</v>
      </c>
      <c r="G2386" t="s">
        <v>8</v>
      </c>
      <c r="H2386">
        <v>0</v>
      </c>
    </row>
    <row r="2387" spans="1:8">
      <c r="B2387" t="s">
        <v>144</v>
      </c>
      <c r="C2387" t="s">
        <v>69</v>
      </c>
      <c r="D2387" t="s">
        <v>8</v>
      </c>
      <c r="E2387" t="s">
        <v>8</v>
      </c>
      <c r="F2387" t="s">
        <v>8</v>
      </c>
      <c r="G2387" t="s">
        <v>8</v>
      </c>
      <c r="H2387">
        <v>0</v>
      </c>
    </row>
    <row r="2388" spans="1:8">
      <c r="B2388" t="s">
        <v>144</v>
      </c>
      <c r="C2388" t="s">
        <v>70</v>
      </c>
      <c r="D2388" t="s">
        <v>8</v>
      </c>
      <c r="E2388" t="s">
        <v>8</v>
      </c>
      <c r="F2388" t="s">
        <v>8</v>
      </c>
      <c r="G2388" t="s">
        <v>8</v>
      </c>
      <c r="H2388">
        <v>0</v>
      </c>
    </row>
    <row r="2389" spans="1:8">
      <c r="B2389" t="s">
        <v>144</v>
      </c>
      <c r="C2389" t="s">
        <v>71</v>
      </c>
      <c r="D2389" t="s">
        <v>8</v>
      </c>
      <c r="E2389" t="s">
        <v>8</v>
      </c>
      <c r="F2389" t="s">
        <v>8</v>
      </c>
      <c r="G2389" t="s">
        <v>8</v>
      </c>
      <c r="H2389">
        <v>0</v>
      </c>
    </row>
    <row r="2390" spans="1:8">
      <c r="B2390" t="s">
        <v>144</v>
      </c>
      <c r="C2390" t="s">
        <v>72</v>
      </c>
      <c r="D2390">
        <v>3035</v>
      </c>
      <c r="E2390">
        <v>3035</v>
      </c>
      <c r="F2390">
        <v>3035</v>
      </c>
      <c r="G2390">
        <v>3035</v>
      </c>
      <c r="H2390">
        <v>1836900</v>
      </c>
    </row>
    <row r="2391" spans="1:8">
      <c r="A2391" s="1" t="s">
        <v>79</v>
      </c>
      <c r="B2391" s="1" t="s">
        <v>79</v>
      </c>
      <c r="C2391" s="1" t="s">
        <v>79</v>
      </c>
      <c r="D2391" s="1" t="s">
        <v>79</v>
      </c>
      <c r="E2391" s="1" t="s">
        <v>79</v>
      </c>
      <c r="F2391" s="1" t="s">
        <v>79</v>
      </c>
      <c r="G2391" s="1" t="s">
        <v>79</v>
      </c>
      <c r="H2391" s="1" t="s">
        <v>79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フジクラ</vt:lpstr>
      <vt:lpstr>三菱ＵＦＪフィナンシャル・グループ</vt:lpstr>
      <vt:lpstr>サンリオ</vt:lpstr>
      <vt:lpstr>みずほフィナンシャルグループ</vt:lpstr>
      <vt:lpstr>三井Ｅ＆Ｓ</vt:lpstr>
      <vt:lpstr>日立製作所</vt:lpstr>
      <vt:lpstr>オムロン</vt:lpstr>
      <vt:lpstr>ローツェ</vt:lpstr>
      <vt:lpstr>ＫＯＫＵＳＡＩ　ＥＬＥＣＴＲＩＣ</vt:lpstr>
      <vt:lpstr>三菱商事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Satoru</dc:creator>
  <cp:lastModifiedBy>悟 弟子丸</cp:lastModifiedBy>
  <dcterms:created xsi:type="dcterms:W3CDTF">2015-06-05T18:19:34Z</dcterms:created>
  <dcterms:modified xsi:type="dcterms:W3CDTF">2025-08-03T11:39:12Z</dcterms:modified>
</cp:coreProperties>
</file>